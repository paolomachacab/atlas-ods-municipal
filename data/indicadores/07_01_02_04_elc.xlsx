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riginales" sheetId="1" r:id="rId4"/>
    <sheet state="visible" name="Datos procesados" sheetId="2" r:id="rId5"/>
    <sheet state="visible" name="Indicador_MUN" sheetId="3" r:id="rId6"/>
    <sheet state="visible" name="Absoluto_MUN" sheetId="4" r:id="rId7"/>
    <sheet state="visible" name="Indicador_DEP" sheetId="5" r:id="rId8"/>
    <sheet state="visible" name="Absoluto_DEP" sheetId="6" r:id="rId9"/>
    <sheet state="visible" name="Umbral" sheetId="7" r:id="rId10"/>
    <sheet state="visible" name="Graficos" sheetId="8" r:id="rId11"/>
    <sheet state="visible" name="Mapa" sheetId="9" r:id="rId12"/>
  </sheets>
  <definedNames>
    <definedName hidden="1" localSheetId="0" name="_xlnm._FilterDatabase">'Datos originales'!$A$7:$K$1411</definedName>
    <definedName hidden="1" localSheetId="2" name="_xlnm._FilterDatabase">Indicador_MUN!$A$1:$D$344</definedName>
    <definedName hidden="1" localSheetId="8" name="_xlnm._FilterDatabase">Mapa!$A$1:$F$344</definedName>
  </definedNames>
  <calcPr/>
  <extLst>
    <ext uri="GoogleSheetsCustomDataVersion2">
      <go:sheetsCustomData xmlns:go="http://customooxmlschemas.google.com/" r:id="rId13" roundtripDataChecksum="F1fNii37YRGqFcdoJQhUApH/Psq8X0VTVauX6UcJB9Y="/>
    </ext>
  </extLst>
</workbook>
</file>

<file path=xl/sharedStrings.xml><?xml version="1.0" encoding="utf-8"?>
<sst xmlns="http://schemas.openxmlformats.org/spreadsheetml/2006/main" count="8085" uniqueCount="491">
  <si>
    <t>Cuadro N° 10. INDICADOR COMPLEMENTARIO ODS 7.1.2</t>
  </si>
  <si>
    <t>BOLIVIA: POBLACIÓN EN VIVIENDAS PARTICULARES Y PORCENTAJE DE POBLACIÓN QUE UTILIZA COMBUSTIBLE LIMPIO PARA COCINAR(1) POR CATEGORIAS SELECCIONADAS, SEGÚN DEPARTAMENTO, PROVINCIA, MUNICIPIO O TERRITORIO INDÍGENA ORIGINARIO CAMPESINO (TIOC) Y ÁREA, CENSOS 2012 Y 2024</t>
  </si>
  <si>
    <t>(En número y porcentaje)</t>
  </si>
  <si>
    <t>N°</t>
  </si>
  <si>
    <t>NIVEL</t>
  </si>
  <si>
    <t>DEPARTAMENTO</t>
  </si>
  <si>
    <t>PROVINCIA</t>
  </si>
  <si>
    <t>MUNICIPIO/TIOC</t>
  </si>
  <si>
    <t>ÁREA</t>
  </si>
  <si>
    <t>POBLACIÓN EN VIVIENDAS PARTICULARES</t>
  </si>
  <si>
    <t>PORCENTAJE DE POBLACIÓN QUE UTILIZA COMBUSTIBLE LIMPIO PARA COCINAR</t>
  </si>
  <si>
    <t>País</t>
  </si>
  <si>
    <t>Bolivia</t>
  </si>
  <si>
    <t>Urbana</t>
  </si>
  <si>
    <t>Rural</t>
  </si>
  <si>
    <t>Departamento</t>
  </si>
  <si>
    <t>Chuquisaca</t>
  </si>
  <si>
    <t>Provincia</t>
  </si>
  <si>
    <t>Oropeza</t>
  </si>
  <si>
    <t>Municipio/TIOC</t>
  </si>
  <si>
    <t>Sucre</t>
  </si>
  <si>
    <t>Yotala</t>
  </si>
  <si>
    <t>Poroma</t>
  </si>
  <si>
    <t>Azurduy</t>
  </si>
  <si>
    <t>Tarvita</t>
  </si>
  <si>
    <t>Zudáñez</t>
  </si>
  <si>
    <t>Presto</t>
  </si>
  <si>
    <t>Mojocoya</t>
  </si>
  <si>
    <t>Icla</t>
  </si>
  <si>
    <t>Tomina</t>
  </si>
  <si>
    <t>Padilla</t>
  </si>
  <si>
    <t>Sopachuy</t>
  </si>
  <si>
    <t>Alcalá</t>
  </si>
  <si>
    <t>El Villar</t>
  </si>
  <si>
    <t>Hernando Siles</t>
  </si>
  <si>
    <t>Monteagudo</t>
  </si>
  <si>
    <t>Huacareta</t>
  </si>
  <si>
    <t>Yamparáez</t>
  </si>
  <si>
    <t>Tarabuco</t>
  </si>
  <si>
    <t>Nor Cinti</t>
  </si>
  <si>
    <t>Camargo</t>
  </si>
  <si>
    <t>San Lucas</t>
  </si>
  <si>
    <t>Incahuasi</t>
  </si>
  <si>
    <t>Villa Charcas</t>
  </si>
  <si>
    <t>Belisario Boeto</t>
  </si>
  <si>
    <t>Villa Serrano</t>
  </si>
  <si>
    <t>Sud Cinti</t>
  </si>
  <si>
    <t>Villa Abecia</t>
  </si>
  <si>
    <t>Culpina</t>
  </si>
  <si>
    <t>Las Carreras</t>
  </si>
  <si>
    <t>Luis Calvo</t>
  </si>
  <si>
    <t>Villa Vaca Guzmán</t>
  </si>
  <si>
    <t>Huacaya (Autonomía Guaraní Chaqueño de Huacaya)</t>
  </si>
  <si>
    <t>Macharetí</t>
  </si>
  <si>
    <t>La Paz</t>
  </si>
  <si>
    <t>Murillo</t>
  </si>
  <si>
    <t>Nuestra Señora de La Paz</t>
  </si>
  <si>
    <t>Palca</t>
  </si>
  <si>
    <t>Mecapaca</t>
  </si>
  <si>
    <t>Achocalla</t>
  </si>
  <si>
    <t>El Alto</t>
  </si>
  <si>
    <t>Omasuyos</t>
  </si>
  <si>
    <t>Achacachi</t>
  </si>
  <si>
    <t>Villa Ancoraimes</t>
  </si>
  <si>
    <t>Huarina</t>
  </si>
  <si>
    <t>Santiago de Huata</t>
  </si>
  <si>
    <t>Huatajata</t>
  </si>
  <si>
    <t>Chua Cocani</t>
  </si>
  <si>
    <t>Pacajes</t>
  </si>
  <si>
    <t>Corocoro</t>
  </si>
  <si>
    <t>Caquiaviri</t>
  </si>
  <si>
    <t>Calacoto</t>
  </si>
  <si>
    <t>Comanche</t>
  </si>
  <si>
    <t>Charaña</t>
  </si>
  <si>
    <t>Waldo Ballivián</t>
  </si>
  <si>
    <t>Nazacara de Pacajes</t>
  </si>
  <si>
    <t>Santiago de Callapa</t>
  </si>
  <si>
    <t>Camacho</t>
  </si>
  <si>
    <t>Puerto Acosta</t>
  </si>
  <si>
    <t>Mocomoco</t>
  </si>
  <si>
    <t>Puerto Mayor de Carabuco</t>
  </si>
  <si>
    <t>Humanata</t>
  </si>
  <si>
    <t>Escoma</t>
  </si>
  <si>
    <t>Muñecas</t>
  </si>
  <si>
    <t>Chuma</t>
  </si>
  <si>
    <t>Ayata</t>
  </si>
  <si>
    <t>Aucapata</t>
  </si>
  <si>
    <t>Larecaja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</si>
  <si>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</si>
  <si>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</si>
  <si>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</si>
  <si>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</si>
  <si>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</si>
  <si>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</si>
  <si>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</si>
  <si>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</si>
  <si>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Franz Tamayo</t>
  </si>
  <si>
    <t>Apolo</t>
  </si>
  <si>
    <t>Pelechuco</t>
  </si>
  <si>
    <t>Ingavi</t>
  </si>
  <si>
    <t>Viacha</t>
  </si>
  <si>
    <t>Puerto Mayor de Guaqui</t>
  </si>
  <si>
    <t>Tiahuanacu</t>
  </si>
  <si>
    <t>Desaguadero</t>
  </si>
  <si>
    <t>La (Marka) San Andrés de Machaca</t>
  </si>
  <si>
    <t>Jesús de Machaka</t>
  </si>
  <si>
    <t>Taraco</t>
  </si>
  <si>
    <t>Loayza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</si>
  <si>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</si>
  <si>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</si>
  <si>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</si>
  <si>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</si>
  <si>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</si>
  <si>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</si>
  <si>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</si>
  <si>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</si>
  <si>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</si>
  <si>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</si>
  <si>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</si>
  <si>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Sur Yungas</t>
  </si>
  <si>
    <t>Chulumani</t>
  </si>
  <si>
    <t>Irupana</t>
  </si>
  <si>
    <t>Yanacachi</t>
  </si>
  <si>
    <t>Palos Blancos</t>
  </si>
  <si>
    <t>La Asunta</t>
  </si>
  <si>
    <t>Los Andes</t>
  </si>
  <si>
    <t>Pucarani</t>
  </si>
  <si>
    <t>Laja</t>
  </si>
  <si>
    <t>Batallas</t>
  </si>
  <si>
    <t>Puerto Pérez</t>
  </si>
  <si>
    <t>Aroma</t>
  </si>
  <si>
    <t>Sicasica</t>
  </si>
  <si>
    <t>Umala</t>
  </si>
  <si>
    <t>Ayo Ayo</t>
  </si>
  <si>
    <t>Calamarca</t>
  </si>
  <si>
    <t>Patacamaya</t>
  </si>
  <si>
    <t>Colquencha</t>
  </si>
  <si>
    <t>Collana</t>
  </si>
  <si>
    <t>Nor Yungas</t>
  </si>
  <si>
    <t>Coroico</t>
  </si>
  <si>
    <t>Coripata</t>
  </si>
  <si>
    <t>Abel Iturralde</t>
  </si>
  <si>
    <t>Ixiamas</t>
  </si>
  <si>
    <t>San Buenaventura</t>
  </si>
  <si>
    <t>Bautista Saavedra</t>
  </si>
  <si>
    <t>Charazani</t>
  </si>
  <si>
    <t>Curva</t>
  </si>
  <si>
    <t>Manco Kapac</t>
  </si>
  <si>
    <t>Copacabana</t>
  </si>
  <si>
    <t>San Pedro de Tiquina</t>
  </si>
  <si>
    <t>Tito Yupanqui</t>
  </si>
  <si>
    <t>Gualberto Villarroel</t>
  </si>
  <si>
    <t>San Pedro de Curahuara</t>
  </si>
  <si>
    <t>Papel Pampa</t>
  </si>
  <si>
    <t>Chacarilla</t>
  </si>
  <si>
    <t>General José Manuel Pando</t>
  </si>
  <si>
    <t>Santiago de Machaca</t>
  </si>
  <si>
    <t>Catacora</t>
  </si>
  <si>
    <t>Caranavi</t>
  </si>
  <si>
    <t>Alto Beni</t>
  </si>
  <si>
    <t>Cochabamba</t>
  </si>
  <si>
    <t>Cercado</t>
  </si>
  <si>
    <t>Campero</t>
  </si>
  <si>
    <t>Aiquile</t>
  </si>
  <si>
    <t>Pasorapa</t>
  </si>
  <si>
    <t>Omereque</t>
  </si>
  <si>
    <t>Ayopaya</t>
  </si>
  <si>
    <t>Morochata</t>
  </si>
  <si>
    <t>Cocapata</t>
  </si>
  <si>
    <t>Esteban Arze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</si>
  <si>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</si>
  <si>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</si>
  <si>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</si>
  <si>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</si>
  <si>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</si>
  <si>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</si>
  <si>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</si>
  <si>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</si>
  <si>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</si>
  <si>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Santiváñez</t>
  </si>
  <si>
    <t>Sicaya</t>
  </si>
  <si>
    <t>Germán Jordán</t>
  </si>
  <si>
    <t>Cliza</t>
  </si>
  <si>
    <t>Toco</t>
  </si>
  <si>
    <t>Tolata</t>
  </si>
  <si>
    <t>Quillacollo</t>
  </si>
  <si>
    <t>Sipesipe</t>
  </si>
  <si>
    <t>Tiquipaya</t>
  </si>
  <si>
    <t>Vinto</t>
  </si>
  <si>
    <t>Colcapirhua</t>
  </si>
  <si>
    <t>Chapare</t>
  </si>
  <si>
    <t>Sacaba</t>
  </si>
  <si>
    <t>Colomi</t>
  </si>
  <si>
    <t>Villa Tunari</t>
  </si>
  <si>
    <t>Tapacarí</t>
  </si>
  <si>
    <t>Carrasco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</si>
  <si>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</si>
  <si>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</si>
  <si>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</si>
  <si>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</si>
  <si>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</si>
  <si>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</si>
  <si>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</si>
  <si>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</si>
  <si>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</si>
  <si>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</si>
  <si>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</si>
  <si>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</si>
  <si>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</si>
  <si>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</si>
  <si>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Villa Gualberto Villarroel</t>
  </si>
  <si>
    <t>Bolívar</t>
  </si>
  <si>
    <t>Tiraque</t>
  </si>
  <si>
    <t>Shinahota</t>
  </si>
  <si>
    <t>Oruro</t>
  </si>
  <si>
    <t>Caracollo</t>
  </si>
  <si>
    <t>El Choro</t>
  </si>
  <si>
    <t>Paria</t>
  </si>
  <si>
    <t>Abaroa</t>
  </si>
  <si>
    <t>Challapata</t>
  </si>
  <si>
    <t>Santuario de Quillacas</t>
  </si>
  <si>
    <t>Carangas</t>
  </si>
  <si>
    <t>Corque</t>
  </si>
  <si>
    <t>Choquecota</t>
  </si>
  <si>
    <t>Sajama</t>
  </si>
  <si>
    <t>Curahuara de Carangas</t>
  </si>
  <si>
    <t>Turco</t>
  </si>
  <si>
    <t>Litoral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</si>
  <si>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</si>
  <si>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</si>
  <si>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</si>
  <si>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</si>
  <si>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</si>
  <si>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</si>
  <si>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</si>
  <si>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</si>
  <si>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Pantaleón Dalence</t>
  </si>
  <si>
    <t>Huanuni</t>
  </si>
  <si>
    <t>Machacamarca</t>
  </si>
  <si>
    <t>Ladislao Cabrera</t>
  </si>
  <si>
    <t>Salinas de Garci Mendoza (Autonomía Indígena Originario Campesina de Salinas)</t>
  </si>
  <si>
    <t>Pampa Aullagas</t>
  </si>
  <si>
    <t>Sabaya</t>
  </si>
  <si>
    <t>Coipasa</t>
  </si>
  <si>
    <t>Uru Chipaya (Nación Originaria Uru Chipaya)</t>
  </si>
  <si>
    <t>Saucarí</t>
  </si>
  <si>
    <t>Toledo</t>
  </si>
  <si>
    <t>Tomás Barrón</t>
  </si>
  <si>
    <t>Eucaliptus</t>
  </si>
  <si>
    <t>Sur Carangas</t>
  </si>
  <si>
    <t>Andamarca</t>
  </si>
  <si>
    <t>Belén de Andamarca</t>
  </si>
  <si>
    <t>San Pedro de Totora</t>
  </si>
  <si>
    <t>Sebastián Pagador</t>
  </si>
  <si>
    <t>Santiago de Huari</t>
  </si>
  <si>
    <t>Mejillones</t>
  </si>
  <si>
    <t>La Rivera</t>
  </si>
  <si>
    <t>Todos Santos</t>
  </si>
  <si>
    <t>Nor Carangas</t>
  </si>
  <si>
    <t>Santiago de Huayllamarca</t>
  </si>
  <si>
    <t>Potosí</t>
  </si>
  <si>
    <t>Tomás Frías</t>
  </si>
  <si>
    <t>Tinguipaya</t>
  </si>
  <si>
    <t>Yocalla</t>
  </si>
  <si>
    <t>Urmiri</t>
  </si>
  <si>
    <t>Rafael Bustillo</t>
  </si>
  <si>
    <t>Uncía</t>
  </si>
  <si>
    <t>Chayanta</t>
  </si>
  <si>
    <t>Llallagua</t>
  </si>
  <si>
    <t>Chuquihuta Ayllu Jucumani</t>
  </si>
  <si>
    <t>Cornelio Saavedra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</si>
  <si>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</si>
  <si>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</si>
  <si>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</si>
  <si>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</si>
  <si>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</si>
  <si>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</si>
  <si>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</si>
  <si>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</si>
  <si>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Charcas</t>
  </si>
  <si>
    <t>San Pedro</t>
  </si>
  <si>
    <t>Toro Toro</t>
  </si>
  <si>
    <t>Nor Chichas</t>
  </si>
  <si>
    <t>Cotagaita</t>
  </si>
  <si>
    <t>Vitichi</t>
  </si>
  <si>
    <t>Alonso de Ibáñez</t>
  </si>
  <si>
    <t>Sacaca</t>
  </si>
  <si>
    <t>Caripuyo</t>
  </si>
  <si>
    <t>Sur Chichas</t>
  </si>
  <si>
    <t>Tupiza</t>
  </si>
  <si>
    <t>Atocha</t>
  </si>
  <si>
    <t>Nor Lípez</t>
  </si>
  <si>
    <t>Colcha "K"</t>
  </si>
  <si>
    <t>San Pedro de Quemes</t>
  </si>
  <si>
    <t>Sur Lípez</t>
  </si>
  <si>
    <t>San Pablo</t>
  </si>
  <si>
    <t>Mojinete</t>
  </si>
  <si>
    <t>San Antonio de Esmoruco</t>
  </si>
  <si>
    <t>José María Linares</t>
  </si>
  <si>
    <t>Puna</t>
  </si>
  <si>
    <t>Caiza "D"</t>
  </si>
  <si>
    <t>Ckochas</t>
  </si>
  <si>
    <t>Antonio Quijarro</t>
  </si>
  <si>
    <t>Uyuni</t>
  </si>
  <si>
    <t>Tomave</t>
  </si>
  <si>
    <t>Porco</t>
  </si>
  <si>
    <t>TIOC-Jatun Ayllu Yura</t>
  </si>
  <si>
    <t>General Bernardino Bilbao</t>
  </si>
  <si>
    <t>Arampampa</t>
  </si>
  <si>
    <t>Acasio</t>
  </si>
  <si>
    <t>Daniel Campos</t>
  </si>
  <si>
    <t>Llica</t>
  </si>
  <si>
    <t>Tahua</t>
  </si>
  <si>
    <t>Modesto Omiste</t>
  </si>
  <si>
    <t>Villazón</t>
  </si>
  <si>
    <t>Enrique Baldivieso</t>
  </si>
  <si>
    <t>San Agustín</t>
  </si>
  <si>
    <t>Tarija</t>
  </si>
  <si>
    <t>Arce</t>
  </si>
  <si>
    <t>Padcaya</t>
  </si>
  <si>
    <t>Bermejo</t>
  </si>
  <si>
    <t>Gran Chaco</t>
  </si>
  <si>
    <t>Yacuiba</t>
  </si>
  <si>
    <t>Caraparí</t>
  </si>
  <si>
    <t>Villa Montes</t>
  </si>
  <si>
    <t>Avilez</t>
  </si>
  <si>
    <t>Uriondo</t>
  </si>
  <si>
    <t>Yunchará</t>
  </si>
  <si>
    <t>Méndez</t>
  </si>
  <si>
    <t>San Lorenzo</t>
  </si>
  <si>
    <t>El Puente</t>
  </si>
  <si>
    <t>O'Connor</t>
  </si>
  <si>
    <t>Santa Cruz</t>
  </si>
  <si>
    <t>Andrés Ibáñez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</si>
  <si>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</si>
  <si>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</si>
  <si>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</si>
  <si>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</si>
  <si>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</si>
  <si>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</si>
  <si>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</si>
  <si>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Velasco</t>
  </si>
  <si>
    <t>San Ignacio</t>
  </si>
  <si>
    <t>San Miguel</t>
  </si>
  <si>
    <t>San Rafael</t>
  </si>
  <si>
    <t>Ichilo</t>
  </si>
  <si>
    <t>Buena Vista</t>
  </si>
  <si>
    <t>San Carlos</t>
  </si>
  <si>
    <t>Yapacaní</t>
  </si>
  <si>
    <t>San Juan</t>
  </si>
  <si>
    <t>Chiquitos</t>
  </si>
  <si>
    <t>San José</t>
  </si>
  <si>
    <t>Pailón</t>
  </si>
  <si>
    <t>Roboré</t>
  </si>
  <si>
    <t>Sara</t>
  </si>
  <si>
    <t>Portachuelo</t>
  </si>
  <si>
    <t>Santa Rosa</t>
  </si>
  <si>
    <t>Colpa Bélgica</t>
  </si>
  <si>
    <t>Cordillera</t>
  </si>
  <si>
    <t>Lagunillas</t>
  </si>
  <si>
    <t>Charagua (Autonomía Guaraní Charagua Iyambae)</t>
  </si>
  <si>
    <t>Cabezas</t>
  </si>
  <si>
    <t>Cuevo</t>
  </si>
  <si>
    <t>Gutiérrez (Autonomía Indígena Kereimba Iyaambae)</t>
  </si>
  <si>
    <t>Camiri</t>
  </si>
  <si>
    <t>Boyuibe</t>
  </si>
  <si>
    <t>Valle Grande</t>
  </si>
  <si>
    <t>Vallegrande</t>
  </si>
  <si>
    <t>Trigal</t>
  </si>
  <si>
    <t>Moromoro</t>
  </si>
  <si>
    <t>Postrervalle</t>
  </si>
  <si>
    <t>Pucará</t>
  </si>
  <si>
    <t>Florida</t>
  </si>
  <si>
    <t>Samaipata</t>
  </si>
  <si>
    <t>Pampagrande</t>
  </si>
  <si>
    <t>Mairana</t>
  </si>
  <si>
    <t>Quirusillas</t>
  </si>
  <si>
    <t>Obispo Santisteban</t>
  </si>
  <si>
    <t>Montero</t>
  </si>
  <si>
    <t>General Saavedra</t>
  </si>
  <si>
    <t>Mineros</t>
  </si>
  <si>
    <t>Fernández Alonso</t>
  </si>
  <si>
    <t>Ñuflo de Chávez</t>
  </si>
  <si>
    <t>Concepción</t>
  </si>
  <si>
    <t>San Javier</t>
  </si>
  <si>
    <t>San Julián</t>
  </si>
  <si>
    <t>San Antonio de Lomerio</t>
  </si>
  <si>
    <t>San Ramón</t>
  </si>
  <si>
    <t>Cuatro Cañadas</t>
  </si>
  <si>
    <t>Ángel Sandoval</t>
  </si>
  <si>
    <t>San Matías</t>
  </si>
  <si>
    <t>Manuel María Caballero</t>
  </si>
  <si>
    <t>Comarapa</t>
  </si>
  <si>
    <t>Saipina</t>
  </si>
  <si>
    <t>Germán Busch</t>
  </si>
  <si>
    <t>Puerto Suárez</t>
  </si>
  <si>
    <t>Puerto Quijarro</t>
  </si>
  <si>
    <t>El Carmen Rivero Tórrez</t>
  </si>
  <si>
    <t>Guarayos</t>
  </si>
  <si>
    <t>Ascención de Guarayos</t>
  </si>
  <si>
    <t>Urubichá</t>
  </si>
  <si>
    <t>Beni</t>
  </si>
  <si>
    <t>Trinidad</t>
  </si>
  <si>
    <t>Vaca Diez</t>
  </si>
  <si>
    <t>Riberalta</t>
  </si>
  <si>
    <t>Guayaramerín</t>
  </si>
  <si>
    <t>General José Ballivián</t>
  </si>
  <si>
    <t>Reyes</t>
  </si>
  <si>
    <t>San Borja</t>
  </si>
  <si>
    <t>Puerto Menor de Rurrenabaque</t>
  </si>
  <si>
    <t>Yacuma</t>
  </si>
  <si>
    <t>Santa Ana</t>
  </si>
  <si>
    <t>Exaltación</t>
  </si>
  <si>
    <t>Moxos</t>
  </si>
  <si>
    <t>Marbán</t>
  </si>
  <si>
    <t>Loreto</t>
  </si>
  <si>
    <t>San Andrés</t>
  </si>
  <si>
    <t>Mamoré</t>
  </si>
  <si>
    <t>San Joaquín</t>
  </si>
  <si>
    <t>Puerto Siles</t>
  </si>
  <si>
    <t>Iténez</t>
  </si>
  <si>
    <t>Magdalena</t>
  </si>
  <si>
    <t>Baures</t>
  </si>
  <si>
    <t>Huacaraje</t>
  </si>
  <si>
    <t>Territorio Indígena Multiétnico</t>
  </si>
  <si>
    <t>TIOC-Territorio Indígena Multiétnico</t>
  </si>
  <si>
    <t>Pando</t>
  </si>
  <si>
    <t>Nicolás Suárez</t>
  </si>
  <si>
    <t>Cobija</t>
  </si>
  <si>
    <t>Porvenir</t>
  </si>
  <si>
    <t>Bolpebra</t>
  </si>
  <si>
    <t>Bella Flor</t>
  </si>
  <si>
    <t>Manuripi</t>
  </si>
  <si>
    <t>Puerto Rico</t>
  </si>
  <si>
    <t>Filadelfia</t>
  </si>
  <si>
    <t>Madre de Dios</t>
  </si>
  <si>
    <t>Puerto Gonzalo Moreno</t>
  </si>
  <si>
    <t>Sena</t>
  </si>
  <si>
    <t>Abuná</t>
  </si>
  <si>
    <t>Federico Román</t>
  </si>
  <si>
    <t>Nueva Esperanza</t>
  </si>
  <si>
    <t>Villa Nueva</t>
  </si>
  <si>
    <t>Santos Mercado</t>
  </si>
  <si>
    <t>Fuente: Instituto Nacional de Estadística</t>
  </si>
  <si>
    <t>Corresponde a población en viviendas particulares con personas presentes.</t>
  </si>
  <si>
    <t>(1) No incluye viviendas que declararon que "No cocina".</t>
  </si>
  <si>
    <t>(2) Corresponde a personas que declararon haber nacido en otro país que no sea Bolivia.</t>
  </si>
  <si>
    <t>(3) Condición de discapacidad según la metodología del Grupo de Washington, es la clasificación de personas de 5 o más años de edad con alguna dificultad permanente con categorías de respuesta "mucha" o "total dificultad" en alguno de sus cuatro dominios(ver glosario).</t>
  </si>
  <si>
    <t>(4) Corresponde a la población de 5 o más años de edad, residente habitual y que no declararon en la pregunta.</t>
  </si>
  <si>
    <t>Codigo</t>
  </si>
  <si>
    <t>Municipio</t>
  </si>
  <si>
    <t>Población en viviendas particulares, 2012</t>
  </si>
  <si>
    <t>Porcentaje de población que utiliza combustible limpio para cocinar, 2012</t>
  </si>
  <si>
    <t>Población sin energía limpia para cocinar, 2012</t>
  </si>
  <si>
    <t>Población en viviendas particulares, 2024</t>
  </si>
  <si>
    <t>Porcentaje de población que utiliza combustible limpio para cocinar, 2024</t>
  </si>
  <si>
    <t>Población sin energía limpia para cocinar, 2024</t>
  </si>
  <si>
    <t>sdg7_1_energia_limpia_cocinar_2012</t>
  </si>
  <si>
    <t>sdg7_1_energia_limpia_cocinar_2024</t>
  </si>
  <si>
    <t>sdg7_1_energia_limpia_cocinar_abs_2012</t>
  </si>
  <si>
    <t>sdg7_1_energia_limpia_cocinar_abs_2024</t>
  </si>
  <si>
    <t>id_departamento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</si>
  <si>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</si>
  <si>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</si>
  <si>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</si>
  <si>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</si>
  <si>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</si>
  <si>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</si>
  <si>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</si>
  <si>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</si>
  <si>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</si>
  <si>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</si>
  <si>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Criterio Umbral Verde</t>
  </si>
  <si>
    <t>Energía limpia para cocinar</t>
  </si>
  <si>
    <t>SDG Index Global</t>
  </si>
  <si>
    <t>PORCENTAJE DE POBLACIÓN QUE UTILIZA COMBUSTIBLE LIMPIO PARA COCINAR, 2012</t>
  </si>
  <si>
    <t>PORCENTAJE DE POBLACIÓN QUE NO UTILIZA COMBUSTIBLE LIMPIO PARA COCINAR, 2012</t>
  </si>
  <si>
    <t>PORCENTAJE DE POBLACIÓN QUE UTILIZA COMBUSTIBLE LIMPIO PARA COCINAR, 2024</t>
  </si>
  <si>
    <t>PORCENTAJE DE POBLACIÓN QUE NO UTILIZA COMBUSTIBLE LIMPIO PARA COCINAR, 2024</t>
  </si>
  <si>
    <t>Categoría</t>
  </si>
  <si>
    <t>2012 (cantidad de municipios)</t>
  </si>
  <si>
    <t>2024 (cantidad de municipios)</t>
  </si>
  <si>
    <t>Diferencia</t>
  </si>
  <si>
    <t>ODS alcanzado</t>
  </si>
  <si>
    <t>Próximo a alcanzarse</t>
  </si>
  <si>
    <t>Quedan retos importantes</t>
  </si>
  <si>
    <t>Quedan retos grandes</t>
  </si>
  <si>
    <t>sdg7_1_energia_limpia_cocinar, 2012</t>
  </si>
  <si>
    <t>Umbral 2012</t>
  </si>
  <si>
    <t>sdg7_1_energia_limpia_cocinar, 2024</t>
  </si>
  <si>
    <t>Umbral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</si>
</sst>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#,##0.0"/>
  </numFmts>
  <fonts count="19">
    <font>
      <sz val="11.0"/>
      <color theme="1"/>
      <name val="Calibri"/>
      <scheme val="minor"/>
    </font>
    <font>
      <sz val="10.0"/>
      <color theme="10"/>
      <name val="Arial"/>
    </font>
    <font>
      <b/>
      <sz val="10.0"/>
      <color rgb="FF17223D"/>
      <name val="Arial"/>
    </font>
    <font>
      <u/>
      <sz val="10.0"/>
      <color theme="10"/>
      <name val="Arial"/>
    </font>
    <font>
      <u/>
      <sz val="10.0"/>
      <color theme="10"/>
      <name val="Arial"/>
    </font>
    <font>
      <sz val="10.0"/>
      <color theme="1"/>
      <name val="Arial"/>
    </font>
    <font>
      <sz val="11.0"/>
      <color theme="1"/>
      <name val="Calibri"/>
    </font>
    <font>
      <b/>
      <sz val="10.0"/>
      <color rgb="FF000000"/>
      <name val="Arial"/>
    </font>
    <font>
      <u/>
      <sz val="10.0"/>
      <color theme="10"/>
      <name val="Arial"/>
    </font>
    <font>
      <b/>
      <sz val="10.0"/>
      <color theme="1"/>
      <name val="Arial"/>
    </font>
    <font/>
    <font>
      <sz val="9.0"/>
      <color theme="1"/>
      <name val="Arial"/>
    </font>
    <font>
      <b/>
      <sz val="9.0"/>
      <color theme="1"/>
      <name val="Arial"/>
    </font>
    <font>
      <sz val="11.0"/>
      <color theme="1"/>
      <name val="Arial"/>
    </font>
    <font>
      <sz val="8.0"/>
      <color theme="1"/>
      <name val="Arial"/>
    </font>
    <font>
      <sz val="11.0"/>
      <color rgb="FF000000"/>
      <name val="Calibri"/>
    </font>
    <font>
      <u/>
      <sz val="8.0"/>
      <color theme="10"/>
      <name val="Arial"/>
    </font>
    <font>
      <b/>
      <sz val="11.0"/>
      <color theme="1"/>
      <name val="Calibri"/>
    </font>
    <font>
      <b/>
      <sz val="9.0"/>
      <color theme="1"/>
      <name val="Play"/>
    </font>
  </fonts>
  <fills count="1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5D8CAF"/>
        <bgColor rgb="FF5D8CAF"/>
      </patternFill>
    </fill>
    <fill>
      <patternFill patternType="solid">
        <fgColor rgb="FF729CB7"/>
        <bgColor rgb="FF729CB7"/>
      </patternFill>
    </fill>
    <fill>
      <patternFill patternType="solid">
        <fgColor rgb="FF9CC2D3"/>
        <bgColor rgb="FF9CC2D3"/>
      </patternFill>
    </fill>
    <fill>
      <patternFill patternType="solid">
        <fgColor rgb="FFFFFFFF"/>
        <bgColor rgb="FFFFFFFF"/>
      </patternFill>
    </fill>
    <fill>
      <patternFill patternType="solid">
        <fgColor rgb="FFD8ECEF"/>
        <bgColor rgb="FFD8ECEF"/>
      </patternFill>
    </fill>
    <fill>
      <patternFill patternType="solid">
        <fgColor rgb="FF808080"/>
        <bgColor rgb="FF808080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rgb="FFB6D7A8"/>
        <bgColor rgb="FFB6D7A8"/>
      </patternFill>
    </fill>
  </fills>
  <borders count="1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left"/>
    </xf>
    <xf borderId="1" fillId="2" fontId="3" numFmtId="0" xfId="0" applyAlignment="1" applyBorder="1" applyFont="1">
      <alignment horizontal="left" vertical="center"/>
    </xf>
    <xf borderId="1" fillId="2" fontId="4" numFmtId="0" xfId="0" applyBorder="1" applyFont="1"/>
    <xf borderId="1" fillId="2" fontId="2" numFmtId="0" xfId="0" applyBorder="1" applyFont="1"/>
    <xf borderId="1" fillId="2" fontId="5" numFmtId="3" xfId="0" applyBorder="1" applyFont="1" applyNumberFormat="1"/>
    <xf borderId="0" fillId="0" fontId="6" numFmtId="0" xfId="0" applyFont="1"/>
    <xf borderId="0" fillId="0" fontId="7" numFmtId="0" xfId="0" applyAlignment="1" applyFont="1">
      <alignment horizontal="left"/>
    </xf>
    <xf borderId="1" fillId="2" fontId="5" numFmtId="0" xfId="0" applyAlignment="1" applyBorder="1" applyFont="1">
      <alignment horizontal="left" vertical="center"/>
    </xf>
    <xf borderId="1" fillId="2" fontId="7" numFmtId="0" xfId="0" applyAlignment="1" applyBorder="1" applyFont="1">
      <alignment horizontal="left"/>
    </xf>
    <xf borderId="1" fillId="2" fontId="5" numFmtId="0" xfId="0" applyAlignment="1" applyBorder="1" applyFont="1">
      <alignment horizontal="left"/>
    </xf>
    <xf borderId="1" fillId="2" fontId="5" numFmtId="0" xfId="0" applyBorder="1" applyFont="1"/>
    <xf borderId="0" fillId="0" fontId="8" numFmtId="0" xfId="0" applyAlignment="1" applyFont="1">
      <alignment horizontal="left" vertical="center"/>
    </xf>
    <xf borderId="0" fillId="0" fontId="6" numFmtId="164" xfId="0" applyAlignment="1" applyFont="1" applyNumberFormat="1">
      <alignment horizontal="right" vertical="center"/>
    </xf>
    <xf borderId="0" fillId="0" fontId="5" numFmtId="164" xfId="0" applyAlignment="1" applyFont="1" applyNumberFormat="1">
      <alignment horizontal="left"/>
    </xf>
    <xf borderId="0" fillId="0" fontId="6" numFmtId="3" xfId="0" applyAlignment="1" applyFont="1" applyNumberFormat="1">
      <alignment horizontal="right" vertical="center"/>
    </xf>
    <xf borderId="2" fillId="3" fontId="9" numFmtId="0" xfId="0" applyAlignment="1" applyBorder="1" applyFill="1" applyFont="1">
      <alignment horizontal="center" shrinkToFit="0" vertical="center" wrapText="1"/>
    </xf>
    <xf borderId="3" fillId="3" fontId="9" numFmtId="0" xfId="0" applyAlignment="1" applyBorder="1" applyFont="1">
      <alignment horizontal="center" shrinkToFit="0" vertical="center" wrapText="1"/>
    </xf>
    <xf borderId="4" fillId="0" fontId="10" numFmtId="0" xfId="0" applyBorder="1" applyFont="1"/>
    <xf borderId="5" fillId="3" fontId="9" numFmtId="0" xfId="0" applyAlignment="1" applyBorder="1" applyFont="1">
      <alignment horizontal="center" shrinkToFit="0" vertical="center" wrapText="1"/>
    </xf>
    <xf borderId="6" fillId="0" fontId="10" numFmtId="0" xfId="0" applyBorder="1" applyFont="1"/>
    <xf borderId="7" fillId="3" fontId="9" numFmtId="0" xfId="0" applyAlignment="1" applyBorder="1" applyFont="1">
      <alignment horizontal="center" shrinkToFit="0" vertical="center" wrapText="1"/>
    </xf>
    <xf borderId="8" fillId="0" fontId="11" numFmtId="0" xfId="0" applyBorder="1" applyFont="1"/>
    <xf borderId="8" fillId="0" fontId="11" numFmtId="0" xfId="0" applyAlignment="1" applyBorder="1" applyFont="1">
      <alignment horizontal="left" vertical="center"/>
    </xf>
    <xf borderId="2" fillId="2" fontId="11" numFmtId="1" xfId="0" applyAlignment="1" applyBorder="1" applyFont="1" applyNumberFormat="1">
      <alignment horizontal="left"/>
    </xf>
    <xf borderId="2" fillId="2" fontId="11" numFmtId="3" xfId="0" applyAlignment="1" applyBorder="1" applyFont="1" applyNumberFormat="1">
      <alignment horizontal="left"/>
    </xf>
    <xf borderId="2" fillId="4" fontId="12" numFmtId="0" xfId="0" applyAlignment="1" applyBorder="1" applyFill="1" applyFont="1">
      <alignment horizontal="right" vertical="center"/>
    </xf>
    <xf borderId="2" fillId="4" fontId="12" numFmtId="0" xfId="0" applyAlignment="1" applyBorder="1" applyFont="1">
      <alignment horizontal="left" vertical="center"/>
    </xf>
    <xf borderId="2" fillId="4" fontId="12" numFmtId="3" xfId="0" applyAlignment="1" applyBorder="1" applyFont="1" applyNumberFormat="1">
      <alignment horizontal="right" vertical="center"/>
    </xf>
    <xf borderId="2" fillId="4" fontId="12" numFmtId="165" xfId="0" applyAlignment="1" applyBorder="1" applyFont="1" applyNumberFormat="1">
      <alignment vertical="center"/>
    </xf>
    <xf borderId="9" fillId="2" fontId="12" numFmtId="0" xfId="0" applyAlignment="1" applyBorder="1" applyFont="1">
      <alignment horizontal="right" vertical="center"/>
    </xf>
    <xf borderId="9" fillId="2" fontId="12" numFmtId="0" xfId="0" applyAlignment="1" applyBorder="1" applyFont="1">
      <alignment horizontal="left" vertical="center"/>
    </xf>
    <xf borderId="9" fillId="2" fontId="12" numFmtId="3" xfId="0" applyAlignment="1" applyBorder="1" applyFont="1" applyNumberFormat="1">
      <alignment horizontal="right" vertical="center"/>
    </xf>
    <xf borderId="9" fillId="2" fontId="12" numFmtId="165" xfId="0" applyAlignment="1" applyBorder="1" applyFont="1" applyNumberFormat="1">
      <alignment vertical="center"/>
    </xf>
    <xf borderId="9" fillId="5" fontId="12" numFmtId="0" xfId="0" applyAlignment="1" applyBorder="1" applyFill="1" applyFont="1">
      <alignment horizontal="right" vertical="center"/>
    </xf>
    <xf borderId="9" fillId="5" fontId="12" numFmtId="0" xfId="0" applyAlignment="1" applyBorder="1" applyFont="1">
      <alignment horizontal="left" vertical="center"/>
    </xf>
    <xf borderId="9" fillId="5" fontId="12" numFmtId="3" xfId="0" applyAlignment="1" applyBorder="1" applyFont="1" applyNumberFormat="1">
      <alignment horizontal="right" vertical="center"/>
    </xf>
    <xf borderId="9" fillId="5" fontId="12" numFmtId="165" xfId="0" applyAlignment="1" applyBorder="1" applyFont="1" applyNumberFormat="1">
      <alignment vertical="center"/>
    </xf>
    <xf borderId="10" fillId="0" fontId="11" numFmtId="0" xfId="0" applyAlignment="1" applyBorder="1" applyFont="1">
      <alignment horizontal="right" vertical="center"/>
    </xf>
    <xf borderId="10" fillId="0" fontId="11" numFmtId="0" xfId="0" applyAlignment="1" applyBorder="1" applyFont="1">
      <alignment vertical="center"/>
    </xf>
    <xf borderId="9" fillId="6" fontId="11" numFmtId="0" xfId="0" applyAlignment="1" applyBorder="1" applyFill="1" applyFont="1">
      <alignment horizontal="left" vertical="center"/>
    </xf>
    <xf borderId="9" fillId="6" fontId="11" numFmtId="3" xfId="0" applyAlignment="1" applyBorder="1" applyFont="1" applyNumberFormat="1">
      <alignment horizontal="right" vertical="center"/>
    </xf>
    <xf borderId="9" fillId="6" fontId="11" numFmtId="165" xfId="0" applyAlignment="1" applyBorder="1" applyFont="1" applyNumberFormat="1">
      <alignment vertical="center"/>
    </xf>
    <xf borderId="9" fillId="7" fontId="11" numFmtId="0" xfId="0" applyAlignment="1" applyBorder="1" applyFill="1" applyFont="1">
      <alignment horizontal="right" vertical="center"/>
    </xf>
    <xf borderId="9" fillId="7" fontId="11" numFmtId="0" xfId="0" applyAlignment="1" applyBorder="1" applyFont="1">
      <alignment horizontal="left" vertical="center"/>
    </xf>
    <xf borderId="9" fillId="7" fontId="11" numFmtId="3" xfId="0" applyAlignment="1" applyBorder="1" applyFont="1" applyNumberFormat="1">
      <alignment horizontal="right" vertical="center"/>
    </xf>
    <xf borderId="9" fillId="7" fontId="11" numFmtId="165" xfId="0" applyAlignment="1" applyBorder="1" applyFont="1" applyNumberFormat="1">
      <alignment vertical="center"/>
    </xf>
    <xf borderId="9" fillId="2" fontId="12" numFmtId="0" xfId="0" applyAlignment="1" applyBorder="1" applyFont="1">
      <alignment vertical="center"/>
    </xf>
    <xf borderId="9" fillId="5" fontId="12" numFmtId="0" xfId="0" applyAlignment="1" applyBorder="1" applyFont="1">
      <alignment vertical="center"/>
    </xf>
    <xf borderId="9" fillId="7" fontId="11" numFmtId="1" xfId="0" applyAlignment="1" applyBorder="1" applyFont="1" applyNumberFormat="1">
      <alignment vertical="center"/>
    </xf>
    <xf borderId="9" fillId="7" fontId="11" numFmtId="1" xfId="0" applyAlignment="1" applyBorder="1" applyFont="1" applyNumberFormat="1">
      <alignment horizontal="left" vertical="center"/>
    </xf>
    <xf borderId="11" fillId="0" fontId="11" numFmtId="0" xfId="0" applyAlignment="1" applyBorder="1" applyFont="1">
      <alignment horizontal="right" vertical="center"/>
    </xf>
    <xf borderId="11" fillId="0" fontId="11" numFmtId="0" xfId="0" applyAlignment="1" applyBorder="1" applyFont="1">
      <alignment vertical="center"/>
    </xf>
    <xf borderId="12" fillId="6" fontId="11" numFmtId="0" xfId="0" applyAlignment="1" applyBorder="1" applyFont="1">
      <alignment horizontal="left" vertical="center"/>
    </xf>
    <xf borderId="12" fillId="6" fontId="11" numFmtId="3" xfId="0" applyAlignment="1" applyBorder="1" applyFont="1" applyNumberFormat="1">
      <alignment horizontal="right" vertical="center"/>
    </xf>
    <xf borderId="12" fillId="6" fontId="11" numFmtId="165" xfId="0" applyAlignment="1" applyBorder="1" applyFont="1" applyNumberFormat="1">
      <alignment vertical="center"/>
    </xf>
    <xf borderId="1" fillId="2" fontId="13" numFmtId="0" xfId="0" applyBorder="1" applyFont="1"/>
    <xf borderId="1" fillId="2" fontId="14" numFmtId="0" xfId="0" applyAlignment="1" applyBorder="1" applyFont="1">
      <alignment horizontal="left"/>
    </xf>
    <xf borderId="1" fillId="2" fontId="13" numFmtId="0" xfId="0" applyAlignment="1" applyBorder="1" applyFont="1">
      <alignment horizontal="left" vertical="center"/>
    </xf>
    <xf borderId="0" fillId="0" fontId="15" numFmtId="3" xfId="0" applyFont="1" applyNumberFormat="1"/>
    <xf borderId="0" fillId="0" fontId="15" numFmtId="2" xfId="0" applyAlignment="1" applyFont="1" applyNumberFormat="1">
      <alignment horizontal="right" vertical="center"/>
    </xf>
    <xf borderId="0" fillId="0" fontId="14" numFmtId="0" xfId="0" applyAlignment="1" applyFont="1">
      <alignment horizontal="left" vertical="top"/>
    </xf>
    <xf borderId="0" fillId="0" fontId="14" numFmtId="0" xfId="0" applyAlignment="1" applyFont="1">
      <alignment horizontal="left" shrinkToFit="0" vertical="center" wrapText="1"/>
    </xf>
    <xf borderId="0" fillId="0" fontId="6" numFmtId="3" xfId="0" applyFont="1" applyNumberFormat="1"/>
    <xf borderId="0" fillId="0" fontId="16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center"/>
    </xf>
    <xf borderId="0" fillId="0" fontId="17" numFmtId="0" xfId="0" applyFont="1"/>
    <xf borderId="7" fillId="0" fontId="17" numFmtId="0" xfId="0" applyAlignment="1" applyBorder="1" applyFont="1">
      <alignment horizontal="center" vertical="center"/>
    </xf>
    <xf borderId="7" fillId="0" fontId="17" numFmtId="0" xfId="0" applyAlignment="1" applyBorder="1" applyFont="1">
      <alignment horizontal="center" shrinkToFit="0" vertical="center" wrapText="1"/>
    </xf>
    <xf borderId="7" fillId="0" fontId="17" numFmtId="3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7" fillId="0" fontId="6" numFmtId="0" xfId="0" applyAlignment="1" applyBorder="1" applyFont="1">
      <alignment horizontal="center" vertical="center"/>
    </xf>
    <xf borderId="7" fillId="0" fontId="6" numFmtId="0" xfId="0" applyAlignment="1" applyBorder="1" applyFont="1">
      <alignment horizontal="center"/>
    </xf>
    <xf borderId="7" fillId="0" fontId="6" numFmtId="3" xfId="0" applyAlignment="1" applyBorder="1" applyFont="1" applyNumberFormat="1">
      <alignment horizontal="center"/>
    </xf>
    <xf borderId="7" fillId="0" fontId="6" numFmtId="165" xfId="0" applyAlignment="1" applyBorder="1" applyFont="1" applyNumberFormat="1">
      <alignment horizontal="center"/>
    </xf>
    <xf borderId="0" fillId="0" fontId="6" numFmtId="1" xfId="0" applyFont="1" applyNumberFormat="1"/>
    <xf borderId="8" fillId="0" fontId="6" numFmtId="0" xfId="0" applyAlignment="1" applyBorder="1" applyFont="1">
      <alignment horizontal="center"/>
    </xf>
    <xf borderId="8" fillId="0" fontId="6" numFmtId="3" xfId="0" applyAlignment="1" applyBorder="1" applyFont="1" applyNumberFormat="1">
      <alignment horizontal="center"/>
    </xf>
    <xf borderId="8" fillId="0" fontId="6" numFmtId="165" xfId="0" applyAlignment="1" applyBorder="1" applyFont="1" applyNumberFormat="1">
      <alignment horizontal="center"/>
    </xf>
    <xf borderId="7" fillId="0" fontId="6" numFmtId="3" xfId="0" applyBorder="1" applyFont="1" applyNumberFormat="1"/>
    <xf borderId="7" fillId="0" fontId="6" numFmtId="165" xfId="0" applyBorder="1" applyFont="1" applyNumberFormat="1"/>
    <xf borderId="7" fillId="0" fontId="6" numFmtId="1" xfId="0" applyAlignment="1" applyBorder="1" applyFont="1" applyNumberFormat="1">
      <alignment horizontal="center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/>
    </xf>
    <xf borderId="0" fillId="0" fontId="6" numFmtId="3" xfId="0" applyAlignment="1" applyFont="1" applyNumberFormat="1">
      <alignment horizontal="center"/>
    </xf>
    <xf borderId="7" fillId="0" fontId="17" numFmtId="0" xfId="0" applyAlignment="1" applyBorder="1" applyFont="1">
      <alignment horizontal="center" shrinkToFit="0" wrapText="1"/>
    </xf>
    <xf borderId="0" fillId="0" fontId="6" numFmtId="0" xfId="0" applyAlignment="1" applyFont="1">
      <alignment shrinkToFit="0" vertical="center" wrapText="1"/>
    </xf>
    <xf borderId="7" fillId="0" fontId="17" numFmtId="0" xfId="0" applyAlignment="1" applyBorder="1" applyFont="1">
      <alignment vertical="center"/>
    </xf>
    <xf borderId="7" fillId="0" fontId="6" numFmtId="0" xfId="0" applyAlignment="1" applyBorder="1" applyFont="1">
      <alignment vertical="center"/>
    </xf>
    <xf borderId="7" fillId="0" fontId="6" numFmtId="165" xfId="0" applyAlignment="1" applyBorder="1" applyFont="1" applyNumberFormat="1">
      <alignment vertical="center"/>
    </xf>
    <xf borderId="8" fillId="0" fontId="6" numFmtId="0" xfId="0" applyAlignment="1" applyBorder="1" applyFont="1">
      <alignment vertical="center"/>
    </xf>
    <xf borderId="8" fillId="0" fontId="6" numFmtId="165" xfId="0" applyAlignment="1" applyBorder="1" applyFont="1" applyNumberFormat="1">
      <alignment vertical="center"/>
    </xf>
    <xf borderId="7" fillId="0" fontId="6" numFmtId="0" xfId="0" applyBorder="1" applyFont="1"/>
    <xf borderId="7" fillId="8" fontId="17" numFmtId="0" xfId="0" applyAlignment="1" applyBorder="1" applyFill="1" applyFont="1">
      <alignment shrinkToFit="0" wrapText="1"/>
    </xf>
    <xf borderId="7" fillId="9" fontId="18" numFmtId="0" xfId="0" applyAlignment="1" applyBorder="1" applyFill="1" applyFont="1">
      <alignment horizontal="center" shrinkToFit="0" wrapText="1"/>
    </xf>
    <xf borderId="7" fillId="10" fontId="18" numFmtId="0" xfId="0" applyAlignment="1" applyBorder="1" applyFill="1" applyFont="1">
      <alignment horizontal="center" shrinkToFit="0" wrapText="1"/>
    </xf>
    <xf borderId="7" fillId="11" fontId="18" numFmtId="0" xfId="0" applyAlignment="1" applyBorder="1" applyFill="1" applyFont="1">
      <alignment horizontal="center" shrinkToFit="0" wrapText="1"/>
    </xf>
    <xf borderId="7" fillId="12" fontId="18" numFmtId="0" xfId="0" applyAlignment="1" applyBorder="1" applyFill="1" applyFont="1">
      <alignment horizontal="center" shrinkToFit="0" wrapText="1"/>
    </xf>
    <xf borderId="7" fillId="13" fontId="17" numFmtId="0" xfId="0" applyAlignment="1" applyBorder="1" applyFill="1" applyFont="1">
      <alignment horizontal="center" vertical="bottom"/>
    </xf>
    <xf borderId="7" fillId="0" fontId="6" numFmtId="0" xfId="0" applyAlignment="1" applyBorder="1" applyFont="1">
      <alignment horizontal="center" shrinkToFit="0" wrapText="1"/>
    </xf>
    <xf borderId="7" fillId="0" fontId="6" numFmtId="0" xfId="0" applyAlignment="1" applyBorder="1" applyFont="1">
      <alignment horizontal="center" shrinkToFit="0" vertical="bottom" wrapText="1"/>
    </xf>
    <xf borderId="7" fillId="0" fontId="17" numFmtId="0" xfId="0" applyBorder="1" applyFont="1"/>
    <xf borderId="7" fillId="0" fontId="17" numFmtId="0" xfId="0" applyAlignment="1" applyBorder="1" applyFont="1">
      <alignment horizontal="right" shrinkToFit="0" wrapText="1"/>
    </xf>
    <xf borderId="7" fillId="0" fontId="6" numFmtId="0" xfId="0" applyAlignment="1" applyBorder="1" applyFont="1">
      <alignment horizontal="right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horizontal="center" shrinkToFit="0" wrapText="1"/>
    </xf>
    <xf borderId="0" fillId="0" fontId="6" numFmtId="165" xfId="0" applyAlignment="1" applyFont="1" applyNumberFormat="1">
      <alignment horizontal="center"/>
    </xf>
    <xf borderId="0" fillId="0" fontId="6" numFmtId="1" xfId="0" applyAlignment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9CB9C"/>
          <bgColor rgb="FFF9CB9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0</xdr:row>
      <xdr:rowOff>0</xdr:rowOff>
    </xdr:from>
    <xdr:ext cx="4991100" cy="35242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7.0" ySplit="7.0" topLeftCell="H8" activePane="bottomRight" state="frozen"/>
      <selection activeCell="H1" sqref="H1" pane="topRight"/>
      <selection activeCell="A8" sqref="A8" pane="bottomLeft"/>
      <selection activeCell="H8" sqref="H8" pane="bottomRight"/>
    </sheetView>
  </sheetViews>
  <sheetFormatPr customHeight="1" defaultColWidth="14.43" defaultRowHeight="15.0"/>
  <cols>
    <col customWidth="1" min="1" max="1" width="7.0"/>
    <col customWidth="1" min="2" max="2" width="6.71"/>
    <col customWidth="1" min="3" max="3" width="14.71"/>
    <col customWidth="1" min="4" max="4" width="17.71"/>
    <col customWidth="1" min="5" max="6" width="20.71"/>
    <col customWidth="1" min="7" max="7" width="30.71"/>
    <col customWidth="1" min="8" max="11" width="24.71"/>
  </cols>
  <sheetData>
    <row r="1" ht="15.0" customHeight="1">
      <c r="A1" s="1"/>
      <c r="B1" s="2" t="s">
        <v>0</v>
      </c>
      <c r="C1" s="3"/>
      <c r="D1" s="4"/>
      <c r="E1" s="3"/>
      <c r="F1" s="3"/>
      <c r="G1" s="5"/>
      <c r="H1" s="6"/>
      <c r="I1" s="6"/>
      <c r="J1" s="6"/>
      <c r="K1" s="6"/>
    </row>
    <row r="2" ht="15.0" customHeight="1">
      <c r="A2" s="7"/>
      <c r="B2" s="8" t="s">
        <v>1</v>
      </c>
      <c r="C2" s="9"/>
      <c r="D2" s="7"/>
      <c r="E2" s="9"/>
      <c r="F2" s="9"/>
      <c r="G2" s="10"/>
      <c r="H2" s="6"/>
      <c r="I2" s="6"/>
      <c r="J2" s="6"/>
      <c r="K2" s="6"/>
    </row>
    <row r="3" ht="15.0" customHeight="1">
      <c r="A3" s="7"/>
      <c r="B3" s="11" t="s">
        <v>2</v>
      </c>
      <c r="C3" s="9"/>
      <c r="D3" s="7"/>
      <c r="E3" s="9"/>
      <c r="F3" s="9"/>
      <c r="G3" s="7"/>
      <c r="H3" s="6"/>
      <c r="I3" s="6"/>
      <c r="J3" s="6"/>
      <c r="K3" s="6"/>
    </row>
    <row r="4">
      <c r="A4" s="12"/>
      <c r="B4" s="13"/>
      <c r="C4" s="11"/>
      <c r="D4" s="11"/>
      <c r="E4" s="11"/>
      <c r="F4" s="11"/>
      <c r="G4" s="11"/>
      <c r="H4" s="14"/>
      <c r="I4" s="15"/>
      <c r="J4" s="15"/>
      <c r="K4" s="16"/>
    </row>
    <row r="5" ht="30.0" customHeight="1">
      <c r="A5" s="7"/>
      <c r="B5" s="17"/>
      <c r="C5" s="17"/>
      <c r="D5" s="17"/>
      <c r="E5" s="17"/>
      <c r="F5" s="17"/>
      <c r="G5" s="17"/>
      <c r="H5" s="18">
        <v>2012.0</v>
      </c>
      <c r="I5" s="19"/>
      <c r="J5" s="20">
        <v>2024.0</v>
      </c>
      <c r="K5" s="21"/>
    </row>
    <row r="6" ht="54.75" customHeight="1">
      <c r="A6" s="7"/>
      <c r="B6" s="17" t="s">
        <v>3</v>
      </c>
      <c r="C6" s="17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22" t="s">
        <v>9</v>
      </c>
      <c r="I6" s="22" t="s">
        <v>10</v>
      </c>
      <c r="J6" s="22" t="s">
        <v>9</v>
      </c>
      <c r="K6" s="22" t="s">
        <v>10</v>
      </c>
    </row>
    <row r="7" ht="15.0" customHeight="1">
      <c r="A7" s="7"/>
      <c r="B7" s="23"/>
      <c r="C7" s="24"/>
      <c r="D7" s="23"/>
      <c r="E7" s="24"/>
      <c r="F7" s="24"/>
      <c r="G7" s="25"/>
      <c r="H7" s="26"/>
      <c r="I7" s="26"/>
      <c r="J7" s="26"/>
      <c r="K7" s="26"/>
    </row>
    <row r="8" ht="15.0" customHeight="1">
      <c r="A8" s="7"/>
      <c r="B8" s="27">
        <v>1.0</v>
      </c>
      <c r="C8" s="28" t="s">
        <v>11</v>
      </c>
      <c r="D8" s="28"/>
      <c r="E8" s="28"/>
      <c r="F8" s="28"/>
      <c r="G8" s="28" t="s">
        <v>12</v>
      </c>
      <c r="H8" s="29">
        <v>9750629.0</v>
      </c>
      <c r="I8" s="30">
        <v>75.4705261</v>
      </c>
      <c r="J8" s="29">
        <v>1.1049568E7</v>
      </c>
      <c r="K8" s="30">
        <v>83.7582429</v>
      </c>
    </row>
    <row r="9" ht="15.0" hidden="1" customHeight="1">
      <c r="A9" s="7"/>
      <c r="B9" s="31">
        <v>2.0</v>
      </c>
      <c r="C9" s="32" t="s">
        <v>11</v>
      </c>
      <c r="D9" s="32"/>
      <c r="E9" s="32"/>
      <c r="F9" s="32"/>
      <c r="G9" s="32" t="s">
        <v>13</v>
      </c>
      <c r="H9" s="33">
        <v>6569842.0</v>
      </c>
      <c r="I9" s="34">
        <v>96.5992028</v>
      </c>
      <c r="J9" s="33">
        <v>7612780.0</v>
      </c>
      <c r="K9" s="34">
        <v>98.4272762</v>
      </c>
    </row>
    <row r="10" ht="15.0" hidden="1" customHeight="1">
      <c r="A10" s="7"/>
      <c r="B10" s="31">
        <v>3.0</v>
      </c>
      <c r="C10" s="32" t="s">
        <v>11</v>
      </c>
      <c r="D10" s="32"/>
      <c r="E10" s="32"/>
      <c r="F10" s="32"/>
      <c r="G10" s="32" t="s">
        <v>14</v>
      </c>
      <c r="H10" s="33">
        <v>3180787.0</v>
      </c>
      <c r="I10" s="34">
        <v>31.8297327</v>
      </c>
      <c r="J10" s="33">
        <v>3436788.0</v>
      </c>
      <c r="K10" s="34">
        <v>51.2650766</v>
      </c>
    </row>
    <row r="11" ht="15.0" hidden="1" customHeight="1">
      <c r="A11" s="7"/>
      <c r="B11" s="27">
        <v>4.0</v>
      </c>
      <c r="C11" s="28" t="s">
        <v>15</v>
      </c>
      <c r="D11" s="28" t="s">
        <v>16</v>
      </c>
      <c r="E11" s="28"/>
      <c r="F11" s="28"/>
      <c r="G11" s="28" t="s">
        <v>16</v>
      </c>
      <c r="H11" s="29">
        <v>562160.0</v>
      </c>
      <c r="I11" s="30">
        <v>56.8404013</v>
      </c>
      <c r="J11" s="29">
        <v>589329.0</v>
      </c>
      <c r="K11" s="30">
        <v>68.4312158</v>
      </c>
    </row>
    <row r="12" ht="15.0" hidden="1" customHeight="1">
      <c r="A12" s="7"/>
      <c r="B12" s="31">
        <v>5.0</v>
      </c>
      <c r="C12" s="32" t="s">
        <v>15</v>
      </c>
      <c r="D12" s="32" t="s">
        <v>16</v>
      </c>
      <c r="E12" s="32"/>
      <c r="F12" s="32"/>
      <c r="G12" s="32" t="s">
        <v>13</v>
      </c>
      <c r="H12" s="33">
        <v>271230.0</v>
      </c>
      <c r="I12" s="34">
        <v>97.4811046</v>
      </c>
      <c r="J12" s="33">
        <v>324620.0</v>
      </c>
      <c r="K12" s="34">
        <v>98.4184585</v>
      </c>
    </row>
    <row r="13" ht="15.0" hidden="1" customHeight="1">
      <c r="A13" s="7"/>
      <c r="B13" s="31">
        <v>6.0</v>
      </c>
      <c r="C13" s="32" t="s">
        <v>15</v>
      </c>
      <c r="D13" s="32" t="s">
        <v>16</v>
      </c>
      <c r="E13" s="32"/>
      <c r="F13" s="32"/>
      <c r="G13" s="32" t="s">
        <v>14</v>
      </c>
      <c r="H13" s="33">
        <v>290930.0</v>
      </c>
      <c r="I13" s="34">
        <v>18.9516379</v>
      </c>
      <c r="J13" s="33">
        <v>264709.0</v>
      </c>
      <c r="K13" s="34">
        <v>31.6570272</v>
      </c>
    </row>
    <row r="14" ht="15.0" hidden="1" customHeight="1">
      <c r="A14" s="7"/>
      <c r="B14" s="35">
        <v>7.0</v>
      </c>
      <c r="C14" s="36" t="s">
        <v>17</v>
      </c>
      <c r="D14" s="36" t="s">
        <v>16</v>
      </c>
      <c r="E14" s="36" t="s">
        <v>18</v>
      </c>
      <c r="F14" s="36"/>
      <c r="G14" s="36" t="s">
        <v>18</v>
      </c>
      <c r="H14" s="37">
        <v>277803.0</v>
      </c>
      <c r="I14" s="38">
        <v>85.7571732</v>
      </c>
      <c r="J14" s="37">
        <v>310516.0</v>
      </c>
      <c r="K14" s="38">
        <v>90.4075796</v>
      </c>
    </row>
    <row r="15" ht="15.0" hidden="1" customHeight="1">
      <c r="A15" s="7"/>
      <c r="B15" s="39">
        <v>8.0</v>
      </c>
      <c r="C15" s="40" t="s">
        <v>17</v>
      </c>
      <c r="D15" s="40" t="s">
        <v>16</v>
      </c>
      <c r="E15" s="40" t="s">
        <v>18</v>
      </c>
      <c r="F15" s="40"/>
      <c r="G15" s="41" t="s">
        <v>13</v>
      </c>
      <c r="H15" s="42">
        <v>230384.0</v>
      </c>
      <c r="I15" s="43">
        <v>98.7503472</v>
      </c>
      <c r="J15" s="42">
        <v>267643.0</v>
      </c>
      <c r="K15" s="43">
        <v>99.0935687</v>
      </c>
    </row>
    <row r="16" ht="15.0" hidden="1" customHeight="1">
      <c r="A16" s="7"/>
      <c r="B16" s="39">
        <v>9.0</v>
      </c>
      <c r="C16" s="40" t="s">
        <v>17</v>
      </c>
      <c r="D16" s="40" t="s">
        <v>16</v>
      </c>
      <c r="E16" s="40" t="s">
        <v>18</v>
      </c>
      <c r="F16" s="40"/>
      <c r="G16" s="41" t="s">
        <v>14</v>
      </c>
      <c r="H16" s="42">
        <v>47419.0</v>
      </c>
      <c r="I16" s="43">
        <v>22.6301693</v>
      </c>
      <c r="J16" s="42">
        <v>42873.0</v>
      </c>
      <c r="K16" s="43">
        <v>36.1836121</v>
      </c>
    </row>
    <row r="17" ht="15.0" customHeight="1">
      <c r="A17" s="7"/>
      <c r="B17" s="44">
        <v>10.0</v>
      </c>
      <c r="C17" s="45" t="s">
        <v>19</v>
      </c>
      <c r="D17" s="45" t="s">
        <v>16</v>
      </c>
      <c r="E17" s="45" t="s">
        <v>18</v>
      </c>
      <c r="F17" s="45" t="s">
        <v>20</v>
      </c>
      <c r="G17" s="45" t="s">
        <v>20</v>
      </c>
      <c r="H17" s="46">
        <v>252503.0</v>
      </c>
      <c r="I17" s="47">
        <v>92.192568</v>
      </c>
      <c r="J17" s="46">
        <v>288058.0</v>
      </c>
      <c r="K17" s="47">
        <v>94.741684</v>
      </c>
    </row>
    <row r="18" ht="15.0" hidden="1" customHeight="1">
      <c r="A18" s="7"/>
      <c r="B18" s="39">
        <v>11.0</v>
      </c>
      <c r="C18" s="40" t="s">
        <v>19</v>
      </c>
      <c r="D18" s="40" t="s">
        <v>16</v>
      </c>
      <c r="E18" s="40" t="s">
        <v>18</v>
      </c>
      <c r="F18" s="40" t="s">
        <v>20</v>
      </c>
      <c r="G18" s="41" t="s">
        <v>13</v>
      </c>
      <c r="H18" s="42">
        <v>230384.0</v>
      </c>
      <c r="I18" s="43">
        <v>98.7503472</v>
      </c>
      <c r="J18" s="42">
        <v>267643.0</v>
      </c>
      <c r="K18" s="43">
        <v>99.0935687</v>
      </c>
    </row>
    <row r="19" ht="15.0" hidden="1" customHeight="1">
      <c r="A19" s="7"/>
      <c r="B19" s="39">
        <v>12.0</v>
      </c>
      <c r="C19" s="40" t="s">
        <v>19</v>
      </c>
      <c r="D19" s="40" t="s">
        <v>16</v>
      </c>
      <c r="E19" s="40" t="s">
        <v>18</v>
      </c>
      <c r="F19" s="40" t="s">
        <v>20</v>
      </c>
      <c r="G19" s="41" t="s">
        <v>14</v>
      </c>
      <c r="H19" s="42">
        <v>22119.0</v>
      </c>
      <c r="I19" s="43">
        <v>23.8889642</v>
      </c>
      <c r="J19" s="42">
        <v>20415.0</v>
      </c>
      <c r="K19" s="43">
        <v>37.6879745</v>
      </c>
    </row>
    <row r="20" ht="15.0" customHeight="1">
      <c r="A20" s="7"/>
      <c r="B20" s="44">
        <v>13.0</v>
      </c>
      <c r="C20" s="45" t="s">
        <v>19</v>
      </c>
      <c r="D20" s="45" t="s">
        <v>16</v>
      </c>
      <c r="E20" s="45" t="s">
        <v>18</v>
      </c>
      <c r="F20" s="45" t="s">
        <v>21</v>
      </c>
      <c r="G20" s="45" t="s">
        <v>21</v>
      </c>
      <c r="H20" s="46">
        <v>9025.0</v>
      </c>
      <c r="I20" s="47">
        <v>53.3185596</v>
      </c>
      <c r="J20" s="46">
        <v>8903.0</v>
      </c>
      <c r="K20" s="47">
        <v>74.3120297</v>
      </c>
    </row>
    <row r="21" ht="15.0" hidden="1" customHeight="1">
      <c r="A21" s="7"/>
      <c r="B21" s="39">
        <v>14.0</v>
      </c>
      <c r="C21" s="40" t="s">
        <v>19</v>
      </c>
      <c r="D21" s="40" t="s">
        <v>16</v>
      </c>
      <c r="E21" s="40" t="s">
        <v>18</v>
      </c>
      <c r="F21" s="40" t="s">
        <v>21</v>
      </c>
      <c r="G21" s="41" t="s">
        <v>13</v>
      </c>
      <c r="H21" s="42"/>
      <c r="I21" s="43"/>
      <c r="J21" s="42"/>
      <c r="K21" s="43"/>
    </row>
    <row r="22" ht="15.0" hidden="1" customHeight="1">
      <c r="A22" s="7"/>
      <c r="B22" s="39">
        <v>15.0</v>
      </c>
      <c r="C22" s="40" t="s">
        <v>19</v>
      </c>
      <c r="D22" s="40" t="s">
        <v>16</v>
      </c>
      <c r="E22" s="40" t="s">
        <v>18</v>
      </c>
      <c r="F22" s="40" t="s">
        <v>21</v>
      </c>
      <c r="G22" s="41" t="s">
        <v>14</v>
      </c>
      <c r="H22" s="42">
        <v>9025.0</v>
      </c>
      <c r="I22" s="43">
        <v>53.3185596</v>
      </c>
      <c r="J22" s="42">
        <v>8903.0</v>
      </c>
      <c r="K22" s="43">
        <v>74.3120297</v>
      </c>
    </row>
    <row r="23" ht="15.0" customHeight="1">
      <c r="A23" s="7"/>
      <c r="B23" s="44">
        <v>16.0</v>
      </c>
      <c r="C23" s="45" t="s">
        <v>19</v>
      </c>
      <c r="D23" s="45" t="s">
        <v>16</v>
      </c>
      <c r="E23" s="45" t="s">
        <v>18</v>
      </c>
      <c r="F23" s="45" t="s">
        <v>22</v>
      </c>
      <c r="G23" s="45" t="s">
        <v>22</v>
      </c>
      <c r="H23" s="46">
        <v>16275.0</v>
      </c>
      <c r="I23" s="47">
        <v>3.9016897</v>
      </c>
      <c r="J23" s="46">
        <v>13555.0</v>
      </c>
      <c r="K23" s="47">
        <v>8.8749539</v>
      </c>
    </row>
    <row r="24" ht="15.0" hidden="1" customHeight="1">
      <c r="A24" s="7"/>
      <c r="B24" s="39">
        <v>17.0</v>
      </c>
      <c r="C24" s="40" t="s">
        <v>19</v>
      </c>
      <c r="D24" s="40" t="s">
        <v>16</v>
      </c>
      <c r="E24" s="40" t="s">
        <v>18</v>
      </c>
      <c r="F24" s="40" t="s">
        <v>22</v>
      </c>
      <c r="G24" s="41" t="s">
        <v>13</v>
      </c>
      <c r="H24" s="42"/>
      <c r="I24" s="43"/>
      <c r="J24" s="42"/>
      <c r="K24" s="43"/>
    </row>
    <row r="25" ht="15.0" hidden="1" customHeight="1">
      <c r="A25" s="7"/>
      <c r="B25" s="39">
        <v>18.0</v>
      </c>
      <c r="C25" s="40" t="s">
        <v>19</v>
      </c>
      <c r="D25" s="40" t="s">
        <v>16</v>
      </c>
      <c r="E25" s="40" t="s">
        <v>18</v>
      </c>
      <c r="F25" s="40" t="s">
        <v>22</v>
      </c>
      <c r="G25" s="41" t="s">
        <v>14</v>
      </c>
      <c r="H25" s="42">
        <v>16275.0</v>
      </c>
      <c r="I25" s="43">
        <v>3.9016897</v>
      </c>
      <c r="J25" s="42">
        <v>13555.0</v>
      </c>
      <c r="K25" s="43">
        <v>8.8749539</v>
      </c>
    </row>
    <row r="26" ht="15.0" hidden="1" customHeight="1">
      <c r="A26" s="7"/>
      <c r="B26" s="35">
        <v>19.0</v>
      </c>
      <c r="C26" s="36" t="s">
        <v>17</v>
      </c>
      <c r="D26" s="36" t="s">
        <v>16</v>
      </c>
      <c r="E26" s="36" t="s">
        <v>23</v>
      </c>
      <c r="F26" s="36"/>
      <c r="G26" s="36" t="s">
        <v>23</v>
      </c>
      <c r="H26" s="37">
        <v>24398.0</v>
      </c>
      <c r="I26" s="38">
        <v>11.6689893</v>
      </c>
      <c r="J26" s="37">
        <v>24479.0</v>
      </c>
      <c r="K26" s="38">
        <v>27.9627436</v>
      </c>
    </row>
    <row r="27" ht="15.0" hidden="1" customHeight="1">
      <c r="A27" s="7"/>
      <c r="B27" s="39">
        <v>20.0</v>
      </c>
      <c r="C27" s="40" t="s">
        <v>17</v>
      </c>
      <c r="D27" s="40" t="s">
        <v>16</v>
      </c>
      <c r="E27" s="40" t="s">
        <v>23</v>
      </c>
      <c r="F27" s="40"/>
      <c r="G27" s="41" t="s">
        <v>13</v>
      </c>
      <c r="H27" s="42"/>
      <c r="I27" s="43"/>
      <c r="J27" s="42"/>
      <c r="K27" s="43"/>
    </row>
    <row r="28" ht="15.0" hidden="1" customHeight="1">
      <c r="A28" s="7"/>
      <c r="B28" s="39">
        <v>21.0</v>
      </c>
      <c r="C28" s="40" t="s">
        <v>17</v>
      </c>
      <c r="D28" s="40" t="s">
        <v>16</v>
      </c>
      <c r="E28" s="40" t="s">
        <v>23</v>
      </c>
      <c r="F28" s="40"/>
      <c r="G28" s="41" t="s">
        <v>14</v>
      </c>
      <c r="H28" s="42">
        <v>24398.0</v>
      </c>
      <c r="I28" s="43">
        <v>11.6689893</v>
      </c>
      <c r="J28" s="42">
        <v>24479.0</v>
      </c>
      <c r="K28" s="43">
        <v>27.9627436</v>
      </c>
    </row>
    <row r="29" ht="15.0" customHeight="1">
      <c r="A29" s="7"/>
      <c r="B29" s="44">
        <v>22.0</v>
      </c>
      <c r="C29" s="45" t="s">
        <v>19</v>
      </c>
      <c r="D29" s="45" t="s">
        <v>16</v>
      </c>
      <c r="E29" s="45" t="s">
        <v>23</v>
      </c>
      <c r="F29" s="45" t="s">
        <v>23</v>
      </c>
      <c r="G29" s="45" t="s">
        <v>23</v>
      </c>
      <c r="H29" s="46">
        <v>10335.0</v>
      </c>
      <c r="I29" s="47">
        <v>10.3338171</v>
      </c>
      <c r="J29" s="46">
        <v>7808.0</v>
      </c>
      <c r="K29" s="47">
        <v>19.8514344</v>
      </c>
    </row>
    <row r="30" ht="15.0" hidden="1" customHeight="1">
      <c r="A30" s="7"/>
      <c r="B30" s="39">
        <v>23.0</v>
      </c>
      <c r="C30" s="40" t="s">
        <v>19</v>
      </c>
      <c r="D30" s="40" t="s">
        <v>16</v>
      </c>
      <c r="E30" s="40" t="s">
        <v>23</v>
      </c>
      <c r="F30" s="40" t="s">
        <v>23</v>
      </c>
      <c r="G30" s="41" t="s">
        <v>13</v>
      </c>
      <c r="H30" s="42"/>
      <c r="I30" s="43"/>
      <c r="J30" s="42"/>
      <c r="K30" s="43"/>
    </row>
    <row r="31" ht="15.0" hidden="1" customHeight="1">
      <c r="A31" s="7"/>
      <c r="B31" s="39">
        <v>24.0</v>
      </c>
      <c r="C31" s="40" t="s">
        <v>19</v>
      </c>
      <c r="D31" s="40" t="s">
        <v>16</v>
      </c>
      <c r="E31" s="40" t="s">
        <v>23</v>
      </c>
      <c r="F31" s="40" t="s">
        <v>23</v>
      </c>
      <c r="G31" s="41" t="s">
        <v>14</v>
      </c>
      <c r="H31" s="42">
        <v>10335.0</v>
      </c>
      <c r="I31" s="43">
        <v>10.3338171</v>
      </c>
      <c r="J31" s="42">
        <v>7808.0</v>
      </c>
      <c r="K31" s="43">
        <v>19.8514344</v>
      </c>
    </row>
    <row r="32" ht="15.0" customHeight="1">
      <c r="A32" s="7"/>
      <c r="B32" s="44">
        <v>25.0</v>
      </c>
      <c r="C32" s="45" t="s">
        <v>19</v>
      </c>
      <c r="D32" s="45" t="s">
        <v>16</v>
      </c>
      <c r="E32" s="45" t="s">
        <v>23</v>
      </c>
      <c r="F32" s="45" t="s">
        <v>24</v>
      </c>
      <c r="G32" s="45" t="s">
        <v>24</v>
      </c>
      <c r="H32" s="46">
        <v>14063.0</v>
      </c>
      <c r="I32" s="47">
        <v>12.6502169</v>
      </c>
      <c r="J32" s="46">
        <v>16671.0</v>
      </c>
      <c r="K32" s="47">
        <v>31.7617419</v>
      </c>
    </row>
    <row r="33" ht="15.0" hidden="1" customHeight="1">
      <c r="A33" s="7"/>
      <c r="B33" s="39">
        <v>26.0</v>
      </c>
      <c r="C33" s="40" t="s">
        <v>19</v>
      </c>
      <c r="D33" s="40" t="s">
        <v>16</v>
      </c>
      <c r="E33" s="40" t="s">
        <v>23</v>
      </c>
      <c r="F33" s="40" t="s">
        <v>24</v>
      </c>
      <c r="G33" s="41" t="s">
        <v>13</v>
      </c>
      <c r="H33" s="42"/>
      <c r="I33" s="43"/>
      <c r="J33" s="42"/>
      <c r="K33" s="43"/>
    </row>
    <row r="34" ht="15.0" hidden="1" customHeight="1">
      <c r="A34" s="7"/>
      <c r="B34" s="39">
        <v>27.0</v>
      </c>
      <c r="C34" s="40" t="s">
        <v>19</v>
      </c>
      <c r="D34" s="40" t="s">
        <v>16</v>
      </c>
      <c r="E34" s="40" t="s">
        <v>23</v>
      </c>
      <c r="F34" s="40" t="s">
        <v>24</v>
      </c>
      <c r="G34" s="41" t="s">
        <v>14</v>
      </c>
      <c r="H34" s="42">
        <v>14063.0</v>
      </c>
      <c r="I34" s="43">
        <v>12.6502169</v>
      </c>
      <c r="J34" s="42">
        <v>16671.0</v>
      </c>
      <c r="K34" s="43">
        <v>31.7617419</v>
      </c>
    </row>
    <row r="35" ht="15.0" hidden="1" customHeight="1">
      <c r="A35" s="7"/>
      <c r="B35" s="35">
        <v>28.0</v>
      </c>
      <c r="C35" s="36" t="s">
        <v>17</v>
      </c>
      <c r="D35" s="36" t="s">
        <v>16</v>
      </c>
      <c r="E35" s="36" t="s">
        <v>25</v>
      </c>
      <c r="F35" s="36"/>
      <c r="G35" s="36" t="s">
        <v>25</v>
      </c>
      <c r="H35" s="37">
        <v>38187.0</v>
      </c>
      <c r="I35" s="38">
        <v>24.4323985</v>
      </c>
      <c r="J35" s="37">
        <v>43922.0</v>
      </c>
      <c r="K35" s="38">
        <v>35.8453622</v>
      </c>
    </row>
    <row r="36" ht="15.0" hidden="1" customHeight="1">
      <c r="A36" s="7"/>
      <c r="B36" s="39">
        <v>29.0</v>
      </c>
      <c r="C36" s="40" t="s">
        <v>17</v>
      </c>
      <c r="D36" s="40" t="s">
        <v>16</v>
      </c>
      <c r="E36" s="40" t="s">
        <v>25</v>
      </c>
      <c r="F36" s="40"/>
      <c r="G36" s="41" t="s">
        <v>13</v>
      </c>
      <c r="H36" s="42">
        <v>6225.0</v>
      </c>
      <c r="I36" s="43">
        <v>77.7831325</v>
      </c>
      <c r="J36" s="42">
        <v>9483.0</v>
      </c>
      <c r="K36" s="43">
        <v>93.0190868</v>
      </c>
    </row>
    <row r="37" ht="15.0" hidden="1" customHeight="1">
      <c r="A37" s="7"/>
      <c r="B37" s="39">
        <v>30.0</v>
      </c>
      <c r="C37" s="40" t="s">
        <v>17</v>
      </c>
      <c r="D37" s="40" t="s">
        <v>16</v>
      </c>
      <c r="E37" s="40" t="s">
        <v>25</v>
      </c>
      <c r="F37" s="40"/>
      <c r="G37" s="41" t="s">
        <v>14</v>
      </c>
      <c r="H37" s="42">
        <v>31962.0</v>
      </c>
      <c r="I37" s="43">
        <v>14.0416745</v>
      </c>
      <c r="J37" s="42">
        <v>34439.0</v>
      </c>
      <c r="K37" s="43">
        <v>20.1022097</v>
      </c>
    </row>
    <row r="38" ht="15.0" customHeight="1">
      <c r="A38" s="7"/>
      <c r="B38" s="44">
        <v>31.0</v>
      </c>
      <c r="C38" s="45" t="s">
        <v>19</v>
      </c>
      <c r="D38" s="45" t="s">
        <v>16</v>
      </c>
      <c r="E38" s="45" t="s">
        <v>25</v>
      </c>
      <c r="F38" s="45" t="s">
        <v>25</v>
      </c>
      <c r="G38" s="45" t="s">
        <v>25</v>
      </c>
      <c r="H38" s="46">
        <v>10894.0</v>
      </c>
      <c r="I38" s="47">
        <v>32.2746466</v>
      </c>
      <c r="J38" s="46">
        <v>13446.0</v>
      </c>
      <c r="K38" s="47">
        <v>36.5015618</v>
      </c>
    </row>
    <row r="39" ht="15.0" hidden="1" customHeight="1">
      <c r="A39" s="7"/>
      <c r="B39" s="39">
        <v>32.0</v>
      </c>
      <c r="C39" s="40" t="s">
        <v>19</v>
      </c>
      <c r="D39" s="40" t="s">
        <v>16</v>
      </c>
      <c r="E39" s="40" t="s">
        <v>25</v>
      </c>
      <c r="F39" s="40" t="s">
        <v>25</v>
      </c>
      <c r="G39" s="41" t="s">
        <v>13</v>
      </c>
      <c r="H39" s="42">
        <v>3772.0</v>
      </c>
      <c r="I39" s="43">
        <v>83.6426299</v>
      </c>
      <c r="J39" s="42">
        <v>4604.0</v>
      </c>
      <c r="K39" s="43">
        <v>92.85404</v>
      </c>
    </row>
    <row r="40" ht="15.0" hidden="1" customHeight="1">
      <c r="A40" s="7"/>
      <c r="B40" s="39">
        <v>33.0</v>
      </c>
      <c r="C40" s="40" t="s">
        <v>19</v>
      </c>
      <c r="D40" s="40" t="s">
        <v>16</v>
      </c>
      <c r="E40" s="40" t="s">
        <v>25</v>
      </c>
      <c r="F40" s="40" t="s">
        <v>25</v>
      </c>
      <c r="G40" s="41" t="s">
        <v>14</v>
      </c>
      <c r="H40" s="42">
        <v>7122.0</v>
      </c>
      <c r="I40" s="43">
        <v>5.0688009</v>
      </c>
      <c r="J40" s="42">
        <v>8842.0</v>
      </c>
      <c r="K40" s="43">
        <v>7.1590138</v>
      </c>
    </row>
    <row r="41" ht="15.0" customHeight="1">
      <c r="A41" s="7"/>
      <c r="B41" s="44">
        <v>34.0</v>
      </c>
      <c r="C41" s="45" t="s">
        <v>19</v>
      </c>
      <c r="D41" s="45" t="s">
        <v>16</v>
      </c>
      <c r="E41" s="45" t="s">
        <v>25</v>
      </c>
      <c r="F41" s="45" t="s">
        <v>26</v>
      </c>
      <c r="G41" s="45" t="s">
        <v>26</v>
      </c>
      <c r="H41" s="46">
        <v>11791.0</v>
      </c>
      <c r="I41" s="47">
        <v>18.6074124</v>
      </c>
      <c r="J41" s="46">
        <v>12443.0</v>
      </c>
      <c r="K41" s="47">
        <v>31.8572691</v>
      </c>
    </row>
    <row r="42" ht="15.0" hidden="1" customHeight="1">
      <c r="A42" s="7"/>
      <c r="B42" s="39">
        <v>35.0</v>
      </c>
      <c r="C42" s="40" t="s">
        <v>19</v>
      </c>
      <c r="D42" s="40" t="s">
        <v>16</v>
      </c>
      <c r="E42" s="40" t="s">
        <v>25</v>
      </c>
      <c r="F42" s="40" t="s">
        <v>26</v>
      </c>
      <c r="G42" s="41" t="s">
        <v>13</v>
      </c>
      <c r="H42" s="42">
        <v>2453.0</v>
      </c>
      <c r="I42" s="43">
        <v>68.7729311</v>
      </c>
      <c r="J42" s="42">
        <v>2191.0</v>
      </c>
      <c r="K42" s="43">
        <v>88.224555</v>
      </c>
    </row>
    <row r="43" ht="15.0" hidden="1" customHeight="1">
      <c r="A43" s="7"/>
      <c r="B43" s="39">
        <v>36.0</v>
      </c>
      <c r="C43" s="40" t="s">
        <v>19</v>
      </c>
      <c r="D43" s="40" t="s">
        <v>16</v>
      </c>
      <c r="E43" s="40" t="s">
        <v>25</v>
      </c>
      <c r="F43" s="40" t="s">
        <v>26</v>
      </c>
      <c r="G43" s="41" t="s">
        <v>14</v>
      </c>
      <c r="H43" s="42">
        <v>9338.0</v>
      </c>
      <c r="I43" s="43">
        <v>5.4294281</v>
      </c>
      <c r="J43" s="42">
        <v>10252.0</v>
      </c>
      <c r="K43" s="43">
        <v>19.8107686</v>
      </c>
    </row>
    <row r="44" ht="15.0" customHeight="1">
      <c r="A44" s="7"/>
      <c r="B44" s="44">
        <v>37.0</v>
      </c>
      <c r="C44" s="45" t="s">
        <v>19</v>
      </c>
      <c r="D44" s="45" t="s">
        <v>16</v>
      </c>
      <c r="E44" s="45" t="s">
        <v>25</v>
      </c>
      <c r="F44" s="45" t="s">
        <v>27</v>
      </c>
      <c r="G44" s="45" t="s">
        <v>27</v>
      </c>
      <c r="H44" s="46">
        <v>7922.0</v>
      </c>
      <c r="I44" s="47">
        <v>31.305226</v>
      </c>
      <c r="J44" s="46">
        <v>8995.0</v>
      </c>
      <c r="K44" s="47">
        <v>49.9610895</v>
      </c>
    </row>
    <row r="45" ht="15.0" hidden="1" customHeight="1">
      <c r="A45" s="7"/>
      <c r="B45" s="39">
        <v>38.0</v>
      </c>
      <c r="C45" s="40" t="s">
        <v>19</v>
      </c>
      <c r="D45" s="40" t="s">
        <v>16</v>
      </c>
      <c r="E45" s="40" t="s">
        <v>25</v>
      </c>
      <c r="F45" s="40" t="s">
        <v>27</v>
      </c>
      <c r="G45" s="41" t="s">
        <v>13</v>
      </c>
      <c r="H45" s="42"/>
      <c r="I45" s="43"/>
      <c r="J45" s="42">
        <v>2688.0</v>
      </c>
      <c r="K45" s="43">
        <v>97.2098214</v>
      </c>
    </row>
    <row r="46" ht="15.0" hidden="1" customHeight="1">
      <c r="A46" s="7"/>
      <c r="B46" s="39">
        <v>39.0</v>
      </c>
      <c r="C46" s="40" t="s">
        <v>19</v>
      </c>
      <c r="D46" s="40" t="s">
        <v>16</v>
      </c>
      <c r="E46" s="40" t="s">
        <v>25</v>
      </c>
      <c r="F46" s="40" t="s">
        <v>27</v>
      </c>
      <c r="G46" s="41" t="s">
        <v>14</v>
      </c>
      <c r="H46" s="42">
        <v>7922.0</v>
      </c>
      <c r="I46" s="43">
        <v>31.305226</v>
      </c>
      <c r="J46" s="42">
        <v>6307.0</v>
      </c>
      <c r="K46" s="43">
        <v>29.8240051</v>
      </c>
    </row>
    <row r="47" ht="15.0" customHeight="1">
      <c r="A47" s="7"/>
      <c r="B47" s="44">
        <v>40.0</v>
      </c>
      <c r="C47" s="45" t="s">
        <v>19</v>
      </c>
      <c r="D47" s="45" t="s">
        <v>16</v>
      </c>
      <c r="E47" s="45" t="s">
        <v>25</v>
      </c>
      <c r="F47" s="45" t="s">
        <v>28</v>
      </c>
      <c r="G47" s="45" t="s">
        <v>28</v>
      </c>
      <c r="H47" s="46">
        <v>7580.0</v>
      </c>
      <c r="I47" s="47">
        <v>15.0395778</v>
      </c>
      <c r="J47" s="46">
        <v>9038.0</v>
      </c>
      <c r="K47" s="47">
        <v>26.3111308</v>
      </c>
    </row>
    <row r="48" ht="15.0" hidden="1" customHeight="1">
      <c r="A48" s="7"/>
      <c r="B48" s="39">
        <v>41.0</v>
      </c>
      <c r="C48" s="40" t="s">
        <v>19</v>
      </c>
      <c r="D48" s="40" t="s">
        <v>16</v>
      </c>
      <c r="E48" s="40" t="s">
        <v>25</v>
      </c>
      <c r="F48" s="40" t="s">
        <v>28</v>
      </c>
      <c r="G48" s="41" t="s">
        <v>13</v>
      </c>
      <c r="H48" s="42"/>
      <c r="I48" s="43"/>
      <c r="J48" s="42"/>
      <c r="K48" s="43"/>
    </row>
    <row r="49" ht="15.0" hidden="1" customHeight="1">
      <c r="A49" s="7"/>
      <c r="B49" s="39">
        <v>42.0</v>
      </c>
      <c r="C49" s="40" t="s">
        <v>19</v>
      </c>
      <c r="D49" s="40" t="s">
        <v>16</v>
      </c>
      <c r="E49" s="40" t="s">
        <v>25</v>
      </c>
      <c r="F49" s="40" t="s">
        <v>28</v>
      </c>
      <c r="G49" s="41" t="s">
        <v>14</v>
      </c>
      <c r="H49" s="42">
        <v>7580.0</v>
      </c>
      <c r="I49" s="43">
        <v>15.0395778</v>
      </c>
      <c r="J49" s="42">
        <v>9038.0</v>
      </c>
      <c r="K49" s="43">
        <v>26.3111308</v>
      </c>
    </row>
    <row r="50" ht="15.0" hidden="1" customHeight="1">
      <c r="A50" s="7"/>
      <c r="B50" s="35">
        <v>43.0</v>
      </c>
      <c r="C50" s="36" t="s">
        <v>17</v>
      </c>
      <c r="D50" s="36" t="s">
        <v>16</v>
      </c>
      <c r="E50" s="36" t="s">
        <v>29</v>
      </c>
      <c r="F50" s="36"/>
      <c r="G50" s="36" t="s">
        <v>29</v>
      </c>
      <c r="H50" s="37">
        <v>34570.0</v>
      </c>
      <c r="I50" s="38">
        <v>25.9733873</v>
      </c>
      <c r="J50" s="37">
        <v>33656.0</v>
      </c>
      <c r="K50" s="38">
        <v>36.614571</v>
      </c>
    </row>
    <row r="51" ht="15.0" hidden="1" customHeight="1">
      <c r="A51" s="7"/>
      <c r="B51" s="39">
        <v>44.0</v>
      </c>
      <c r="C51" s="40" t="s">
        <v>17</v>
      </c>
      <c r="D51" s="40" t="s">
        <v>16</v>
      </c>
      <c r="E51" s="40" t="s">
        <v>29</v>
      </c>
      <c r="F51" s="40"/>
      <c r="G51" s="41" t="s">
        <v>13</v>
      </c>
      <c r="H51" s="42">
        <v>5150.0</v>
      </c>
      <c r="I51" s="43">
        <v>84.9514563</v>
      </c>
      <c r="J51" s="42">
        <v>6030.0</v>
      </c>
      <c r="K51" s="43">
        <v>93.0348259</v>
      </c>
    </row>
    <row r="52" ht="15.0" hidden="1" customHeight="1">
      <c r="A52" s="7"/>
      <c r="B52" s="39">
        <v>45.0</v>
      </c>
      <c r="C52" s="40" t="s">
        <v>17</v>
      </c>
      <c r="D52" s="40" t="s">
        <v>16</v>
      </c>
      <c r="E52" s="40" t="s">
        <v>29</v>
      </c>
      <c r="F52" s="40"/>
      <c r="G52" s="41" t="s">
        <v>14</v>
      </c>
      <c r="H52" s="42">
        <v>29420.0</v>
      </c>
      <c r="I52" s="43">
        <v>15.6492182</v>
      </c>
      <c r="J52" s="42">
        <v>27626.0</v>
      </c>
      <c r="K52" s="43">
        <v>24.2995729</v>
      </c>
    </row>
    <row r="53" ht="15.0" customHeight="1">
      <c r="A53" s="7"/>
      <c r="B53" s="44">
        <v>46.0</v>
      </c>
      <c r="C53" s="45" t="s">
        <v>19</v>
      </c>
      <c r="D53" s="45" t="s">
        <v>16</v>
      </c>
      <c r="E53" s="45" t="s">
        <v>29</v>
      </c>
      <c r="F53" s="45" t="s">
        <v>30</v>
      </c>
      <c r="G53" s="45" t="s">
        <v>30</v>
      </c>
      <c r="H53" s="46">
        <v>10039.0</v>
      </c>
      <c r="I53" s="47">
        <v>32.8219942</v>
      </c>
      <c r="J53" s="46">
        <v>8989.0</v>
      </c>
      <c r="K53" s="47">
        <v>49.4048281</v>
      </c>
    </row>
    <row r="54" ht="15.0" hidden="1" customHeight="1">
      <c r="A54" s="7"/>
      <c r="B54" s="39">
        <v>47.0</v>
      </c>
      <c r="C54" s="40" t="s">
        <v>19</v>
      </c>
      <c r="D54" s="40" t="s">
        <v>16</v>
      </c>
      <c r="E54" s="40" t="s">
        <v>29</v>
      </c>
      <c r="F54" s="40" t="s">
        <v>30</v>
      </c>
      <c r="G54" s="41" t="s">
        <v>13</v>
      </c>
      <c r="H54" s="42">
        <v>3133.0</v>
      </c>
      <c r="I54" s="43">
        <v>92.275774</v>
      </c>
      <c r="J54" s="42">
        <v>4059.0</v>
      </c>
      <c r="K54" s="43">
        <v>96.0581424</v>
      </c>
    </row>
    <row r="55" ht="15.0" hidden="1" customHeight="1">
      <c r="A55" s="7"/>
      <c r="B55" s="39">
        <v>48.0</v>
      </c>
      <c r="C55" s="40" t="s">
        <v>19</v>
      </c>
      <c r="D55" s="40" t="s">
        <v>16</v>
      </c>
      <c r="E55" s="40" t="s">
        <v>29</v>
      </c>
      <c r="F55" s="40" t="s">
        <v>30</v>
      </c>
      <c r="G55" s="41" t="s">
        <v>14</v>
      </c>
      <c r="H55" s="42">
        <v>6906.0</v>
      </c>
      <c r="I55" s="43">
        <v>5.8499855</v>
      </c>
      <c r="J55" s="42">
        <v>4930.0</v>
      </c>
      <c r="K55" s="43">
        <v>10.9939148</v>
      </c>
    </row>
    <row r="56" ht="15.0" customHeight="1">
      <c r="A56" s="7"/>
      <c r="B56" s="44">
        <v>49.0</v>
      </c>
      <c r="C56" s="45" t="s">
        <v>19</v>
      </c>
      <c r="D56" s="45" t="s">
        <v>16</v>
      </c>
      <c r="E56" s="45" t="s">
        <v>29</v>
      </c>
      <c r="F56" s="45" t="s">
        <v>29</v>
      </c>
      <c r="G56" s="45" t="s">
        <v>29</v>
      </c>
      <c r="H56" s="46">
        <v>8273.0</v>
      </c>
      <c r="I56" s="47">
        <v>20.9718361</v>
      </c>
      <c r="J56" s="46">
        <v>8428.0</v>
      </c>
      <c r="K56" s="47">
        <v>33.0683436</v>
      </c>
    </row>
    <row r="57" ht="15.0" hidden="1" customHeight="1">
      <c r="A57" s="7"/>
      <c r="B57" s="39">
        <v>50.0</v>
      </c>
      <c r="C57" s="40" t="s">
        <v>19</v>
      </c>
      <c r="D57" s="40" t="s">
        <v>16</v>
      </c>
      <c r="E57" s="40" t="s">
        <v>29</v>
      </c>
      <c r="F57" s="40" t="s">
        <v>29</v>
      </c>
      <c r="G57" s="41" t="s">
        <v>13</v>
      </c>
      <c r="H57" s="42"/>
      <c r="I57" s="43"/>
      <c r="J57" s="42">
        <v>1971.0</v>
      </c>
      <c r="K57" s="43">
        <v>86.8087265</v>
      </c>
    </row>
    <row r="58" ht="15.0" hidden="1" customHeight="1">
      <c r="A58" s="7"/>
      <c r="B58" s="39">
        <v>51.0</v>
      </c>
      <c r="C58" s="40" t="s">
        <v>19</v>
      </c>
      <c r="D58" s="40" t="s">
        <v>16</v>
      </c>
      <c r="E58" s="40" t="s">
        <v>29</v>
      </c>
      <c r="F58" s="40" t="s">
        <v>29</v>
      </c>
      <c r="G58" s="41" t="s">
        <v>14</v>
      </c>
      <c r="H58" s="42">
        <v>8273.0</v>
      </c>
      <c r="I58" s="43">
        <v>20.9718361</v>
      </c>
      <c r="J58" s="42">
        <v>6457.0</v>
      </c>
      <c r="K58" s="43">
        <v>16.6640855</v>
      </c>
    </row>
    <row r="59" ht="15.0" customHeight="1">
      <c r="A59" s="7"/>
      <c r="B59" s="44">
        <v>52.0</v>
      </c>
      <c r="C59" s="45" t="s">
        <v>19</v>
      </c>
      <c r="D59" s="45" t="s">
        <v>16</v>
      </c>
      <c r="E59" s="45" t="s">
        <v>29</v>
      </c>
      <c r="F59" s="45" t="s">
        <v>31</v>
      </c>
      <c r="G59" s="45" t="s">
        <v>31</v>
      </c>
      <c r="H59" s="46">
        <v>7146.0</v>
      </c>
      <c r="I59" s="47">
        <v>23.4676742</v>
      </c>
      <c r="J59" s="46">
        <v>6872.0</v>
      </c>
      <c r="K59" s="47">
        <v>31.3882421</v>
      </c>
    </row>
    <row r="60" ht="15.0" hidden="1" customHeight="1">
      <c r="A60" s="7"/>
      <c r="B60" s="39">
        <v>53.0</v>
      </c>
      <c r="C60" s="40" t="s">
        <v>19</v>
      </c>
      <c r="D60" s="40" t="s">
        <v>16</v>
      </c>
      <c r="E60" s="40" t="s">
        <v>29</v>
      </c>
      <c r="F60" s="40" t="s">
        <v>31</v>
      </c>
      <c r="G60" s="41" t="s">
        <v>13</v>
      </c>
      <c r="H60" s="42">
        <v>2017.0</v>
      </c>
      <c r="I60" s="43">
        <v>73.5746158</v>
      </c>
      <c r="J60" s="42"/>
      <c r="K60" s="43"/>
    </row>
    <row r="61" ht="15.0" hidden="1" customHeight="1">
      <c r="A61" s="7"/>
      <c r="B61" s="39">
        <v>54.0</v>
      </c>
      <c r="C61" s="40" t="s">
        <v>19</v>
      </c>
      <c r="D61" s="40" t="s">
        <v>16</v>
      </c>
      <c r="E61" s="40" t="s">
        <v>29</v>
      </c>
      <c r="F61" s="40" t="s">
        <v>31</v>
      </c>
      <c r="G61" s="41" t="s">
        <v>14</v>
      </c>
      <c r="H61" s="42">
        <v>5129.0</v>
      </c>
      <c r="I61" s="43">
        <v>3.7629167</v>
      </c>
      <c r="J61" s="42">
        <v>6872.0</v>
      </c>
      <c r="K61" s="43">
        <v>31.3882421</v>
      </c>
    </row>
    <row r="62" ht="15.0" customHeight="1">
      <c r="A62" s="7"/>
      <c r="B62" s="44">
        <v>55.0</v>
      </c>
      <c r="C62" s="45" t="s">
        <v>19</v>
      </c>
      <c r="D62" s="45" t="s">
        <v>16</v>
      </c>
      <c r="E62" s="45" t="s">
        <v>29</v>
      </c>
      <c r="F62" s="45" t="s">
        <v>32</v>
      </c>
      <c r="G62" s="45" t="s">
        <v>32</v>
      </c>
      <c r="H62" s="46">
        <v>4829.0</v>
      </c>
      <c r="I62" s="47">
        <v>30.2340029</v>
      </c>
      <c r="J62" s="46">
        <v>3743.0</v>
      </c>
      <c r="K62" s="47">
        <v>43.5212396</v>
      </c>
    </row>
    <row r="63" ht="15.0" hidden="1" customHeight="1">
      <c r="A63" s="7"/>
      <c r="B63" s="39">
        <v>56.0</v>
      </c>
      <c r="C63" s="40" t="s">
        <v>19</v>
      </c>
      <c r="D63" s="40" t="s">
        <v>16</v>
      </c>
      <c r="E63" s="40" t="s">
        <v>29</v>
      </c>
      <c r="F63" s="40" t="s">
        <v>32</v>
      </c>
      <c r="G63" s="41" t="s">
        <v>13</v>
      </c>
      <c r="H63" s="42"/>
      <c r="I63" s="43"/>
      <c r="J63" s="42"/>
      <c r="K63" s="43"/>
    </row>
    <row r="64" ht="15.0" hidden="1" customHeight="1">
      <c r="A64" s="7"/>
      <c r="B64" s="39">
        <v>57.0</v>
      </c>
      <c r="C64" s="40" t="s">
        <v>19</v>
      </c>
      <c r="D64" s="40" t="s">
        <v>16</v>
      </c>
      <c r="E64" s="40" t="s">
        <v>29</v>
      </c>
      <c r="F64" s="40" t="s">
        <v>32</v>
      </c>
      <c r="G64" s="41" t="s">
        <v>14</v>
      </c>
      <c r="H64" s="42">
        <v>4829.0</v>
      </c>
      <c r="I64" s="43">
        <v>30.2340029</v>
      </c>
      <c r="J64" s="42">
        <v>3743.0</v>
      </c>
      <c r="K64" s="43">
        <v>43.5212396</v>
      </c>
    </row>
    <row r="65" ht="15.0" customHeight="1">
      <c r="A65" s="7"/>
      <c r="B65" s="44">
        <v>58.0</v>
      </c>
      <c r="C65" s="45" t="s">
        <v>19</v>
      </c>
      <c r="D65" s="45" t="s">
        <v>16</v>
      </c>
      <c r="E65" s="45" t="s">
        <v>29</v>
      </c>
      <c r="F65" s="45" t="s">
        <v>33</v>
      </c>
      <c r="G65" s="45" t="s">
        <v>33</v>
      </c>
      <c r="H65" s="46">
        <v>4283.0</v>
      </c>
      <c r="I65" s="47">
        <v>18.9586738</v>
      </c>
      <c r="J65" s="46">
        <v>5624.0</v>
      </c>
      <c r="K65" s="47">
        <v>23.2752489</v>
      </c>
    </row>
    <row r="66" ht="15.0" hidden="1" customHeight="1">
      <c r="A66" s="7"/>
      <c r="B66" s="39">
        <v>59.0</v>
      </c>
      <c r="C66" s="40" t="s">
        <v>19</v>
      </c>
      <c r="D66" s="40" t="s">
        <v>16</v>
      </c>
      <c r="E66" s="40" t="s">
        <v>29</v>
      </c>
      <c r="F66" s="40" t="s">
        <v>33</v>
      </c>
      <c r="G66" s="41" t="s">
        <v>13</v>
      </c>
      <c r="H66" s="42"/>
      <c r="I66" s="43"/>
      <c r="J66" s="42"/>
      <c r="K66" s="43"/>
    </row>
    <row r="67" ht="15.0" hidden="1" customHeight="1">
      <c r="A67" s="7"/>
      <c r="B67" s="39">
        <v>60.0</v>
      </c>
      <c r="C67" s="40" t="s">
        <v>19</v>
      </c>
      <c r="D67" s="40" t="s">
        <v>16</v>
      </c>
      <c r="E67" s="40" t="s">
        <v>29</v>
      </c>
      <c r="F67" s="40" t="s">
        <v>33</v>
      </c>
      <c r="G67" s="41" t="s">
        <v>14</v>
      </c>
      <c r="H67" s="42">
        <v>4283.0</v>
      </c>
      <c r="I67" s="43">
        <v>18.9586738</v>
      </c>
      <c r="J67" s="42">
        <v>5624.0</v>
      </c>
      <c r="K67" s="43">
        <v>23.2752489</v>
      </c>
    </row>
    <row r="68" ht="15.0" hidden="1" customHeight="1">
      <c r="A68" s="7"/>
      <c r="B68" s="35">
        <v>61.0</v>
      </c>
      <c r="C68" s="36" t="s">
        <v>17</v>
      </c>
      <c r="D68" s="36" t="s">
        <v>16</v>
      </c>
      <c r="E68" s="36" t="s">
        <v>34</v>
      </c>
      <c r="F68" s="36"/>
      <c r="G68" s="36" t="s">
        <v>34</v>
      </c>
      <c r="H68" s="37">
        <v>31123.0</v>
      </c>
      <c r="I68" s="38">
        <v>44.9281882</v>
      </c>
      <c r="J68" s="37">
        <v>31023.0</v>
      </c>
      <c r="K68" s="38">
        <v>60.7807111</v>
      </c>
    </row>
    <row r="69" ht="15.0" hidden="1" customHeight="1">
      <c r="A69" s="7"/>
      <c r="B69" s="39">
        <v>62.0</v>
      </c>
      <c r="C69" s="40" t="s">
        <v>17</v>
      </c>
      <c r="D69" s="40" t="s">
        <v>16</v>
      </c>
      <c r="E69" s="40" t="s">
        <v>34</v>
      </c>
      <c r="F69" s="40"/>
      <c r="G69" s="41" t="s">
        <v>13</v>
      </c>
      <c r="H69" s="42">
        <v>10639.0</v>
      </c>
      <c r="I69" s="43">
        <v>95.7514804</v>
      </c>
      <c r="J69" s="42">
        <v>12612.0</v>
      </c>
      <c r="K69" s="43">
        <v>98.358706</v>
      </c>
    </row>
    <row r="70" ht="15.0" hidden="1" customHeight="1">
      <c r="A70" s="7"/>
      <c r="B70" s="39">
        <v>63.0</v>
      </c>
      <c r="C70" s="40" t="s">
        <v>17</v>
      </c>
      <c r="D70" s="40" t="s">
        <v>16</v>
      </c>
      <c r="E70" s="40" t="s">
        <v>34</v>
      </c>
      <c r="F70" s="40"/>
      <c r="G70" s="41" t="s">
        <v>14</v>
      </c>
      <c r="H70" s="42">
        <v>20484.0</v>
      </c>
      <c r="I70" s="43">
        <v>18.5315368</v>
      </c>
      <c r="J70" s="42">
        <v>18411.0</v>
      </c>
      <c r="K70" s="43">
        <v>35.0388355</v>
      </c>
    </row>
    <row r="71" ht="15.0" customHeight="1">
      <c r="A71" s="7"/>
      <c r="B71" s="44">
        <v>64.0</v>
      </c>
      <c r="C71" s="45" t="s">
        <v>19</v>
      </c>
      <c r="D71" s="45" t="s">
        <v>16</v>
      </c>
      <c r="E71" s="45" t="s">
        <v>34</v>
      </c>
      <c r="F71" s="45" t="s">
        <v>35</v>
      </c>
      <c r="G71" s="45" t="s">
        <v>35</v>
      </c>
      <c r="H71" s="46">
        <v>23158.0</v>
      </c>
      <c r="I71" s="47">
        <v>51.7877191</v>
      </c>
      <c r="J71" s="46">
        <v>24007.0</v>
      </c>
      <c r="K71" s="47">
        <v>67.5136419</v>
      </c>
    </row>
    <row r="72" ht="15.0" hidden="1" customHeight="1">
      <c r="A72" s="7"/>
      <c r="B72" s="39">
        <v>65.0</v>
      </c>
      <c r="C72" s="40" t="s">
        <v>19</v>
      </c>
      <c r="D72" s="40" t="s">
        <v>16</v>
      </c>
      <c r="E72" s="40" t="s">
        <v>34</v>
      </c>
      <c r="F72" s="40" t="s">
        <v>35</v>
      </c>
      <c r="G72" s="41" t="s">
        <v>13</v>
      </c>
      <c r="H72" s="42">
        <v>10639.0</v>
      </c>
      <c r="I72" s="43">
        <v>95.7514804</v>
      </c>
      <c r="J72" s="42">
        <v>12612.0</v>
      </c>
      <c r="K72" s="43">
        <v>98.358706</v>
      </c>
    </row>
    <row r="73" ht="15.0" hidden="1" customHeight="1">
      <c r="A73" s="7"/>
      <c r="B73" s="39">
        <v>66.0</v>
      </c>
      <c r="C73" s="40" t="s">
        <v>19</v>
      </c>
      <c r="D73" s="40" t="s">
        <v>16</v>
      </c>
      <c r="E73" s="40" t="s">
        <v>34</v>
      </c>
      <c r="F73" s="40" t="s">
        <v>35</v>
      </c>
      <c r="G73" s="41" t="s">
        <v>14</v>
      </c>
      <c r="H73" s="42">
        <v>12519.0</v>
      </c>
      <c r="I73" s="43">
        <v>14.4260724</v>
      </c>
      <c r="J73" s="42">
        <v>11395.0</v>
      </c>
      <c r="K73" s="43">
        <v>33.374287</v>
      </c>
    </row>
    <row r="74" ht="15.0" customHeight="1">
      <c r="A74" s="7"/>
      <c r="B74" s="44">
        <v>67.0</v>
      </c>
      <c r="C74" s="45" t="s">
        <v>19</v>
      </c>
      <c r="D74" s="45" t="s">
        <v>16</v>
      </c>
      <c r="E74" s="45" t="s">
        <v>34</v>
      </c>
      <c r="F74" s="45" t="s">
        <v>36</v>
      </c>
      <c r="G74" s="45" t="s">
        <v>36</v>
      </c>
      <c r="H74" s="46">
        <v>7965.0</v>
      </c>
      <c r="I74" s="47">
        <v>24.9843063</v>
      </c>
      <c r="J74" s="46">
        <v>7016.0</v>
      </c>
      <c r="K74" s="47">
        <v>37.7423033</v>
      </c>
    </row>
    <row r="75" ht="15.0" hidden="1" customHeight="1">
      <c r="A75" s="7"/>
      <c r="B75" s="39">
        <v>68.0</v>
      </c>
      <c r="C75" s="40" t="s">
        <v>19</v>
      </c>
      <c r="D75" s="40" t="s">
        <v>16</v>
      </c>
      <c r="E75" s="40" t="s">
        <v>34</v>
      </c>
      <c r="F75" s="40" t="s">
        <v>36</v>
      </c>
      <c r="G75" s="41" t="s">
        <v>13</v>
      </c>
      <c r="H75" s="42"/>
      <c r="I75" s="43"/>
      <c r="J75" s="42"/>
      <c r="K75" s="43"/>
    </row>
    <row r="76" ht="15.0" hidden="1" customHeight="1">
      <c r="A76" s="7"/>
      <c r="B76" s="39">
        <v>69.0</v>
      </c>
      <c r="C76" s="40" t="s">
        <v>19</v>
      </c>
      <c r="D76" s="40" t="s">
        <v>16</v>
      </c>
      <c r="E76" s="40" t="s">
        <v>34</v>
      </c>
      <c r="F76" s="40" t="s">
        <v>36</v>
      </c>
      <c r="G76" s="41" t="s">
        <v>14</v>
      </c>
      <c r="H76" s="42">
        <v>7965.0</v>
      </c>
      <c r="I76" s="43">
        <v>24.9843063</v>
      </c>
      <c r="J76" s="42">
        <v>7016.0</v>
      </c>
      <c r="K76" s="43">
        <v>37.7423033</v>
      </c>
    </row>
    <row r="77" ht="15.0" hidden="1" customHeight="1">
      <c r="A77" s="7"/>
      <c r="B77" s="35">
        <v>70.0</v>
      </c>
      <c r="C77" s="36" t="s">
        <v>17</v>
      </c>
      <c r="D77" s="36" t="s">
        <v>16</v>
      </c>
      <c r="E77" s="36" t="s">
        <v>37</v>
      </c>
      <c r="F77" s="36"/>
      <c r="G77" s="36" t="s">
        <v>37</v>
      </c>
      <c r="H77" s="37">
        <v>26509.0</v>
      </c>
      <c r="I77" s="38">
        <v>28.4884379</v>
      </c>
      <c r="J77" s="37">
        <v>21469.0</v>
      </c>
      <c r="K77" s="38">
        <v>48.8937538</v>
      </c>
    </row>
    <row r="78" ht="15.0" hidden="1" customHeight="1">
      <c r="A78" s="7"/>
      <c r="B78" s="39">
        <v>71.0</v>
      </c>
      <c r="C78" s="40" t="s">
        <v>17</v>
      </c>
      <c r="D78" s="40" t="s">
        <v>16</v>
      </c>
      <c r="E78" s="40" t="s">
        <v>37</v>
      </c>
      <c r="F78" s="40"/>
      <c r="G78" s="41" t="s">
        <v>13</v>
      </c>
      <c r="H78" s="42">
        <v>2839.0</v>
      </c>
      <c r="I78" s="43">
        <v>85.6639662</v>
      </c>
      <c r="J78" s="42">
        <v>2821.0</v>
      </c>
      <c r="K78" s="43">
        <v>94.292804</v>
      </c>
    </row>
    <row r="79" ht="15.0" hidden="1" customHeight="1">
      <c r="A79" s="7"/>
      <c r="B79" s="39">
        <v>72.0</v>
      </c>
      <c r="C79" s="40" t="s">
        <v>17</v>
      </c>
      <c r="D79" s="40" t="s">
        <v>16</v>
      </c>
      <c r="E79" s="40" t="s">
        <v>37</v>
      </c>
      <c r="F79" s="40"/>
      <c r="G79" s="41" t="s">
        <v>14</v>
      </c>
      <c r="H79" s="42">
        <v>23670.0</v>
      </c>
      <c r="I79" s="43">
        <v>21.6307562</v>
      </c>
      <c r="J79" s="42">
        <v>18648.0</v>
      </c>
      <c r="K79" s="43">
        <v>42.0259545</v>
      </c>
    </row>
    <row r="80" ht="15.0" customHeight="1">
      <c r="A80" s="7"/>
      <c r="B80" s="44">
        <v>73.0</v>
      </c>
      <c r="C80" s="45" t="s">
        <v>19</v>
      </c>
      <c r="D80" s="45" t="s">
        <v>16</v>
      </c>
      <c r="E80" s="45" t="s">
        <v>37</v>
      </c>
      <c r="F80" s="45" t="s">
        <v>38</v>
      </c>
      <c r="G80" s="45" t="s">
        <v>38</v>
      </c>
      <c r="H80" s="46">
        <v>16671.0</v>
      </c>
      <c r="I80" s="47">
        <v>27.3888789</v>
      </c>
      <c r="J80" s="46">
        <v>13110.0</v>
      </c>
      <c r="K80" s="47">
        <v>45.5148741</v>
      </c>
    </row>
    <row r="81" ht="15.0" hidden="1" customHeight="1">
      <c r="A81" s="7"/>
      <c r="B81" s="39">
        <v>74.0</v>
      </c>
      <c r="C81" s="40" t="s">
        <v>19</v>
      </c>
      <c r="D81" s="40" t="s">
        <v>16</v>
      </c>
      <c r="E81" s="40" t="s">
        <v>37</v>
      </c>
      <c r="F81" s="40" t="s">
        <v>38</v>
      </c>
      <c r="G81" s="41" t="s">
        <v>13</v>
      </c>
      <c r="H81" s="42">
        <v>2839.0</v>
      </c>
      <c r="I81" s="43">
        <v>85.6639662</v>
      </c>
      <c r="J81" s="42">
        <v>2821.0</v>
      </c>
      <c r="K81" s="43">
        <v>94.292804</v>
      </c>
    </row>
    <row r="82" ht="15.0" hidden="1" customHeight="1">
      <c r="A82" s="7"/>
      <c r="B82" s="39">
        <v>75.0</v>
      </c>
      <c r="C82" s="40" t="s">
        <v>19</v>
      </c>
      <c r="D82" s="40" t="s">
        <v>16</v>
      </c>
      <c r="E82" s="40" t="s">
        <v>37</v>
      </c>
      <c r="F82" s="40" t="s">
        <v>38</v>
      </c>
      <c r="G82" s="41" t="s">
        <v>14</v>
      </c>
      <c r="H82" s="42">
        <v>13832.0</v>
      </c>
      <c r="I82" s="43">
        <v>15.4279931</v>
      </c>
      <c r="J82" s="42">
        <v>10289.0</v>
      </c>
      <c r="K82" s="43">
        <v>32.1411216</v>
      </c>
    </row>
    <row r="83" ht="15.0" customHeight="1">
      <c r="A83" s="7"/>
      <c r="B83" s="44">
        <v>76.0</v>
      </c>
      <c r="C83" s="45" t="s">
        <v>19</v>
      </c>
      <c r="D83" s="45" t="s">
        <v>16</v>
      </c>
      <c r="E83" s="45" t="s">
        <v>37</v>
      </c>
      <c r="F83" s="45" t="s">
        <v>37</v>
      </c>
      <c r="G83" s="45" t="s">
        <v>37</v>
      </c>
      <c r="H83" s="46">
        <v>9838.0</v>
      </c>
      <c r="I83" s="47">
        <v>30.3516975</v>
      </c>
      <c r="J83" s="46">
        <v>8359.0</v>
      </c>
      <c r="K83" s="47">
        <v>54.1930853</v>
      </c>
    </row>
    <row r="84" ht="15.0" hidden="1" customHeight="1">
      <c r="A84" s="7"/>
      <c r="B84" s="39">
        <v>77.0</v>
      </c>
      <c r="C84" s="40" t="s">
        <v>19</v>
      </c>
      <c r="D84" s="40" t="s">
        <v>16</v>
      </c>
      <c r="E84" s="40" t="s">
        <v>37</v>
      </c>
      <c r="F84" s="40" t="s">
        <v>37</v>
      </c>
      <c r="G84" s="41" t="s">
        <v>13</v>
      </c>
      <c r="H84" s="42"/>
      <c r="I84" s="43"/>
      <c r="J84" s="42"/>
      <c r="K84" s="43"/>
    </row>
    <row r="85" ht="15.0" hidden="1" customHeight="1">
      <c r="A85" s="7"/>
      <c r="B85" s="39">
        <v>78.0</v>
      </c>
      <c r="C85" s="40" t="s">
        <v>19</v>
      </c>
      <c r="D85" s="40" t="s">
        <v>16</v>
      </c>
      <c r="E85" s="40" t="s">
        <v>37</v>
      </c>
      <c r="F85" s="40" t="s">
        <v>37</v>
      </c>
      <c r="G85" s="41" t="s">
        <v>14</v>
      </c>
      <c r="H85" s="42">
        <v>9838.0</v>
      </c>
      <c r="I85" s="43">
        <v>30.3516975</v>
      </c>
      <c r="J85" s="42">
        <v>8359.0</v>
      </c>
      <c r="K85" s="43">
        <v>54.1930853</v>
      </c>
    </row>
    <row r="86" ht="15.0" hidden="1" customHeight="1">
      <c r="A86" s="7"/>
      <c r="B86" s="35">
        <v>79.0</v>
      </c>
      <c r="C86" s="36" t="s">
        <v>17</v>
      </c>
      <c r="D86" s="36" t="s">
        <v>16</v>
      </c>
      <c r="E86" s="36" t="s">
        <v>39</v>
      </c>
      <c r="F86" s="36"/>
      <c r="G86" s="36" t="s">
        <v>39</v>
      </c>
      <c r="H86" s="37">
        <v>75583.0</v>
      </c>
      <c r="I86" s="38">
        <v>29.5330961</v>
      </c>
      <c r="J86" s="37">
        <v>70846.0</v>
      </c>
      <c r="K86" s="38">
        <v>46.8382125</v>
      </c>
    </row>
    <row r="87" ht="15.0" hidden="1" customHeight="1">
      <c r="A87" s="7"/>
      <c r="B87" s="39">
        <v>80.0</v>
      </c>
      <c r="C87" s="40" t="s">
        <v>17</v>
      </c>
      <c r="D87" s="40" t="s">
        <v>16</v>
      </c>
      <c r="E87" s="40" t="s">
        <v>39</v>
      </c>
      <c r="F87" s="40"/>
      <c r="G87" s="41" t="s">
        <v>13</v>
      </c>
      <c r="H87" s="42">
        <v>7329.0</v>
      </c>
      <c r="I87" s="43">
        <v>96.0840497</v>
      </c>
      <c r="J87" s="42">
        <v>13270.0</v>
      </c>
      <c r="K87" s="43">
        <v>95.478523</v>
      </c>
    </row>
    <row r="88" ht="15.0" hidden="1" customHeight="1">
      <c r="A88" s="7"/>
      <c r="B88" s="39">
        <v>81.0</v>
      </c>
      <c r="C88" s="40" t="s">
        <v>17</v>
      </c>
      <c r="D88" s="40" t="s">
        <v>16</v>
      </c>
      <c r="E88" s="40" t="s">
        <v>39</v>
      </c>
      <c r="F88" s="40"/>
      <c r="G88" s="41" t="s">
        <v>14</v>
      </c>
      <c r="H88" s="42">
        <v>68254.0</v>
      </c>
      <c r="I88" s="43">
        <v>22.3869663</v>
      </c>
      <c r="J88" s="42">
        <v>57576.0</v>
      </c>
      <c r="K88" s="43">
        <v>35.6276921</v>
      </c>
    </row>
    <row r="89" ht="15.0" customHeight="1">
      <c r="A89" s="7"/>
      <c r="B89" s="44">
        <v>82.0</v>
      </c>
      <c r="C89" s="45" t="s">
        <v>19</v>
      </c>
      <c r="D89" s="45" t="s">
        <v>16</v>
      </c>
      <c r="E89" s="45" t="s">
        <v>39</v>
      </c>
      <c r="F89" s="45" t="s">
        <v>40</v>
      </c>
      <c r="G89" s="45" t="s">
        <v>40</v>
      </c>
      <c r="H89" s="46">
        <v>14936.0</v>
      </c>
      <c r="I89" s="47">
        <v>46.4113551</v>
      </c>
      <c r="J89" s="46">
        <v>14219.0</v>
      </c>
      <c r="K89" s="47">
        <v>60.2925663</v>
      </c>
    </row>
    <row r="90" ht="15.0" hidden="1" customHeight="1">
      <c r="A90" s="7"/>
      <c r="B90" s="39">
        <v>83.0</v>
      </c>
      <c r="C90" s="40" t="s">
        <v>19</v>
      </c>
      <c r="D90" s="40" t="s">
        <v>16</v>
      </c>
      <c r="E90" s="40" t="s">
        <v>39</v>
      </c>
      <c r="F90" s="40" t="s">
        <v>40</v>
      </c>
      <c r="G90" s="41" t="s">
        <v>13</v>
      </c>
      <c r="H90" s="42">
        <v>4891.0</v>
      </c>
      <c r="I90" s="43">
        <v>98.2621141</v>
      </c>
      <c r="J90" s="42">
        <v>5118.0</v>
      </c>
      <c r="K90" s="43">
        <v>99.0816725</v>
      </c>
    </row>
    <row r="91" ht="15.0" hidden="1" customHeight="1">
      <c r="A91" s="7"/>
      <c r="B91" s="39">
        <v>84.0</v>
      </c>
      <c r="C91" s="40" t="s">
        <v>19</v>
      </c>
      <c r="D91" s="40" t="s">
        <v>16</v>
      </c>
      <c r="E91" s="40" t="s">
        <v>39</v>
      </c>
      <c r="F91" s="40" t="s">
        <v>40</v>
      </c>
      <c r="G91" s="41" t="s">
        <v>14</v>
      </c>
      <c r="H91" s="42">
        <v>10045.0</v>
      </c>
      <c r="I91" s="43">
        <v>21.1647586</v>
      </c>
      <c r="J91" s="42">
        <v>9101.0</v>
      </c>
      <c r="K91" s="43">
        <v>38.479288</v>
      </c>
    </row>
    <row r="92" ht="15.0" customHeight="1">
      <c r="A92" s="7"/>
      <c r="B92" s="44">
        <v>85.0</v>
      </c>
      <c r="C92" s="45" t="s">
        <v>19</v>
      </c>
      <c r="D92" s="45" t="s">
        <v>16</v>
      </c>
      <c r="E92" s="45" t="s">
        <v>39</v>
      </c>
      <c r="F92" s="45" t="s">
        <v>41</v>
      </c>
      <c r="G92" s="45" t="s">
        <v>41</v>
      </c>
      <c r="H92" s="46">
        <v>32142.0</v>
      </c>
      <c r="I92" s="47">
        <v>24.463319</v>
      </c>
      <c r="J92" s="46">
        <v>26515.0</v>
      </c>
      <c r="K92" s="47">
        <v>43.8091646</v>
      </c>
    </row>
    <row r="93" ht="15.0" hidden="1" customHeight="1">
      <c r="A93" s="7"/>
      <c r="B93" s="39">
        <v>86.0</v>
      </c>
      <c r="C93" s="40" t="s">
        <v>19</v>
      </c>
      <c r="D93" s="40" t="s">
        <v>16</v>
      </c>
      <c r="E93" s="40" t="s">
        <v>39</v>
      </c>
      <c r="F93" s="40" t="s">
        <v>41</v>
      </c>
      <c r="G93" s="41" t="s">
        <v>13</v>
      </c>
      <c r="H93" s="42"/>
      <c r="I93" s="43"/>
      <c r="J93" s="42">
        <v>2802.0</v>
      </c>
      <c r="K93" s="43">
        <v>91.1491792</v>
      </c>
    </row>
    <row r="94" ht="15.0" hidden="1" customHeight="1">
      <c r="A94" s="7"/>
      <c r="B94" s="39">
        <v>87.0</v>
      </c>
      <c r="C94" s="40" t="s">
        <v>19</v>
      </c>
      <c r="D94" s="40" t="s">
        <v>16</v>
      </c>
      <c r="E94" s="40" t="s">
        <v>39</v>
      </c>
      <c r="F94" s="40" t="s">
        <v>41</v>
      </c>
      <c r="G94" s="41" t="s">
        <v>14</v>
      </c>
      <c r="H94" s="42">
        <v>32142.0</v>
      </c>
      <c r="I94" s="43">
        <v>24.463319</v>
      </c>
      <c r="J94" s="42">
        <v>23713.0</v>
      </c>
      <c r="K94" s="43">
        <v>38.2153249</v>
      </c>
    </row>
    <row r="95" ht="15.0" customHeight="1">
      <c r="A95" s="7"/>
      <c r="B95" s="44">
        <v>88.0</v>
      </c>
      <c r="C95" s="45" t="s">
        <v>19</v>
      </c>
      <c r="D95" s="45" t="s">
        <v>16</v>
      </c>
      <c r="E95" s="45" t="s">
        <v>39</v>
      </c>
      <c r="F95" s="45" t="s">
        <v>42</v>
      </c>
      <c r="G95" s="45" t="s">
        <v>42</v>
      </c>
      <c r="H95" s="46">
        <v>12849.0</v>
      </c>
      <c r="I95" s="47">
        <v>20.281734</v>
      </c>
      <c r="J95" s="46">
        <v>15967.0</v>
      </c>
      <c r="K95" s="47">
        <v>37.2205173</v>
      </c>
    </row>
    <row r="96" ht="15.0" hidden="1" customHeight="1">
      <c r="A96" s="7"/>
      <c r="B96" s="39">
        <v>89.0</v>
      </c>
      <c r="C96" s="40" t="s">
        <v>19</v>
      </c>
      <c r="D96" s="40" t="s">
        <v>16</v>
      </c>
      <c r="E96" s="40" t="s">
        <v>39</v>
      </c>
      <c r="F96" s="40" t="s">
        <v>42</v>
      </c>
      <c r="G96" s="41" t="s">
        <v>13</v>
      </c>
      <c r="H96" s="42"/>
      <c r="I96" s="43"/>
      <c r="J96" s="42">
        <v>2769.0</v>
      </c>
      <c r="K96" s="43">
        <v>90.9353557</v>
      </c>
    </row>
    <row r="97" ht="15.0" hidden="1" customHeight="1">
      <c r="A97" s="7"/>
      <c r="B97" s="39">
        <v>90.0</v>
      </c>
      <c r="C97" s="40" t="s">
        <v>19</v>
      </c>
      <c r="D97" s="40" t="s">
        <v>16</v>
      </c>
      <c r="E97" s="40" t="s">
        <v>39</v>
      </c>
      <c r="F97" s="40" t="s">
        <v>42</v>
      </c>
      <c r="G97" s="41" t="s">
        <v>14</v>
      </c>
      <c r="H97" s="42">
        <v>12849.0</v>
      </c>
      <c r="I97" s="43">
        <v>20.281734</v>
      </c>
      <c r="J97" s="42">
        <v>13198.0</v>
      </c>
      <c r="K97" s="43">
        <v>25.9509017</v>
      </c>
    </row>
    <row r="98" ht="15.0" customHeight="1">
      <c r="A98" s="7"/>
      <c r="B98" s="44">
        <v>91.0</v>
      </c>
      <c r="C98" s="45" t="s">
        <v>19</v>
      </c>
      <c r="D98" s="45" t="s">
        <v>16</v>
      </c>
      <c r="E98" s="45" t="s">
        <v>39</v>
      </c>
      <c r="F98" s="45" t="s">
        <v>43</v>
      </c>
      <c r="G98" s="45" t="s">
        <v>43</v>
      </c>
      <c r="H98" s="46">
        <v>15656.0</v>
      </c>
      <c r="I98" s="47">
        <v>31.4320388</v>
      </c>
      <c r="J98" s="46">
        <v>14145.0</v>
      </c>
      <c r="K98" s="47">
        <v>49.8480028</v>
      </c>
    </row>
    <row r="99" ht="15.0" hidden="1" customHeight="1">
      <c r="A99" s="7"/>
      <c r="B99" s="39">
        <v>92.0</v>
      </c>
      <c r="C99" s="40" t="s">
        <v>19</v>
      </c>
      <c r="D99" s="40" t="s">
        <v>16</v>
      </c>
      <c r="E99" s="40" t="s">
        <v>39</v>
      </c>
      <c r="F99" s="40" t="s">
        <v>43</v>
      </c>
      <c r="G99" s="41" t="s">
        <v>13</v>
      </c>
      <c r="H99" s="42">
        <v>2438.0</v>
      </c>
      <c r="I99" s="43">
        <v>91.7145201</v>
      </c>
      <c r="J99" s="42">
        <v>2581.0</v>
      </c>
      <c r="K99" s="43">
        <v>97.9077877</v>
      </c>
    </row>
    <row r="100" ht="15.0" hidden="1" customHeight="1">
      <c r="A100" s="7"/>
      <c r="B100" s="39">
        <v>93.0</v>
      </c>
      <c r="C100" s="40" t="s">
        <v>19</v>
      </c>
      <c r="D100" s="40" t="s">
        <v>16</v>
      </c>
      <c r="E100" s="40" t="s">
        <v>39</v>
      </c>
      <c r="F100" s="40" t="s">
        <v>43</v>
      </c>
      <c r="G100" s="41" t="s">
        <v>14</v>
      </c>
      <c r="H100" s="42">
        <v>13218.0</v>
      </c>
      <c r="I100" s="43">
        <v>20.3132093</v>
      </c>
      <c r="J100" s="42">
        <v>11564.0</v>
      </c>
      <c r="K100" s="43">
        <v>39.1214113</v>
      </c>
    </row>
    <row r="101" ht="15.0" hidden="1" customHeight="1">
      <c r="A101" s="7"/>
      <c r="B101" s="35">
        <v>94.0</v>
      </c>
      <c r="C101" s="36" t="s">
        <v>17</v>
      </c>
      <c r="D101" s="36" t="s">
        <v>16</v>
      </c>
      <c r="E101" s="36" t="s">
        <v>44</v>
      </c>
      <c r="F101" s="36"/>
      <c r="G101" s="36" t="s">
        <v>44</v>
      </c>
      <c r="H101" s="37">
        <v>10876.0</v>
      </c>
      <c r="I101" s="38">
        <v>31.4637734</v>
      </c>
      <c r="J101" s="37">
        <v>8941.0</v>
      </c>
      <c r="K101" s="38">
        <v>44.838385</v>
      </c>
    </row>
    <row r="102" ht="15.0" hidden="1" customHeight="1">
      <c r="A102" s="7"/>
      <c r="B102" s="39">
        <v>95.0</v>
      </c>
      <c r="C102" s="40" t="s">
        <v>17</v>
      </c>
      <c r="D102" s="40" t="s">
        <v>16</v>
      </c>
      <c r="E102" s="40" t="s">
        <v>44</v>
      </c>
      <c r="F102" s="40"/>
      <c r="G102" s="41" t="s">
        <v>13</v>
      </c>
      <c r="H102" s="42">
        <v>3127.0</v>
      </c>
      <c r="I102" s="43">
        <v>90.1503038</v>
      </c>
      <c r="J102" s="42">
        <v>3333.0</v>
      </c>
      <c r="K102" s="43">
        <v>94.0894089</v>
      </c>
    </row>
    <row r="103" ht="15.0" hidden="1" customHeight="1">
      <c r="A103" s="7"/>
      <c r="B103" s="39">
        <v>96.0</v>
      </c>
      <c r="C103" s="40" t="s">
        <v>17</v>
      </c>
      <c r="D103" s="40" t="s">
        <v>16</v>
      </c>
      <c r="E103" s="40" t="s">
        <v>44</v>
      </c>
      <c r="F103" s="40"/>
      <c r="G103" s="41" t="s">
        <v>14</v>
      </c>
      <c r="H103" s="42">
        <v>7749.0</v>
      </c>
      <c r="I103" s="43">
        <v>7.7816492</v>
      </c>
      <c r="J103" s="42">
        <v>5608.0</v>
      </c>
      <c r="K103" s="43">
        <v>15.5670471</v>
      </c>
    </row>
    <row r="104" ht="15.0" customHeight="1">
      <c r="A104" s="7"/>
      <c r="B104" s="44">
        <v>97.0</v>
      </c>
      <c r="C104" s="45" t="s">
        <v>19</v>
      </c>
      <c r="D104" s="45" t="s">
        <v>16</v>
      </c>
      <c r="E104" s="45" t="s">
        <v>44</v>
      </c>
      <c r="F104" s="45" t="s">
        <v>45</v>
      </c>
      <c r="G104" s="45" t="s">
        <v>45</v>
      </c>
      <c r="H104" s="46">
        <v>10876.0</v>
      </c>
      <c r="I104" s="47">
        <v>31.4637734</v>
      </c>
      <c r="J104" s="46">
        <v>8941.0</v>
      </c>
      <c r="K104" s="47">
        <v>44.838385</v>
      </c>
    </row>
    <row r="105" ht="15.0" hidden="1" customHeight="1">
      <c r="A105" s="7"/>
      <c r="B105" s="39">
        <v>98.0</v>
      </c>
      <c r="C105" s="40" t="s">
        <v>19</v>
      </c>
      <c r="D105" s="40" t="s">
        <v>16</v>
      </c>
      <c r="E105" s="40" t="s">
        <v>44</v>
      </c>
      <c r="F105" s="40" t="s">
        <v>45</v>
      </c>
      <c r="G105" s="41" t="s">
        <v>13</v>
      </c>
      <c r="H105" s="42">
        <v>3127.0</v>
      </c>
      <c r="I105" s="43">
        <v>90.1503038</v>
      </c>
      <c r="J105" s="42">
        <v>3333.0</v>
      </c>
      <c r="K105" s="43">
        <v>94.0894089</v>
      </c>
    </row>
    <row r="106" ht="15.0" hidden="1" customHeight="1">
      <c r="A106" s="7"/>
      <c r="B106" s="39">
        <v>99.0</v>
      </c>
      <c r="C106" s="40" t="s">
        <v>19</v>
      </c>
      <c r="D106" s="40" t="s">
        <v>16</v>
      </c>
      <c r="E106" s="40" t="s">
        <v>44</v>
      </c>
      <c r="F106" s="40" t="s">
        <v>45</v>
      </c>
      <c r="G106" s="41" t="s">
        <v>14</v>
      </c>
      <c r="H106" s="42">
        <v>7749.0</v>
      </c>
      <c r="I106" s="43">
        <v>7.7816492</v>
      </c>
      <c r="J106" s="42">
        <v>5608.0</v>
      </c>
      <c r="K106" s="43">
        <v>15.5670471</v>
      </c>
    </row>
    <row r="107" ht="15.0" hidden="1" customHeight="1">
      <c r="A107" s="7"/>
      <c r="B107" s="35">
        <v>100.0</v>
      </c>
      <c r="C107" s="36" t="s">
        <v>17</v>
      </c>
      <c r="D107" s="36" t="s">
        <v>16</v>
      </c>
      <c r="E107" s="36" t="s">
        <v>46</v>
      </c>
      <c r="F107" s="36"/>
      <c r="G107" s="36" t="s">
        <v>46</v>
      </c>
      <c r="H107" s="37">
        <v>24795.0</v>
      </c>
      <c r="I107" s="38">
        <v>28.7517645</v>
      </c>
      <c r="J107" s="37">
        <v>24966.0</v>
      </c>
      <c r="K107" s="38">
        <v>47.7249059</v>
      </c>
    </row>
    <row r="108" ht="15.0" hidden="1" customHeight="1">
      <c r="A108" s="7"/>
      <c r="B108" s="39">
        <v>101.0</v>
      </c>
      <c r="C108" s="40" t="s">
        <v>17</v>
      </c>
      <c r="D108" s="40" t="s">
        <v>16</v>
      </c>
      <c r="E108" s="40" t="s">
        <v>46</v>
      </c>
      <c r="F108" s="40"/>
      <c r="G108" s="41" t="s">
        <v>13</v>
      </c>
      <c r="H108" s="42">
        <v>2622.0</v>
      </c>
      <c r="I108" s="43">
        <v>93.668955</v>
      </c>
      <c r="J108" s="42">
        <v>5615.0</v>
      </c>
      <c r="K108" s="43">
        <v>93.1967943</v>
      </c>
    </row>
    <row r="109" ht="15.0" hidden="1" customHeight="1">
      <c r="A109" s="7"/>
      <c r="B109" s="39">
        <v>102.0</v>
      </c>
      <c r="C109" s="40" t="s">
        <v>17</v>
      </c>
      <c r="D109" s="40" t="s">
        <v>16</v>
      </c>
      <c r="E109" s="40" t="s">
        <v>46</v>
      </c>
      <c r="F109" s="40"/>
      <c r="G109" s="41" t="s">
        <v>14</v>
      </c>
      <c r="H109" s="42">
        <v>22173.0</v>
      </c>
      <c r="I109" s="43">
        <v>21.0751815</v>
      </c>
      <c r="J109" s="42">
        <v>19351.0</v>
      </c>
      <c r="K109" s="43">
        <v>34.5305152</v>
      </c>
    </row>
    <row r="110" ht="15.0" customHeight="1">
      <c r="A110" s="7"/>
      <c r="B110" s="44">
        <v>103.0</v>
      </c>
      <c r="C110" s="45" t="s">
        <v>19</v>
      </c>
      <c r="D110" s="45" t="s">
        <v>16</v>
      </c>
      <c r="E110" s="45" t="s">
        <v>46</v>
      </c>
      <c r="F110" s="45" t="s">
        <v>47</v>
      </c>
      <c r="G110" s="45" t="s">
        <v>47</v>
      </c>
      <c r="H110" s="46">
        <v>3359.0</v>
      </c>
      <c r="I110" s="47">
        <v>27.2402501</v>
      </c>
      <c r="J110" s="46">
        <v>5260.0</v>
      </c>
      <c r="K110" s="47">
        <v>50.3041825</v>
      </c>
    </row>
    <row r="111" ht="15.0" hidden="1" customHeight="1">
      <c r="A111" s="7"/>
      <c r="B111" s="39">
        <v>104.0</v>
      </c>
      <c r="C111" s="40" t="s">
        <v>19</v>
      </c>
      <c r="D111" s="40" t="s">
        <v>16</v>
      </c>
      <c r="E111" s="40" t="s">
        <v>46</v>
      </c>
      <c r="F111" s="40" t="s">
        <v>47</v>
      </c>
      <c r="G111" s="41" t="s">
        <v>13</v>
      </c>
      <c r="H111" s="42"/>
      <c r="I111" s="43"/>
      <c r="J111" s="42">
        <v>2269.0</v>
      </c>
      <c r="K111" s="43">
        <v>93.5213751</v>
      </c>
    </row>
    <row r="112" ht="15.0" hidden="1" customHeight="1">
      <c r="A112" s="7"/>
      <c r="B112" s="39">
        <v>105.0</v>
      </c>
      <c r="C112" s="40" t="s">
        <v>19</v>
      </c>
      <c r="D112" s="40" t="s">
        <v>16</v>
      </c>
      <c r="E112" s="40" t="s">
        <v>46</v>
      </c>
      <c r="F112" s="40" t="s">
        <v>47</v>
      </c>
      <c r="G112" s="41" t="s">
        <v>14</v>
      </c>
      <c r="H112" s="42">
        <v>3359.0</v>
      </c>
      <c r="I112" s="43">
        <v>27.2402501</v>
      </c>
      <c r="J112" s="42">
        <v>2991.0</v>
      </c>
      <c r="K112" s="43">
        <v>17.5192243</v>
      </c>
    </row>
    <row r="113" ht="15.0" customHeight="1">
      <c r="A113" s="7"/>
      <c r="B113" s="44">
        <v>106.0</v>
      </c>
      <c r="C113" s="45" t="s">
        <v>19</v>
      </c>
      <c r="D113" s="45" t="s">
        <v>16</v>
      </c>
      <c r="E113" s="45" t="s">
        <v>46</v>
      </c>
      <c r="F113" s="45" t="s">
        <v>48</v>
      </c>
      <c r="G113" s="45" t="s">
        <v>48</v>
      </c>
      <c r="H113" s="46">
        <v>17511.0</v>
      </c>
      <c r="I113" s="47">
        <v>29.8783622</v>
      </c>
      <c r="J113" s="46">
        <v>14775.0</v>
      </c>
      <c r="K113" s="47">
        <v>49.143824</v>
      </c>
    </row>
    <row r="114" ht="15.0" hidden="1" customHeight="1">
      <c r="A114" s="7"/>
      <c r="B114" s="39">
        <v>107.0</v>
      </c>
      <c r="C114" s="40" t="s">
        <v>19</v>
      </c>
      <c r="D114" s="40" t="s">
        <v>16</v>
      </c>
      <c r="E114" s="40" t="s">
        <v>46</v>
      </c>
      <c r="F114" s="40" t="s">
        <v>48</v>
      </c>
      <c r="G114" s="41" t="s">
        <v>13</v>
      </c>
      <c r="H114" s="42">
        <v>2622.0</v>
      </c>
      <c r="I114" s="43">
        <v>93.668955</v>
      </c>
      <c r="J114" s="42">
        <v>3346.0</v>
      </c>
      <c r="K114" s="43">
        <v>92.9766886</v>
      </c>
    </row>
    <row r="115" ht="15.0" hidden="1" customHeight="1">
      <c r="A115" s="7"/>
      <c r="B115" s="39">
        <v>108.0</v>
      </c>
      <c r="C115" s="40" t="s">
        <v>19</v>
      </c>
      <c r="D115" s="40" t="s">
        <v>16</v>
      </c>
      <c r="E115" s="40" t="s">
        <v>46</v>
      </c>
      <c r="F115" s="40" t="s">
        <v>48</v>
      </c>
      <c r="G115" s="41" t="s">
        <v>14</v>
      </c>
      <c r="H115" s="42">
        <v>14889.0</v>
      </c>
      <c r="I115" s="43">
        <v>18.644637</v>
      </c>
      <c r="J115" s="42">
        <v>11429.0</v>
      </c>
      <c r="K115" s="43">
        <v>36.3111383</v>
      </c>
    </row>
    <row r="116" ht="15.0" customHeight="1">
      <c r="A116" s="7"/>
      <c r="B116" s="44">
        <v>109.0</v>
      </c>
      <c r="C116" s="45" t="s">
        <v>19</v>
      </c>
      <c r="D116" s="45" t="s">
        <v>16</v>
      </c>
      <c r="E116" s="45" t="s">
        <v>46</v>
      </c>
      <c r="F116" s="45" t="s">
        <v>49</v>
      </c>
      <c r="G116" s="45" t="s">
        <v>49</v>
      </c>
      <c r="H116" s="46">
        <v>3925.0</v>
      </c>
      <c r="I116" s="47">
        <v>25.0191083</v>
      </c>
      <c r="J116" s="46">
        <v>4931.0</v>
      </c>
      <c r="K116" s="47">
        <v>40.7219631</v>
      </c>
    </row>
    <row r="117" ht="15.0" hidden="1" customHeight="1">
      <c r="A117" s="7"/>
      <c r="B117" s="39">
        <v>110.0</v>
      </c>
      <c r="C117" s="40" t="s">
        <v>19</v>
      </c>
      <c r="D117" s="40" t="s">
        <v>16</v>
      </c>
      <c r="E117" s="40" t="s">
        <v>46</v>
      </c>
      <c r="F117" s="40" t="s">
        <v>49</v>
      </c>
      <c r="G117" s="41" t="s">
        <v>13</v>
      </c>
      <c r="H117" s="42"/>
      <c r="I117" s="43"/>
      <c r="J117" s="42"/>
      <c r="K117" s="43"/>
    </row>
    <row r="118" ht="15.0" hidden="1" customHeight="1">
      <c r="A118" s="7"/>
      <c r="B118" s="39">
        <v>111.0</v>
      </c>
      <c r="C118" s="40" t="s">
        <v>19</v>
      </c>
      <c r="D118" s="40" t="s">
        <v>16</v>
      </c>
      <c r="E118" s="40" t="s">
        <v>46</v>
      </c>
      <c r="F118" s="40" t="s">
        <v>49</v>
      </c>
      <c r="G118" s="41" t="s">
        <v>14</v>
      </c>
      <c r="H118" s="42">
        <v>3925.0</v>
      </c>
      <c r="I118" s="43">
        <v>25.0191083</v>
      </c>
      <c r="J118" s="42">
        <v>4931.0</v>
      </c>
      <c r="K118" s="43">
        <v>40.7219631</v>
      </c>
    </row>
    <row r="119" ht="15.0" hidden="1" customHeight="1">
      <c r="A119" s="7"/>
      <c r="B119" s="35">
        <v>112.0</v>
      </c>
      <c r="C119" s="36" t="s">
        <v>17</v>
      </c>
      <c r="D119" s="36" t="s">
        <v>16</v>
      </c>
      <c r="E119" s="36" t="s">
        <v>50</v>
      </c>
      <c r="F119" s="36"/>
      <c r="G119" s="36" t="s">
        <v>50</v>
      </c>
      <c r="H119" s="37">
        <v>18316.0</v>
      </c>
      <c r="I119" s="38">
        <v>31.305962</v>
      </c>
      <c r="J119" s="37">
        <v>19511.0</v>
      </c>
      <c r="K119" s="38">
        <v>47.0657578</v>
      </c>
    </row>
    <row r="120" ht="15.0" hidden="1" customHeight="1">
      <c r="A120" s="7"/>
      <c r="B120" s="39">
        <v>113.0</v>
      </c>
      <c r="C120" s="40" t="s">
        <v>17</v>
      </c>
      <c r="D120" s="40" t="s">
        <v>16</v>
      </c>
      <c r="E120" s="40" t="s">
        <v>50</v>
      </c>
      <c r="F120" s="40"/>
      <c r="G120" s="41" t="s">
        <v>13</v>
      </c>
      <c r="H120" s="42">
        <v>2915.0</v>
      </c>
      <c r="I120" s="43">
        <v>93.9965695</v>
      </c>
      <c r="J120" s="42">
        <v>3813.0</v>
      </c>
      <c r="K120" s="43">
        <v>97.9281406</v>
      </c>
    </row>
    <row r="121" ht="15.0" hidden="1" customHeight="1">
      <c r="A121" s="7"/>
      <c r="B121" s="39">
        <v>114.0</v>
      </c>
      <c r="C121" s="40" t="s">
        <v>17</v>
      </c>
      <c r="D121" s="40" t="s">
        <v>16</v>
      </c>
      <c r="E121" s="40" t="s">
        <v>50</v>
      </c>
      <c r="F121" s="40"/>
      <c r="G121" s="41" t="s">
        <v>14</v>
      </c>
      <c r="H121" s="42">
        <v>15401.0</v>
      </c>
      <c r="I121" s="43">
        <v>19.4402961</v>
      </c>
      <c r="J121" s="42">
        <v>15698.0</v>
      </c>
      <c r="K121" s="43">
        <v>34.7114282</v>
      </c>
    </row>
    <row r="122" ht="15.0" customHeight="1">
      <c r="A122" s="7"/>
      <c r="B122" s="44">
        <v>115.0</v>
      </c>
      <c r="C122" s="45" t="s">
        <v>19</v>
      </c>
      <c r="D122" s="45" t="s">
        <v>16</v>
      </c>
      <c r="E122" s="45" t="s">
        <v>50</v>
      </c>
      <c r="F122" s="45" t="s">
        <v>51</v>
      </c>
      <c r="G122" s="45" t="s">
        <v>51</v>
      </c>
      <c r="H122" s="46">
        <v>9204.0</v>
      </c>
      <c r="I122" s="47">
        <v>36.6905693</v>
      </c>
      <c r="J122" s="46">
        <v>10494.0</v>
      </c>
      <c r="K122" s="47">
        <v>47.1602821</v>
      </c>
    </row>
    <row r="123" ht="15.0" hidden="1" customHeight="1">
      <c r="A123" s="7"/>
      <c r="B123" s="39">
        <v>116.0</v>
      </c>
      <c r="C123" s="40" t="s">
        <v>19</v>
      </c>
      <c r="D123" s="40" t="s">
        <v>16</v>
      </c>
      <c r="E123" s="40" t="s">
        <v>50</v>
      </c>
      <c r="F123" s="40" t="s">
        <v>51</v>
      </c>
      <c r="G123" s="41" t="s">
        <v>13</v>
      </c>
      <c r="H123" s="42">
        <v>2915.0</v>
      </c>
      <c r="I123" s="43">
        <v>93.9965695</v>
      </c>
      <c r="J123" s="42">
        <v>3813.0</v>
      </c>
      <c r="K123" s="43">
        <v>97.9281406</v>
      </c>
    </row>
    <row r="124" ht="15.0" hidden="1" customHeight="1">
      <c r="A124" s="7"/>
      <c r="B124" s="39">
        <v>117.0</v>
      </c>
      <c r="C124" s="40" t="s">
        <v>19</v>
      </c>
      <c r="D124" s="40" t="s">
        <v>16</v>
      </c>
      <c r="E124" s="40" t="s">
        <v>50</v>
      </c>
      <c r="F124" s="40" t="s">
        <v>51</v>
      </c>
      <c r="G124" s="41" t="s">
        <v>14</v>
      </c>
      <c r="H124" s="42">
        <v>6289.0</v>
      </c>
      <c r="I124" s="43">
        <v>10.1287963</v>
      </c>
      <c r="J124" s="42">
        <v>6681.0</v>
      </c>
      <c r="K124" s="43">
        <v>18.1859003</v>
      </c>
    </row>
    <row r="125" ht="15.0" customHeight="1">
      <c r="A125" s="7"/>
      <c r="B125" s="44">
        <v>118.0</v>
      </c>
      <c r="C125" s="45" t="s">
        <v>19</v>
      </c>
      <c r="D125" s="45" t="s">
        <v>16</v>
      </c>
      <c r="E125" s="45" t="s">
        <v>50</v>
      </c>
      <c r="F125" s="45" t="s">
        <v>52</v>
      </c>
      <c r="G125" s="45" t="s">
        <v>52</v>
      </c>
      <c r="H125" s="46">
        <v>2414.0</v>
      </c>
      <c r="I125" s="47">
        <v>10.8947804</v>
      </c>
      <c r="J125" s="46">
        <v>2529.0</v>
      </c>
      <c r="K125" s="47">
        <v>33.4914986</v>
      </c>
    </row>
    <row r="126" ht="15.0" hidden="1" customHeight="1">
      <c r="A126" s="7"/>
      <c r="B126" s="39">
        <v>119.0</v>
      </c>
      <c r="C126" s="40" t="s">
        <v>19</v>
      </c>
      <c r="D126" s="40" t="s">
        <v>16</v>
      </c>
      <c r="E126" s="40" t="s">
        <v>50</v>
      </c>
      <c r="F126" s="40" t="s">
        <v>52</v>
      </c>
      <c r="G126" s="41" t="s">
        <v>13</v>
      </c>
      <c r="H126" s="42"/>
      <c r="I126" s="43"/>
      <c r="J126" s="42"/>
      <c r="K126" s="43"/>
    </row>
    <row r="127" ht="15.0" hidden="1" customHeight="1">
      <c r="A127" s="7"/>
      <c r="B127" s="39">
        <v>120.0</v>
      </c>
      <c r="C127" s="40" t="s">
        <v>19</v>
      </c>
      <c r="D127" s="40" t="s">
        <v>16</v>
      </c>
      <c r="E127" s="40" t="s">
        <v>50</v>
      </c>
      <c r="F127" s="40" t="s">
        <v>52</v>
      </c>
      <c r="G127" s="41" t="s">
        <v>14</v>
      </c>
      <c r="H127" s="42">
        <v>2414.0</v>
      </c>
      <c r="I127" s="43">
        <v>10.8947804</v>
      </c>
      <c r="J127" s="42">
        <v>2529.0</v>
      </c>
      <c r="K127" s="43">
        <v>33.4914986</v>
      </c>
    </row>
    <row r="128" ht="15.0" customHeight="1">
      <c r="A128" s="7"/>
      <c r="B128" s="44">
        <v>121.0</v>
      </c>
      <c r="C128" s="45" t="s">
        <v>19</v>
      </c>
      <c r="D128" s="45" t="s">
        <v>16</v>
      </c>
      <c r="E128" s="45" t="s">
        <v>50</v>
      </c>
      <c r="F128" s="45" t="s">
        <v>53</v>
      </c>
      <c r="G128" s="45" t="s">
        <v>53</v>
      </c>
      <c r="H128" s="46">
        <v>6698.0</v>
      </c>
      <c r="I128" s="47">
        <v>31.2630636</v>
      </c>
      <c r="J128" s="46">
        <v>6488.0</v>
      </c>
      <c r="K128" s="47">
        <v>52.2040691</v>
      </c>
    </row>
    <row r="129" ht="15.0" hidden="1" customHeight="1">
      <c r="A129" s="7"/>
      <c r="B129" s="39">
        <v>122.0</v>
      </c>
      <c r="C129" s="40" t="s">
        <v>19</v>
      </c>
      <c r="D129" s="40" t="s">
        <v>16</v>
      </c>
      <c r="E129" s="40" t="s">
        <v>50</v>
      </c>
      <c r="F129" s="40" t="s">
        <v>53</v>
      </c>
      <c r="G129" s="41" t="s">
        <v>13</v>
      </c>
      <c r="H129" s="42"/>
      <c r="I129" s="43"/>
      <c r="J129" s="42"/>
      <c r="K129" s="43"/>
    </row>
    <row r="130" ht="15.0" hidden="1" customHeight="1">
      <c r="A130" s="7"/>
      <c r="B130" s="39">
        <v>123.0</v>
      </c>
      <c r="C130" s="40" t="s">
        <v>19</v>
      </c>
      <c r="D130" s="40" t="s">
        <v>16</v>
      </c>
      <c r="E130" s="40" t="s">
        <v>50</v>
      </c>
      <c r="F130" s="40" t="s">
        <v>53</v>
      </c>
      <c r="G130" s="41" t="s">
        <v>14</v>
      </c>
      <c r="H130" s="42">
        <v>6698.0</v>
      </c>
      <c r="I130" s="43">
        <v>31.2630636</v>
      </c>
      <c r="J130" s="42">
        <v>6488.0</v>
      </c>
      <c r="K130" s="43">
        <v>52.2040691</v>
      </c>
    </row>
    <row r="131" ht="15.0" hidden="1" customHeight="1">
      <c r="A131" s="7"/>
      <c r="B131" s="27">
        <v>124.0</v>
      </c>
      <c r="C131" s="28" t="s">
        <v>15</v>
      </c>
      <c r="D131" s="28" t="s">
        <v>54</v>
      </c>
      <c r="E131" s="28"/>
      <c r="F131" s="28"/>
      <c r="G131" s="28" t="s">
        <v>54</v>
      </c>
      <c r="H131" s="29">
        <v>2653413.0</v>
      </c>
      <c r="I131" s="30">
        <v>76.4584707</v>
      </c>
      <c r="J131" s="29">
        <v>2947200.0</v>
      </c>
      <c r="K131" s="30">
        <v>83.6404045</v>
      </c>
    </row>
    <row r="132" ht="15.0" hidden="1" customHeight="1">
      <c r="A132" s="7"/>
      <c r="B132" s="31">
        <v>125.0</v>
      </c>
      <c r="C132" s="32" t="s">
        <v>15</v>
      </c>
      <c r="D132" s="48" t="s">
        <v>54</v>
      </c>
      <c r="E132" s="48"/>
      <c r="F132" s="48"/>
      <c r="G132" s="32" t="s">
        <v>13</v>
      </c>
      <c r="H132" s="33">
        <v>1765688.0</v>
      </c>
      <c r="I132" s="34">
        <v>98.3565613</v>
      </c>
      <c r="J132" s="33">
        <v>1906366.0</v>
      </c>
      <c r="K132" s="34">
        <v>98.9651515</v>
      </c>
    </row>
    <row r="133" ht="15.0" hidden="1" customHeight="1">
      <c r="A133" s="7"/>
      <c r="B133" s="31">
        <v>126.0</v>
      </c>
      <c r="C133" s="32" t="s">
        <v>15</v>
      </c>
      <c r="D133" s="48" t="s">
        <v>54</v>
      </c>
      <c r="E133" s="48"/>
      <c r="F133" s="48"/>
      <c r="G133" s="32" t="s">
        <v>14</v>
      </c>
      <c r="H133" s="33">
        <v>887725.0</v>
      </c>
      <c r="I133" s="34">
        <v>32.903095</v>
      </c>
      <c r="J133" s="33">
        <v>1040834.0</v>
      </c>
      <c r="K133" s="34">
        <v>55.571974</v>
      </c>
    </row>
    <row r="134" ht="15.0" hidden="1" customHeight="1">
      <c r="A134" s="7"/>
      <c r="B134" s="35">
        <v>127.0</v>
      </c>
      <c r="C134" s="36" t="s">
        <v>17</v>
      </c>
      <c r="D134" s="49" t="s">
        <v>54</v>
      </c>
      <c r="E134" s="49" t="s">
        <v>55</v>
      </c>
      <c r="F134" s="49"/>
      <c r="G134" s="36" t="s">
        <v>55</v>
      </c>
      <c r="H134" s="37">
        <v>1630450.0</v>
      </c>
      <c r="I134" s="38">
        <v>98.071882</v>
      </c>
      <c r="J134" s="37">
        <v>1685572.0</v>
      </c>
      <c r="K134" s="38">
        <v>98.7386478</v>
      </c>
    </row>
    <row r="135" ht="15.0" hidden="1" customHeight="1">
      <c r="A135" s="7"/>
      <c r="B135" s="39">
        <v>128.0</v>
      </c>
      <c r="C135" s="40" t="s">
        <v>17</v>
      </c>
      <c r="D135" s="40" t="s">
        <v>54</v>
      </c>
      <c r="E135" s="40" t="s">
        <v>55</v>
      </c>
      <c r="F135" s="40"/>
      <c r="G135" s="41" t="s">
        <v>13</v>
      </c>
      <c r="H135" s="42">
        <v>1585642.0</v>
      </c>
      <c r="I135" s="43">
        <v>99.3979726</v>
      </c>
      <c r="J135" s="42">
        <v>1630171.0</v>
      </c>
      <c r="K135" s="43">
        <v>99.639731</v>
      </c>
    </row>
    <row r="136" ht="15.0" hidden="1" customHeight="1">
      <c r="A136" s="7"/>
      <c r="B136" s="39">
        <v>129.0</v>
      </c>
      <c r="C136" s="40" t="s">
        <v>17</v>
      </c>
      <c r="D136" s="40" t="s">
        <v>54</v>
      </c>
      <c r="E136" s="40" t="s">
        <v>55</v>
      </c>
      <c r="F136" s="40"/>
      <c r="G136" s="41" t="s">
        <v>14</v>
      </c>
      <c r="H136" s="42">
        <v>44808.0</v>
      </c>
      <c r="I136" s="43">
        <v>51.1448848</v>
      </c>
      <c r="J136" s="42">
        <v>55401.0</v>
      </c>
      <c r="K136" s="43">
        <v>72.2243281</v>
      </c>
    </row>
    <row r="137" ht="15.0" customHeight="1">
      <c r="A137" s="7"/>
      <c r="B137" s="44">
        <v>130.0</v>
      </c>
      <c r="C137" s="45" t="s">
        <v>19</v>
      </c>
      <c r="D137" s="45" t="s">
        <v>54</v>
      </c>
      <c r="E137" s="45" t="s">
        <v>55</v>
      </c>
      <c r="F137" s="45" t="s">
        <v>56</v>
      </c>
      <c r="G137" s="45" t="s">
        <v>56</v>
      </c>
      <c r="H137" s="46">
        <v>743707.0</v>
      </c>
      <c r="I137" s="47">
        <v>99.1745405</v>
      </c>
      <c r="J137" s="46">
        <v>727154.0</v>
      </c>
      <c r="K137" s="47">
        <v>99.3298531</v>
      </c>
    </row>
    <row r="138" ht="15.0" hidden="1" customHeight="1">
      <c r="A138" s="7"/>
      <c r="B138" s="39">
        <v>131.0</v>
      </c>
      <c r="C138" s="40" t="s">
        <v>19</v>
      </c>
      <c r="D138" s="40" t="s">
        <v>54</v>
      </c>
      <c r="E138" s="40" t="s">
        <v>55</v>
      </c>
      <c r="F138" s="40" t="s">
        <v>56</v>
      </c>
      <c r="G138" s="41" t="s">
        <v>13</v>
      </c>
      <c r="H138" s="42">
        <v>736285.0</v>
      </c>
      <c r="I138" s="43">
        <v>99.7026966</v>
      </c>
      <c r="J138" s="42">
        <v>720274.0</v>
      </c>
      <c r="K138" s="43">
        <v>99.7566204</v>
      </c>
    </row>
    <row r="139" ht="15.0" hidden="1" customHeight="1">
      <c r="A139" s="7"/>
      <c r="B139" s="39">
        <v>132.0</v>
      </c>
      <c r="C139" s="40" t="s">
        <v>19</v>
      </c>
      <c r="D139" s="40" t="s">
        <v>54</v>
      </c>
      <c r="E139" s="40" t="s">
        <v>55</v>
      </c>
      <c r="F139" s="40" t="s">
        <v>56</v>
      </c>
      <c r="G139" s="41" t="s">
        <v>14</v>
      </c>
      <c r="H139" s="42">
        <v>7422.0</v>
      </c>
      <c r="I139" s="43">
        <v>46.7798437</v>
      </c>
      <c r="J139" s="42">
        <v>6880.0</v>
      </c>
      <c r="K139" s="43">
        <v>54.6511628</v>
      </c>
    </row>
    <row r="140" ht="15.0" customHeight="1">
      <c r="A140" s="7"/>
      <c r="B140" s="44">
        <v>133.0</v>
      </c>
      <c r="C140" s="45" t="s">
        <v>19</v>
      </c>
      <c r="D140" s="50" t="s">
        <v>54</v>
      </c>
      <c r="E140" s="50" t="s">
        <v>55</v>
      </c>
      <c r="F140" s="50" t="s">
        <v>57</v>
      </c>
      <c r="G140" s="51" t="s">
        <v>57</v>
      </c>
      <c r="H140" s="46">
        <v>16449.0</v>
      </c>
      <c r="I140" s="47">
        <v>34.9504529</v>
      </c>
      <c r="J140" s="46">
        <v>21481.0</v>
      </c>
      <c r="K140" s="47">
        <v>67.6691029</v>
      </c>
    </row>
    <row r="141" ht="15.0" hidden="1" customHeight="1">
      <c r="A141" s="7"/>
      <c r="B141" s="39">
        <v>134.0</v>
      </c>
      <c r="C141" s="40" t="s">
        <v>19</v>
      </c>
      <c r="D141" s="40" t="s">
        <v>54</v>
      </c>
      <c r="E141" s="40" t="s">
        <v>55</v>
      </c>
      <c r="F141" s="40" t="s">
        <v>57</v>
      </c>
      <c r="G141" s="41" t="s">
        <v>13</v>
      </c>
      <c r="H141" s="42"/>
      <c r="I141" s="43"/>
      <c r="J141" s="42"/>
      <c r="K141" s="43"/>
    </row>
    <row r="142" ht="15.0" hidden="1" customHeight="1">
      <c r="A142" s="7"/>
      <c r="B142" s="39">
        <v>135.0</v>
      </c>
      <c r="C142" s="40" t="s">
        <v>19</v>
      </c>
      <c r="D142" s="40" t="s">
        <v>54</v>
      </c>
      <c r="E142" s="40" t="s">
        <v>55</v>
      </c>
      <c r="F142" s="40" t="s">
        <v>57</v>
      </c>
      <c r="G142" s="41" t="s">
        <v>14</v>
      </c>
      <c r="H142" s="42">
        <v>16449.0</v>
      </c>
      <c r="I142" s="43">
        <v>34.9504529</v>
      </c>
      <c r="J142" s="42">
        <v>21481.0</v>
      </c>
      <c r="K142" s="43">
        <v>67.6691029</v>
      </c>
    </row>
    <row r="143" ht="15.0" customHeight="1">
      <c r="A143" s="7"/>
      <c r="B143" s="44">
        <v>136.0</v>
      </c>
      <c r="C143" s="45" t="s">
        <v>19</v>
      </c>
      <c r="D143" s="50" t="s">
        <v>54</v>
      </c>
      <c r="E143" s="50" t="s">
        <v>55</v>
      </c>
      <c r="F143" s="50" t="s">
        <v>58</v>
      </c>
      <c r="G143" s="51" t="s">
        <v>58</v>
      </c>
      <c r="H143" s="46">
        <v>15692.0</v>
      </c>
      <c r="I143" s="47">
        <v>67.416518</v>
      </c>
      <c r="J143" s="46">
        <v>20230.0</v>
      </c>
      <c r="K143" s="47">
        <v>80.0988631</v>
      </c>
    </row>
    <row r="144" ht="15.0" hidden="1" customHeight="1">
      <c r="A144" s="7"/>
      <c r="B144" s="39">
        <v>137.0</v>
      </c>
      <c r="C144" s="40" t="s">
        <v>19</v>
      </c>
      <c r="D144" s="40" t="s">
        <v>54</v>
      </c>
      <c r="E144" s="40" t="s">
        <v>55</v>
      </c>
      <c r="F144" s="40" t="s">
        <v>58</v>
      </c>
      <c r="G144" s="41" t="s">
        <v>13</v>
      </c>
      <c r="H144" s="42"/>
      <c r="I144" s="43"/>
      <c r="J144" s="42"/>
      <c r="K144" s="43"/>
    </row>
    <row r="145" ht="15.0" hidden="1" customHeight="1">
      <c r="A145" s="7"/>
      <c r="B145" s="39">
        <v>138.0</v>
      </c>
      <c r="C145" s="40" t="s">
        <v>19</v>
      </c>
      <c r="D145" s="40" t="s">
        <v>54</v>
      </c>
      <c r="E145" s="40" t="s">
        <v>55</v>
      </c>
      <c r="F145" s="40" t="s">
        <v>58</v>
      </c>
      <c r="G145" s="41" t="s">
        <v>14</v>
      </c>
      <c r="H145" s="42">
        <v>15692.0</v>
      </c>
      <c r="I145" s="43">
        <v>67.416518</v>
      </c>
      <c r="J145" s="42">
        <v>20230.0</v>
      </c>
      <c r="K145" s="43">
        <v>80.0988631</v>
      </c>
    </row>
    <row r="146" ht="15.0" customHeight="1">
      <c r="A146" s="7"/>
      <c r="B146" s="44">
        <v>139.0</v>
      </c>
      <c r="C146" s="45" t="s">
        <v>19</v>
      </c>
      <c r="D146" s="50" t="s">
        <v>54</v>
      </c>
      <c r="E146" s="50" t="s">
        <v>55</v>
      </c>
      <c r="F146" s="50" t="s">
        <v>59</v>
      </c>
      <c r="G146" s="51" t="s">
        <v>59</v>
      </c>
      <c r="H146" s="46">
        <v>21947.0</v>
      </c>
      <c r="I146" s="47">
        <v>85.688249</v>
      </c>
      <c r="J146" s="46">
        <v>43701.0</v>
      </c>
      <c r="K146" s="47">
        <v>94.5790714</v>
      </c>
    </row>
    <row r="147" ht="15.0" hidden="1" customHeight="1">
      <c r="A147" s="7"/>
      <c r="B147" s="39">
        <v>140.0</v>
      </c>
      <c r="C147" s="40" t="s">
        <v>19</v>
      </c>
      <c r="D147" s="40" t="s">
        <v>54</v>
      </c>
      <c r="E147" s="40" t="s">
        <v>55</v>
      </c>
      <c r="F147" s="40" t="s">
        <v>59</v>
      </c>
      <c r="G147" s="41" t="s">
        <v>13</v>
      </c>
      <c r="H147" s="42">
        <v>18257.0</v>
      </c>
      <c r="I147" s="43">
        <v>90.3817714</v>
      </c>
      <c r="J147" s="42">
        <v>37496.0</v>
      </c>
      <c r="K147" s="43">
        <v>96.34361</v>
      </c>
    </row>
    <row r="148" ht="15.0" hidden="1" customHeight="1">
      <c r="A148" s="7"/>
      <c r="B148" s="39">
        <v>141.0</v>
      </c>
      <c r="C148" s="40" t="s">
        <v>19</v>
      </c>
      <c r="D148" s="40" t="s">
        <v>54</v>
      </c>
      <c r="E148" s="40" t="s">
        <v>55</v>
      </c>
      <c r="F148" s="40" t="s">
        <v>59</v>
      </c>
      <c r="G148" s="41" t="s">
        <v>14</v>
      </c>
      <c r="H148" s="42">
        <v>3690.0</v>
      </c>
      <c r="I148" s="43">
        <v>62.4661247</v>
      </c>
      <c r="J148" s="42">
        <v>6205.0</v>
      </c>
      <c r="K148" s="43">
        <v>83.9161966</v>
      </c>
    </row>
    <row r="149" ht="15.0" customHeight="1">
      <c r="A149" s="7"/>
      <c r="B149" s="44">
        <v>142.0</v>
      </c>
      <c r="C149" s="45" t="s">
        <v>19</v>
      </c>
      <c r="D149" s="50" t="s">
        <v>54</v>
      </c>
      <c r="E149" s="50" t="s">
        <v>55</v>
      </c>
      <c r="F149" s="50" t="s">
        <v>60</v>
      </c>
      <c r="G149" s="51" t="s">
        <v>60</v>
      </c>
      <c r="H149" s="46">
        <v>832655.0</v>
      </c>
      <c r="I149" s="47">
        <v>99.2380998</v>
      </c>
      <c r="J149" s="46">
        <v>873006.0</v>
      </c>
      <c r="K149" s="47">
        <v>99.6508615</v>
      </c>
    </row>
    <row r="150" ht="15.0" hidden="1" customHeight="1">
      <c r="A150" s="7"/>
      <c r="B150" s="39">
        <v>143.0</v>
      </c>
      <c r="C150" s="40" t="s">
        <v>19</v>
      </c>
      <c r="D150" s="40" t="s">
        <v>54</v>
      </c>
      <c r="E150" s="40" t="s">
        <v>55</v>
      </c>
      <c r="F150" s="40" t="s">
        <v>60</v>
      </c>
      <c r="G150" s="41" t="s">
        <v>13</v>
      </c>
      <c r="H150" s="42">
        <v>831100.0</v>
      </c>
      <c r="I150" s="43">
        <v>99.3260739</v>
      </c>
      <c r="J150" s="42">
        <v>872401.0</v>
      </c>
      <c r="K150" s="43">
        <v>99.6848926</v>
      </c>
    </row>
    <row r="151" ht="15.0" hidden="1" customHeight="1">
      <c r="A151" s="7"/>
      <c r="B151" s="39">
        <v>144.0</v>
      </c>
      <c r="C151" s="40" t="s">
        <v>19</v>
      </c>
      <c r="D151" s="40" t="s">
        <v>54</v>
      </c>
      <c r="E151" s="40" t="s">
        <v>55</v>
      </c>
      <c r="F151" s="40" t="s">
        <v>60</v>
      </c>
      <c r="G151" s="41" t="s">
        <v>14</v>
      </c>
      <c r="H151" s="42">
        <v>1555.0</v>
      </c>
      <c r="I151" s="43">
        <v>52.2186495</v>
      </c>
      <c r="J151" s="42">
        <v>605.0</v>
      </c>
      <c r="K151" s="43">
        <v>50.5785124</v>
      </c>
    </row>
    <row r="152" ht="15.0" hidden="1" customHeight="1">
      <c r="A152" s="7"/>
      <c r="B152" s="35">
        <v>145.0</v>
      </c>
      <c r="C152" s="36" t="s">
        <v>17</v>
      </c>
      <c r="D152" s="49" t="s">
        <v>54</v>
      </c>
      <c r="E152" s="49" t="s">
        <v>61</v>
      </c>
      <c r="F152" s="49"/>
      <c r="G152" s="36" t="s">
        <v>61</v>
      </c>
      <c r="H152" s="37">
        <v>83277.0</v>
      </c>
      <c r="I152" s="38">
        <v>46.4449968</v>
      </c>
      <c r="J152" s="37">
        <v>92133.0</v>
      </c>
      <c r="K152" s="38">
        <v>69.7383131</v>
      </c>
    </row>
    <row r="153" ht="15.0" hidden="1" customHeight="1">
      <c r="A153" s="7"/>
      <c r="B153" s="39">
        <v>146.0</v>
      </c>
      <c r="C153" s="40" t="s">
        <v>17</v>
      </c>
      <c r="D153" s="40" t="s">
        <v>54</v>
      </c>
      <c r="E153" s="40" t="s">
        <v>61</v>
      </c>
      <c r="F153" s="40"/>
      <c r="G153" s="41" t="s">
        <v>13</v>
      </c>
      <c r="H153" s="42">
        <v>8855.0</v>
      </c>
      <c r="I153" s="43">
        <v>98.1931112</v>
      </c>
      <c r="J153" s="42">
        <v>8980.0</v>
      </c>
      <c r="K153" s="43">
        <v>99.454343</v>
      </c>
    </row>
    <row r="154" ht="15.0" hidden="1" customHeight="1">
      <c r="A154" s="7"/>
      <c r="B154" s="39">
        <v>147.0</v>
      </c>
      <c r="C154" s="40" t="s">
        <v>17</v>
      </c>
      <c r="D154" s="40" t="s">
        <v>54</v>
      </c>
      <c r="E154" s="40" t="s">
        <v>61</v>
      </c>
      <c r="F154" s="40"/>
      <c r="G154" s="41" t="s">
        <v>14</v>
      </c>
      <c r="H154" s="42">
        <v>74422.0</v>
      </c>
      <c r="I154" s="43">
        <v>40.2878181</v>
      </c>
      <c r="J154" s="42">
        <v>83153.0</v>
      </c>
      <c r="K154" s="43">
        <v>66.5291691</v>
      </c>
    </row>
    <row r="155" ht="15.0" customHeight="1">
      <c r="A155" s="7"/>
      <c r="B155" s="44">
        <v>148.0</v>
      </c>
      <c r="C155" s="45" t="s">
        <v>19</v>
      </c>
      <c r="D155" s="50" t="s">
        <v>54</v>
      </c>
      <c r="E155" s="50" t="s">
        <v>61</v>
      </c>
      <c r="F155" s="50" t="s">
        <v>62</v>
      </c>
      <c r="G155" s="51" t="s">
        <v>62</v>
      </c>
      <c r="H155" s="46">
        <v>45272.0</v>
      </c>
      <c r="I155" s="47">
        <v>55.7077222</v>
      </c>
      <c r="J155" s="46">
        <v>46202.0</v>
      </c>
      <c r="K155" s="47">
        <v>79.9683996</v>
      </c>
    </row>
    <row r="156" ht="15.0" hidden="1" customHeight="1">
      <c r="A156" s="7"/>
      <c r="B156" s="39">
        <v>149.0</v>
      </c>
      <c r="C156" s="40" t="s">
        <v>19</v>
      </c>
      <c r="D156" s="40" t="s">
        <v>54</v>
      </c>
      <c r="E156" s="40" t="s">
        <v>61</v>
      </c>
      <c r="F156" s="40" t="s">
        <v>62</v>
      </c>
      <c r="G156" s="41" t="s">
        <v>13</v>
      </c>
      <c r="H156" s="42">
        <v>8855.0</v>
      </c>
      <c r="I156" s="43">
        <v>98.1931112</v>
      </c>
      <c r="J156" s="42">
        <v>8980.0</v>
      </c>
      <c r="K156" s="43">
        <v>99.454343</v>
      </c>
    </row>
    <row r="157" ht="15.0" hidden="1" customHeight="1">
      <c r="A157" s="7"/>
      <c r="B157" s="39">
        <v>150.0</v>
      </c>
      <c r="C157" s="40" t="s">
        <v>19</v>
      </c>
      <c r="D157" s="40" t="s">
        <v>54</v>
      </c>
      <c r="E157" s="40" t="s">
        <v>61</v>
      </c>
      <c r="F157" s="40" t="s">
        <v>62</v>
      </c>
      <c r="G157" s="41" t="s">
        <v>14</v>
      </c>
      <c r="H157" s="42">
        <v>36417.0</v>
      </c>
      <c r="I157" s="43">
        <v>45.377159</v>
      </c>
      <c r="J157" s="42">
        <v>37222.0</v>
      </c>
      <c r="K157" s="43">
        <v>75.267315</v>
      </c>
    </row>
    <row r="158" ht="15.0" customHeight="1">
      <c r="A158" s="7"/>
      <c r="B158" s="44">
        <v>151.0</v>
      </c>
      <c r="C158" s="45" t="s">
        <v>19</v>
      </c>
      <c r="D158" s="50" t="s">
        <v>54</v>
      </c>
      <c r="E158" s="50" t="s">
        <v>61</v>
      </c>
      <c r="F158" s="50" t="s">
        <v>63</v>
      </c>
      <c r="G158" s="51" t="s">
        <v>63</v>
      </c>
      <c r="H158" s="46">
        <v>13012.0</v>
      </c>
      <c r="I158" s="47">
        <v>17.2917307</v>
      </c>
      <c r="J158" s="46">
        <v>16632.0</v>
      </c>
      <c r="K158" s="47">
        <v>42.989418</v>
      </c>
    </row>
    <row r="159" ht="15.0" hidden="1" customHeight="1">
      <c r="A159" s="7"/>
      <c r="B159" s="39">
        <v>152.0</v>
      </c>
      <c r="C159" s="40" t="s">
        <v>19</v>
      </c>
      <c r="D159" s="40" t="s">
        <v>54</v>
      </c>
      <c r="E159" s="40" t="s">
        <v>61</v>
      </c>
      <c r="F159" s="40" t="s">
        <v>63</v>
      </c>
      <c r="G159" s="41" t="s">
        <v>13</v>
      </c>
      <c r="H159" s="42"/>
      <c r="I159" s="43"/>
      <c r="J159" s="42"/>
      <c r="K159" s="43"/>
    </row>
    <row r="160" ht="15.0" hidden="1" customHeight="1">
      <c r="A160" s="7"/>
      <c r="B160" s="39">
        <v>153.0</v>
      </c>
      <c r="C160" s="40" t="s">
        <v>19</v>
      </c>
      <c r="D160" s="40" t="s">
        <v>54</v>
      </c>
      <c r="E160" s="40" t="s">
        <v>61</v>
      </c>
      <c r="F160" s="40" t="s">
        <v>63</v>
      </c>
      <c r="G160" s="41" t="s">
        <v>14</v>
      </c>
      <c r="H160" s="42">
        <v>13012.0</v>
      </c>
      <c r="I160" s="43">
        <v>17.2917307</v>
      </c>
      <c r="J160" s="42">
        <v>16632.0</v>
      </c>
      <c r="K160" s="43">
        <v>42.989418</v>
      </c>
    </row>
    <row r="161" ht="15.0" customHeight="1">
      <c r="A161" s="7"/>
      <c r="B161" s="44">
        <v>154.0</v>
      </c>
      <c r="C161" s="45" t="s">
        <v>19</v>
      </c>
      <c r="D161" s="50" t="s">
        <v>54</v>
      </c>
      <c r="E161" s="50" t="s">
        <v>61</v>
      </c>
      <c r="F161" s="50" t="s">
        <v>64</v>
      </c>
      <c r="G161" s="51" t="s">
        <v>64</v>
      </c>
      <c r="H161" s="46">
        <v>7859.0</v>
      </c>
      <c r="I161" s="47">
        <v>50.1590533</v>
      </c>
      <c r="J161" s="46">
        <v>8467.0</v>
      </c>
      <c r="K161" s="47">
        <v>78.0677926</v>
      </c>
    </row>
    <row r="162" ht="15.0" hidden="1" customHeight="1">
      <c r="A162" s="7"/>
      <c r="B162" s="39">
        <v>155.0</v>
      </c>
      <c r="C162" s="40" t="s">
        <v>19</v>
      </c>
      <c r="D162" s="40" t="s">
        <v>54</v>
      </c>
      <c r="E162" s="40" t="s">
        <v>61</v>
      </c>
      <c r="F162" s="40" t="s">
        <v>64</v>
      </c>
      <c r="G162" s="41" t="s">
        <v>13</v>
      </c>
      <c r="H162" s="42"/>
      <c r="I162" s="43"/>
      <c r="J162" s="42"/>
      <c r="K162" s="43"/>
    </row>
    <row r="163" ht="15.0" hidden="1" customHeight="1">
      <c r="A163" s="7"/>
      <c r="B163" s="39">
        <v>156.0</v>
      </c>
      <c r="C163" s="40" t="s">
        <v>19</v>
      </c>
      <c r="D163" s="40" t="s">
        <v>54</v>
      </c>
      <c r="E163" s="40" t="s">
        <v>61</v>
      </c>
      <c r="F163" s="40" t="s">
        <v>64</v>
      </c>
      <c r="G163" s="41" t="s">
        <v>14</v>
      </c>
      <c r="H163" s="42">
        <v>7859.0</v>
      </c>
      <c r="I163" s="43">
        <v>50.1590533</v>
      </c>
      <c r="J163" s="42">
        <v>8467.0</v>
      </c>
      <c r="K163" s="43">
        <v>78.0677926</v>
      </c>
    </row>
    <row r="164" ht="15.0" customHeight="1">
      <c r="A164" s="7"/>
      <c r="B164" s="44">
        <v>157.0</v>
      </c>
      <c r="C164" s="45" t="s">
        <v>19</v>
      </c>
      <c r="D164" s="50" t="s">
        <v>54</v>
      </c>
      <c r="E164" s="50" t="s">
        <v>61</v>
      </c>
      <c r="F164" s="50" t="s">
        <v>65</v>
      </c>
      <c r="G164" s="51" t="s">
        <v>65</v>
      </c>
      <c r="H164" s="46">
        <v>8452.0</v>
      </c>
      <c r="I164" s="47">
        <v>21.1784193</v>
      </c>
      <c r="J164" s="46">
        <v>9125.0</v>
      </c>
      <c r="K164" s="47">
        <v>49.490411</v>
      </c>
    </row>
    <row r="165" ht="15.0" hidden="1" customHeight="1">
      <c r="A165" s="7"/>
      <c r="B165" s="39">
        <v>158.0</v>
      </c>
      <c r="C165" s="40" t="s">
        <v>19</v>
      </c>
      <c r="D165" s="40" t="s">
        <v>54</v>
      </c>
      <c r="E165" s="40" t="s">
        <v>61</v>
      </c>
      <c r="F165" s="40" t="s">
        <v>65</v>
      </c>
      <c r="G165" s="41" t="s">
        <v>13</v>
      </c>
      <c r="H165" s="42"/>
      <c r="I165" s="43"/>
      <c r="J165" s="42"/>
      <c r="K165" s="43"/>
    </row>
    <row r="166" ht="15.0" hidden="1" customHeight="1">
      <c r="A166" s="7"/>
      <c r="B166" s="39">
        <v>159.0</v>
      </c>
      <c r="C166" s="40" t="s">
        <v>19</v>
      </c>
      <c r="D166" s="40" t="s">
        <v>54</v>
      </c>
      <c r="E166" s="40" t="s">
        <v>61</v>
      </c>
      <c r="F166" s="40" t="s">
        <v>65</v>
      </c>
      <c r="G166" s="41" t="s">
        <v>14</v>
      </c>
      <c r="H166" s="42">
        <v>8452.0</v>
      </c>
      <c r="I166" s="43">
        <v>21.1784193</v>
      </c>
      <c r="J166" s="42">
        <v>9125.0</v>
      </c>
      <c r="K166" s="43">
        <v>49.490411</v>
      </c>
    </row>
    <row r="167" ht="15.0" customHeight="1">
      <c r="A167" s="7"/>
      <c r="B167" s="44">
        <v>160.0</v>
      </c>
      <c r="C167" s="45" t="s">
        <v>19</v>
      </c>
      <c r="D167" s="50" t="s">
        <v>54</v>
      </c>
      <c r="E167" s="50" t="s">
        <v>61</v>
      </c>
      <c r="F167" s="50" t="s">
        <v>66</v>
      </c>
      <c r="G167" s="51" t="s">
        <v>66</v>
      </c>
      <c r="H167" s="46">
        <v>3856.0</v>
      </c>
      <c r="I167" s="47">
        <v>76.1151452</v>
      </c>
      <c r="J167" s="46">
        <v>4922.0</v>
      </c>
      <c r="K167" s="47">
        <v>84.3762698</v>
      </c>
    </row>
    <row r="168" ht="15.0" hidden="1" customHeight="1">
      <c r="A168" s="7"/>
      <c r="B168" s="39">
        <v>161.0</v>
      </c>
      <c r="C168" s="40" t="s">
        <v>19</v>
      </c>
      <c r="D168" s="40" t="s">
        <v>54</v>
      </c>
      <c r="E168" s="40" t="s">
        <v>61</v>
      </c>
      <c r="F168" s="40" t="s">
        <v>66</v>
      </c>
      <c r="G168" s="41" t="s">
        <v>13</v>
      </c>
      <c r="H168" s="42"/>
      <c r="I168" s="43"/>
      <c r="J168" s="42"/>
      <c r="K168" s="43"/>
    </row>
    <row r="169" ht="15.0" hidden="1" customHeight="1">
      <c r="A169" s="7"/>
      <c r="B169" s="39">
        <v>162.0</v>
      </c>
      <c r="C169" s="40" t="s">
        <v>19</v>
      </c>
      <c r="D169" s="40" t="s">
        <v>54</v>
      </c>
      <c r="E169" s="40" t="s">
        <v>61</v>
      </c>
      <c r="F169" s="40" t="s">
        <v>66</v>
      </c>
      <c r="G169" s="41" t="s">
        <v>14</v>
      </c>
      <c r="H169" s="42">
        <v>3856.0</v>
      </c>
      <c r="I169" s="43">
        <v>76.1151452</v>
      </c>
      <c r="J169" s="42">
        <v>4922.0</v>
      </c>
      <c r="K169" s="43">
        <v>84.3762698</v>
      </c>
    </row>
    <row r="170" ht="15.0" customHeight="1">
      <c r="A170" s="7"/>
      <c r="B170" s="44">
        <v>163.0</v>
      </c>
      <c r="C170" s="45" t="s">
        <v>19</v>
      </c>
      <c r="D170" s="50" t="s">
        <v>54</v>
      </c>
      <c r="E170" s="50" t="s">
        <v>61</v>
      </c>
      <c r="F170" s="50" t="s">
        <v>67</v>
      </c>
      <c r="G170" s="51" t="s">
        <v>67</v>
      </c>
      <c r="H170" s="46">
        <v>4826.0</v>
      </c>
      <c r="I170" s="47">
        <v>52.6523</v>
      </c>
      <c r="J170" s="46">
        <v>6785.0</v>
      </c>
      <c r="K170" s="47">
        <v>71.8644068</v>
      </c>
    </row>
    <row r="171" ht="15.0" hidden="1" customHeight="1">
      <c r="A171" s="7"/>
      <c r="B171" s="39">
        <v>164.0</v>
      </c>
      <c r="C171" s="40" t="s">
        <v>19</v>
      </c>
      <c r="D171" s="40" t="s">
        <v>54</v>
      </c>
      <c r="E171" s="40" t="s">
        <v>61</v>
      </c>
      <c r="F171" s="40" t="s">
        <v>67</v>
      </c>
      <c r="G171" s="41" t="s">
        <v>13</v>
      </c>
      <c r="H171" s="42"/>
      <c r="I171" s="43"/>
      <c r="J171" s="42"/>
      <c r="K171" s="43"/>
    </row>
    <row r="172" ht="15.0" hidden="1" customHeight="1">
      <c r="A172" s="7"/>
      <c r="B172" s="39">
        <v>165.0</v>
      </c>
      <c r="C172" s="40" t="s">
        <v>19</v>
      </c>
      <c r="D172" s="40" t="s">
        <v>54</v>
      </c>
      <c r="E172" s="40" t="s">
        <v>61</v>
      </c>
      <c r="F172" s="40" t="s">
        <v>67</v>
      </c>
      <c r="G172" s="41" t="s">
        <v>14</v>
      </c>
      <c r="H172" s="42">
        <v>4826.0</v>
      </c>
      <c r="I172" s="43">
        <v>52.6523</v>
      </c>
      <c r="J172" s="42">
        <v>6785.0</v>
      </c>
      <c r="K172" s="43">
        <v>71.8644068</v>
      </c>
    </row>
    <row r="173" ht="15.0" hidden="1" customHeight="1">
      <c r="A173" s="7"/>
      <c r="B173" s="35">
        <v>166.0</v>
      </c>
      <c r="C173" s="36" t="s">
        <v>17</v>
      </c>
      <c r="D173" s="49" t="s">
        <v>54</v>
      </c>
      <c r="E173" s="49" t="s">
        <v>68</v>
      </c>
      <c r="F173" s="49"/>
      <c r="G173" s="36" t="s">
        <v>68</v>
      </c>
      <c r="H173" s="37">
        <v>54290.0</v>
      </c>
      <c r="I173" s="38">
        <v>16.7028919</v>
      </c>
      <c r="J173" s="37">
        <v>67717.0</v>
      </c>
      <c r="K173" s="38">
        <v>37.0881758</v>
      </c>
    </row>
    <row r="174" ht="15.0" hidden="1" customHeight="1">
      <c r="A174" s="7"/>
      <c r="B174" s="39">
        <v>167.0</v>
      </c>
      <c r="C174" s="40" t="s">
        <v>17</v>
      </c>
      <c r="D174" s="40" t="s">
        <v>54</v>
      </c>
      <c r="E174" s="40" t="s">
        <v>68</v>
      </c>
      <c r="F174" s="40"/>
      <c r="G174" s="41" t="s">
        <v>13</v>
      </c>
      <c r="H174" s="42">
        <v>1969.0</v>
      </c>
      <c r="I174" s="43">
        <v>62.3158964</v>
      </c>
      <c r="J174" s="42">
        <v>3782.0</v>
      </c>
      <c r="K174" s="43">
        <v>93.5483871</v>
      </c>
    </row>
    <row r="175" ht="15.0" hidden="1" customHeight="1">
      <c r="A175" s="7"/>
      <c r="B175" s="39">
        <v>168.0</v>
      </c>
      <c r="C175" s="40" t="s">
        <v>17</v>
      </c>
      <c r="D175" s="40" t="s">
        <v>54</v>
      </c>
      <c r="E175" s="40" t="s">
        <v>68</v>
      </c>
      <c r="F175" s="40"/>
      <c r="G175" s="41" t="s">
        <v>14</v>
      </c>
      <c r="H175" s="42">
        <v>52321.0</v>
      </c>
      <c r="I175" s="43">
        <v>14.9863344</v>
      </c>
      <c r="J175" s="42">
        <v>63935.0</v>
      </c>
      <c r="K175" s="43">
        <v>33.7483382</v>
      </c>
    </row>
    <row r="176" ht="15.0" customHeight="1">
      <c r="A176" s="7"/>
      <c r="B176" s="44">
        <v>169.0</v>
      </c>
      <c r="C176" s="45" t="s">
        <v>19</v>
      </c>
      <c r="D176" s="50" t="s">
        <v>54</v>
      </c>
      <c r="E176" s="50" t="s">
        <v>68</v>
      </c>
      <c r="F176" s="50" t="s">
        <v>69</v>
      </c>
      <c r="G176" s="51" t="s">
        <v>69</v>
      </c>
      <c r="H176" s="46">
        <v>10288.0</v>
      </c>
      <c r="I176" s="47">
        <v>30.0349922</v>
      </c>
      <c r="J176" s="46">
        <v>13051.0</v>
      </c>
      <c r="K176" s="47">
        <v>49.0077389</v>
      </c>
    </row>
    <row r="177" ht="15.0" hidden="1" customHeight="1">
      <c r="A177" s="7"/>
      <c r="B177" s="39">
        <v>170.0</v>
      </c>
      <c r="C177" s="40" t="s">
        <v>19</v>
      </c>
      <c r="D177" s="40" t="s">
        <v>54</v>
      </c>
      <c r="E177" s="40" t="s">
        <v>68</v>
      </c>
      <c r="F177" s="40" t="s">
        <v>69</v>
      </c>
      <c r="G177" s="41" t="s">
        <v>13</v>
      </c>
      <c r="H177" s="42"/>
      <c r="I177" s="43"/>
      <c r="J177" s="42">
        <v>2041.0</v>
      </c>
      <c r="K177" s="43">
        <v>95.5414013</v>
      </c>
    </row>
    <row r="178" ht="15.0" hidden="1" customHeight="1">
      <c r="A178" s="7"/>
      <c r="B178" s="39">
        <v>171.0</v>
      </c>
      <c r="C178" s="40" t="s">
        <v>19</v>
      </c>
      <c r="D178" s="40" t="s">
        <v>54</v>
      </c>
      <c r="E178" s="40" t="s">
        <v>68</v>
      </c>
      <c r="F178" s="40" t="s">
        <v>69</v>
      </c>
      <c r="G178" s="41" t="s">
        <v>14</v>
      </c>
      <c r="H178" s="42">
        <v>10288.0</v>
      </c>
      <c r="I178" s="43">
        <v>30.0349922</v>
      </c>
      <c r="J178" s="42">
        <v>11010.0</v>
      </c>
      <c r="K178" s="43">
        <v>40.3814714</v>
      </c>
    </row>
    <row r="179" ht="15.0" customHeight="1">
      <c r="A179" s="7"/>
      <c r="B179" s="44">
        <v>172.0</v>
      </c>
      <c r="C179" s="45" t="s">
        <v>19</v>
      </c>
      <c r="D179" s="50" t="s">
        <v>54</v>
      </c>
      <c r="E179" s="50" t="s">
        <v>68</v>
      </c>
      <c r="F179" s="50" t="s">
        <v>70</v>
      </c>
      <c r="G179" s="51" t="s">
        <v>70</v>
      </c>
      <c r="H179" s="46">
        <v>14570.0</v>
      </c>
      <c r="I179" s="47">
        <v>12.9581332</v>
      </c>
      <c r="J179" s="46">
        <v>15340.0</v>
      </c>
      <c r="K179" s="47">
        <v>33.8591917</v>
      </c>
    </row>
    <row r="180" ht="15.0" hidden="1" customHeight="1">
      <c r="A180" s="7"/>
      <c r="B180" s="39">
        <v>173.0</v>
      </c>
      <c r="C180" s="40" t="s">
        <v>19</v>
      </c>
      <c r="D180" s="40" t="s">
        <v>54</v>
      </c>
      <c r="E180" s="40" t="s">
        <v>68</v>
      </c>
      <c r="F180" s="40" t="s">
        <v>70</v>
      </c>
      <c r="G180" s="41" t="s">
        <v>13</v>
      </c>
      <c r="H180" s="42"/>
      <c r="I180" s="43"/>
      <c r="J180" s="42"/>
      <c r="K180" s="43"/>
    </row>
    <row r="181" ht="15.0" hidden="1" customHeight="1">
      <c r="A181" s="7"/>
      <c r="B181" s="39">
        <v>174.0</v>
      </c>
      <c r="C181" s="40" t="s">
        <v>19</v>
      </c>
      <c r="D181" s="40" t="s">
        <v>54</v>
      </c>
      <c r="E181" s="40" t="s">
        <v>68</v>
      </c>
      <c r="F181" s="40" t="s">
        <v>70</v>
      </c>
      <c r="G181" s="41" t="s">
        <v>14</v>
      </c>
      <c r="H181" s="42">
        <v>14570.0</v>
      </c>
      <c r="I181" s="43">
        <v>12.9581332</v>
      </c>
      <c r="J181" s="42">
        <v>15340.0</v>
      </c>
      <c r="K181" s="43">
        <v>33.8591917</v>
      </c>
    </row>
    <row r="182" ht="15.0" customHeight="1">
      <c r="A182" s="7"/>
      <c r="B182" s="44">
        <v>175.0</v>
      </c>
      <c r="C182" s="45" t="s">
        <v>19</v>
      </c>
      <c r="D182" s="50" t="s">
        <v>54</v>
      </c>
      <c r="E182" s="50" t="s">
        <v>68</v>
      </c>
      <c r="F182" s="50" t="s">
        <v>71</v>
      </c>
      <c r="G182" s="51" t="s">
        <v>71</v>
      </c>
      <c r="H182" s="46">
        <v>9788.0</v>
      </c>
      <c r="I182" s="47">
        <v>4.6587658</v>
      </c>
      <c r="J182" s="46">
        <v>12156.0</v>
      </c>
      <c r="K182" s="47">
        <v>16.9710431</v>
      </c>
    </row>
    <row r="183" ht="15.0" hidden="1" customHeight="1">
      <c r="A183" s="7"/>
      <c r="B183" s="39">
        <v>176.0</v>
      </c>
      <c r="C183" s="40" t="s">
        <v>19</v>
      </c>
      <c r="D183" s="40" t="s">
        <v>54</v>
      </c>
      <c r="E183" s="40" t="s">
        <v>68</v>
      </c>
      <c r="F183" s="40" t="s">
        <v>71</v>
      </c>
      <c r="G183" s="41" t="s">
        <v>13</v>
      </c>
      <c r="H183" s="42"/>
      <c r="I183" s="43"/>
      <c r="J183" s="42"/>
      <c r="K183" s="43"/>
    </row>
    <row r="184" ht="15.0" hidden="1" customHeight="1">
      <c r="A184" s="7"/>
      <c r="B184" s="39">
        <v>177.0</v>
      </c>
      <c r="C184" s="40" t="s">
        <v>19</v>
      </c>
      <c r="D184" s="40" t="s">
        <v>54</v>
      </c>
      <c r="E184" s="40" t="s">
        <v>68</v>
      </c>
      <c r="F184" s="40" t="s">
        <v>71</v>
      </c>
      <c r="G184" s="41" t="s">
        <v>14</v>
      </c>
      <c r="H184" s="42">
        <v>9788.0</v>
      </c>
      <c r="I184" s="43">
        <v>4.6587658</v>
      </c>
      <c r="J184" s="42">
        <v>12156.0</v>
      </c>
      <c r="K184" s="43">
        <v>16.9710431</v>
      </c>
    </row>
    <row r="185" ht="15.0" customHeight="1">
      <c r="A185" s="7"/>
      <c r="B185" s="44">
        <v>178.0</v>
      </c>
      <c r="C185" s="45" t="s">
        <v>19</v>
      </c>
      <c r="D185" s="50" t="s">
        <v>54</v>
      </c>
      <c r="E185" s="50" t="s">
        <v>68</v>
      </c>
      <c r="F185" s="50" t="s">
        <v>72</v>
      </c>
      <c r="G185" s="51" t="s">
        <v>72</v>
      </c>
      <c r="H185" s="46">
        <v>3822.0</v>
      </c>
      <c r="I185" s="47">
        <v>15.3846154</v>
      </c>
      <c r="J185" s="46">
        <v>5144.0</v>
      </c>
      <c r="K185" s="47">
        <v>41.6601866</v>
      </c>
    </row>
    <row r="186" ht="15.0" hidden="1" customHeight="1">
      <c r="A186" s="7"/>
      <c r="B186" s="39">
        <v>179.0</v>
      </c>
      <c r="C186" s="40" t="s">
        <v>19</v>
      </c>
      <c r="D186" s="40" t="s">
        <v>54</v>
      </c>
      <c r="E186" s="40" t="s">
        <v>68</v>
      </c>
      <c r="F186" s="40" t="s">
        <v>72</v>
      </c>
      <c r="G186" s="41" t="s">
        <v>13</v>
      </c>
      <c r="H186" s="42"/>
      <c r="I186" s="43"/>
      <c r="J186" s="42"/>
      <c r="K186" s="43"/>
    </row>
    <row r="187" ht="15.0" hidden="1" customHeight="1">
      <c r="A187" s="7"/>
      <c r="B187" s="39">
        <v>180.0</v>
      </c>
      <c r="C187" s="40" t="s">
        <v>19</v>
      </c>
      <c r="D187" s="40" t="s">
        <v>54</v>
      </c>
      <c r="E187" s="40" t="s">
        <v>68</v>
      </c>
      <c r="F187" s="40" t="s">
        <v>72</v>
      </c>
      <c r="G187" s="41" t="s">
        <v>14</v>
      </c>
      <c r="H187" s="42">
        <v>3822.0</v>
      </c>
      <c r="I187" s="43">
        <v>15.3846154</v>
      </c>
      <c r="J187" s="42">
        <v>5144.0</v>
      </c>
      <c r="K187" s="43">
        <v>41.6601866</v>
      </c>
    </row>
    <row r="188" ht="15.0" customHeight="1">
      <c r="A188" s="7"/>
      <c r="B188" s="44">
        <v>181.0</v>
      </c>
      <c r="C188" s="45" t="s">
        <v>19</v>
      </c>
      <c r="D188" s="50" t="s">
        <v>54</v>
      </c>
      <c r="E188" s="50" t="s">
        <v>68</v>
      </c>
      <c r="F188" s="50" t="s">
        <v>73</v>
      </c>
      <c r="G188" s="51" t="s">
        <v>73</v>
      </c>
      <c r="H188" s="46">
        <v>3017.0</v>
      </c>
      <c r="I188" s="47">
        <v>24.8591316</v>
      </c>
      <c r="J188" s="46">
        <v>4113.0</v>
      </c>
      <c r="K188" s="47">
        <v>37.0532458</v>
      </c>
    </row>
    <row r="189" ht="15.0" hidden="1" customHeight="1">
      <c r="A189" s="7"/>
      <c r="B189" s="39">
        <v>182.0</v>
      </c>
      <c r="C189" s="40" t="s">
        <v>19</v>
      </c>
      <c r="D189" s="40" t="s">
        <v>54</v>
      </c>
      <c r="E189" s="40" t="s">
        <v>68</v>
      </c>
      <c r="F189" s="40" t="s">
        <v>73</v>
      </c>
      <c r="G189" s="41" t="s">
        <v>13</v>
      </c>
      <c r="H189" s="42"/>
      <c r="I189" s="43"/>
      <c r="J189" s="42"/>
      <c r="K189" s="43"/>
    </row>
    <row r="190" ht="15.0" hidden="1" customHeight="1">
      <c r="A190" s="7"/>
      <c r="B190" s="39">
        <v>183.0</v>
      </c>
      <c r="C190" s="40" t="s">
        <v>19</v>
      </c>
      <c r="D190" s="40" t="s">
        <v>54</v>
      </c>
      <c r="E190" s="40" t="s">
        <v>68</v>
      </c>
      <c r="F190" s="40" t="s">
        <v>73</v>
      </c>
      <c r="G190" s="41" t="s">
        <v>14</v>
      </c>
      <c r="H190" s="42">
        <v>3017.0</v>
      </c>
      <c r="I190" s="43">
        <v>24.8591316</v>
      </c>
      <c r="J190" s="42">
        <v>4113.0</v>
      </c>
      <c r="K190" s="43">
        <v>37.0532458</v>
      </c>
    </row>
    <row r="191" ht="15.0" customHeight="1">
      <c r="A191" s="7"/>
      <c r="B191" s="44">
        <v>184.0</v>
      </c>
      <c r="C191" s="45" t="s">
        <v>19</v>
      </c>
      <c r="D191" s="50" t="s">
        <v>54</v>
      </c>
      <c r="E191" s="50" t="s">
        <v>68</v>
      </c>
      <c r="F191" s="50" t="s">
        <v>74</v>
      </c>
      <c r="G191" s="51" t="s">
        <v>74</v>
      </c>
      <c r="H191" s="46">
        <v>4982.0</v>
      </c>
      <c r="I191" s="47">
        <v>33.8619029</v>
      </c>
      <c r="J191" s="46">
        <v>6018.0</v>
      </c>
      <c r="K191" s="47">
        <v>80.2592223</v>
      </c>
    </row>
    <row r="192" ht="15.0" hidden="1" customHeight="1">
      <c r="A192" s="7"/>
      <c r="B192" s="39">
        <v>185.0</v>
      </c>
      <c r="C192" s="40" t="s">
        <v>19</v>
      </c>
      <c r="D192" s="40" t="s">
        <v>54</v>
      </c>
      <c r="E192" s="40" t="s">
        <v>68</v>
      </c>
      <c r="F192" s="40" t="s">
        <v>74</v>
      </c>
      <c r="G192" s="41" t="s">
        <v>13</v>
      </c>
      <c r="H192" s="42">
        <v>1969.0</v>
      </c>
      <c r="I192" s="43">
        <v>62.3158964</v>
      </c>
      <c r="J192" s="42">
        <v>1741.0</v>
      </c>
      <c r="K192" s="43">
        <v>91.2119472</v>
      </c>
    </row>
    <row r="193" ht="15.0" hidden="1" customHeight="1">
      <c r="A193" s="7"/>
      <c r="B193" s="39">
        <v>186.0</v>
      </c>
      <c r="C193" s="40" t="s">
        <v>19</v>
      </c>
      <c r="D193" s="40" t="s">
        <v>54</v>
      </c>
      <c r="E193" s="40" t="s">
        <v>68</v>
      </c>
      <c r="F193" s="40" t="s">
        <v>74</v>
      </c>
      <c r="G193" s="41" t="s">
        <v>14</v>
      </c>
      <c r="H193" s="42">
        <v>3013.0</v>
      </c>
      <c r="I193" s="43">
        <v>15.2671756</v>
      </c>
      <c r="J193" s="42">
        <v>4277.0</v>
      </c>
      <c r="K193" s="43">
        <v>75.8007949</v>
      </c>
    </row>
    <row r="194" ht="15.0" customHeight="1">
      <c r="A194" s="7"/>
      <c r="B194" s="44">
        <v>187.0</v>
      </c>
      <c r="C194" s="45" t="s">
        <v>19</v>
      </c>
      <c r="D194" s="50" t="s">
        <v>54</v>
      </c>
      <c r="E194" s="50" t="s">
        <v>68</v>
      </c>
      <c r="F194" s="50" t="s">
        <v>75</v>
      </c>
      <c r="G194" s="51" t="s">
        <v>75</v>
      </c>
      <c r="H194" s="46">
        <v>596.0</v>
      </c>
      <c r="I194" s="47">
        <v>38.7583893</v>
      </c>
      <c r="J194" s="46">
        <v>3914.0</v>
      </c>
      <c r="K194" s="47">
        <v>42.7695452</v>
      </c>
    </row>
    <row r="195" ht="15.0" hidden="1" customHeight="1">
      <c r="A195" s="7"/>
      <c r="B195" s="39">
        <v>188.0</v>
      </c>
      <c r="C195" s="40" t="s">
        <v>19</v>
      </c>
      <c r="D195" s="40" t="s">
        <v>54</v>
      </c>
      <c r="E195" s="40" t="s">
        <v>68</v>
      </c>
      <c r="F195" s="40" t="s">
        <v>75</v>
      </c>
      <c r="G195" s="41" t="s">
        <v>13</v>
      </c>
      <c r="H195" s="42"/>
      <c r="I195" s="43"/>
      <c r="J195" s="42"/>
      <c r="K195" s="43"/>
    </row>
    <row r="196" ht="15.0" hidden="1" customHeight="1">
      <c r="A196" s="7"/>
      <c r="B196" s="39">
        <v>189.0</v>
      </c>
      <c r="C196" s="40" t="s">
        <v>19</v>
      </c>
      <c r="D196" s="40" t="s">
        <v>54</v>
      </c>
      <c r="E196" s="40" t="s">
        <v>68</v>
      </c>
      <c r="F196" s="40" t="s">
        <v>75</v>
      </c>
      <c r="G196" s="41" t="s">
        <v>14</v>
      </c>
      <c r="H196" s="42">
        <v>596.0</v>
      </c>
      <c r="I196" s="43">
        <v>38.7583893</v>
      </c>
      <c r="J196" s="42">
        <v>3914.0</v>
      </c>
      <c r="K196" s="43">
        <v>42.7695452</v>
      </c>
    </row>
    <row r="197" ht="15.0" customHeight="1">
      <c r="A197" s="7"/>
      <c r="B197" s="44">
        <v>190.0</v>
      </c>
      <c r="C197" s="45" t="s">
        <v>19</v>
      </c>
      <c r="D197" s="50" t="s">
        <v>54</v>
      </c>
      <c r="E197" s="50" t="s">
        <v>68</v>
      </c>
      <c r="F197" s="50" t="s">
        <v>76</v>
      </c>
      <c r="G197" s="51" t="s">
        <v>76</v>
      </c>
      <c r="H197" s="46">
        <v>7227.0</v>
      </c>
      <c r="I197" s="47">
        <v>5.2303861</v>
      </c>
      <c r="J197" s="46">
        <v>7981.0</v>
      </c>
      <c r="K197" s="47">
        <v>16.1759178</v>
      </c>
    </row>
    <row r="198" ht="15.0" hidden="1" customHeight="1">
      <c r="A198" s="7"/>
      <c r="B198" s="39">
        <v>191.0</v>
      </c>
      <c r="C198" s="40" t="s">
        <v>19</v>
      </c>
      <c r="D198" s="40" t="s">
        <v>54</v>
      </c>
      <c r="E198" s="40" t="s">
        <v>68</v>
      </c>
      <c r="F198" s="40" t="s">
        <v>76</v>
      </c>
      <c r="G198" s="41" t="s">
        <v>13</v>
      </c>
      <c r="H198" s="42"/>
      <c r="I198" s="43"/>
      <c r="J198" s="42"/>
      <c r="K198" s="43"/>
    </row>
    <row r="199" ht="15.0" hidden="1" customHeight="1">
      <c r="A199" s="7"/>
      <c r="B199" s="39">
        <v>192.0</v>
      </c>
      <c r="C199" s="40" t="s">
        <v>19</v>
      </c>
      <c r="D199" s="40" t="s">
        <v>54</v>
      </c>
      <c r="E199" s="40" t="s">
        <v>68</v>
      </c>
      <c r="F199" s="40" t="s">
        <v>76</v>
      </c>
      <c r="G199" s="41" t="s">
        <v>14</v>
      </c>
      <c r="H199" s="42">
        <v>7227.0</v>
      </c>
      <c r="I199" s="43">
        <v>5.2303861</v>
      </c>
      <c r="J199" s="42">
        <v>7981.0</v>
      </c>
      <c r="K199" s="43">
        <v>16.1759178</v>
      </c>
    </row>
    <row r="200" ht="15.0" hidden="1" customHeight="1">
      <c r="A200" s="7"/>
      <c r="B200" s="35">
        <v>193.0</v>
      </c>
      <c r="C200" s="36" t="s">
        <v>17</v>
      </c>
      <c r="D200" s="49" t="s">
        <v>54</v>
      </c>
      <c r="E200" s="49" t="s">
        <v>77</v>
      </c>
      <c r="F200" s="49"/>
      <c r="G200" s="36" t="s">
        <v>77</v>
      </c>
      <c r="H200" s="37">
        <v>53311.0</v>
      </c>
      <c r="I200" s="38">
        <v>17.5029544</v>
      </c>
      <c r="J200" s="37">
        <v>62414.0</v>
      </c>
      <c r="K200" s="38">
        <v>33.957125</v>
      </c>
    </row>
    <row r="201" ht="15.0" hidden="1" customHeight="1">
      <c r="A201" s="7"/>
      <c r="B201" s="39">
        <v>194.0</v>
      </c>
      <c r="C201" s="40" t="s">
        <v>17</v>
      </c>
      <c r="D201" s="40" t="s">
        <v>54</v>
      </c>
      <c r="E201" s="40" t="s">
        <v>77</v>
      </c>
      <c r="F201" s="40"/>
      <c r="G201" s="41" t="s">
        <v>13</v>
      </c>
      <c r="H201" s="42"/>
      <c r="I201" s="43"/>
      <c r="J201" s="42"/>
      <c r="K201" s="43"/>
    </row>
    <row r="202" ht="15.0" hidden="1" customHeight="1">
      <c r="A202" s="7"/>
      <c r="B202" s="39">
        <v>195.0</v>
      </c>
      <c r="C202" s="40" t="s">
        <v>17</v>
      </c>
      <c r="D202" s="40" t="s">
        <v>54</v>
      </c>
      <c r="E202" s="40" t="s">
        <v>77</v>
      </c>
      <c r="F202" s="40"/>
      <c r="G202" s="41" t="s">
        <v>14</v>
      </c>
      <c r="H202" s="42">
        <v>53311.0</v>
      </c>
      <c r="I202" s="43">
        <v>17.5029544</v>
      </c>
      <c r="J202" s="42">
        <v>62414.0</v>
      </c>
      <c r="K202" s="43">
        <v>33.957125</v>
      </c>
    </row>
    <row r="203" ht="15.0" customHeight="1">
      <c r="A203" s="7"/>
      <c r="B203" s="44">
        <v>196.0</v>
      </c>
      <c r="C203" s="45" t="s">
        <v>19</v>
      </c>
      <c r="D203" s="50" t="s">
        <v>54</v>
      </c>
      <c r="E203" s="50" t="s">
        <v>77</v>
      </c>
      <c r="F203" s="50" t="s">
        <v>78</v>
      </c>
      <c r="G203" s="51" t="s">
        <v>78</v>
      </c>
      <c r="H203" s="46">
        <v>11171.0</v>
      </c>
      <c r="I203" s="47">
        <v>22.3793752</v>
      </c>
      <c r="J203" s="46">
        <v>13773.0</v>
      </c>
      <c r="K203" s="47">
        <v>33.6382778</v>
      </c>
    </row>
    <row r="204" ht="15.0" hidden="1" customHeight="1">
      <c r="A204" s="7"/>
      <c r="B204" s="39">
        <v>197.0</v>
      </c>
      <c r="C204" s="40" t="s">
        <v>19</v>
      </c>
      <c r="D204" s="40" t="s">
        <v>54</v>
      </c>
      <c r="E204" s="40" t="s">
        <v>77</v>
      </c>
      <c r="F204" s="40" t="s">
        <v>78</v>
      </c>
      <c r="G204" s="41" t="s">
        <v>13</v>
      </c>
      <c r="H204" s="42"/>
      <c r="I204" s="43"/>
      <c r="J204" s="42"/>
      <c r="K204" s="43"/>
    </row>
    <row r="205" ht="15.0" hidden="1" customHeight="1">
      <c r="A205" s="7"/>
      <c r="B205" s="39">
        <v>198.0</v>
      </c>
      <c r="C205" s="40" t="s">
        <v>19</v>
      </c>
      <c r="D205" s="40" t="s">
        <v>54</v>
      </c>
      <c r="E205" s="40" t="s">
        <v>77</v>
      </c>
      <c r="F205" s="40" t="s">
        <v>78</v>
      </c>
      <c r="G205" s="41" t="s">
        <v>14</v>
      </c>
      <c r="H205" s="42">
        <v>11171.0</v>
      </c>
      <c r="I205" s="43">
        <v>22.3793752</v>
      </c>
      <c r="J205" s="42">
        <v>13773.0</v>
      </c>
      <c r="K205" s="43">
        <v>33.6382778</v>
      </c>
    </row>
    <row r="206" ht="15.0" customHeight="1">
      <c r="A206" s="7"/>
      <c r="B206" s="44">
        <v>199.0</v>
      </c>
      <c r="C206" s="45" t="s">
        <v>19</v>
      </c>
      <c r="D206" s="50" t="s">
        <v>54</v>
      </c>
      <c r="E206" s="50" t="s">
        <v>77</v>
      </c>
      <c r="F206" s="50" t="s">
        <v>79</v>
      </c>
      <c r="G206" s="51" t="s">
        <v>79</v>
      </c>
      <c r="H206" s="46">
        <v>15504.0</v>
      </c>
      <c r="I206" s="47">
        <v>12.7063983</v>
      </c>
      <c r="J206" s="46">
        <v>17575.0</v>
      </c>
      <c r="K206" s="47">
        <v>26.3726885</v>
      </c>
    </row>
    <row r="207" ht="15.0" hidden="1" customHeight="1">
      <c r="A207" s="7"/>
      <c r="B207" s="39">
        <v>200.0</v>
      </c>
      <c r="C207" s="40" t="s">
        <v>19</v>
      </c>
      <c r="D207" s="40" t="s">
        <v>54</v>
      </c>
      <c r="E207" s="40" t="s">
        <v>77</v>
      </c>
      <c r="F207" s="40" t="s">
        <v>79</v>
      </c>
      <c r="G207" s="41" t="s">
        <v>13</v>
      </c>
      <c r="H207" s="42"/>
      <c r="I207" s="43"/>
      <c r="J207" s="42"/>
      <c r="K207" s="43"/>
    </row>
    <row r="208" ht="15.0" hidden="1" customHeight="1">
      <c r="A208" s="7"/>
      <c r="B208" s="39">
        <v>201.0</v>
      </c>
      <c r="C208" s="40" t="s">
        <v>19</v>
      </c>
      <c r="D208" s="40" t="s">
        <v>54</v>
      </c>
      <c r="E208" s="40" t="s">
        <v>77</v>
      </c>
      <c r="F208" s="40" t="s">
        <v>79</v>
      </c>
      <c r="G208" s="41" t="s">
        <v>14</v>
      </c>
      <c r="H208" s="42">
        <v>15504.0</v>
      </c>
      <c r="I208" s="43">
        <v>12.7063983</v>
      </c>
      <c r="J208" s="42">
        <v>17575.0</v>
      </c>
      <c r="K208" s="43">
        <v>26.3726885</v>
      </c>
    </row>
    <row r="209" ht="15.0" customHeight="1">
      <c r="A209" s="7"/>
      <c r="B209" s="44">
        <v>202.0</v>
      </c>
      <c r="C209" s="45" t="s">
        <v>19</v>
      </c>
      <c r="D209" s="50" t="s">
        <v>54</v>
      </c>
      <c r="E209" s="50" t="s">
        <v>77</v>
      </c>
      <c r="F209" s="50" t="s">
        <v>80</v>
      </c>
      <c r="G209" s="51" t="s">
        <v>80</v>
      </c>
      <c r="H209" s="46">
        <v>14247.0</v>
      </c>
      <c r="I209" s="47">
        <v>16.9649751</v>
      </c>
      <c r="J209" s="46">
        <v>16879.0</v>
      </c>
      <c r="K209" s="47">
        <v>34.4984892</v>
      </c>
    </row>
    <row r="210" ht="15.0" hidden="1" customHeight="1">
      <c r="A210" s="7"/>
      <c r="B210" s="39">
        <v>203.0</v>
      </c>
      <c r="C210" s="40" t="s">
        <v>19</v>
      </c>
      <c r="D210" s="40" t="s">
        <v>54</v>
      </c>
      <c r="E210" s="40" t="s">
        <v>77</v>
      </c>
      <c r="F210" s="40" t="s">
        <v>80</v>
      </c>
      <c r="G210" s="41" t="s">
        <v>13</v>
      </c>
      <c r="H210" s="42"/>
      <c r="I210" s="43"/>
      <c r="J210" s="42"/>
      <c r="K210" s="43"/>
    </row>
    <row r="211" ht="15.0" hidden="1" customHeight="1">
      <c r="A211" s="7"/>
      <c r="B211" s="39">
        <v>204.0</v>
      </c>
      <c r="C211" s="40" t="s">
        <v>19</v>
      </c>
      <c r="D211" s="40" t="s">
        <v>54</v>
      </c>
      <c r="E211" s="40" t="s">
        <v>77</v>
      </c>
      <c r="F211" s="40" t="s">
        <v>80</v>
      </c>
      <c r="G211" s="41" t="s">
        <v>14</v>
      </c>
      <c r="H211" s="42">
        <v>14247.0</v>
      </c>
      <c r="I211" s="43">
        <v>16.9649751</v>
      </c>
      <c r="J211" s="42">
        <v>16879.0</v>
      </c>
      <c r="K211" s="43">
        <v>34.4984892</v>
      </c>
    </row>
    <row r="212" ht="15.0" customHeight="1">
      <c r="A212" s="7"/>
      <c r="B212" s="44">
        <v>205.0</v>
      </c>
      <c r="C212" s="45" t="s">
        <v>19</v>
      </c>
      <c r="D212" s="50" t="s">
        <v>54</v>
      </c>
      <c r="E212" s="50" t="s">
        <v>77</v>
      </c>
      <c r="F212" s="50" t="s">
        <v>81</v>
      </c>
      <c r="G212" s="51" t="s">
        <v>81</v>
      </c>
      <c r="H212" s="46">
        <v>5285.0</v>
      </c>
      <c r="I212" s="47">
        <v>11.8448439</v>
      </c>
      <c r="J212" s="46">
        <v>5584.0</v>
      </c>
      <c r="K212" s="47">
        <v>33.7034384</v>
      </c>
    </row>
    <row r="213" ht="15.0" hidden="1" customHeight="1">
      <c r="A213" s="7"/>
      <c r="B213" s="39">
        <v>206.0</v>
      </c>
      <c r="C213" s="40" t="s">
        <v>19</v>
      </c>
      <c r="D213" s="40" t="s">
        <v>54</v>
      </c>
      <c r="E213" s="40" t="s">
        <v>77</v>
      </c>
      <c r="F213" s="40" t="s">
        <v>81</v>
      </c>
      <c r="G213" s="41" t="s">
        <v>13</v>
      </c>
      <c r="H213" s="42"/>
      <c r="I213" s="43"/>
      <c r="J213" s="42"/>
      <c r="K213" s="43"/>
    </row>
    <row r="214" ht="15.0" hidden="1" customHeight="1">
      <c r="A214" s="7"/>
      <c r="B214" s="39">
        <v>207.0</v>
      </c>
      <c r="C214" s="40" t="s">
        <v>19</v>
      </c>
      <c r="D214" s="40" t="s">
        <v>54</v>
      </c>
      <c r="E214" s="40" t="s">
        <v>77</v>
      </c>
      <c r="F214" s="40" t="s">
        <v>81</v>
      </c>
      <c r="G214" s="41" t="s">
        <v>14</v>
      </c>
      <c r="H214" s="42">
        <v>5285.0</v>
      </c>
      <c r="I214" s="43">
        <v>11.8448439</v>
      </c>
      <c r="J214" s="42">
        <v>5584.0</v>
      </c>
      <c r="K214" s="43">
        <v>33.7034384</v>
      </c>
    </row>
    <row r="215" ht="15.0" customHeight="1">
      <c r="A215" s="7"/>
      <c r="B215" s="44">
        <v>208.0</v>
      </c>
      <c r="C215" s="45" t="s">
        <v>19</v>
      </c>
      <c r="D215" s="50" t="s">
        <v>54</v>
      </c>
      <c r="E215" s="50" t="s">
        <v>77</v>
      </c>
      <c r="F215" s="50" t="s">
        <v>82</v>
      </c>
      <c r="G215" s="51" t="s">
        <v>82</v>
      </c>
      <c r="H215" s="46">
        <v>7104.0</v>
      </c>
      <c r="I215" s="47">
        <v>25.5912162</v>
      </c>
      <c r="J215" s="46">
        <v>8603.0</v>
      </c>
      <c r="K215" s="47">
        <v>49.0642799</v>
      </c>
    </row>
    <row r="216" ht="15.0" hidden="1" customHeight="1">
      <c r="A216" s="7"/>
      <c r="B216" s="39">
        <v>209.0</v>
      </c>
      <c r="C216" s="40" t="s">
        <v>19</v>
      </c>
      <c r="D216" s="40" t="s">
        <v>54</v>
      </c>
      <c r="E216" s="40" t="s">
        <v>77</v>
      </c>
      <c r="F216" s="40" t="s">
        <v>82</v>
      </c>
      <c r="G216" s="41" t="s">
        <v>13</v>
      </c>
      <c r="H216" s="42"/>
      <c r="I216" s="43"/>
      <c r="J216" s="42"/>
      <c r="K216" s="43"/>
    </row>
    <row r="217" ht="15.0" hidden="1" customHeight="1">
      <c r="A217" s="7"/>
      <c r="B217" s="39">
        <v>210.0</v>
      </c>
      <c r="C217" s="40" t="s">
        <v>19</v>
      </c>
      <c r="D217" s="40" t="s">
        <v>54</v>
      </c>
      <c r="E217" s="40" t="s">
        <v>77</v>
      </c>
      <c r="F217" s="40" t="s">
        <v>82</v>
      </c>
      <c r="G217" s="41" t="s">
        <v>14</v>
      </c>
      <c r="H217" s="42">
        <v>7104.0</v>
      </c>
      <c r="I217" s="43">
        <v>25.5912162</v>
      </c>
      <c r="J217" s="42">
        <v>8603.0</v>
      </c>
      <c r="K217" s="43">
        <v>49.0642799</v>
      </c>
    </row>
    <row r="218" ht="15.0" hidden="1" customHeight="1">
      <c r="A218" s="7"/>
      <c r="B218" s="35">
        <v>211.0</v>
      </c>
      <c r="C218" s="36" t="s">
        <v>17</v>
      </c>
      <c r="D218" s="49" t="s">
        <v>54</v>
      </c>
      <c r="E218" s="49" t="s">
        <v>83</v>
      </c>
      <c r="F218" s="49"/>
      <c r="G218" s="36" t="s">
        <v>83</v>
      </c>
      <c r="H218" s="37">
        <v>25020.0</v>
      </c>
      <c r="I218" s="38">
        <v>9.7082334</v>
      </c>
      <c r="J218" s="37">
        <v>32912.0</v>
      </c>
      <c r="K218" s="38">
        <v>24.1765921</v>
      </c>
    </row>
    <row r="219" ht="15.0" hidden="1" customHeight="1">
      <c r="A219" s="7"/>
      <c r="B219" s="39">
        <v>212.0</v>
      </c>
      <c r="C219" s="40" t="s">
        <v>17</v>
      </c>
      <c r="D219" s="40" t="s">
        <v>54</v>
      </c>
      <c r="E219" s="40" t="s">
        <v>83</v>
      </c>
      <c r="F219" s="40"/>
      <c r="G219" s="41" t="s">
        <v>13</v>
      </c>
      <c r="H219" s="42"/>
      <c r="I219" s="43"/>
      <c r="J219" s="42"/>
      <c r="K219" s="43"/>
    </row>
    <row r="220" ht="15.0" hidden="1" customHeight="1">
      <c r="A220" s="7"/>
      <c r="B220" s="39">
        <v>213.0</v>
      </c>
      <c r="C220" s="40" t="s">
        <v>17</v>
      </c>
      <c r="D220" s="40" t="s">
        <v>54</v>
      </c>
      <c r="E220" s="40" t="s">
        <v>83</v>
      </c>
      <c r="F220" s="40"/>
      <c r="G220" s="41" t="s">
        <v>14</v>
      </c>
      <c r="H220" s="42">
        <v>25020.0</v>
      </c>
      <c r="I220" s="43">
        <v>9.7082334</v>
      </c>
      <c r="J220" s="42">
        <v>32912.0</v>
      </c>
      <c r="K220" s="43">
        <v>24.1765921</v>
      </c>
    </row>
    <row r="221" ht="15.0" customHeight="1">
      <c r="A221" s="7"/>
      <c r="B221" s="44">
        <v>214.0</v>
      </c>
      <c r="C221" s="45" t="s">
        <v>19</v>
      </c>
      <c r="D221" s="50" t="s">
        <v>54</v>
      </c>
      <c r="E221" s="50" t="s">
        <v>83</v>
      </c>
      <c r="F221" s="50" t="s">
        <v>84</v>
      </c>
      <c r="G221" s="51" t="s">
        <v>84</v>
      </c>
      <c r="H221" s="46">
        <v>11399.0</v>
      </c>
      <c r="I221" s="47">
        <v>7.614703</v>
      </c>
      <c r="J221" s="46">
        <v>17594.0</v>
      </c>
      <c r="K221" s="47">
        <v>19.8249403</v>
      </c>
    </row>
    <row r="222" ht="15.0" hidden="1" customHeight="1">
      <c r="A222" s="7"/>
      <c r="B222" s="39">
        <v>215.0</v>
      </c>
      <c r="C222" s="40" t="s">
        <v>19</v>
      </c>
      <c r="D222" s="40" t="s">
        <v>54</v>
      </c>
      <c r="E222" s="40" t="s">
        <v>83</v>
      </c>
      <c r="F222" s="40" t="s">
        <v>84</v>
      </c>
      <c r="G222" s="41" t="s">
        <v>13</v>
      </c>
      <c r="H222" s="42"/>
      <c r="I222" s="43"/>
      <c r="J222" s="42"/>
      <c r="K222" s="43"/>
    </row>
    <row r="223" ht="15.0" hidden="1" customHeight="1">
      <c r="A223" s="7"/>
      <c r="B223" s="39">
        <v>216.0</v>
      </c>
      <c r="C223" s="40" t="s">
        <v>19</v>
      </c>
      <c r="D223" s="40" t="s">
        <v>54</v>
      </c>
      <c r="E223" s="40" t="s">
        <v>83</v>
      </c>
      <c r="F223" s="40" t="s">
        <v>84</v>
      </c>
      <c r="G223" s="41" t="s">
        <v>14</v>
      </c>
      <c r="H223" s="42">
        <v>11399.0</v>
      </c>
      <c r="I223" s="43">
        <v>7.614703</v>
      </c>
      <c r="J223" s="42">
        <v>17594.0</v>
      </c>
      <c r="K223" s="43">
        <v>19.8249403</v>
      </c>
    </row>
    <row r="224" ht="15.0" customHeight="1">
      <c r="A224" s="7"/>
      <c r="B224" s="44">
        <v>217.0</v>
      </c>
      <c r="C224" s="45" t="s">
        <v>19</v>
      </c>
      <c r="D224" s="50" t="s">
        <v>54</v>
      </c>
      <c r="E224" s="50" t="s">
        <v>83</v>
      </c>
      <c r="F224" s="50" t="s">
        <v>85</v>
      </c>
      <c r="G224" s="51" t="s">
        <v>85</v>
      </c>
      <c r="H224" s="46">
        <v>8223.0</v>
      </c>
      <c r="I224" s="47">
        <v>6.3115651</v>
      </c>
      <c r="J224" s="46">
        <v>8939.0</v>
      </c>
      <c r="K224" s="47">
        <v>19.3086475</v>
      </c>
    </row>
    <row r="225" ht="15.0" hidden="1" customHeight="1">
      <c r="A225" s="7"/>
      <c r="B225" s="39">
        <v>218.0</v>
      </c>
      <c r="C225" s="40" t="s">
        <v>19</v>
      </c>
      <c r="D225" s="40" t="s">
        <v>54</v>
      </c>
      <c r="E225" s="40" t="s">
        <v>83</v>
      </c>
      <c r="F225" s="40" t="s">
        <v>85</v>
      </c>
      <c r="G225" s="41" t="s">
        <v>13</v>
      </c>
      <c r="H225" s="42"/>
      <c r="I225" s="43"/>
      <c r="J225" s="42"/>
      <c r="K225" s="43"/>
    </row>
    <row r="226" ht="15.0" hidden="1" customHeight="1">
      <c r="A226" s="7"/>
      <c r="B226" s="39">
        <v>219.0</v>
      </c>
      <c r="C226" s="40" t="s">
        <v>19</v>
      </c>
      <c r="D226" s="40" t="s">
        <v>54</v>
      </c>
      <c r="E226" s="40" t="s">
        <v>83</v>
      </c>
      <c r="F226" s="40" t="s">
        <v>85</v>
      </c>
      <c r="G226" s="41" t="s">
        <v>14</v>
      </c>
      <c r="H226" s="42">
        <v>8223.0</v>
      </c>
      <c r="I226" s="43">
        <v>6.3115651</v>
      </c>
      <c r="J226" s="42">
        <v>8939.0</v>
      </c>
      <c r="K226" s="43">
        <v>19.3086475</v>
      </c>
    </row>
    <row r="227" ht="15.0" customHeight="1">
      <c r="A227" s="7"/>
      <c r="B227" s="44">
        <v>220.0</v>
      </c>
      <c r="C227" s="45" t="s">
        <v>19</v>
      </c>
      <c r="D227" s="50" t="s">
        <v>54</v>
      </c>
      <c r="E227" s="50" t="s">
        <v>83</v>
      </c>
      <c r="F227" s="50" t="s">
        <v>86</v>
      </c>
      <c r="G227" s="51" t="s">
        <v>86</v>
      </c>
      <c r="H227" s="46">
        <v>5398.0</v>
      </c>
      <c r="I227" s="47">
        <v>19.3034457</v>
      </c>
      <c r="J227" s="46">
        <v>6379.0</v>
      </c>
      <c r="K227" s="47">
        <v>43.0004703</v>
      </c>
    </row>
    <row r="228" ht="15.0" hidden="1" customHeight="1">
      <c r="A228" s="7"/>
      <c r="B228" s="39">
        <v>221.0</v>
      </c>
      <c r="C228" s="40" t="s">
        <v>19</v>
      </c>
      <c r="D228" s="40" t="s">
        <v>54</v>
      </c>
      <c r="E228" s="40" t="s">
        <v>83</v>
      </c>
      <c r="F228" s="40" t="s">
        <v>86</v>
      </c>
      <c r="G228" s="41" t="s">
        <v>13</v>
      </c>
      <c r="H228" s="42"/>
      <c r="I228" s="43"/>
      <c r="J228" s="42"/>
      <c r="K228" s="43"/>
    </row>
    <row r="229" ht="15.0" hidden="1" customHeight="1">
      <c r="A229" s="7"/>
      <c r="B229" s="39">
        <v>222.0</v>
      </c>
      <c r="C229" s="40" t="s">
        <v>19</v>
      </c>
      <c r="D229" s="40" t="s">
        <v>54</v>
      </c>
      <c r="E229" s="40" t="s">
        <v>83</v>
      </c>
      <c r="F229" s="40" t="s">
        <v>86</v>
      </c>
      <c r="G229" s="41" t="s">
        <v>14</v>
      </c>
      <c r="H229" s="42">
        <v>5398.0</v>
      </c>
      <c r="I229" s="43">
        <v>19.3034457</v>
      </c>
      <c r="J229" s="42">
        <v>6379.0</v>
      </c>
      <c r="K229" s="43">
        <v>43.0004703</v>
      </c>
    </row>
    <row r="230" ht="15.0" hidden="1" customHeight="1">
      <c r="A230" s="7"/>
      <c r="B230" s="35">
        <v>223.0</v>
      </c>
      <c r="C230" s="36" t="s">
        <v>17</v>
      </c>
      <c r="D230" s="49" t="s">
        <v>54</v>
      </c>
      <c r="E230" s="49" t="s">
        <v>87</v>
      </c>
      <c r="F230" s="49"/>
      <c r="G230" s="36" t="s">
        <v>87</v>
      </c>
      <c r="H230" s="37">
        <v>82849.0</v>
      </c>
      <c r="I230" s="38">
        <v>52.5184372</v>
      </c>
      <c r="J230" s="37">
        <v>102193.0</v>
      </c>
      <c r="K230" s="38">
        <v>64.9819459</v>
      </c>
    </row>
    <row r="231" ht="15.0" hidden="1" customHeight="1">
      <c r="A231" s="7"/>
      <c r="B231" s="39">
        <v>224.0</v>
      </c>
      <c r="C231" s="40" t="s">
        <v>17</v>
      </c>
      <c r="D231" s="40" t="s">
        <v>54</v>
      </c>
      <c r="E231" s="40" t="s">
        <v>87</v>
      </c>
      <c r="F231" s="40"/>
      <c r="G231" s="41" t="s">
        <v>13</v>
      </c>
      <c r="H231" s="42">
        <v>14716.0</v>
      </c>
      <c r="I231" s="43">
        <v>95.0394129</v>
      </c>
      <c r="J231" s="42">
        <v>23195.0</v>
      </c>
      <c r="K231" s="43">
        <v>97.4520371</v>
      </c>
    </row>
    <row r="232" ht="15.0" hidden="1" customHeight="1">
      <c r="A232" s="7"/>
      <c r="B232" s="39">
        <v>225.0</v>
      </c>
      <c r="C232" s="40" t="s">
        <v>17</v>
      </c>
      <c r="D232" s="40" t="s">
        <v>54</v>
      </c>
      <c r="E232" s="40" t="s">
        <v>87</v>
      </c>
      <c r="F232" s="40"/>
      <c r="G232" s="41" t="s">
        <v>14</v>
      </c>
      <c r="H232" s="42">
        <v>68133.0</v>
      </c>
      <c r="I232" s="43">
        <v>43.3343607</v>
      </c>
      <c r="J232" s="42">
        <v>78998.0</v>
      </c>
      <c r="K232" s="43">
        <v>55.4482392</v>
      </c>
    </row>
    <row r="233" ht="15.0" customHeight="1">
      <c r="A233" s="7"/>
      <c r="B233" s="44">
        <v>226.0</v>
      </c>
      <c r="C233" s="45" t="s">
        <v>19</v>
      </c>
      <c r="D233" s="50" t="s">
        <v>54</v>
      </c>
      <c r="E233" s="50" t="s">
        <v>87</v>
      </c>
      <c r="F233" s="50" t="s">
        <v>88</v>
      </c>
      <c r="G233" s="51" t="s">
        <v>88</v>
      </c>
      <c r="H233" s="46">
        <v>23130.0</v>
      </c>
      <c r="I233" s="47">
        <v>32.5205361</v>
      </c>
      <c r="J233" s="46">
        <v>29483.0</v>
      </c>
      <c r="K233" s="47">
        <v>46.8134179</v>
      </c>
    </row>
    <row r="234" ht="15.0" hidden="1" customHeight="1">
      <c r="A234" s="7"/>
      <c r="B234" s="39">
        <v>227.0</v>
      </c>
      <c r="C234" s="40" t="s">
        <v>19</v>
      </c>
      <c r="D234" s="40" t="s">
        <v>54</v>
      </c>
      <c r="E234" s="40" t="s">
        <v>87</v>
      </c>
      <c r="F234" s="40" t="s">
        <v>88</v>
      </c>
      <c r="G234" s="41" t="s">
        <v>13</v>
      </c>
      <c r="H234" s="42">
        <v>2710.0</v>
      </c>
      <c r="I234" s="43">
        <v>88.4132841</v>
      </c>
      <c r="J234" s="42">
        <v>3820.0</v>
      </c>
      <c r="K234" s="43">
        <v>91.5968586</v>
      </c>
    </row>
    <row r="235" ht="15.0" hidden="1" customHeight="1">
      <c r="A235" s="7"/>
      <c r="B235" s="39">
        <v>228.0</v>
      </c>
      <c r="C235" s="40" t="s">
        <v>19</v>
      </c>
      <c r="D235" s="40" t="s">
        <v>54</v>
      </c>
      <c r="E235" s="40" t="s">
        <v>87</v>
      </c>
      <c r="F235" s="40" t="s">
        <v>88</v>
      </c>
      <c r="G235" s="41" t="s">
        <v>14</v>
      </c>
      <c r="H235" s="42">
        <v>20420.0</v>
      </c>
      <c r="I235" s="43">
        <v>25.1028404</v>
      </c>
      <c r="J235" s="42">
        <v>25663.0</v>
      </c>
      <c r="K235" s="43">
        <v>40.1472938</v>
      </c>
    </row>
    <row r="236" ht="15.0" customHeight="1">
      <c r="A236" s="7"/>
      <c r="B236" s="44">
        <v>229.0</v>
      </c>
      <c r="C236" s="45" t="s">
        <v>19</v>
      </c>
      <c r="D236" s="50" t="s">
        <v>54</v>
      </c>
      <c r="E236" s="50" t="s">
        <v>87</v>
      </c>
      <c r="F236" s="50" t="s">
        <v>89</v>
      </c>
      <c r="G236" s="51" t="s">
        <v>89</v>
      </c>
      <c r="H236" s="46">
        <v>14263.0</v>
      </c>
      <c r="I236" s="47">
        <v>60.9058403</v>
      </c>
      <c r="J236" s="46">
        <v>15828.0</v>
      </c>
      <c r="K236" s="47">
        <v>81.1157443</v>
      </c>
    </row>
    <row r="237" ht="15.0" hidden="1" customHeight="1">
      <c r="A237" s="7"/>
      <c r="B237" s="39">
        <v>230.0</v>
      </c>
      <c r="C237" s="40" t="s">
        <v>19</v>
      </c>
      <c r="D237" s="40" t="s">
        <v>54</v>
      </c>
      <c r="E237" s="40" t="s">
        <v>87</v>
      </c>
      <c r="F237" s="40" t="s">
        <v>89</v>
      </c>
      <c r="G237" s="41" t="s">
        <v>13</v>
      </c>
      <c r="H237" s="42">
        <v>4004.0</v>
      </c>
      <c r="I237" s="43">
        <v>97.4525475</v>
      </c>
      <c r="J237" s="42">
        <v>4372.0</v>
      </c>
      <c r="K237" s="43">
        <v>99.5882891</v>
      </c>
    </row>
    <row r="238" ht="15.0" hidden="1" customHeight="1">
      <c r="A238" s="7"/>
      <c r="B238" s="39">
        <v>231.0</v>
      </c>
      <c r="C238" s="40" t="s">
        <v>19</v>
      </c>
      <c r="D238" s="40" t="s">
        <v>54</v>
      </c>
      <c r="E238" s="40" t="s">
        <v>87</v>
      </c>
      <c r="F238" s="40" t="s">
        <v>89</v>
      </c>
      <c r="G238" s="41" t="s">
        <v>14</v>
      </c>
      <c r="H238" s="42">
        <v>10259.0</v>
      </c>
      <c r="I238" s="43">
        <v>46.6419729</v>
      </c>
      <c r="J238" s="42">
        <v>11456.0</v>
      </c>
      <c r="K238" s="43">
        <v>74.0659916</v>
      </c>
    </row>
    <row r="239" ht="15.0" customHeight="1">
      <c r="A239" s="7"/>
      <c r="B239" s="44">
        <v>232.0</v>
      </c>
      <c r="C239" s="45" t="s">
        <v>19</v>
      </c>
      <c r="D239" s="50" t="s">
        <v>54</v>
      </c>
      <c r="E239" s="50" t="s">
        <v>87</v>
      </c>
      <c r="F239" s="50" t="s">
        <v>90</v>
      </c>
      <c r="G239" s="51" t="s">
        <v>90</v>
      </c>
      <c r="H239" s="46">
        <v>7822.0</v>
      </c>
      <c r="I239" s="47">
        <v>37.5479417</v>
      </c>
      <c r="J239" s="46">
        <v>9428.0</v>
      </c>
      <c r="K239" s="47">
        <v>47.6771319</v>
      </c>
    </row>
    <row r="240" ht="15.0" hidden="1" customHeight="1">
      <c r="A240" s="7"/>
      <c r="B240" s="39">
        <v>233.0</v>
      </c>
      <c r="C240" s="40" t="s">
        <v>19</v>
      </c>
      <c r="D240" s="40" t="s">
        <v>54</v>
      </c>
      <c r="E240" s="40" t="s">
        <v>87</v>
      </c>
      <c r="F240" s="40" t="s">
        <v>90</v>
      </c>
      <c r="G240" s="41" t="s">
        <v>13</v>
      </c>
      <c r="H240" s="42"/>
      <c r="I240" s="43"/>
      <c r="J240" s="42"/>
      <c r="K240" s="43"/>
    </row>
    <row r="241" ht="15.0" hidden="1" customHeight="1">
      <c r="A241" s="7"/>
      <c r="B241" s="39">
        <v>234.0</v>
      </c>
      <c r="C241" s="40" t="s">
        <v>19</v>
      </c>
      <c r="D241" s="40" t="s">
        <v>54</v>
      </c>
      <c r="E241" s="40" t="s">
        <v>87</v>
      </c>
      <c r="F241" s="40" t="s">
        <v>90</v>
      </c>
      <c r="G241" s="41" t="s">
        <v>14</v>
      </c>
      <c r="H241" s="42">
        <v>7822.0</v>
      </c>
      <c r="I241" s="43">
        <v>37.5479417</v>
      </c>
      <c r="J241" s="42">
        <v>9428.0</v>
      </c>
      <c r="K241" s="43">
        <v>47.6771319</v>
      </c>
    </row>
    <row r="242" ht="15.0" customHeight="1">
      <c r="A242" s="7"/>
      <c r="B242" s="44">
        <v>235.0</v>
      </c>
      <c r="C242" s="45" t="s">
        <v>19</v>
      </c>
      <c r="D242" s="50" t="s">
        <v>54</v>
      </c>
      <c r="E242" s="50" t="s">
        <v>87</v>
      </c>
      <c r="F242" s="50" t="s">
        <v>91</v>
      </c>
      <c r="G242" s="51" t="s">
        <v>91</v>
      </c>
      <c r="H242" s="46">
        <v>2580.0</v>
      </c>
      <c r="I242" s="47">
        <v>18.1007752</v>
      </c>
      <c r="J242" s="46">
        <v>4071.0</v>
      </c>
      <c r="K242" s="47">
        <v>19.5038074</v>
      </c>
    </row>
    <row r="243" ht="15.0" hidden="1" customHeight="1">
      <c r="A243" s="7"/>
      <c r="B243" s="39">
        <v>236.0</v>
      </c>
      <c r="C243" s="40" t="s">
        <v>19</v>
      </c>
      <c r="D243" s="40" t="s">
        <v>54</v>
      </c>
      <c r="E243" s="40" t="s">
        <v>87</v>
      </c>
      <c r="F243" s="40" t="s">
        <v>91</v>
      </c>
      <c r="G243" s="41" t="s">
        <v>13</v>
      </c>
      <c r="H243" s="42"/>
      <c r="I243" s="43"/>
      <c r="J243" s="42"/>
      <c r="K243" s="43"/>
    </row>
    <row r="244" ht="15.0" hidden="1" customHeight="1">
      <c r="A244" s="7"/>
      <c r="B244" s="39">
        <v>237.0</v>
      </c>
      <c r="C244" s="40" t="s">
        <v>19</v>
      </c>
      <c r="D244" s="40" t="s">
        <v>54</v>
      </c>
      <c r="E244" s="40" t="s">
        <v>87</v>
      </c>
      <c r="F244" s="40" t="s">
        <v>91</v>
      </c>
      <c r="G244" s="41" t="s">
        <v>14</v>
      </c>
      <c r="H244" s="42">
        <v>2580.0</v>
      </c>
      <c r="I244" s="43">
        <v>18.1007752</v>
      </c>
      <c r="J244" s="42">
        <v>4071.0</v>
      </c>
      <c r="K244" s="43">
        <v>19.5038074</v>
      </c>
    </row>
    <row r="245" ht="15.0" customHeight="1">
      <c r="A245" s="7"/>
      <c r="B245" s="44">
        <v>238.0</v>
      </c>
      <c r="C245" s="45" t="s">
        <v>19</v>
      </c>
      <c r="D245" s="50" t="s">
        <v>54</v>
      </c>
      <c r="E245" s="50" t="s">
        <v>87</v>
      </c>
      <c r="F245" s="50" t="s">
        <v>92</v>
      </c>
      <c r="G245" s="51" t="s">
        <v>92</v>
      </c>
      <c r="H245" s="46">
        <v>3673.0</v>
      </c>
      <c r="I245" s="47">
        <v>13.2589164</v>
      </c>
      <c r="J245" s="46">
        <v>3476.0</v>
      </c>
      <c r="K245" s="47">
        <v>28.9700806</v>
      </c>
    </row>
    <row r="246" ht="15.0" hidden="1" customHeight="1">
      <c r="A246" s="7"/>
      <c r="B246" s="39">
        <v>239.0</v>
      </c>
      <c r="C246" s="40" t="s">
        <v>19</v>
      </c>
      <c r="D246" s="40" t="s">
        <v>54</v>
      </c>
      <c r="E246" s="40" t="s">
        <v>87</v>
      </c>
      <c r="F246" s="40" t="s">
        <v>92</v>
      </c>
      <c r="G246" s="41" t="s">
        <v>13</v>
      </c>
      <c r="H246" s="42"/>
      <c r="I246" s="43"/>
      <c r="J246" s="42"/>
      <c r="K246" s="43"/>
    </row>
    <row r="247" ht="15.0" hidden="1" customHeight="1">
      <c r="A247" s="7"/>
      <c r="B247" s="39">
        <v>240.0</v>
      </c>
      <c r="C247" s="40" t="s">
        <v>19</v>
      </c>
      <c r="D247" s="40" t="s">
        <v>54</v>
      </c>
      <c r="E247" s="40" t="s">
        <v>87</v>
      </c>
      <c r="F247" s="40" t="s">
        <v>92</v>
      </c>
      <c r="G247" s="41" t="s">
        <v>14</v>
      </c>
      <c r="H247" s="42">
        <v>3673.0</v>
      </c>
      <c r="I247" s="43">
        <v>13.2589164</v>
      </c>
      <c r="J247" s="42">
        <v>3476.0</v>
      </c>
      <c r="K247" s="43">
        <v>28.9700806</v>
      </c>
    </row>
    <row r="248" ht="15.0" customHeight="1">
      <c r="A248" s="7"/>
      <c r="B248" s="44">
        <v>241.0</v>
      </c>
      <c r="C248" s="45" t="s">
        <v>19</v>
      </c>
      <c r="D248" s="50" t="s">
        <v>54</v>
      </c>
      <c r="E248" s="50" t="s">
        <v>87</v>
      </c>
      <c r="F248" s="50" t="s">
        <v>93</v>
      </c>
      <c r="G248" s="51" t="s">
        <v>93</v>
      </c>
      <c r="H248" s="46">
        <v>9477.0</v>
      </c>
      <c r="I248" s="47">
        <v>92.2232774</v>
      </c>
      <c r="J248" s="46">
        <v>7369.0</v>
      </c>
      <c r="K248" s="47">
        <v>95.1960917</v>
      </c>
    </row>
    <row r="249" ht="15.0" hidden="1" customHeight="1">
      <c r="A249" s="7"/>
      <c r="B249" s="39">
        <v>242.0</v>
      </c>
      <c r="C249" s="40" t="s">
        <v>19</v>
      </c>
      <c r="D249" s="40" t="s">
        <v>54</v>
      </c>
      <c r="E249" s="40" t="s">
        <v>87</v>
      </c>
      <c r="F249" s="40" t="s">
        <v>93</v>
      </c>
      <c r="G249" s="41" t="s">
        <v>13</v>
      </c>
      <c r="H249" s="42">
        <v>2340.0</v>
      </c>
      <c r="I249" s="43">
        <v>97.6068376</v>
      </c>
      <c r="J249" s="42">
        <v>2196.0</v>
      </c>
      <c r="K249" s="43">
        <v>96.4936248</v>
      </c>
    </row>
    <row r="250" ht="15.0" hidden="1" customHeight="1">
      <c r="A250" s="7"/>
      <c r="B250" s="39">
        <v>243.0</v>
      </c>
      <c r="C250" s="40" t="s">
        <v>19</v>
      </c>
      <c r="D250" s="40" t="s">
        <v>54</v>
      </c>
      <c r="E250" s="40" t="s">
        <v>87</v>
      </c>
      <c r="F250" s="40" t="s">
        <v>93</v>
      </c>
      <c r="G250" s="41" t="s">
        <v>14</v>
      </c>
      <c r="H250" s="42">
        <v>7137.0</v>
      </c>
      <c r="I250" s="43">
        <v>90.4581757</v>
      </c>
      <c r="J250" s="42">
        <v>5173.0</v>
      </c>
      <c r="K250" s="43">
        <v>94.6452735</v>
      </c>
    </row>
    <row r="251" ht="15.0" customHeight="1">
      <c r="A251" s="7"/>
      <c r="B251" s="44">
        <v>244.0</v>
      </c>
      <c r="C251" s="45" t="s">
        <v>19</v>
      </c>
      <c r="D251" s="50" t="s">
        <v>54</v>
      </c>
      <c r="E251" s="50" t="s">
        <v>87</v>
      </c>
      <c r="F251" s="50" t="s">
        <v>94</v>
      </c>
      <c r="G251" s="51" t="s">
        <v>94</v>
      </c>
      <c r="H251" s="46">
        <v>12928.0</v>
      </c>
      <c r="I251" s="47">
        <v>83.2456683</v>
      </c>
      <c r="J251" s="46">
        <v>19688.0</v>
      </c>
      <c r="K251" s="47">
        <v>93.9658675</v>
      </c>
    </row>
    <row r="252" ht="15.0" hidden="1" customHeight="1">
      <c r="A252" s="7"/>
      <c r="B252" s="39">
        <v>245.0</v>
      </c>
      <c r="C252" s="40" t="s">
        <v>19</v>
      </c>
      <c r="D252" s="40" t="s">
        <v>54</v>
      </c>
      <c r="E252" s="40" t="s">
        <v>87</v>
      </c>
      <c r="F252" s="40" t="s">
        <v>94</v>
      </c>
      <c r="G252" s="41" t="s">
        <v>13</v>
      </c>
      <c r="H252" s="42">
        <v>5662.0</v>
      </c>
      <c r="I252" s="43">
        <v>95.4433063</v>
      </c>
      <c r="J252" s="42">
        <v>9922.0</v>
      </c>
      <c r="K252" s="43">
        <v>98.9014312</v>
      </c>
    </row>
    <row r="253" ht="15.0" hidden="1" customHeight="1">
      <c r="A253" s="7"/>
      <c r="B253" s="39">
        <v>246.0</v>
      </c>
      <c r="C253" s="40" t="s">
        <v>19</v>
      </c>
      <c r="D253" s="40" t="s">
        <v>54</v>
      </c>
      <c r="E253" s="40" t="s">
        <v>87</v>
      </c>
      <c r="F253" s="40" t="s">
        <v>94</v>
      </c>
      <c r="G253" s="41" t="s">
        <v>14</v>
      </c>
      <c r="H253" s="42">
        <v>7266.0</v>
      </c>
      <c r="I253" s="43">
        <v>73.7407102</v>
      </c>
      <c r="J253" s="42">
        <v>9766.0</v>
      </c>
      <c r="K253" s="43">
        <v>88.9514643</v>
      </c>
    </row>
    <row r="254" ht="15.0" customHeight="1">
      <c r="A254" s="7"/>
      <c r="B254" s="44">
        <v>247.0</v>
      </c>
      <c r="C254" s="45" t="s">
        <v>19</v>
      </c>
      <c r="D254" s="50" t="s">
        <v>54</v>
      </c>
      <c r="E254" s="50" t="s">
        <v>87</v>
      </c>
      <c r="F254" s="50" t="s">
        <v>95</v>
      </c>
      <c r="G254" s="51" t="s">
        <v>95</v>
      </c>
      <c r="H254" s="46">
        <v>8976.0</v>
      </c>
      <c r="I254" s="47">
        <v>43.5494652</v>
      </c>
      <c r="J254" s="46">
        <v>12850.0</v>
      </c>
      <c r="K254" s="47">
        <v>61.9066148</v>
      </c>
    </row>
    <row r="255" ht="15.0" hidden="1" customHeight="1">
      <c r="A255" s="7"/>
      <c r="B255" s="39">
        <v>248.0</v>
      </c>
      <c r="C255" s="40" t="s">
        <v>19</v>
      </c>
      <c r="D255" s="40" t="s">
        <v>54</v>
      </c>
      <c r="E255" s="40" t="s">
        <v>87</v>
      </c>
      <c r="F255" s="40" t="s">
        <v>95</v>
      </c>
      <c r="G255" s="41" t="s">
        <v>13</v>
      </c>
      <c r="H255" s="42"/>
      <c r="I255" s="43"/>
      <c r="J255" s="42">
        <v>2885.0</v>
      </c>
      <c r="K255" s="43">
        <v>97.712305</v>
      </c>
    </row>
    <row r="256" ht="15.0" hidden="1" customHeight="1">
      <c r="A256" s="7"/>
      <c r="B256" s="39">
        <v>249.0</v>
      </c>
      <c r="C256" s="40" t="s">
        <v>19</v>
      </c>
      <c r="D256" s="40" t="s">
        <v>54</v>
      </c>
      <c r="E256" s="40" t="s">
        <v>87</v>
      </c>
      <c r="F256" s="40" t="s">
        <v>95</v>
      </c>
      <c r="G256" s="41" t="s">
        <v>14</v>
      </c>
      <c r="H256" s="42">
        <v>8976.0</v>
      </c>
      <c r="I256" s="43">
        <v>43.5494652</v>
      </c>
      <c r="J256" s="42">
        <v>9965.0</v>
      </c>
      <c r="K256" s="43">
        <v>51.5403914</v>
      </c>
    </row>
    <row r="257" ht="15.0" hidden="1" customHeight="1">
      <c r="A257" s="7"/>
      <c r="B257" s="35">
        <v>250.0</v>
      </c>
      <c r="C257" s="36" t="s">
        <v>17</v>
      </c>
      <c r="D257" s="49" t="s">
        <v>54</v>
      </c>
      <c r="E257" s="49" t="s">
        <v>96</v>
      </c>
      <c r="F257" s="49"/>
      <c r="G257" s="36" t="s">
        <v>96</v>
      </c>
      <c r="H257" s="37">
        <v>24362.0</v>
      </c>
      <c r="I257" s="38">
        <v>38.1988343</v>
      </c>
      <c r="J257" s="37">
        <v>26793.0</v>
      </c>
      <c r="K257" s="38">
        <v>57.5224872</v>
      </c>
    </row>
    <row r="258" ht="15.0" hidden="1" customHeight="1">
      <c r="A258" s="7"/>
      <c r="B258" s="39">
        <v>251.0</v>
      </c>
      <c r="C258" s="40" t="s">
        <v>17</v>
      </c>
      <c r="D258" s="40" t="s">
        <v>54</v>
      </c>
      <c r="E258" s="40" t="s">
        <v>96</v>
      </c>
      <c r="F258" s="40"/>
      <c r="G258" s="41" t="s">
        <v>13</v>
      </c>
      <c r="H258" s="42">
        <v>4785.0</v>
      </c>
      <c r="I258" s="43">
        <v>82.0480669</v>
      </c>
      <c r="J258" s="42">
        <v>5189.0</v>
      </c>
      <c r="K258" s="43">
        <v>91.5205242</v>
      </c>
    </row>
    <row r="259" ht="15.0" hidden="1" customHeight="1">
      <c r="A259" s="7"/>
      <c r="B259" s="39">
        <v>252.0</v>
      </c>
      <c r="C259" s="40" t="s">
        <v>17</v>
      </c>
      <c r="D259" s="40" t="s">
        <v>54</v>
      </c>
      <c r="E259" s="40" t="s">
        <v>96</v>
      </c>
      <c r="F259" s="40"/>
      <c r="G259" s="41" t="s">
        <v>14</v>
      </c>
      <c r="H259" s="42">
        <v>19577.0</v>
      </c>
      <c r="I259" s="43">
        <v>27.481228</v>
      </c>
      <c r="J259" s="42">
        <v>21604.0</v>
      </c>
      <c r="K259" s="43">
        <v>49.3566006</v>
      </c>
    </row>
    <row r="260" ht="15.0" customHeight="1">
      <c r="A260" s="7"/>
      <c r="B260" s="44">
        <v>253.0</v>
      </c>
      <c r="C260" s="45" t="s">
        <v>19</v>
      </c>
      <c r="D260" s="50" t="s">
        <v>54</v>
      </c>
      <c r="E260" s="50" t="s">
        <v>96</v>
      </c>
      <c r="F260" s="50" t="s">
        <v>97</v>
      </c>
      <c r="G260" s="51" t="s">
        <v>97</v>
      </c>
      <c r="H260" s="46">
        <v>18386.0</v>
      </c>
      <c r="I260" s="47">
        <v>34.6024149</v>
      </c>
      <c r="J260" s="46">
        <v>18369.0</v>
      </c>
      <c r="K260" s="47">
        <v>44.8418531</v>
      </c>
    </row>
    <row r="261" ht="15.0" hidden="1" customHeight="1">
      <c r="A261" s="7"/>
      <c r="B261" s="39">
        <v>254.0</v>
      </c>
      <c r="C261" s="40" t="s">
        <v>19</v>
      </c>
      <c r="D261" s="40" t="s">
        <v>54</v>
      </c>
      <c r="E261" s="40" t="s">
        <v>96</v>
      </c>
      <c r="F261" s="40" t="s">
        <v>97</v>
      </c>
      <c r="G261" s="41" t="s">
        <v>13</v>
      </c>
      <c r="H261" s="42">
        <v>4785.0</v>
      </c>
      <c r="I261" s="43">
        <v>82.0480669</v>
      </c>
      <c r="J261" s="42">
        <v>5189.0</v>
      </c>
      <c r="K261" s="43">
        <v>91.5205242</v>
      </c>
    </row>
    <row r="262" ht="15.0" hidden="1" customHeight="1">
      <c r="A262" s="7"/>
      <c r="B262" s="39">
        <v>255.0</v>
      </c>
      <c r="C262" s="40" t="s">
        <v>19</v>
      </c>
      <c r="D262" s="40" t="s">
        <v>54</v>
      </c>
      <c r="E262" s="40" t="s">
        <v>96</v>
      </c>
      <c r="F262" s="40" t="s">
        <v>97</v>
      </c>
      <c r="G262" s="41" t="s">
        <v>14</v>
      </c>
      <c r="H262" s="42">
        <v>13601.0</v>
      </c>
      <c r="I262" s="43">
        <v>17.9104478</v>
      </c>
      <c r="J262" s="42">
        <v>13180.0</v>
      </c>
      <c r="K262" s="43">
        <v>26.4643399</v>
      </c>
    </row>
    <row r="263" ht="15.0" customHeight="1">
      <c r="A263" s="7"/>
      <c r="B263" s="44">
        <v>256.0</v>
      </c>
      <c r="C263" s="45" t="s">
        <v>19</v>
      </c>
      <c r="D263" s="50" t="s">
        <v>54</v>
      </c>
      <c r="E263" s="50" t="s">
        <v>96</v>
      </c>
      <c r="F263" s="50" t="s">
        <v>98</v>
      </c>
      <c r="G263" s="51" t="s">
        <v>98</v>
      </c>
      <c r="H263" s="46">
        <v>5976.0</v>
      </c>
      <c r="I263" s="47">
        <v>49.2637216</v>
      </c>
      <c r="J263" s="46">
        <v>8424.0</v>
      </c>
      <c r="K263" s="47">
        <v>85.1733143</v>
      </c>
    </row>
    <row r="264" ht="15.0" hidden="1" customHeight="1">
      <c r="A264" s="7"/>
      <c r="B264" s="39">
        <v>257.0</v>
      </c>
      <c r="C264" s="40" t="s">
        <v>19</v>
      </c>
      <c r="D264" s="40" t="s">
        <v>54</v>
      </c>
      <c r="E264" s="40" t="s">
        <v>96</v>
      </c>
      <c r="F264" s="40" t="s">
        <v>98</v>
      </c>
      <c r="G264" s="41" t="s">
        <v>13</v>
      </c>
      <c r="H264" s="42"/>
      <c r="I264" s="43"/>
      <c r="J264" s="42"/>
      <c r="K264" s="43"/>
    </row>
    <row r="265" ht="15.0" hidden="1" customHeight="1">
      <c r="A265" s="7"/>
      <c r="B265" s="39">
        <v>258.0</v>
      </c>
      <c r="C265" s="40" t="s">
        <v>19</v>
      </c>
      <c r="D265" s="40" t="s">
        <v>54</v>
      </c>
      <c r="E265" s="40" t="s">
        <v>96</v>
      </c>
      <c r="F265" s="40" t="s">
        <v>98</v>
      </c>
      <c r="G265" s="41" t="s">
        <v>14</v>
      </c>
      <c r="H265" s="42">
        <v>5976.0</v>
      </c>
      <c r="I265" s="43">
        <v>49.2637216</v>
      </c>
      <c r="J265" s="42">
        <v>8424.0</v>
      </c>
      <c r="K265" s="43">
        <v>85.1733143</v>
      </c>
    </row>
    <row r="266" ht="15.0" hidden="1" customHeight="1">
      <c r="A266" s="7"/>
      <c r="B266" s="35">
        <v>259.0</v>
      </c>
      <c r="C266" s="36" t="s">
        <v>17</v>
      </c>
      <c r="D266" s="49" t="s">
        <v>54</v>
      </c>
      <c r="E266" s="49" t="s">
        <v>99</v>
      </c>
      <c r="F266" s="49"/>
      <c r="G266" s="36" t="s">
        <v>99</v>
      </c>
      <c r="H266" s="37">
        <v>131005.0</v>
      </c>
      <c r="I266" s="38">
        <v>66.7829472</v>
      </c>
      <c r="J266" s="37">
        <v>170306.0</v>
      </c>
      <c r="K266" s="38">
        <v>85.1379282</v>
      </c>
    </row>
    <row r="267" ht="15.0" hidden="1" customHeight="1">
      <c r="A267" s="7"/>
      <c r="B267" s="39">
        <v>260.0</v>
      </c>
      <c r="C267" s="40" t="s">
        <v>17</v>
      </c>
      <c r="D267" s="40" t="s">
        <v>54</v>
      </c>
      <c r="E267" s="40" t="s">
        <v>99</v>
      </c>
      <c r="F267" s="40"/>
      <c r="G267" s="41" t="s">
        <v>13</v>
      </c>
      <c r="H267" s="42">
        <v>66242.0</v>
      </c>
      <c r="I267" s="43">
        <v>95.6160744</v>
      </c>
      <c r="J267" s="42">
        <v>92851.0</v>
      </c>
      <c r="K267" s="43">
        <v>99.0996327</v>
      </c>
    </row>
    <row r="268" ht="15.0" hidden="1" customHeight="1">
      <c r="A268" s="7"/>
      <c r="B268" s="39">
        <v>261.0</v>
      </c>
      <c r="C268" s="40" t="s">
        <v>17</v>
      </c>
      <c r="D268" s="40" t="s">
        <v>54</v>
      </c>
      <c r="E268" s="40" t="s">
        <v>99</v>
      </c>
      <c r="F268" s="40"/>
      <c r="G268" s="41" t="s">
        <v>14</v>
      </c>
      <c r="H268" s="42">
        <v>64763.0</v>
      </c>
      <c r="I268" s="43">
        <v>37.2913546</v>
      </c>
      <c r="J268" s="42">
        <v>77455.0</v>
      </c>
      <c r="K268" s="43">
        <v>68.401007</v>
      </c>
    </row>
    <row r="269" ht="15.0" customHeight="1">
      <c r="A269" s="7"/>
      <c r="B269" s="44">
        <v>262.0</v>
      </c>
      <c r="C269" s="45" t="s">
        <v>19</v>
      </c>
      <c r="D269" s="50" t="s">
        <v>54</v>
      </c>
      <c r="E269" s="50" t="s">
        <v>99</v>
      </c>
      <c r="F269" s="50" t="s">
        <v>100</v>
      </c>
      <c r="G269" s="51" t="s">
        <v>100</v>
      </c>
      <c r="H269" s="46">
        <v>77736.0</v>
      </c>
      <c r="I269" s="47">
        <v>86.1171143</v>
      </c>
      <c r="J269" s="46">
        <v>109219.0</v>
      </c>
      <c r="K269" s="47">
        <v>95.0301687</v>
      </c>
    </row>
    <row r="270" ht="15.0" hidden="1" customHeight="1">
      <c r="A270" s="7"/>
      <c r="B270" s="39">
        <v>263.0</v>
      </c>
      <c r="C270" s="40" t="s">
        <v>19</v>
      </c>
      <c r="D270" s="40" t="s">
        <v>54</v>
      </c>
      <c r="E270" s="40" t="s">
        <v>99</v>
      </c>
      <c r="F270" s="40" t="s">
        <v>100</v>
      </c>
      <c r="G270" s="41" t="s">
        <v>13</v>
      </c>
      <c r="H270" s="42">
        <v>60482.0</v>
      </c>
      <c r="I270" s="43">
        <v>97.5992857</v>
      </c>
      <c r="J270" s="42">
        <v>88096.0</v>
      </c>
      <c r="K270" s="43">
        <v>99.0907646</v>
      </c>
    </row>
    <row r="271" ht="15.0" hidden="1" customHeight="1">
      <c r="A271" s="7"/>
      <c r="B271" s="39">
        <v>264.0</v>
      </c>
      <c r="C271" s="40" t="s">
        <v>19</v>
      </c>
      <c r="D271" s="40" t="s">
        <v>54</v>
      </c>
      <c r="E271" s="40" t="s">
        <v>99</v>
      </c>
      <c r="F271" s="40" t="s">
        <v>100</v>
      </c>
      <c r="G271" s="41" t="s">
        <v>14</v>
      </c>
      <c r="H271" s="42">
        <v>17254.0</v>
      </c>
      <c r="I271" s="43">
        <v>45.8676249</v>
      </c>
      <c r="J271" s="42">
        <v>21123.0</v>
      </c>
      <c r="K271" s="43">
        <v>78.0949676</v>
      </c>
    </row>
    <row r="272" ht="15.0" customHeight="1">
      <c r="A272" s="7"/>
      <c r="B272" s="44">
        <v>265.0</v>
      </c>
      <c r="C272" s="45" t="s">
        <v>19</v>
      </c>
      <c r="D272" s="50" t="s">
        <v>54</v>
      </c>
      <c r="E272" s="50" t="s">
        <v>99</v>
      </c>
      <c r="F272" s="50" t="s">
        <v>101</v>
      </c>
      <c r="G272" s="51" t="s">
        <v>101</v>
      </c>
      <c r="H272" s="46">
        <v>6970.0</v>
      </c>
      <c r="I272" s="47">
        <v>52.9124821</v>
      </c>
      <c r="J272" s="46">
        <v>8070.0</v>
      </c>
      <c r="K272" s="47">
        <v>86.5055762</v>
      </c>
    </row>
    <row r="273" ht="15.0" hidden="1" customHeight="1">
      <c r="A273" s="7"/>
      <c r="B273" s="39">
        <v>266.0</v>
      </c>
      <c r="C273" s="40" t="s">
        <v>19</v>
      </c>
      <c r="D273" s="40" t="s">
        <v>54</v>
      </c>
      <c r="E273" s="40" t="s">
        <v>99</v>
      </c>
      <c r="F273" s="40" t="s">
        <v>101</v>
      </c>
      <c r="G273" s="41" t="s">
        <v>13</v>
      </c>
      <c r="H273" s="42"/>
      <c r="I273" s="43"/>
      <c r="J273" s="42"/>
      <c r="K273" s="43"/>
    </row>
    <row r="274" ht="15.0" hidden="1" customHeight="1">
      <c r="A274" s="7"/>
      <c r="B274" s="39">
        <v>267.0</v>
      </c>
      <c r="C274" s="40" t="s">
        <v>19</v>
      </c>
      <c r="D274" s="40" t="s">
        <v>54</v>
      </c>
      <c r="E274" s="40" t="s">
        <v>99</v>
      </c>
      <c r="F274" s="40" t="s">
        <v>101</v>
      </c>
      <c r="G274" s="41" t="s">
        <v>14</v>
      </c>
      <c r="H274" s="42">
        <v>6970.0</v>
      </c>
      <c r="I274" s="43">
        <v>52.9124821</v>
      </c>
      <c r="J274" s="42">
        <v>8070.0</v>
      </c>
      <c r="K274" s="43">
        <v>86.5055762</v>
      </c>
    </row>
    <row r="275" ht="15.0" customHeight="1">
      <c r="A275" s="7"/>
      <c r="B275" s="44">
        <v>268.0</v>
      </c>
      <c r="C275" s="45" t="s">
        <v>19</v>
      </c>
      <c r="D275" s="50" t="s">
        <v>54</v>
      </c>
      <c r="E275" s="50" t="s">
        <v>99</v>
      </c>
      <c r="F275" s="50" t="s">
        <v>102</v>
      </c>
      <c r="G275" s="51" t="s">
        <v>102</v>
      </c>
      <c r="H275" s="46">
        <v>12059.0</v>
      </c>
      <c r="I275" s="47">
        <v>32.6726926</v>
      </c>
      <c r="J275" s="46">
        <v>13339.0</v>
      </c>
      <c r="K275" s="47">
        <v>68.2434965</v>
      </c>
    </row>
    <row r="276" ht="15.0" hidden="1" customHeight="1">
      <c r="A276" s="7"/>
      <c r="B276" s="39">
        <v>269.0</v>
      </c>
      <c r="C276" s="40" t="s">
        <v>19</v>
      </c>
      <c r="D276" s="40" t="s">
        <v>54</v>
      </c>
      <c r="E276" s="40" t="s">
        <v>99</v>
      </c>
      <c r="F276" s="40" t="s">
        <v>102</v>
      </c>
      <c r="G276" s="41" t="s">
        <v>13</v>
      </c>
      <c r="H276" s="42">
        <v>1966.0</v>
      </c>
      <c r="I276" s="43">
        <v>28.1790437</v>
      </c>
      <c r="J276" s="42"/>
      <c r="K276" s="43"/>
    </row>
    <row r="277" ht="15.0" hidden="1" customHeight="1">
      <c r="A277" s="7"/>
      <c r="B277" s="39">
        <v>270.0</v>
      </c>
      <c r="C277" s="40" t="s">
        <v>19</v>
      </c>
      <c r="D277" s="40" t="s">
        <v>54</v>
      </c>
      <c r="E277" s="40" t="s">
        <v>99</v>
      </c>
      <c r="F277" s="40" t="s">
        <v>102</v>
      </c>
      <c r="G277" s="41" t="s">
        <v>14</v>
      </c>
      <c r="H277" s="42">
        <v>10093.0</v>
      </c>
      <c r="I277" s="43">
        <v>33.5480036</v>
      </c>
      <c r="J277" s="42">
        <v>13339.0</v>
      </c>
      <c r="K277" s="43">
        <v>68.2434965</v>
      </c>
    </row>
    <row r="278" ht="15.0" customHeight="1">
      <c r="A278" s="7"/>
      <c r="B278" s="44">
        <v>271.0</v>
      </c>
      <c r="C278" s="45" t="s">
        <v>19</v>
      </c>
      <c r="D278" s="50" t="s">
        <v>54</v>
      </c>
      <c r="E278" s="50" t="s">
        <v>99</v>
      </c>
      <c r="F278" s="50" t="s">
        <v>103</v>
      </c>
      <c r="G278" s="51" t="s">
        <v>103</v>
      </c>
      <c r="H278" s="46">
        <v>6690.0</v>
      </c>
      <c r="I278" s="47">
        <v>75.4110613</v>
      </c>
      <c r="J278" s="46">
        <v>7684.0</v>
      </c>
      <c r="K278" s="47">
        <v>91.3196252</v>
      </c>
    </row>
    <row r="279" ht="15.0" hidden="1" customHeight="1">
      <c r="A279" s="7"/>
      <c r="B279" s="39">
        <v>272.0</v>
      </c>
      <c r="C279" s="40" t="s">
        <v>19</v>
      </c>
      <c r="D279" s="40" t="s">
        <v>54</v>
      </c>
      <c r="E279" s="40" t="s">
        <v>99</v>
      </c>
      <c r="F279" s="40" t="s">
        <v>103</v>
      </c>
      <c r="G279" s="41" t="s">
        <v>13</v>
      </c>
      <c r="H279" s="42">
        <v>3794.0</v>
      </c>
      <c r="I279" s="43">
        <v>98.9457037</v>
      </c>
      <c r="J279" s="42">
        <v>4755.0</v>
      </c>
      <c r="K279" s="43">
        <v>99.2639327</v>
      </c>
    </row>
    <row r="280" ht="15.0" hidden="1" customHeight="1">
      <c r="A280" s="7"/>
      <c r="B280" s="39">
        <v>273.0</v>
      </c>
      <c r="C280" s="40" t="s">
        <v>19</v>
      </c>
      <c r="D280" s="40" t="s">
        <v>54</v>
      </c>
      <c r="E280" s="40" t="s">
        <v>99</v>
      </c>
      <c r="F280" s="40" t="s">
        <v>103</v>
      </c>
      <c r="G280" s="41" t="s">
        <v>14</v>
      </c>
      <c r="H280" s="42">
        <v>2896.0</v>
      </c>
      <c r="I280" s="43">
        <v>44.5787293</v>
      </c>
      <c r="J280" s="42">
        <v>2929.0</v>
      </c>
      <c r="K280" s="43">
        <v>78.4226699</v>
      </c>
    </row>
    <row r="281" ht="15.0" customHeight="1">
      <c r="A281" s="7"/>
      <c r="B281" s="44">
        <v>274.0</v>
      </c>
      <c r="C281" s="45" t="s">
        <v>19</v>
      </c>
      <c r="D281" s="50" t="s">
        <v>54</v>
      </c>
      <c r="E281" s="50" t="s">
        <v>99</v>
      </c>
      <c r="F281" s="50" t="s">
        <v>104</v>
      </c>
      <c r="G281" s="51" t="s">
        <v>104</v>
      </c>
      <c r="H281" s="46">
        <v>6066.0</v>
      </c>
      <c r="I281" s="47">
        <v>14.7543686</v>
      </c>
      <c r="J281" s="46">
        <v>7824.0</v>
      </c>
      <c r="K281" s="47">
        <v>40.4652352</v>
      </c>
    </row>
    <row r="282" ht="15.0" hidden="1" customHeight="1">
      <c r="A282" s="7"/>
      <c r="B282" s="39">
        <v>275.0</v>
      </c>
      <c r="C282" s="40" t="s">
        <v>19</v>
      </c>
      <c r="D282" s="40" t="s">
        <v>54</v>
      </c>
      <c r="E282" s="40" t="s">
        <v>99</v>
      </c>
      <c r="F282" s="40" t="s">
        <v>104</v>
      </c>
      <c r="G282" s="41" t="s">
        <v>13</v>
      </c>
      <c r="H282" s="42"/>
      <c r="I282" s="43"/>
      <c r="J282" s="42"/>
      <c r="K282" s="43"/>
    </row>
    <row r="283" ht="15.0" hidden="1" customHeight="1">
      <c r="A283" s="7"/>
      <c r="B283" s="39">
        <v>276.0</v>
      </c>
      <c r="C283" s="40" t="s">
        <v>19</v>
      </c>
      <c r="D283" s="40" t="s">
        <v>54</v>
      </c>
      <c r="E283" s="40" t="s">
        <v>99</v>
      </c>
      <c r="F283" s="40" t="s">
        <v>104</v>
      </c>
      <c r="G283" s="41" t="s">
        <v>14</v>
      </c>
      <c r="H283" s="42">
        <v>6066.0</v>
      </c>
      <c r="I283" s="43">
        <v>14.7543686</v>
      </c>
      <c r="J283" s="42">
        <v>7824.0</v>
      </c>
      <c r="K283" s="43">
        <v>40.4652352</v>
      </c>
    </row>
    <row r="284" ht="15.0" customHeight="1">
      <c r="A284" s="7"/>
      <c r="B284" s="44">
        <v>277.0</v>
      </c>
      <c r="C284" s="45" t="s">
        <v>19</v>
      </c>
      <c r="D284" s="50" t="s">
        <v>54</v>
      </c>
      <c r="E284" s="50" t="s">
        <v>99</v>
      </c>
      <c r="F284" s="50" t="s">
        <v>105</v>
      </c>
      <c r="G284" s="51" t="s">
        <v>105</v>
      </c>
      <c r="H284" s="46">
        <v>14938.0</v>
      </c>
      <c r="I284" s="47">
        <v>20.464587</v>
      </c>
      <c r="J284" s="46">
        <v>16750.0</v>
      </c>
      <c r="K284" s="47">
        <v>48.9731343</v>
      </c>
    </row>
    <row r="285" ht="15.0" hidden="1" customHeight="1">
      <c r="A285" s="7"/>
      <c r="B285" s="39">
        <v>278.0</v>
      </c>
      <c r="C285" s="40" t="s">
        <v>19</v>
      </c>
      <c r="D285" s="40" t="s">
        <v>54</v>
      </c>
      <c r="E285" s="40" t="s">
        <v>99</v>
      </c>
      <c r="F285" s="40" t="s">
        <v>105</v>
      </c>
      <c r="G285" s="41" t="s">
        <v>13</v>
      </c>
      <c r="H285" s="42"/>
      <c r="I285" s="43"/>
      <c r="J285" s="42"/>
      <c r="K285" s="43"/>
    </row>
    <row r="286" ht="15.0" hidden="1" customHeight="1">
      <c r="A286" s="7"/>
      <c r="B286" s="39">
        <v>279.0</v>
      </c>
      <c r="C286" s="40" t="s">
        <v>19</v>
      </c>
      <c r="D286" s="40" t="s">
        <v>54</v>
      </c>
      <c r="E286" s="40" t="s">
        <v>99</v>
      </c>
      <c r="F286" s="40" t="s">
        <v>105</v>
      </c>
      <c r="G286" s="41" t="s">
        <v>14</v>
      </c>
      <c r="H286" s="42">
        <v>14938.0</v>
      </c>
      <c r="I286" s="43">
        <v>20.464587</v>
      </c>
      <c r="J286" s="42">
        <v>16750.0</v>
      </c>
      <c r="K286" s="43">
        <v>48.9731343</v>
      </c>
    </row>
    <row r="287" ht="15.0" customHeight="1">
      <c r="A287" s="7"/>
      <c r="B287" s="44">
        <v>280.0</v>
      </c>
      <c r="C287" s="45" t="s">
        <v>19</v>
      </c>
      <c r="D287" s="50" t="s">
        <v>54</v>
      </c>
      <c r="E287" s="50" t="s">
        <v>99</v>
      </c>
      <c r="F287" s="50" t="s">
        <v>106</v>
      </c>
      <c r="G287" s="51" t="s">
        <v>106</v>
      </c>
      <c r="H287" s="46">
        <v>6546.0</v>
      </c>
      <c r="I287" s="47">
        <v>59.8838986</v>
      </c>
      <c r="J287" s="46">
        <v>7420.0</v>
      </c>
      <c r="K287" s="47">
        <v>90.754717</v>
      </c>
    </row>
    <row r="288" ht="15.0" hidden="1" customHeight="1">
      <c r="A288" s="7"/>
      <c r="B288" s="39">
        <v>281.0</v>
      </c>
      <c r="C288" s="40" t="s">
        <v>19</v>
      </c>
      <c r="D288" s="40" t="s">
        <v>54</v>
      </c>
      <c r="E288" s="40" t="s">
        <v>99</v>
      </c>
      <c r="F288" s="40" t="s">
        <v>106</v>
      </c>
      <c r="G288" s="41" t="s">
        <v>13</v>
      </c>
      <c r="H288" s="42"/>
      <c r="I288" s="43"/>
      <c r="J288" s="42"/>
      <c r="K288" s="43"/>
    </row>
    <row r="289" ht="15.0" hidden="1" customHeight="1">
      <c r="A289" s="7"/>
      <c r="B289" s="39">
        <v>282.0</v>
      </c>
      <c r="C289" s="40" t="s">
        <v>19</v>
      </c>
      <c r="D289" s="40" t="s">
        <v>54</v>
      </c>
      <c r="E289" s="40" t="s">
        <v>99</v>
      </c>
      <c r="F289" s="40" t="s">
        <v>106</v>
      </c>
      <c r="G289" s="41" t="s">
        <v>14</v>
      </c>
      <c r="H289" s="42">
        <v>6546.0</v>
      </c>
      <c r="I289" s="43">
        <v>59.8838986</v>
      </c>
      <c r="J289" s="42">
        <v>7420.0</v>
      </c>
      <c r="K289" s="43">
        <v>90.754717</v>
      </c>
    </row>
    <row r="290" ht="15.0" hidden="1" customHeight="1">
      <c r="A290" s="7"/>
      <c r="B290" s="35">
        <v>283.0</v>
      </c>
      <c r="C290" s="36" t="s">
        <v>17</v>
      </c>
      <c r="D290" s="49" t="s">
        <v>54</v>
      </c>
      <c r="E290" s="49" t="s">
        <v>107</v>
      </c>
      <c r="F290" s="49"/>
      <c r="G290" s="36" t="s">
        <v>107</v>
      </c>
      <c r="H290" s="37">
        <v>46757.0</v>
      </c>
      <c r="I290" s="38">
        <v>29.2854546</v>
      </c>
      <c r="J290" s="37">
        <v>57666.0</v>
      </c>
      <c r="K290" s="38">
        <v>54.1931121</v>
      </c>
    </row>
    <row r="291" ht="15.0" hidden="1" customHeight="1">
      <c r="A291" s="7"/>
      <c r="B291" s="39">
        <v>284.0</v>
      </c>
      <c r="C291" s="40" t="s">
        <v>17</v>
      </c>
      <c r="D291" s="40" t="s">
        <v>54</v>
      </c>
      <c r="E291" s="40" t="s">
        <v>107</v>
      </c>
      <c r="F291" s="40"/>
      <c r="G291" s="41" t="s">
        <v>13</v>
      </c>
      <c r="H291" s="42"/>
      <c r="I291" s="43"/>
      <c r="J291" s="42">
        <v>2105.0</v>
      </c>
      <c r="K291" s="43">
        <v>74.4418052</v>
      </c>
    </row>
    <row r="292" ht="15.0" hidden="1" customHeight="1">
      <c r="A292" s="7"/>
      <c r="B292" s="39">
        <v>285.0</v>
      </c>
      <c r="C292" s="40" t="s">
        <v>17</v>
      </c>
      <c r="D292" s="40" t="s">
        <v>54</v>
      </c>
      <c r="E292" s="40" t="s">
        <v>107</v>
      </c>
      <c r="F292" s="40"/>
      <c r="G292" s="41" t="s">
        <v>14</v>
      </c>
      <c r="H292" s="42">
        <v>46757.0</v>
      </c>
      <c r="I292" s="43">
        <v>29.2854546</v>
      </c>
      <c r="J292" s="42">
        <v>55561.0</v>
      </c>
      <c r="K292" s="43">
        <v>53.4259643</v>
      </c>
    </row>
    <row r="293" ht="15.0" customHeight="1">
      <c r="A293" s="7"/>
      <c r="B293" s="44">
        <v>286.0</v>
      </c>
      <c r="C293" s="45" t="s">
        <v>19</v>
      </c>
      <c r="D293" s="50" t="s">
        <v>54</v>
      </c>
      <c r="E293" s="50" t="s">
        <v>107</v>
      </c>
      <c r="F293" s="50" t="s">
        <v>108</v>
      </c>
      <c r="G293" s="51" t="s">
        <v>108</v>
      </c>
      <c r="H293" s="46">
        <v>11018.0</v>
      </c>
      <c r="I293" s="47">
        <v>27.7001271</v>
      </c>
      <c r="J293" s="46">
        <v>10553.0</v>
      </c>
      <c r="K293" s="47">
        <v>52.4969203</v>
      </c>
    </row>
    <row r="294" ht="15.0" hidden="1" customHeight="1">
      <c r="A294" s="7"/>
      <c r="B294" s="39">
        <v>287.0</v>
      </c>
      <c r="C294" s="40" t="s">
        <v>19</v>
      </c>
      <c r="D294" s="40" t="s">
        <v>54</v>
      </c>
      <c r="E294" s="40" t="s">
        <v>107</v>
      </c>
      <c r="F294" s="40" t="s">
        <v>108</v>
      </c>
      <c r="G294" s="41" t="s">
        <v>13</v>
      </c>
      <c r="H294" s="42"/>
      <c r="I294" s="43"/>
      <c r="J294" s="42"/>
      <c r="K294" s="43"/>
    </row>
    <row r="295" ht="15.0" hidden="1" customHeight="1">
      <c r="A295" s="7"/>
      <c r="B295" s="39">
        <v>288.0</v>
      </c>
      <c r="C295" s="40" t="s">
        <v>19</v>
      </c>
      <c r="D295" s="40" t="s">
        <v>54</v>
      </c>
      <c r="E295" s="40" t="s">
        <v>107</v>
      </c>
      <c r="F295" s="40" t="s">
        <v>108</v>
      </c>
      <c r="G295" s="41" t="s">
        <v>14</v>
      </c>
      <c r="H295" s="42">
        <v>11018.0</v>
      </c>
      <c r="I295" s="43">
        <v>27.7001271</v>
      </c>
      <c r="J295" s="42">
        <v>10553.0</v>
      </c>
      <c r="K295" s="43">
        <v>52.4969203</v>
      </c>
    </row>
    <row r="296" ht="15.0" customHeight="1">
      <c r="A296" s="7"/>
      <c r="B296" s="44">
        <v>289.0</v>
      </c>
      <c r="C296" s="45" t="s">
        <v>19</v>
      </c>
      <c r="D296" s="50" t="s">
        <v>54</v>
      </c>
      <c r="E296" s="50" t="s">
        <v>107</v>
      </c>
      <c r="F296" s="50" t="s">
        <v>109</v>
      </c>
      <c r="G296" s="51" t="s">
        <v>109</v>
      </c>
      <c r="H296" s="46">
        <v>12368.0</v>
      </c>
      <c r="I296" s="47">
        <v>18.2729625</v>
      </c>
      <c r="J296" s="46">
        <v>16377.0</v>
      </c>
      <c r="K296" s="47">
        <v>48.3910362</v>
      </c>
    </row>
    <row r="297" ht="15.0" hidden="1" customHeight="1">
      <c r="A297" s="7"/>
      <c r="B297" s="39">
        <v>290.0</v>
      </c>
      <c r="C297" s="40" t="s">
        <v>19</v>
      </c>
      <c r="D297" s="40" t="s">
        <v>54</v>
      </c>
      <c r="E297" s="40" t="s">
        <v>107</v>
      </c>
      <c r="F297" s="40" t="s">
        <v>109</v>
      </c>
      <c r="G297" s="41" t="s">
        <v>13</v>
      </c>
      <c r="H297" s="42"/>
      <c r="I297" s="43"/>
      <c r="J297" s="42"/>
      <c r="K297" s="43"/>
    </row>
    <row r="298" ht="15.0" hidden="1" customHeight="1">
      <c r="A298" s="7"/>
      <c r="B298" s="39">
        <v>291.0</v>
      </c>
      <c r="C298" s="40" t="s">
        <v>19</v>
      </c>
      <c r="D298" s="40" t="s">
        <v>54</v>
      </c>
      <c r="E298" s="40" t="s">
        <v>107</v>
      </c>
      <c r="F298" s="40" t="s">
        <v>109</v>
      </c>
      <c r="G298" s="41" t="s">
        <v>14</v>
      </c>
      <c r="H298" s="42">
        <v>12368.0</v>
      </c>
      <c r="I298" s="43">
        <v>18.2729625</v>
      </c>
      <c r="J298" s="42">
        <v>16377.0</v>
      </c>
      <c r="K298" s="43">
        <v>48.3910362</v>
      </c>
    </row>
    <row r="299" ht="15.0" customHeight="1">
      <c r="A299" s="7"/>
      <c r="B299" s="44">
        <v>292.0</v>
      </c>
      <c r="C299" s="45" t="s">
        <v>19</v>
      </c>
      <c r="D299" s="50" t="s">
        <v>54</v>
      </c>
      <c r="E299" s="50" t="s">
        <v>107</v>
      </c>
      <c r="F299" s="50" t="s">
        <v>110</v>
      </c>
      <c r="G299" s="51" t="s">
        <v>110</v>
      </c>
      <c r="H299" s="46">
        <v>7189.0</v>
      </c>
      <c r="I299" s="47">
        <v>23.8837112</v>
      </c>
      <c r="J299" s="46">
        <v>12082.0</v>
      </c>
      <c r="K299" s="47">
        <v>50.9021685</v>
      </c>
    </row>
    <row r="300" ht="15.0" hidden="1" customHeight="1">
      <c r="A300" s="7"/>
      <c r="B300" s="39">
        <v>293.0</v>
      </c>
      <c r="C300" s="40" t="s">
        <v>19</v>
      </c>
      <c r="D300" s="40" t="s">
        <v>54</v>
      </c>
      <c r="E300" s="40" t="s">
        <v>107</v>
      </c>
      <c r="F300" s="40" t="s">
        <v>110</v>
      </c>
      <c r="G300" s="41" t="s">
        <v>13</v>
      </c>
      <c r="H300" s="42"/>
      <c r="I300" s="43"/>
      <c r="J300" s="42">
        <v>2105.0</v>
      </c>
      <c r="K300" s="43">
        <v>74.4418052</v>
      </c>
    </row>
    <row r="301" ht="15.0" hidden="1" customHeight="1">
      <c r="A301" s="7"/>
      <c r="B301" s="39">
        <v>294.0</v>
      </c>
      <c r="C301" s="40" t="s">
        <v>19</v>
      </c>
      <c r="D301" s="40" t="s">
        <v>54</v>
      </c>
      <c r="E301" s="40" t="s">
        <v>107</v>
      </c>
      <c r="F301" s="40" t="s">
        <v>110</v>
      </c>
      <c r="G301" s="41" t="s">
        <v>14</v>
      </c>
      <c r="H301" s="42">
        <v>7189.0</v>
      </c>
      <c r="I301" s="43">
        <v>23.8837112</v>
      </c>
      <c r="J301" s="42">
        <v>9977.0</v>
      </c>
      <c r="K301" s="43">
        <v>45.935652</v>
      </c>
    </row>
    <row r="302" ht="15.0" customHeight="1">
      <c r="A302" s="7"/>
      <c r="B302" s="44">
        <v>295.0</v>
      </c>
      <c r="C302" s="45" t="s">
        <v>19</v>
      </c>
      <c r="D302" s="50" t="s">
        <v>54</v>
      </c>
      <c r="E302" s="50" t="s">
        <v>107</v>
      </c>
      <c r="F302" s="50" t="s">
        <v>111</v>
      </c>
      <c r="G302" s="51" t="s">
        <v>111</v>
      </c>
      <c r="H302" s="46">
        <v>4963.0</v>
      </c>
      <c r="I302" s="47">
        <v>48.4585936</v>
      </c>
      <c r="J302" s="46">
        <v>5156.0</v>
      </c>
      <c r="K302" s="47">
        <v>60.4150504</v>
      </c>
    </row>
    <row r="303" ht="15.0" hidden="1" customHeight="1">
      <c r="A303" s="7"/>
      <c r="B303" s="39">
        <v>296.0</v>
      </c>
      <c r="C303" s="40" t="s">
        <v>19</v>
      </c>
      <c r="D303" s="40" t="s">
        <v>54</v>
      </c>
      <c r="E303" s="40" t="s">
        <v>107</v>
      </c>
      <c r="F303" s="40" t="s">
        <v>111</v>
      </c>
      <c r="G303" s="41" t="s">
        <v>13</v>
      </c>
      <c r="H303" s="42"/>
      <c r="I303" s="43"/>
      <c r="J303" s="42"/>
      <c r="K303" s="43"/>
    </row>
    <row r="304" ht="15.0" hidden="1" customHeight="1">
      <c r="A304" s="7"/>
      <c r="B304" s="39">
        <v>297.0</v>
      </c>
      <c r="C304" s="40" t="s">
        <v>19</v>
      </c>
      <c r="D304" s="40" t="s">
        <v>54</v>
      </c>
      <c r="E304" s="40" t="s">
        <v>107</v>
      </c>
      <c r="F304" s="40" t="s">
        <v>111</v>
      </c>
      <c r="G304" s="41" t="s">
        <v>14</v>
      </c>
      <c r="H304" s="42">
        <v>4963.0</v>
      </c>
      <c r="I304" s="43">
        <v>48.4585936</v>
      </c>
      <c r="J304" s="42">
        <v>5156.0</v>
      </c>
      <c r="K304" s="43">
        <v>60.4150504</v>
      </c>
    </row>
    <row r="305" ht="15.0" customHeight="1">
      <c r="A305" s="7"/>
      <c r="B305" s="44">
        <v>298.0</v>
      </c>
      <c r="C305" s="45" t="s">
        <v>19</v>
      </c>
      <c r="D305" s="50" t="s">
        <v>54</v>
      </c>
      <c r="E305" s="50" t="s">
        <v>107</v>
      </c>
      <c r="F305" s="50" t="s">
        <v>112</v>
      </c>
      <c r="G305" s="51" t="s">
        <v>112</v>
      </c>
      <c r="H305" s="46">
        <v>11219.0</v>
      </c>
      <c r="I305" s="47">
        <v>37.9623852</v>
      </c>
      <c r="J305" s="46">
        <v>13498.0</v>
      </c>
      <c r="K305" s="47">
        <v>63.1278708</v>
      </c>
    </row>
    <row r="306" ht="15.0" hidden="1" customHeight="1">
      <c r="A306" s="7"/>
      <c r="B306" s="39">
        <v>299.0</v>
      </c>
      <c r="C306" s="40" t="s">
        <v>19</v>
      </c>
      <c r="D306" s="40" t="s">
        <v>54</v>
      </c>
      <c r="E306" s="40" t="s">
        <v>107</v>
      </c>
      <c r="F306" s="40" t="s">
        <v>112</v>
      </c>
      <c r="G306" s="41" t="s">
        <v>13</v>
      </c>
      <c r="H306" s="42"/>
      <c r="I306" s="43"/>
      <c r="J306" s="42"/>
      <c r="K306" s="43"/>
    </row>
    <row r="307" ht="15.0" hidden="1" customHeight="1">
      <c r="A307" s="7"/>
      <c r="B307" s="39">
        <v>300.0</v>
      </c>
      <c r="C307" s="40" t="s">
        <v>19</v>
      </c>
      <c r="D307" s="40" t="s">
        <v>54</v>
      </c>
      <c r="E307" s="40" t="s">
        <v>107</v>
      </c>
      <c r="F307" s="40" t="s">
        <v>112</v>
      </c>
      <c r="G307" s="41" t="s">
        <v>14</v>
      </c>
      <c r="H307" s="42">
        <v>11219.0</v>
      </c>
      <c r="I307" s="43">
        <v>37.9623852</v>
      </c>
      <c r="J307" s="42">
        <v>13498.0</v>
      </c>
      <c r="K307" s="43">
        <v>63.1278708</v>
      </c>
    </row>
    <row r="308" ht="15.0" hidden="1" customHeight="1">
      <c r="A308" s="7"/>
      <c r="B308" s="35">
        <v>301.0</v>
      </c>
      <c r="C308" s="36" t="s">
        <v>17</v>
      </c>
      <c r="D308" s="49" t="s">
        <v>54</v>
      </c>
      <c r="E308" s="49" t="s">
        <v>113</v>
      </c>
      <c r="F308" s="49"/>
      <c r="G308" s="36" t="s">
        <v>113</v>
      </c>
      <c r="H308" s="37">
        <v>65231.0</v>
      </c>
      <c r="I308" s="38">
        <v>32.8754733</v>
      </c>
      <c r="J308" s="37">
        <v>83964.0</v>
      </c>
      <c r="K308" s="38">
        <v>49.3997427</v>
      </c>
    </row>
    <row r="309" ht="15.0" hidden="1" customHeight="1">
      <c r="A309" s="7"/>
      <c r="B309" s="39">
        <v>302.0</v>
      </c>
      <c r="C309" s="40" t="s">
        <v>17</v>
      </c>
      <c r="D309" s="40" t="s">
        <v>54</v>
      </c>
      <c r="E309" s="40" t="s">
        <v>113</v>
      </c>
      <c r="F309" s="40"/>
      <c r="G309" s="41" t="s">
        <v>13</v>
      </c>
      <c r="H309" s="42">
        <v>11150.0</v>
      </c>
      <c r="I309" s="43">
        <v>87.6502242</v>
      </c>
      <c r="J309" s="42">
        <v>18099.0</v>
      </c>
      <c r="K309" s="43">
        <v>90.3862092</v>
      </c>
    </row>
    <row r="310" ht="15.0" hidden="1" customHeight="1">
      <c r="A310" s="7"/>
      <c r="B310" s="39">
        <v>303.0</v>
      </c>
      <c r="C310" s="40" t="s">
        <v>17</v>
      </c>
      <c r="D310" s="40" t="s">
        <v>54</v>
      </c>
      <c r="E310" s="40" t="s">
        <v>113</v>
      </c>
      <c r="F310" s="40"/>
      <c r="G310" s="41" t="s">
        <v>14</v>
      </c>
      <c r="H310" s="42">
        <v>54081.0</v>
      </c>
      <c r="I310" s="43">
        <v>21.5824412</v>
      </c>
      <c r="J310" s="42">
        <v>65865.0</v>
      </c>
      <c r="K310" s="43">
        <v>38.1370986</v>
      </c>
    </row>
    <row r="311" ht="15.0" customHeight="1">
      <c r="A311" s="7"/>
      <c r="B311" s="44">
        <v>304.0</v>
      </c>
      <c r="C311" s="45" t="s">
        <v>19</v>
      </c>
      <c r="D311" s="50" t="s">
        <v>54</v>
      </c>
      <c r="E311" s="50" t="s">
        <v>113</v>
      </c>
      <c r="F311" s="50" t="s">
        <v>113</v>
      </c>
      <c r="G311" s="51" t="s">
        <v>113</v>
      </c>
      <c r="H311" s="46">
        <v>14582.0</v>
      </c>
      <c r="I311" s="47">
        <v>8.4213414</v>
      </c>
      <c r="J311" s="46">
        <v>18522.0</v>
      </c>
      <c r="K311" s="47">
        <v>23.1346507</v>
      </c>
    </row>
    <row r="312" ht="15.0" hidden="1" customHeight="1">
      <c r="A312" s="7"/>
      <c r="B312" s="39">
        <v>305.0</v>
      </c>
      <c r="C312" s="40" t="s">
        <v>19</v>
      </c>
      <c r="D312" s="40" t="s">
        <v>54</v>
      </c>
      <c r="E312" s="40" t="s">
        <v>113</v>
      </c>
      <c r="F312" s="40" t="s">
        <v>113</v>
      </c>
      <c r="G312" s="41" t="s">
        <v>13</v>
      </c>
      <c r="H312" s="42"/>
      <c r="I312" s="43"/>
      <c r="J312" s="42"/>
      <c r="K312" s="43"/>
    </row>
    <row r="313" ht="15.0" hidden="1" customHeight="1">
      <c r="A313" s="7"/>
      <c r="B313" s="39">
        <v>306.0</v>
      </c>
      <c r="C313" s="40" t="s">
        <v>19</v>
      </c>
      <c r="D313" s="40" t="s">
        <v>54</v>
      </c>
      <c r="E313" s="40" t="s">
        <v>113</v>
      </c>
      <c r="F313" s="40" t="s">
        <v>113</v>
      </c>
      <c r="G313" s="41" t="s">
        <v>14</v>
      </c>
      <c r="H313" s="42">
        <v>14582.0</v>
      </c>
      <c r="I313" s="43">
        <v>8.4213414</v>
      </c>
      <c r="J313" s="42">
        <v>18522.0</v>
      </c>
      <c r="K313" s="43">
        <v>23.1346507</v>
      </c>
    </row>
    <row r="314" ht="15.0" customHeight="1">
      <c r="A314" s="7"/>
      <c r="B314" s="44">
        <v>307.0</v>
      </c>
      <c r="C314" s="45" t="s">
        <v>19</v>
      </c>
      <c r="D314" s="50" t="s">
        <v>54</v>
      </c>
      <c r="E314" s="50" t="s">
        <v>113</v>
      </c>
      <c r="F314" s="50" t="s">
        <v>114</v>
      </c>
      <c r="G314" s="51" t="s">
        <v>114</v>
      </c>
      <c r="H314" s="46">
        <v>8026.0</v>
      </c>
      <c r="I314" s="47">
        <v>61.6247197</v>
      </c>
      <c r="J314" s="46">
        <v>9970.0</v>
      </c>
      <c r="K314" s="47">
        <v>69.4282849</v>
      </c>
    </row>
    <row r="315" ht="15.0" hidden="1" customHeight="1">
      <c r="A315" s="7"/>
      <c r="B315" s="39">
        <v>308.0</v>
      </c>
      <c r="C315" s="40" t="s">
        <v>19</v>
      </c>
      <c r="D315" s="40" t="s">
        <v>54</v>
      </c>
      <c r="E315" s="40" t="s">
        <v>113</v>
      </c>
      <c r="F315" s="40" t="s">
        <v>114</v>
      </c>
      <c r="G315" s="41" t="s">
        <v>13</v>
      </c>
      <c r="H315" s="42">
        <v>3051.0</v>
      </c>
      <c r="I315" s="43">
        <v>83.1202884</v>
      </c>
      <c r="J315" s="42">
        <v>4367.0</v>
      </c>
      <c r="K315" s="43">
        <v>90.4511106</v>
      </c>
    </row>
    <row r="316" ht="15.0" hidden="1" customHeight="1">
      <c r="A316" s="7"/>
      <c r="B316" s="39">
        <v>309.0</v>
      </c>
      <c r="C316" s="40" t="s">
        <v>19</v>
      </c>
      <c r="D316" s="40" t="s">
        <v>54</v>
      </c>
      <c r="E316" s="40" t="s">
        <v>113</v>
      </c>
      <c r="F316" s="40" t="s">
        <v>114</v>
      </c>
      <c r="G316" s="41" t="s">
        <v>14</v>
      </c>
      <c r="H316" s="42">
        <v>4975.0</v>
      </c>
      <c r="I316" s="43">
        <v>48.4422111</v>
      </c>
      <c r="J316" s="42">
        <v>5603.0</v>
      </c>
      <c r="K316" s="43">
        <v>53.0430127</v>
      </c>
    </row>
    <row r="317" ht="15.0" customHeight="1">
      <c r="A317" s="7"/>
      <c r="B317" s="44">
        <v>310.0</v>
      </c>
      <c r="C317" s="45" t="s">
        <v>19</v>
      </c>
      <c r="D317" s="50" t="s">
        <v>54</v>
      </c>
      <c r="E317" s="50" t="s">
        <v>113</v>
      </c>
      <c r="F317" s="50" t="s">
        <v>115</v>
      </c>
      <c r="G317" s="51" t="s">
        <v>115</v>
      </c>
      <c r="H317" s="46">
        <v>10184.0</v>
      </c>
      <c r="I317" s="47">
        <v>48.3110762</v>
      </c>
      <c r="J317" s="46">
        <v>15304.0</v>
      </c>
      <c r="K317" s="47">
        <v>81.0703084</v>
      </c>
    </row>
    <row r="318" ht="15.0" hidden="1" customHeight="1">
      <c r="A318" s="7"/>
      <c r="B318" s="39">
        <v>311.0</v>
      </c>
      <c r="C318" s="40" t="s">
        <v>19</v>
      </c>
      <c r="D318" s="40" t="s">
        <v>54</v>
      </c>
      <c r="E318" s="40" t="s">
        <v>113</v>
      </c>
      <c r="F318" s="40" t="s">
        <v>115</v>
      </c>
      <c r="G318" s="41" t="s">
        <v>13</v>
      </c>
      <c r="H318" s="42"/>
      <c r="I318" s="43"/>
      <c r="J318" s="42">
        <v>2073.0</v>
      </c>
      <c r="K318" s="43">
        <v>96.4785335</v>
      </c>
    </row>
    <row r="319" ht="15.0" hidden="1" customHeight="1">
      <c r="A319" s="7"/>
      <c r="B319" s="39">
        <v>312.0</v>
      </c>
      <c r="C319" s="40" t="s">
        <v>19</v>
      </c>
      <c r="D319" s="40" t="s">
        <v>54</v>
      </c>
      <c r="E319" s="40" t="s">
        <v>113</v>
      </c>
      <c r="F319" s="40" t="s">
        <v>115</v>
      </c>
      <c r="G319" s="41" t="s">
        <v>14</v>
      </c>
      <c r="H319" s="42">
        <v>10184.0</v>
      </c>
      <c r="I319" s="43">
        <v>48.3110762</v>
      </c>
      <c r="J319" s="42">
        <v>13231.0</v>
      </c>
      <c r="K319" s="43">
        <v>78.6561862</v>
      </c>
    </row>
    <row r="320" ht="15.0" customHeight="1">
      <c r="A320" s="7"/>
      <c r="B320" s="44">
        <v>313.0</v>
      </c>
      <c r="C320" s="45" t="s">
        <v>19</v>
      </c>
      <c r="D320" s="50" t="s">
        <v>54</v>
      </c>
      <c r="E320" s="50" t="s">
        <v>113</v>
      </c>
      <c r="F320" s="50" t="s">
        <v>116</v>
      </c>
      <c r="G320" s="51" t="s">
        <v>116</v>
      </c>
      <c r="H320" s="46">
        <v>19255.0</v>
      </c>
      <c r="I320" s="47">
        <v>36.8319917</v>
      </c>
      <c r="J320" s="46">
        <v>22958.0</v>
      </c>
      <c r="K320" s="47">
        <v>44.751285</v>
      </c>
    </row>
    <row r="321" ht="15.0" hidden="1" customHeight="1">
      <c r="A321" s="7"/>
      <c r="B321" s="39">
        <v>314.0</v>
      </c>
      <c r="C321" s="40" t="s">
        <v>19</v>
      </c>
      <c r="D321" s="40" t="s">
        <v>54</v>
      </c>
      <c r="E321" s="40" t="s">
        <v>113</v>
      </c>
      <c r="F321" s="40" t="s">
        <v>116</v>
      </c>
      <c r="G321" s="41" t="s">
        <v>13</v>
      </c>
      <c r="H321" s="42">
        <v>5771.0</v>
      </c>
      <c r="I321" s="43">
        <v>99.5841275</v>
      </c>
      <c r="J321" s="42">
        <v>6191.0</v>
      </c>
      <c r="K321" s="43">
        <v>99.8384752</v>
      </c>
    </row>
    <row r="322" ht="15.0" hidden="1" customHeight="1">
      <c r="A322" s="7"/>
      <c r="B322" s="39">
        <v>315.0</v>
      </c>
      <c r="C322" s="40" t="s">
        <v>19</v>
      </c>
      <c r="D322" s="40" t="s">
        <v>54</v>
      </c>
      <c r="E322" s="40" t="s">
        <v>113</v>
      </c>
      <c r="F322" s="40" t="s">
        <v>116</v>
      </c>
      <c r="G322" s="41" t="s">
        <v>14</v>
      </c>
      <c r="H322" s="42">
        <v>13484.0</v>
      </c>
      <c r="I322" s="43">
        <v>9.9747849</v>
      </c>
      <c r="J322" s="42">
        <v>16767.0</v>
      </c>
      <c r="K322" s="43">
        <v>24.4110455</v>
      </c>
    </row>
    <row r="323" ht="15.0" customHeight="1">
      <c r="A323" s="7"/>
      <c r="B323" s="44">
        <v>316.0</v>
      </c>
      <c r="C323" s="45" t="s">
        <v>19</v>
      </c>
      <c r="D323" s="50" t="s">
        <v>54</v>
      </c>
      <c r="E323" s="50" t="s">
        <v>113</v>
      </c>
      <c r="F323" s="50" t="s">
        <v>117</v>
      </c>
      <c r="G323" s="51" t="s">
        <v>117</v>
      </c>
      <c r="H323" s="46">
        <v>7728.0</v>
      </c>
      <c r="I323" s="47">
        <v>18.0900621</v>
      </c>
      <c r="J323" s="46">
        <v>9430.0</v>
      </c>
      <c r="K323" s="47">
        <v>34.2948038</v>
      </c>
    </row>
    <row r="324" ht="15.0" hidden="1" customHeight="1">
      <c r="A324" s="7"/>
      <c r="B324" s="39">
        <v>317.0</v>
      </c>
      <c r="C324" s="40" t="s">
        <v>19</v>
      </c>
      <c r="D324" s="40" t="s">
        <v>54</v>
      </c>
      <c r="E324" s="40" t="s">
        <v>113</v>
      </c>
      <c r="F324" s="40" t="s">
        <v>117</v>
      </c>
      <c r="G324" s="41" t="s">
        <v>13</v>
      </c>
      <c r="H324" s="42"/>
      <c r="I324" s="43"/>
      <c r="J324" s="42">
        <v>2012.0</v>
      </c>
      <c r="K324" s="43">
        <v>62.4751491</v>
      </c>
    </row>
    <row r="325" ht="15.0" hidden="1" customHeight="1">
      <c r="A325" s="7"/>
      <c r="B325" s="39">
        <v>318.0</v>
      </c>
      <c r="C325" s="40" t="s">
        <v>19</v>
      </c>
      <c r="D325" s="40" t="s">
        <v>54</v>
      </c>
      <c r="E325" s="40" t="s">
        <v>113</v>
      </c>
      <c r="F325" s="40" t="s">
        <v>117</v>
      </c>
      <c r="G325" s="41" t="s">
        <v>14</v>
      </c>
      <c r="H325" s="42">
        <v>7728.0</v>
      </c>
      <c r="I325" s="43">
        <v>18.0900621</v>
      </c>
      <c r="J325" s="42">
        <v>7418.0</v>
      </c>
      <c r="K325" s="43">
        <v>26.6513885</v>
      </c>
    </row>
    <row r="326" ht="15.0" customHeight="1">
      <c r="A326" s="7"/>
      <c r="B326" s="44">
        <v>319.0</v>
      </c>
      <c r="C326" s="45" t="s">
        <v>19</v>
      </c>
      <c r="D326" s="50" t="s">
        <v>54</v>
      </c>
      <c r="E326" s="50" t="s">
        <v>113</v>
      </c>
      <c r="F326" s="50" t="s">
        <v>118</v>
      </c>
      <c r="G326" s="51" t="s">
        <v>118</v>
      </c>
      <c r="H326" s="46">
        <v>5456.0</v>
      </c>
      <c r="I326" s="47">
        <v>34.1092375</v>
      </c>
      <c r="J326" s="46">
        <v>7780.0</v>
      </c>
      <c r="K326" s="47">
        <v>55.9897172</v>
      </c>
    </row>
    <row r="327" ht="15.0" hidden="1" customHeight="1">
      <c r="A327" s="7"/>
      <c r="B327" s="39">
        <v>320.0</v>
      </c>
      <c r="C327" s="40" t="s">
        <v>19</v>
      </c>
      <c r="D327" s="40" t="s">
        <v>54</v>
      </c>
      <c r="E327" s="40" t="s">
        <v>113</v>
      </c>
      <c r="F327" s="40" t="s">
        <v>118</v>
      </c>
      <c r="G327" s="41" t="s">
        <v>13</v>
      </c>
      <c r="H327" s="42">
        <v>2328.0</v>
      </c>
      <c r="I327" s="43">
        <v>64.0034364</v>
      </c>
      <c r="J327" s="42">
        <v>3456.0</v>
      </c>
      <c r="K327" s="43">
        <v>85.9664352</v>
      </c>
    </row>
    <row r="328" ht="15.0" hidden="1" customHeight="1">
      <c r="A328" s="7"/>
      <c r="B328" s="39">
        <v>321.0</v>
      </c>
      <c r="C328" s="40" t="s">
        <v>19</v>
      </c>
      <c r="D328" s="40" t="s">
        <v>54</v>
      </c>
      <c r="E328" s="40" t="s">
        <v>113</v>
      </c>
      <c r="F328" s="40" t="s">
        <v>118</v>
      </c>
      <c r="G328" s="41" t="s">
        <v>14</v>
      </c>
      <c r="H328" s="42">
        <v>3128.0</v>
      </c>
      <c r="I328" s="43">
        <v>11.8606138</v>
      </c>
      <c r="J328" s="42">
        <v>4324.0</v>
      </c>
      <c r="K328" s="43">
        <v>32.0305273</v>
      </c>
    </row>
    <row r="329" ht="15.0" hidden="1" customHeight="1">
      <c r="A329" s="7"/>
      <c r="B329" s="35">
        <v>322.0</v>
      </c>
      <c r="C329" s="36" t="s">
        <v>17</v>
      </c>
      <c r="D329" s="49" t="s">
        <v>54</v>
      </c>
      <c r="E329" s="49" t="s">
        <v>119</v>
      </c>
      <c r="F329" s="49"/>
      <c r="G329" s="36" t="s">
        <v>119</v>
      </c>
      <c r="H329" s="37">
        <v>103313.0</v>
      </c>
      <c r="I329" s="38">
        <v>41.2755413</v>
      </c>
      <c r="J329" s="37">
        <v>118599.0</v>
      </c>
      <c r="K329" s="38">
        <v>65.4954932</v>
      </c>
    </row>
    <row r="330" ht="15.0" hidden="1" customHeight="1">
      <c r="A330" s="7"/>
      <c r="B330" s="39">
        <v>323.0</v>
      </c>
      <c r="C330" s="40" t="s">
        <v>17</v>
      </c>
      <c r="D330" s="40" t="s">
        <v>54</v>
      </c>
      <c r="E330" s="40" t="s">
        <v>119</v>
      </c>
      <c r="F330" s="40"/>
      <c r="G330" s="41" t="s">
        <v>13</v>
      </c>
      <c r="H330" s="42">
        <v>9376.0</v>
      </c>
      <c r="I330" s="43">
        <v>83.3937713</v>
      </c>
      <c r="J330" s="42">
        <v>15201.0</v>
      </c>
      <c r="K330" s="43">
        <v>92.9149398</v>
      </c>
    </row>
    <row r="331" ht="15.0" hidden="1" customHeight="1">
      <c r="A331" s="7"/>
      <c r="B331" s="39">
        <v>324.0</v>
      </c>
      <c r="C331" s="40" t="s">
        <v>17</v>
      </c>
      <c r="D331" s="40" t="s">
        <v>54</v>
      </c>
      <c r="E331" s="40" t="s">
        <v>119</v>
      </c>
      <c r="F331" s="40"/>
      <c r="G331" s="41" t="s">
        <v>14</v>
      </c>
      <c r="H331" s="42">
        <v>93937.0</v>
      </c>
      <c r="I331" s="43">
        <v>37.0716544</v>
      </c>
      <c r="J331" s="42">
        <v>103398.0</v>
      </c>
      <c r="K331" s="43">
        <v>61.4644384</v>
      </c>
    </row>
    <row r="332" ht="15.0" customHeight="1">
      <c r="A332" s="7"/>
      <c r="B332" s="44">
        <v>325.0</v>
      </c>
      <c r="C332" s="45" t="s">
        <v>19</v>
      </c>
      <c r="D332" s="50" t="s">
        <v>54</v>
      </c>
      <c r="E332" s="50" t="s">
        <v>119</v>
      </c>
      <c r="F332" s="50" t="s">
        <v>120</v>
      </c>
      <c r="G332" s="51" t="s">
        <v>120</v>
      </c>
      <c r="H332" s="46">
        <v>17400.0</v>
      </c>
      <c r="I332" s="47">
        <v>59.6034483</v>
      </c>
      <c r="J332" s="46">
        <v>17959.0</v>
      </c>
      <c r="K332" s="47">
        <v>80.8953728</v>
      </c>
    </row>
    <row r="333" ht="15.0" hidden="1" customHeight="1">
      <c r="A333" s="7"/>
      <c r="B333" s="39">
        <v>326.0</v>
      </c>
      <c r="C333" s="40" t="s">
        <v>19</v>
      </c>
      <c r="D333" s="40" t="s">
        <v>54</v>
      </c>
      <c r="E333" s="40" t="s">
        <v>119</v>
      </c>
      <c r="F333" s="40" t="s">
        <v>120</v>
      </c>
      <c r="G333" s="41" t="s">
        <v>13</v>
      </c>
      <c r="H333" s="42">
        <v>1877.0</v>
      </c>
      <c r="I333" s="43">
        <v>96.0575386</v>
      </c>
      <c r="J333" s="42">
        <v>2443.0</v>
      </c>
      <c r="K333" s="43">
        <v>97.7896029</v>
      </c>
    </row>
    <row r="334" ht="15.0" hidden="1" customHeight="1">
      <c r="A334" s="7"/>
      <c r="B334" s="39">
        <v>327.0</v>
      </c>
      <c r="C334" s="40" t="s">
        <v>19</v>
      </c>
      <c r="D334" s="40" t="s">
        <v>54</v>
      </c>
      <c r="E334" s="40" t="s">
        <v>119</v>
      </c>
      <c r="F334" s="40" t="s">
        <v>120</v>
      </c>
      <c r="G334" s="41" t="s">
        <v>14</v>
      </c>
      <c r="H334" s="42">
        <v>15523.0</v>
      </c>
      <c r="I334" s="43">
        <v>55.1955163</v>
      </c>
      <c r="J334" s="42">
        <v>15516.0</v>
      </c>
      <c r="K334" s="43">
        <v>78.2353699</v>
      </c>
    </row>
    <row r="335" ht="15.0" customHeight="1">
      <c r="A335" s="7"/>
      <c r="B335" s="44">
        <v>328.0</v>
      </c>
      <c r="C335" s="45" t="s">
        <v>19</v>
      </c>
      <c r="D335" s="50" t="s">
        <v>54</v>
      </c>
      <c r="E335" s="50" t="s">
        <v>119</v>
      </c>
      <c r="F335" s="50" t="s">
        <v>121</v>
      </c>
      <c r="G335" s="51" t="s">
        <v>121</v>
      </c>
      <c r="H335" s="46">
        <v>16614.0</v>
      </c>
      <c r="I335" s="47">
        <v>41.4830866</v>
      </c>
      <c r="J335" s="46">
        <v>21869.0</v>
      </c>
      <c r="K335" s="47">
        <v>64.8772235</v>
      </c>
    </row>
    <row r="336" ht="15.0" hidden="1" customHeight="1">
      <c r="A336" s="7"/>
      <c r="B336" s="39">
        <v>329.0</v>
      </c>
      <c r="C336" s="40" t="s">
        <v>19</v>
      </c>
      <c r="D336" s="40" t="s">
        <v>54</v>
      </c>
      <c r="E336" s="40" t="s">
        <v>119</v>
      </c>
      <c r="F336" s="40" t="s">
        <v>121</v>
      </c>
      <c r="G336" s="41" t="s">
        <v>13</v>
      </c>
      <c r="H336" s="42"/>
      <c r="I336" s="43"/>
      <c r="J336" s="42">
        <v>2689.0</v>
      </c>
      <c r="K336" s="43">
        <v>93.0829305</v>
      </c>
    </row>
    <row r="337" ht="15.0" hidden="1" customHeight="1">
      <c r="A337" s="7"/>
      <c r="B337" s="39">
        <v>330.0</v>
      </c>
      <c r="C337" s="40" t="s">
        <v>19</v>
      </c>
      <c r="D337" s="40" t="s">
        <v>54</v>
      </c>
      <c r="E337" s="40" t="s">
        <v>119</v>
      </c>
      <c r="F337" s="40" t="s">
        <v>121</v>
      </c>
      <c r="G337" s="41" t="s">
        <v>14</v>
      </c>
      <c r="H337" s="42">
        <v>16614.0</v>
      </c>
      <c r="I337" s="43">
        <v>41.4830866</v>
      </c>
      <c r="J337" s="42">
        <v>19180.0</v>
      </c>
      <c r="K337" s="43">
        <v>60.9228363</v>
      </c>
    </row>
    <row r="338" ht="15.0" customHeight="1">
      <c r="A338" s="7"/>
      <c r="B338" s="44">
        <v>331.0</v>
      </c>
      <c r="C338" s="45" t="s">
        <v>19</v>
      </c>
      <c r="D338" s="50" t="s">
        <v>54</v>
      </c>
      <c r="E338" s="50" t="s">
        <v>119</v>
      </c>
      <c r="F338" s="50" t="s">
        <v>122</v>
      </c>
      <c r="G338" s="51" t="s">
        <v>122</v>
      </c>
      <c r="H338" s="46">
        <v>6131.0</v>
      </c>
      <c r="I338" s="47">
        <v>55.3743272</v>
      </c>
      <c r="J338" s="46">
        <v>7339.0</v>
      </c>
      <c r="K338" s="47">
        <v>72.1215424</v>
      </c>
    </row>
    <row r="339" ht="15.0" hidden="1" customHeight="1">
      <c r="A339" s="7"/>
      <c r="B339" s="39">
        <v>332.0</v>
      </c>
      <c r="C339" s="40" t="s">
        <v>19</v>
      </c>
      <c r="D339" s="40" t="s">
        <v>54</v>
      </c>
      <c r="E339" s="40" t="s">
        <v>119</v>
      </c>
      <c r="F339" s="40" t="s">
        <v>122</v>
      </c>
      <c r="G339" s="41" t="s">
        <v>13</v>
      </c>
      <c r="H339" s="42"/>
      <c r="I339" s="43"/>
      <c r="J339" s="42"/>
      <c r="K339" s="43"/>
    </row>
    <row r="340" ht="15.0" hidden="1" customHeight="1">
      <c r="A340" s="7"/>
      <c r="B340" s="39">
        <v>333.0</v>
      </c>
      <c r="C340" s="40" t="s">
        <v>19</v>
      </c>
      <c r="D340" s="40" t="s">
        <v>54</v>
      </c>
      <c r="E340" s="40" t="s">
        <v>119</v>
      </c>
      <c r="F340" s="40" t="s">
        <v>122</v>
      </c>
      <c r="G340" s="41" t="s">
        <v>14</v>
      </c>
      <c r="H340" s="42">
        <v>6131.0</v>
      </c>
      <c r="I340" s="43">
        <v>55.3743272</v>
      </c>
      <c r="J340" s="42">
        <v>7339.0</v>
      </c>
      <c r="K340" s="43">
        <v>72.1215424</v>
      </c>
    </row>
    <row r="341" ht="15.0" customHeight="1">
      <c r="A341" s="7"/>
      <c r="B341" s="44">
        <v>334.0</v>
      </c>
      <c r="C341" s="45" t="s">
        <v>19</v>
      </c>
      <c r="D341" s="50" t="s">
        <v>54</v>
      </c>
      <c r="E341" s="50" t="s">
        <v>119</v>
      </c>
      <c r="F341" s="50" t="s">
        <v>123</v>
      </c>
      <c r="G341" s="51" t="s">
        <v>123</v>
      </c>
      <c r="H341" s="46">
        <v>23766.0</v>
      </c>
      <c r="I341" s="47">
        <v>39.95624</v>
      </c>
      <c r="J341" s="46">
        <v>26542.0</v>
      </c>
      <c r="K341" s="47">
        <v>63.51443</v>
      </c>
    </row>
    <row r="342" ht="15.0" hidden="1" customHeight="1">
      <c r="A342" s="7"/>
      <c r="B342" s="39">
        <v>335.0</v>
      </c>
      <c r="C342" s="40" t="s">
        <v>19</v>
      </c>
      <c r="D342" s="40" t="s">
        <v>54</v>
      </c>
      <c r="E342" s="40" t="s">
        <v>119</v>
      </c>
      <c r="F342" s="40" t="s">
        <v>123</v>
      </c>
      <c r="G342" s="41" t="s">
        <v>13</v>
      </c>
      <c r="H342" s="42">
        <v>5280.0</v>
      </c>
      <c r="I342" s="43">
        <v>79.3939394</v>
      </c>
      <c r="J342" s="42">
        <v>7318.0</v>
      </c>
      <c r="K342" s="43">
        <v>89.3823449</v>
      </c>
    </row>
    <row r="343" ht="15.0" hidden="1" customHeight="1">
      <c r="A343" s="7"/>
      <c r="B343" s="39">
        <v>336.0</v>
      </c>
      <c r="C343" s="40" t="s">
        <v>19</v>
      </c>
      <c r="D343" s="40" t="s">
        <v>54</v>
      </c>
      <c r="E343" s="40" t="s">
        <v>119</v>
      </c>
      <c r="F343" s="40" t="s">
        <v>123</v>
      </c>
      <c r="G343" s="41" t="s">
        <v>14</v>
      </c>
      <c r="H343" s="42">
        <v>18486.0</v>
      </c>
      <c r="I343" s="43">
        <v>28.6919831</v>
      </c>
      <c r="J343" s="42">
        <v>19224.0</v>
      </c>
      <c r="K343" s="43">
        <v>53.6672909</v>
      </c>
    </row>
    <row r="344" ht="15.0" customHeight="1">
      <c r="A344" s="7"/>
      <c r="B344" s="44">
        <v>337.0</v>
      </c>
      <c r="C344" s="45" t="s">
        <v>19</v>
      </c>
      <c r="D344" s="50" t="s">
        <v>54</v>
      </c>
      <c r="E344" s="50" t="s">
        <v>119</v>
      </c>
      <c r="F344" s="50" t="s">
        <v>124</v>
      </c>
      <c r="G344" s="51" t="s">
        <v>124</v>
      </c>
      <c r="H344" s="46">
        <v>39402.0</v>
      </c>
      <c r="I344" s="47">
        <v>31.6963606</v>
      </c>
      <c r="J344" s="46">
        <v>44890.0</v>
      </c>
      <c r="K344" s="47">
        <v>59.7237692</v>
      </c>
    </row>
    <row r="345" ht="15.0" hidden="1" customHeight="1">
      <c r="A345" s="7"/>
      <c r="B345" s="39">
        <v>338.0</v>
      </c>
      <c r="C345" s="40" t="s">
        <v>19</v>
      </c>
      <c r="D345" s="40" t="s">
        <v>54</v>
      </c>
      <c r="E345" s="40" t="s">
        <v>119</v>
      </c>
      <c r="F345" s="40" t="s">
        <v>124</v>
      </c>
      <c r="G345" s="41" t="s">
        <v>13</v>
      </c>
      <c r="H345" s="42">
        <v>2219.0</v>
      </c>
      <c r="I345" s="43">
        <v>82.1991888</v>
      </c>
      <c r="J345" s="42">
        <v>2751.0</v>
      </c>
      <c r="K345" s="43">
        <v>97.8189749</v>
      </c>
    </row>
    <row r="346" ht="15.0" hidden="1" customHeight="1">
      <c r="A346" s="7"/>
      <c r="B346" s="39">
        <v>339.0</v>
      </c>
      <c r="C346" s="40" t="s">
        <v>19</v>
      </c>
      <c r="D346" s="40" t="s">
        <v>54</v>
      </c>
      <c r="E346" s="40" t="s">
        <v>119</v>
      </c>
      <c r="F346" s="40" t="s">
        <v>124</v>
      </c>
      <c r="G346" s="41" t="s">
        <v>14</v>
      </c>
      <c r="H346" s="42">
        <v>37183.0</v>
      </c>
      <c r="I346" s="43">
        <v>28.6824624</v>
      </c>
      <c r="J346" s="42">
        <v>42139.0</v>
      </c>
      <c r="K346" s="43">
        <v>57.236764</v>
      </c>
    </row>
    <row r="347" ht="15.0" hidden="1" customHeight="1">
      <c r="A347" s="7"/>
      <c r="B347" s="35">
        <v>340.0</v>
      </c>
      <c r="C347" s="36" t="s">
        <v>17</v>
      </c>
      <c r="D347" s="49" t="s">
        <v>54</v>
      </c>
      <c r="E347" s="49" t="s">
        <v>125</v>
      </c>
      <c r="F347" s="49"/>
      <c r="G347" s="36" t="s">
        <v>125</v>
      </c>
      <c r="H347" s="37">
        <v>77574.0</v>
      </c>
      <c r="I347" s="38">
        <v>46.4588651</v>
      </c>
      <c r="J347" s="37">
        <v>114454.0</v>
      </c>
      <c r="K347" s="38">
        <v>80.5852133</v>
      </c>
    </row>
    <row r="348" ht="15.0" hidden="1" customHeight="1">
      <c r="A348" s="7"/>
      <c r="B348" s="39">
        <v>341.0</v>
      </c>
      <c r="C348" s="40" t="s">
        <v>17</v>
      </c>
      <c r="D348" s="40" t="s">
        <v>54</v>
      </c>
      <c r="E348" s="40" t="s">
        <v>125</v>
      </c>
      <c r="F348" s="40"/>
      <c r="G348" s="41" t="s">
        <v>13</v>
      </c>
      <c r="H348" s="42">
        <v>2229.0</v>
      </c>
      <c r="I348" s="43">
        <v>99.1475998</v>
      </c>
      <c r="J348" s="42">
        <v>28777.0</v>
      </c>
      <c r="K348" s="43">
        <v>96.5250026</v>
      </c>
    </row>
    <row r="349" ht="15.0" hidden="1" customHeight="1">
      <c r="A349" s="7"/>
      <c r="B349" s="39">
        <v>342.0</v>
      </c>
      <c r="C349" s="40" t="s">
        <v>17</v>
      </c>
      <c r="D349" s="40" t="s">
        <v>54</v>
      </c>
      <c r="E349" s="40" t="s">
        <v>125</v>
      </c>
      <c r="F349" s="40"/>
      <c r="G349" s="41" t="s">
        <v>14</v>
      </c>
      <c r="H349" s="42">
        <v>75345.0</v>
      </c>
      <c r="I349" s="43">
        <v>44.9001261</v>
      </c>
      <c r="J349" s="42">
        <v>85677.0</v>
      </c>
      <c r="K349" s="43">
        <v>75.2313923</v>
      </c>
    </row>
    <row r="350" ht="15.0" customHeight="1">
      <c r="A350" s="7"/>
      <c r="B350" s="44">
        <v>343.0</v>
      </c>
      <c r="C350" s="45" t="s">
        <v>19</v>
      </c>
      <c r="D350" s="50" t="s">
        <v>54</v>
      </c>
      <c r="E350" s="50" t="s">
        <v>125</v>
      </c>
      <c r="F350" s="50" t="s">
        <v>126</v>
      </c>
      <c r="G350" s="51" t="s">
        <v>126</v>
      </c>
      <c r="H350" s="46">
        <v>29595.0</v>
      </c>
      <c r="I350" s="47">
        <v>47.8594357</v>
      </c>
      <c r="J350" s="46">
        <v>48648.0</v>
      </c>
      <c r="K350" s="47">
        <v>85.5862523</v>
      </c>
    </row>
    <row r="351" ht="15.0" hidden="1" customHeight="1">
      <c r="A351" s="7"/>
      <c r="B351" s="39">
        <v>344.0</v>
      </c>
      <c r="C351" s="40" t="s">
        <v>19</v>
      </c>
      <c r="D351" s="40" t="s">
        <v>54</v>
      </c>
      <c r="E351" s="40" t="s">
        <v>125</v>
      </c>
      <c r="F351" s="40" t="s">
        <v>126</v>
      </c>
      <c r="G351" s="41" t="s">
        <v>13</v>
      </c>
      <c r="H351" s="42"/>
      <c r="I351" s="43"/>
      <c r="J351" s="42">
        <v>15295.0</v>
      </c>
      <c r="K351" s="43">
        <v>95.0049036</v>
      </c>
    </row>
    <row r="352" ht="15.0" hidden="1" customHeight="1">
      <c r="A352" s="7"/>
      <c r="B352" s="39">
        <v>345.0</v>
      </c>
      <c r="C352" s="40" t="s">
        <v>19</v>
      </c>
      <c r="D352" s="40" t="s">
        <v>54</v>
      </c>
      <c r="E352" s="40" t="s">
        <v>125</v>
      </c>
      <c r="F352" s="40" t="s">
        <v>126</v>
      </c>
      <c r="G352" s="41" t="s">
        <v>14</v>
      </c>
      <c r="H352" s="42">
        <v>29595.0</v>
      </c>
      <c r="I352" s="43">
        <v>47.8594357</v>
      </c>
      <c r="J352" s="42">
        <v>33353.0</v>
      </c>
      <c r="K352" s="43">
        <v>81.2670524</v>
      </c>
    </row>
    <row r="353" ht="15.0" customHeight="1">
      <c r="A353" s="7"/>
      <c r="B353" s="44">
        <v>346.0</v>
      </c>
      <c r="C353" s="45" t="s">
        <v>19</v>
      </c>
      <c r="D353" s="50" t="s">
        <v>54</v>
      </c>
      <c r="E353" s="50" t="s">
        <v>125</v>
      </c>
      <c r="F353" s="50" t="s">
        <v>127</v>
      </c>
      <c r="G353" s="51" t="s">
        <v>127</v>
      </c>
      <c r="H353" s="46">
        <v>24283.0</v>
      </c>
      <c r="I353" s="47">
        <v>40.4109871</v>
      </c>
      <c r="J353" s="46">
        <v>37896.0</v>
      </c>
      <c r="K353" s="47">
        <v>73.0921469</v>
      </c>
    </row>
    <row r="354" ht="15.0" hidden="1" customHeight="1">
      <c r="A354" s="7"/>
      <c r="B354" s="39">
        <v>347.0</v>
      </c>
      <c r="C354" s="40" t="s">
        <v>19</v>
      </c>
      <c r="D354" s="40" t="s">
        <v>54</v>
      </c>
      <c r="E354" s="40" t="s">
        <v>125</v>
      </c>
      <c r="F354" s="40" t="s">
        <v>127</v>
      </c>
      <c r="G354" s="41" t="s">
        <v>13</v>
      </c>
      <c r="H354" s="42"/>
      <c r="I354" s="43"/>
      <c r="J354" s="42">
        <v>10619.0</v>
      </c>
      <c r="K354" s="43">
        <v>98.0224127</v>
      </c>
    </row>
    <row r="355" ht="15.0" hidden="1" customHeight="1">
      <c r="A355" s="7"/>
      <c r="B355" s="39">
        <v>348.0</v>
      </c>
      <c r="C355" s="40" t="s">
        <v>19</v>
      </c>
      <c r="D355" s="40" t="s">
        <v>54</v>
      </c>
      <c r="E355" s="40" t="s">
        <v>125</v>
      </c>
      <c r="F355" s="40" t="s">
        <v>127</v>
      </c>
      <c r="G355" s="41" t="s">
        <v>14</v>
      </c>
      <c r="H355" s="42">
        <v>24283.0</v>
      </c>
      <c r="I355" s="43">
        <v>40.4109871</v>
      </c>
      <c r="J355" s="42">
        <v>27277.0</v>
      </c>
      <c r="K355" s="43">
        <v>63.3867361</v>
      </c>
    </row>
    <row r="356" ht="15.0" customHeight="1">
      <c r="A356" s="7"/>
      <c r="B356" s="44">
        <v>349.0</v>
      </c>
      <c r="C356" s="45" t="s">
        <v>19</v>
      </c>
      <c r="D356" s="50" t="s">
        <v>54</v>
      </c>
      <c r="E356" s="50" t="s">
        <v>125</v>
      </c>
      <c r="F356" s="50" t="s">
        <v>128</v>
      </c>
      <c r="G356" s="51" t="s">
        <v>128</v>
      </c>
      <c r="H356" s="46">
        <v>17281.0</v>
      </c>
      <c r="I356" s="47">
        <v>50.4484694</v>
      </c>
      <c r="J356" s="46">
        <v>20218.0</v>
      </c>
      <c r="K356" s="47">
        <v>83.0448116</v>
      </c>
    </row>
    <row r="357" ht="15.0" hidden="1" customHeight="1">
      <c r="A357" s="7"/>
      <c r="B357" s="39">
        <v>350.0</v>
      </c>
      <c r="C357" s="40" t="s">
        <v>19</v>
      </c>
      <c r="D357" s="40" t="s">
        <v>54</v>
      </c>
      <c r="E357" s="40" t="s">
        <v>125</v>
      </c>
      <c r="F357" s="40" t="s">
        <v>128</v>
      </c>
      <c r="G357" s="41" t="s">
        <v>13</v>
      </c>
      <c r="H357" s="42">
        <v>2229.0</v>
      </c>
      <c r="I357" s="43">
        <v>99.1475998</v>
      </c>
      <c r="J357" s="42">
        <v>2863.0</v>
      </c>
      <c r="K357" s="43">
        <v>99.0918617</v>
      </c>
    </row>
    <row r="358" ht="15.0" hidden="1" customHeight="1">
      <c r="A358" s="7"/>
      <c r="B358" s="39">
        <v>351.0</v>
      </c>
      <c r="C358" s="40" t="s">
        <v>19</v>
      </c>
      <c r="D358" s="40" t="s">
        <v>54</v>
      </c>
      <c r="E358" s="40" t="s">
        <v>125</v>
      </c>
      <c r="F358" s="40" t="s">
        <v>128</v>
      </c>
      <c r="G358" s="41" t="s">
        <v>14</v>
      </c>
      <c r="H358" s="42">
        <v>15052.0</v>
      </c>
      <c r="I358" s="43">
        <v>43.2367792</v>
      </c>
      <c r="J358" s="42">
        <v>17355.0</v>
      </c>
      <c r="K358" s="43">
        <v>80.3975799</v>
      </c>
    </row>
    <row r="359" ht="15.0" customHeight="1">
      <c r="A359" s="7"/>
      <c r="B359" s="44">
        <v>352.0</v>
      </c>
      <c r="C359" s="45" t="s">
        <v>19</v>
      </c>
      <c r="D359" s="50" t="s">
        <v>54</v>
      </c>
      <c r="E359" s="50" t="s">
        <v>125</v>
      </c>
      <c r="F359" s="50" t="s">
        <v>129</v>
      </c>
      <c r="G359" s="51" t="s">
        <v>129</v>
      </c>
      <c r="H359" s="46">
        <v>6415.0</v>
      </c>
      <c r="I359" s="47">
        <v>52.1434139</v>
      </c>
      <c r="J359" s="46">
        <v>7692.0</v>
      </c>
      <c r="K359" s="47">
        <v>79.4071763</v>
      </c>
    </row>
    <row r="360" ht="15.0" hidden="1" customHeight="1">
      <c r="A360" s="7"/>
      <c r="B360" s="39">
        <v>353.0</v>
      </c>
      <c r="C360" s="40" t="s">
        <v>19</v>
      </c>
      <c r="D360" s="40" t="s">
        <v>54</v>
      </c>
      <c r="E360" s="40" t="s">
        <v>125</v>
      </c>
      <c r="F360" s="40" t="s">
        <v>129</v>
      </c>
      <c r="G360" s="41" t="s">
        <v>13</v>
      </c>
      <c r="H360" s="42"/>
      <c r="I360" s="43"/>
      <c r="J360" s="42"/>
      <c r="K360" s="43"/>
    </row>
    <row r="361" ht="15.0" hidden="1" customHeight="1">
      <c r="A361" s="7"/>
      <c r="B361" s="39">
        <v>354.0</v>
      </c>
      <c r="C361" s="40" t="s">
        <v>19</v>
      </c>
      <c r="D361" s="40" t="s">
        <v>54</v>
      </c>
      <c r="E361" s="40" t="s">
        <v>125</v>
      </c>
      <c r="F361" s="40" t="s">
        <v>129</v>
      </c>
      <c r="G361" s="41" t="s">
        <v>14</v>
      </c>
      <c r="H361" s="42">
        <v>6415.0</v>
      </c>
      <c r="I361" s="43">
        <v>52.1434139</v>
      </c>
      <c r="J361" s="42">
        <v>7692.0</v>
      </c>
      <c r="K361" s="43">
        <v>79.4071763</v>
      </c>
    </row>
    <row r="362" ht="15.0" hidden="1" customHeight="1">
      <c r="A362" s="7"/>
      <c r="B362" s="35">
        <v>355.0</v>
      </c>
      <c r="C362" s="36" t="s">
        <v>17</v>
      </c>
      <c r="D362" s="49" t="s">
        <v>54</v>
      </c>
      <c r="E362" s="49" t="s">
        <v>130</v>
      </c>
      <c r="F362" s="49"/>
      <c r="G362" s="36" t="s">
        <v>130</v>
      </c>
      <c r="H362" s="37">
        <v>96799.0</v>
      </c>
      <c r="I362" s="38">
        <v>55.6018141</v>
      </c>
      <c r="J362" s="37">
        <v>110388.0</v>
      </c>
      <c r="K362" s="38">
        <v>78.5311809</v>
      </c>
    </row>
    <row r="363" ht="15.0" hidden="1" customHeight="1">
      <c r="A363" s="7"/>
      <c r="B363" s="39">
        <v>356.0</v>
      </c>
      <c r="C363" s="40" t="s">
        <v>17</v>
      </c>
      <c r="D363" s="40" t="s">
        <v>54</v>
      </c>
      <c r="E363" s="40" t="s">
        <v>130</v>
      </c>
      <c r="F363" s="40"/>
      <c r="G363" s="41" t="s">
        <v>13</v>
      </c>
      <c r="H363" s="42">
        <v>27475.0</v>
      </c>
      <c r="I363" s="43">
        <v>90.0127389</v>
      </c>
      <c r="J363" s="42">
        <v>32943.0</v>
      </c>
      <c r="K363" s="43">
        <v>96.1114653</v>
      </c>
    </row>
    <row r="364" ht="15.0" hidden="1" customHeight="1">
      <c r="A364" s="7"/>
      <c r="B364" s="39">
        <v>357.0</v>
      </c>
      <c r="C364" s="40" t="s">
        <v>17</v>
      </c>
      <c r="D364" s="40" t="s">
        <v>54</v>
      </c>
      <c r="E364" s="40" t="s">
        <v>130</v>
      </c>
      <c r="F364" s="40"/>
      <c r="G364" s="41" t="s">
        <v>14</v>
      </c>
      <c r="H364" s="42">
        <v>69324.0</v>
      </c>
      <c r="I364" s="43">
        <v>41.9638221</v>
      </c>
      <c r="J364" s="42">
        <v>77445.0</v>
      </c>
      <c r="K364" s="43">
        <v>71.0530054</v>
      </c>
    </row>
    <row r="365" ht="15.0" customHeight="1">
      <c r="A365" s="7"/>
      <c r="B365" s="44">
        <v>358.0</v>
      </c>
      <c r="C365" s="45" t="s">
        <v>19</v>
      </c>
      <c r="D365" s="50" t="s">
        <v>54</v>
      </c>
      <c r="E365" s="50" t="s">
        <v>130</v>
      </c>
      <c r="F365" s="50" t="s">
        <v>131</v>
      </c>
      <c r="G365" s="51" t="s">
        <v>131</v>
      </c>
      <c r="H365" s="46">
        <v>31030.0</v>
      </c>
      <c r="I365" s="47">
        <v>48.5884628</v>
      </c>
      <c r="J365" s="46">
        <v>33365.0</v>
      </c>
      <c r="K365" s="47">
        <v>70.813727</v>
      </c>
    </row>
    <row r="366" ht="15.0" hidden="1" customHeight="1">
      <c r="A366" s="7"/>
      <c r="B366" s="39">
        <v>359.0</v>
      </c>
      <c r="C366" s="40" t="s">
        <v>19</v>
      </c>
      <c r="D366" s="40" t="s">
        <v>54</v>
      </c>
      <c r="E366" s="40" t="s">
        <v>130</v>
      </c>
      <c r="F366" s="40" t="s">
        <v>131</v>
      </c>
      <c r="G366" s="41" t="s">
        <v>13</v>
      </c>
      <c r="H366" s="42">
        <v>10974.0</v>
      </c>
      <c r="I366" s="43">
        <v>85.4474212</v>
      </c>
      <c r="J366" s="42">
        <v>9340.0</v>
      </c>
      <c r="K366" s="43">
        <v>96.2955032</v>
      </c>
    </row>
    <row r="367" ht="15.0" hidden="1" customHeight="1">
      <c r="A367" s="7"/>
      <c r="B367" s="39">
        <v>360.0</v>
      </c>
      <c r="C367" s="40" t="s">
        <v>19</v>
      </c>
      <c r="D367" s="40" t="s">
        <v>54</v>
      </c>
      <c r="E367" s="40" t="s">
        <v>130</v>
      </c>
      <c r="F367" s="40" t="s">
        <v>131</v>
      </c>
      <c r="G367" s="41" t="s">
        <v>14</v>
      </c>
      <c r="H367" s="42">
        <v>20056.0</v>
      </c>
      <c r="I367" s="43">
        <v>28.4204228</v>
      </c>
      <c r="J367" s="42">
        <v>24025.0</v>
      </c>
      <c r="K367" s="43">
        <v>60.9073881</v>
      </c>
    </row>
    <row r="368" ht="15.0" customHeight="1">
      <c r="A368" s="7"/>
      <c r="B368" s="44">
        <v>361.0</v>
      </c>
      <c r="C368" s="45" t="s">
        <v>19</v>
      </c>
      <c r="D368" s="50" t="s">
        <v>54</v>
      </c>
      <c r="E368" s="50" t="s">
        <v>130</v>
      </c>
      <c r="F368" s="50" t="s">
        <v>132</v>
      </c>
      <c r="G368" s="51" t="s">
        <v>132</v>
      </c>
      <c r="H368" s="46">
        <v>8854.0</v>
      </c>
      <c r="I368" s="47">
        <v>35.1366614</v>
      </c>
      <c r="J368" s="46">
        <v>9041.0</v>
      </c>
      <c r="K368" s="47">
        <v>65.1919036</v>
      </c>
    </row>
    <row r="369" ht="15.0" hidden="1" customHeight="1">
      <c r="A369" s="7"/>
      <c r="B369" s="39">
        <v>362.0</v>
      </c>
      <c r="C369" s="40" t="s">
        <v>19</v>
      </c>
      <c r="D369" s="40" t="s">
        <v>54</v>
      </c>
      <c r="E369" s="40" t="s">
        <v>130</v>
      </c>
      <c r="F369" s="40" t="s">
        <v>132</v>
      </c>
      <c r="G369" s="41" t="s">
        <v>13</v>
      </c>
      <c r="H369" s="42"/>
      <c r="I369" s="43"/>
      <c r="J369" s="42"/>
      <c r="K369" s="43"/>
    </row>
    <row r="370" ht="15.0" hidden="1" customHeight="1">
      <c r="A370" s="7"/>
      <c r="B370" s="39">
        <v>363.0</v>
      </c>
      <c r="C370" s="40" t="s">
        <v>19</v>
      </c>
      <c r="D370" s="40" t="s">
        <v>54</v>
      </c>
      <c r="E370" s="40" t="s">
        <v>130</v>
      </c>
      <c r="F370" s="40" t="s">
        <v>132</v>
      </c>
      <c r="G370" s="41" t="s">
        <v>14</v>
      </c>
      <c r="H370" s="42">
        <v>8854.0</v>
      </c>
      <c r="I370" s="43">
        <v>35.1366614</v>
      </c>
      <c r="J370" s="42">
        <v>9041.0</v>
      </c>
      <c r="K370" s="43">
        <v>65.1919036</v>
      </c>
    </row>
    <row r="371" ht="15.0" customHeight="1">
      <c r="A371" s="7"/>
      <c r="B371" s="44">
        <v>364.0</v>
      </c>
      <c r="C371" s="45" t="s">
        <v>19</v>
      </c>
      <c r="D371" s="50" t="s">
        <v>54</v>
      </c>
      <c r="E371" s="50" t="s">
        <v>130</v>
      </c>
      <c r="F371" s="50" t="s">
        <v>133</v>
      </c>
      <c r="G371" s="51" t="s">
        <v>133</v>
      </c>
      <c r="H371" s="46">
        <v>7757.0</v>
      </c>
      <c r="I371" s="47">
        <v>42.1296893</v>
      </c>
      <c r="J371" s="46">
        <v>10903.0</v>
      </c>
      <c r="K371" s="47">
        <v>71.9893607</v>
      </c>
    </row>
    <row r="372" ht="15.0" hidden="1" customHeight="1">
      <c r="A372" s="7"/>
      <c r="B372" s="39">
        <v>365.0</v>
      </c>
      <c r="C372" s="40" t="s">
        <v>19</v>
      </c>
      <c r="D372" s="40" t="s">
        <v>54</v>
      </c>
      <c r="E372" s="40" t="s">
        <v>130</v>
      </c>
      <c r="F372" s="40" t="s">
        <v>133</v>
      </c>
      <c r="G372" s="41" t="s">
        <v>13</v>
      </c>
      <c r="H372" s="42"/>
      <c r="I372" s="43"/>
      <c r="J372" s="42"/>
      <c r="K372" s="43"/>
    </row>
    <row r="373" ht="15.0" hidden="1" customHeight="1">
      <c r="A373" s="7"/>
      <c r="B373" s="39">
        <v>366.0</v>
      </c>
      <c r="C373" s="40" t="s">
        <v>19</v>
      </c>
      <c r="D373" s="40" t="s">
        <v>54</v>
      </c>
      <c r="E373" s="40" t="s">
        <v>130</v>
      </c>
      <c r="F373" s="40" t="s">
        <v>133</v>
      </c>
      <c r="G373" s="41" t="s">
        <v>14</v>
      </c>
      <c r="H373" s="42">
        <v>7757.0</v>
      </c>
      <c r="I373" s="43">
        <v>42.1296893</v>
      </c>
      <c r="J373" s="42">
        <v>10903.0</v>
      </c>
      <c r="K373" s="43">
        <v>71.9893607</v>
      </c>
    </row>
    <row r="374" ht="15.0" customHeight="1">
      <c r="A374" s="7"/>
      <c r="B374" s="44">
        <v>367.0</v>
      </c>
      <c r="C374" s="45" t="s">
        <v>19</v>
      </c>
      <c r="D374" s="50" t="s">
        <v>54</v>
      </c>
      <c r="E374" s="50" t="s">
        <v>130</v>
      </c>
      <c r="F374" s="50" t="s">
        <v>134</v>
      </c>
      <c r="G374" s="51" t="s">
        <v>134</v>
      </c>
      <c r="H374" s="46">
        <v>12251.0</v>
      </c>
      <c r="I374" s="47">
        <v>50.8203412</v>
      </c>
      <c r="J374" s="46">
        <v>15087.0</v>
      </c>
      <c r="K374" s="47">
        <v>82.0110029</v>
      </c>
    </row>
    <row r="375" ht="15.0" hidden="1" customHeight="1">
      <c r="A375" s="7"/>
      <c r="B375" s="39">
        <v>368.0</v>
      </c>
      <c r="C375" s="40" t="s">
        <v>19</v>
      </c>
      <c r="D375" s="40" t="s">
        <v>54</v>
      </c>
      <c r="E375" s="40" t="s">
        <v>130</v>
      </c>
      <c r="F375" s="40" t="s">
        <v>134</v>
      </c>
      <c r="G375" s="41" t="s">
        <v>13</v>
      </c>
      <c r="H375" s="42"/>
      <c r="I375" s="43"/>
      <c r="J375" s="42"/>
      <c r="K375" s="43"/>
    </row>
    <row r="376" ht="15.0" hidden="1" customHeight="1">
      <c r="A376" s="7"/>
      <c r="B376" s="39">
        <v>369.0</v>
      </c>
      <c r="C376" s="40" t="s">
        <v>19</v>
      </c>
      <c r="D376" s="40" t="s">
        <v>54</v>
      </c>
      <c r="E376" s="40" t="s">
        <v>130</v>
      </c>
      <c r="F376" s="40" t="s">
        <v>134</v>
      </c>
      <c r="G376" s="41" t="s">
        <v>14</v>
      </c>
      <c r="H376" s="42">
        <v>12251.0</v>
      </c>
      <c r="I376" s="43">
        <v>50.8203412</v>
      </c>
      <c r="J376" s="42">
        <v>15087.0</v>
      </c>
      <c r="K376" s="43">
        <v>82.0110029</v>
      </c>
    </row>
    <row r="377" ht="15.0" customHeight="1">
      <c r="A377" s="7"/>
      <c r="B377" s="44">
        <v>370.0</v>
      </c>
      <c r="C377" s="45" t="s">
        <v>19</v>
      </c>
      <c r="D377" s="50" t="s">
        <v>54</v>
      </c>
      <c r="E377" s="50" t="s">
        <v>130</v>
      </c>
      <c r="F377" s="50" t="s">
        <v>135</v>
      </c>
      <c r="G377" s="51" t="s">
        <v>135</v>
      </c>
      <c r="H377" s="46">
        <v>22156.0</v>
      </c>
      <c r="I377" s="47">
        <v>75.9884456</v>
      </c>
      <c r="J377" s="46">
        <v>24167.0</v>
      </c>
      <c r="K377" s="47">
        <v>87.5987917</v>
      </c>
    </row>
    <row r="378" ht="15.0" hidden="1" customHeight="1">
      <c r="A378" s="7"/>
      <c r="B378" s="39">
        <v>371.0</v>
      </c>
      <c r="C378" s="40" t="s">
        <v>19</v>
      </c>
      <c r="D378" s="40" t="s">
        <v>54</v>
      </c>
      <c r="E378" s="40" t="s">
        <v>130</v>
      </c>
      <c r="F378" s="40" t="s">
        <v>135</v>
      </c>
      <c r="G378" s="41" t="s">
        <v>13</v>
      </c>
      <c r="H378" s="42">
        <v>10668.0</v>
      </c>
      <c r="I378" s="43">
        <v>97.5628046</v>
      </c>
      <c r="J378" s="42">
        <v>12572.0</v>
      </c>
      <c r="K378" s="43">
        <v>97.9160038</v>
      </c>
    </row>
    <row r="379" ht="15.0" hidden="1" customHeight="1">
      <c r="A379" s="7"/>
      <c r="B379" s="39">
        <v>372.0</v>
      </c>
      <c r="C379" s="40" t="s">
        <v>19</v>
      </c>
      <c r="D379" s="40" t="s">
        <v>54</v>
      </c>
      <c r="E379" s="40" t="s">
        <v>130</v>
      </c>
      <c r="F379" s="40" t="s">
        <v>135</v>
      </c>
      <c r="G379" s="41" t="s">
        <v>14</v>
      </c>
      <c r="H379" s="42">
        <v>11488.0</v>
      </c>
      <c r="I379" s="43">
        <v>55.954039</v>
      </c>
      <c r="J379" s="42">
        <v>11595.0</v>
      </c>
      <c r="K379" s="43">
        <v>76.4122467</v>
      </c>
    </row>
    <row r="380" ht="15.0" customHeight="1">
      <c r="A380" s="7"/>
      <c r="B380" s="44">
        <v>373.0</v>
      </c>
      <c r="C380" s="45" t="s">
        <v>19</v>
      </c>
      <c r="D380" s="50" t="s">
        <v>54</v>
      </c>
      <c r="E380" s="50" t="s">
        <v>130</v>
      </c>
      <c r="F380" s="50" t="s">
        <v>136</v>
      </c>
      <c r="G380" s="51" t="s">
        <v>136</v>
      </c>
      <c r="H380" s="46">
        <v>9790.0</v>
      </c>
      <c r="I380" s="47">
        <v>58.3656793</v>
      </c>
      <c r="J380" s="46">
        <v>12375.0</v>
      </c>
      <c r="K380" s="47">
        <v>87.6525253</v>
      </c>
    </row>
    <row r="381" ht="15.0" hidden="1" customHeight="1">
      <c r="A381" s="7"/>
      <c r="B381" s="39">
        <v>374.0</v>
      </c>
      <c r="C381" s="40" t="s">
        <v>19</v>
      </c>
      <c r="D381" s="40" t="s">
        <v>54</v>
      </c>
      <c r="E381" s="40" t="s">
        <v>130</v>
      </c>
      <c r="F381" s="40" t="s">
        <v>136</v>
      </c>
      <c r="G381" s="41" t="s">
        <v>13</v>
      </c>
      <c r="H381" s="42">
        <v>3050.0</v>
      </c>
      <c r="I381" s="43">
        <v>86.4590164</v>
      </c>
      <c r="J381" s="42">
        <v>7390.0</v>
      </c>
      <c r="K381" s="43">
        <v>93.8971583</v>
      </c>
    </row>
    <row r="382" ht="15.0" hidden="1" customHeight="1">
      <c r="A382" s="7"/>
      <c r="B382" s="39">
        <v>375.0</v>
      </c>
      <c r="C382" s="40" t="s">
        <v>19</v>
      </c>
      <c r="D382" s="40" t="s">
        <v>54</v>
      </c>
      <c r="E382" s="40" t="s">
        <v>130</v>
      </c>
      <c r="F382" s="40" t="s">
        <v>136</v>
      </c>
      <c r="G382" s="41" t="s">
        <v>14</v>
      </c>
      <c r="H382" s="42">
        <v>6740.0</v>
      </c>
      <c r="I382" s="43">
        <v>45.652819</v>
      </c>
      <c r="J382" s="42">
        <v>4985.0</v>
      </c>
      <c r="K382" s="43">
        <v>78.3951856</v>
      </c>
    </row>
    <row r="383" ht="15.0" customHeight="1">
      <c r="A383" s="7"/>
      <c r="B383" s="44">
        <v>376.0</v>
      </c>
      <c r="C383" s="45" t="s">
        <v>19</v>
      </c>
      <c r="D383" s="50" t="s">
        <v>54</v>
      </c>
      <c r="E383" s="50" t="s">
        <v>130</v>
      </c>
      <c r="F383" s="50" t="s">
        <v>137</v>
      </c>
      <c r="G383" s="51" t="s">
        <v>137</v>
      </c>
      <c r="H383" s="46">
        <v>4961.0</v>
      </c>
      <c r="I383" s="47">
        <v>72.3644427</v>
      </c>
      <c r="J383" s="46">
        <v>5450.0</v>
      </c>
      <c r="K383" s="47">
        <v>90.440367</v>
      </c>
    </row>
    <row r="384" ht="15.0" hidden="1" customHeight="1">
      <c r="A384" s="7"/>
      <c r="B384" s="39">
        <v>377.0</v>
      </c>
      <c r="C384" s="40" t="s">
        <v>19</v>
      </c>
      <c r="D384" s="40" t="s">
        <v>54</v>
      </c>
      <c r="E384" s="40" t="s">
        <v>130</v>
      </c>
      <c r="F384" s="40" t="s">
        <v>137</v>
      </c>
      <c r="G384" s="41" t="s">
        <v>13</v>
      </c>
      <c r="H384" s="42">
        <v>2783.0</v>
      </c>
      <c r="I384" s="43">
        <v>82.9680201</v>
      </c>
      <c r="J384" s="42">
        <v>3641.0</v>
      </c>
      <c r="K384" s="43">
        <v>93.902774</v>
      </c>
    </row>
    <row r="385" ht="15.0" hidden="1" customHeight="1">
      <c r="A385" s="7"/>
      <c r="B385" s="39">
        <v>378.0</v>
      </c>
      <c r="C385" s="40" t="s">
        <v>19</v>
      </c>
      <c r="D385" s="40" t="s">
        <v>54</v>
      </c>
      <c r="E385" s="40" t="s">
        <v>130</v>
      </c>
      <c r="F385" s="40" t="s">
        <v>137</v>
      </c>
      <c r="G385" s="41" t="s">
        <v>14</v>
      </c>
      <c r="H385" s="42">
        <v>2178.0</v>
      </c>
      <c r="I385" s="43">
        <v>58.815427</v>
      </c>
      <c r="J385" s="42">
        <v>1809.0</v>
      </c>
      <c r="K385" s="43">
        <v>83.4715312</v>
      </c>
    </row>
    <row r="386" ht="15.0" hidden="1" customHeight="1">
      <c r="A386" s="7"/>
      <c r="B386" s="35">
        <v>379.0</v>
      </c>
      <c r="C386" s="36" t="s">
        <v>17</v>
      </c>
      <c r="D386" s="49" t="s">
        <v>54</v>
      </c>
      <c r="E386" s="49" t="s">
        <v>138</v>
      </c>
      <c r="F386" s="49"/>
      <c r="G386" s="36" t="s">
        <v>138</v>
      </c>
      <c r="H386" s="37">
        <v>35299.0</v>
      </c>
      <c r="I386" s="38">
        <v>54.6304428</v>
      </c>
      <c r="J386" s="37">
        <v>49119.0</v>
      </c>
      <c r="K386" s="38">
        <v>75.3130153</v>
      </c>
    </row>
    <row r="387" ht="15.0" hidden="1" customHeight="1">
      <c r="A387" s="7"/>
      <c r="B387" s="39">
        <v>380.0</v>
      </c>
      <c r="C387" s="40" t="s">
        <v>17</v>
      </c>
      <c r="D387" s="40" t="s">
        <v>54</v>
      </c>
      <c r="E387" s="40" t="s">
        <v>138</v>
      </c>
      <c r="F387" s="40"/>
      <c r="G387" s="41" t="s">
        <v>13</v>
      </c>
      <c r="H387" s="42">
        <v>2168.0</v>
      </c>
      <c r="I387" s="43">
        <v>95.2490775</v>
      </c>
      <c r="J387" s="42">
        <v>5562.0</v>
      </c>
      <c r="K387" s="43">
        <v>94.0309241</v>
      </c>
    </row>
    <row r="388" ht="15.0" hidden="1" customHeight="1">
      <c r="A388" s="7"/>
      <c r="B388" s="39">
        <v>381.0</v>
      </c>
      <c r="C388" s="40" t="s">
        <v>17</v>
      </c>
      <c r="D388" s="40" t="s">
        <v>54</v>
      </c>
      <c r="E388" s="40" t="s">
        <v>138</v>
      </c>
      <c r="F388" s="40"/>
      <c r="G388" s="41" t="s">
        <v>14</v>
      </c>
      <c r="H388" s="42">
        <v>33131.0</v>
      </c>
      <c r="I388" s="43">
        <v>51.9724729</v>
      </c>
      <c r="J388" s="42">
        <v>43557.0</v>
      </c>
      <c r="K388" s="43">
        <v>72.9228367</v>
      </c>
    </row>
    <row r="389" ht="15.0" customHeight="1">
      <c r="A389" s="7"/>
      <c r="B389" s="44">
        <v>382.0</v>
      </c>
      <c r="C389" s="45" t="s">
        <v>19</v>
      </c>
      <c r="D389" s="50" t="s">
        <v>54</v>
      </c>
      <c r="E389" s="50" t="s">
        <v>138</v>
      </c>
      <c r="F389" s="50" t="s">
        <v>139</v>
      </c>
      <c r="G389" s="51" t="s">
        <v>139</v>
      </c>
      <c r="H389" s="46">
        <v>18614.0</v>
      </c>
      <c r="I389" s="47">
        <v>45.8740733</v>
      </c>
      <c r="J389" s="46">
        <v>26339.0</v>
      </c>
      <c r="K389" s="47">
        <v>67.1323892</v>
      </c>
    </row>
    <row r="390" ht="15.0" hidden="1" customHeight="1">
      <c r="A390" s="7"/>
      <c r="B390" s="39">
        <v>383.0</v>
      </c>
      <c r="C390" s="40" t="s">
        <v>19</v>
      </c>
      <c r="D390" s="40" t="s">
        <v>54</v>
      </c>
      <c r="E390" s="40" t="s">
        <v>138</v>
      </c>
      <c r="F390" s="40" t="s">
        <v>139</v>
      </c>
      <c r="G390" s="41" t="s">
        <v>13</v>
      </c>
      <c r="H390" s="42">
        <v>2168.0</v>
      </c>
      <c r="I390" s="43">
        <v>95.2490775</v>
      </c>
      <c r="J390" s="42">
        <v>2607.0</v>
      </c>
      <c r="K390" s="43">
        <v>93.1338703</v>
      </c>
    </row>
    <row r="391" ht="15.0" hidden="1" customHeight="1">
      <c r="A391" s="7"/>
      <c r="B391" s="39">
        <v>384.0</v>
      </c>
      <c r="C391" s="40" t="s">
        <v>19</v>
      </c>
      <c r="D391" s="40" t="s">
        <v>54</v>
      </c>
      <c r="E391" s="40" t="s">
        <v>138</v>
      </c>
      <c r="F391" s="40" t="s">
        <v>139</v>
      </c>
      <c r="G391" s="41" t="s">
        <v>14</v>
      </c>
      <c r="H391" s="42">
        <v>16446.0</v>
      </c>
      <c r="I391" s="43">
        <v>39.3651952</v>
      </c>
      <c r="J391" s="42">
        <v>23732.0</v>
      </c>
      <c r="K391" s="43">
        <v>64.2760829</v>
      </c>
    </row>
    <row r="392" ht="15.0" customHeight="1">
      <c r="A392" s="7"/>
      <c r="B392" s="44">
        <v>385.0</v>
      </c>
      <c r="C392" s="45" t="s">
        <v>19</v>
      </c>
      <c r="D392" s="50" t="s">
        <v>54</v>
      </c>
      <c r="E392" s="50" t="s">
        <v>138</v>
      </c>
      <c r="F392" s="50" t="s">
        <v>140</v>
      </c>
      <c r="G392" s="51" t="s">
        <v>140</v>
      </c>
      <c r="H392" s="46">
        <v>16685.0</v>
      </c>
      <c r="I392" s="47">
        <v>64.3991609</v>
      </c>
      <c r="J392" s="46">
        <v>22780.0</v>
      </c>
      <c r="K392" s="47">
        <v>84.7717296</v>
      </c>
    </row>
    <row r="393" ht="15.0" hidden="1" customHeight="1">
      <c r="A393" s="7"/>
      <c r="B393" s="39">
        <v>386.0</v>
      </c>
      <c r="C393" s="40" t="s">
        <v>19</v>
      </c>
      <c r="D393" s="40" t="s">
        <v>54</v>
      </c>
      <c r="E393" s="40" t="s">
        <v>138</v>
      </c>
      <c r="F393" s="40" t="s">
        <v>140</v>
      </c>
      <c r="G393" s="41" t="s">
        <v>13</v>
      </c>
      <c r="H393" s="42"/>
      <c r="I393" s="43"/>
      <c r="J393" s="42">
        <v>2955.0</v>
      </c>
      <c r="K393" s="43">
        <v>94.822335</v>
      </c>
    </row>
    <row r="394" ht="15.0" hidden="1" customHeight="1">
      <c r="A394" s="7"/>
      <c r="B394" s="39">
        <v>387.0</v>
      </c>
      <c r="C394" s="40" t="s">
        <v>19</v>
      </c>
      <c r="D394" s="40" t="s">
        <v>54</v>
      </c>
      <c r="E394" s="40" t="s">
        <v>138</v>
      </c>
      <c r="F394" s="40" t="s">
        <v>140</v>
      </c>
      <c r="G394" s="41" t="s">
        <v>14</v>
      </c>
      <c r="H394" s="42">
        <v>16685.0</v>
      </c>
      <c r="I394" s="43">
        <v>64.3991609</v>
      </c>
      <c r="J394" s="42">
        <v>19825.0</v>
      </c>
      <c r="K394" s="43">
        <v>83.2736444</v>
      </c>
    </row>
    <row r="395" ht="15.0" hidden="1" customHeight="1">
      <c r="A395" s="7"/>
      <c r="B395" s="35">
        <v>388.0</v>
      </c>
      <c r="C395" s="36" t="s">
        <v>17</v>
      </c>
      <c r="D395" s="49" t="s">
        <v>54</v>
      </c>
      <c r="E395" s="49" t="s">
        <v>141</v>
      </c>
      <c r="F395" s="49"/>
      <c r="G395" s="36" t="s">
        <v>141</v>
      </c>
      <c r="H395" s="37">
        <v>16439.0</v>
      </c>
      <c r="I395" s="38">
        <v>37.9828457</v>
      </c>
      <c r="J395" s="37">
        <v>20720.0</v>
      </c>
      <c r="K395" s="38">
        <v>60.8590734</v>
      </c>
    </row>
    <row r="396" ht="15.0" hidden="1" customHeight="1">
      <c r="A396" s="7"/>
      <c r="B396" s="39">
        <v>389.0</v>
      </c>
      <c r="C396" s="40" t="s">
        <v>17</v>
      </c>
      <c r="D396" s="40" t="s">
        <v>54</v>
      </c>
      <c r="E396" s="40" t="s">
        <v>141</v>
      </c>
      <c r="F396" s="40"/>
      <c r="G396" s="41" t="s">
        <v>13</v>
      </c>
      <c r="H396" s="42">
        <v>6851.0</v>
      </c>
      <c r="I396" s="43">
        <v>72.8214859</v>
      </c>
      <c r="J396" s="42">
        <v>8452.0</v>
      </c>
      <c r="K396" s="43">
        <v>87.9318504</v>
      </c>
    </row>
    <row r="397" ht="15.0" hidden="1" customHeight="1">
      <c r="A397" s="7"/>
      <c r="B397" s="39">
        <v>390.0</v>
      </c>
      <c r="C397" s="40" t="s">
        <v>17</v>
      </c>
      <c r="D397" s="40" t="s">
        <v>54</v>
      </c>
      <c r="E397" s="40" t="s">
        <v>141</v>
      </c>
      <c r="F397" s="40"/>
      <c r="G397" s="41" t="s">
        <v>14</v>
      </c>
      <c r="H397" s="42">
        <v>9588.0</v>
      </c>
      <c r="I397" s="43">
        <v>13.0892783</v>
      </c>
      <c r="J397" s="42">
        <v>12268.0</v>
      </c>
      <c r="K397" s="43">
        <v>42.2073688</v>
      </c>
    </row>
    <row r="398" ht="15.0" customHeight="1">
      <c r="A398" s="7"/>
      <c r="B398" s="44">
        <v>391.0</v>
      </c>
      <c r="C398" s="45" t="s">
        <v>19</v>
      </c>
      <c r="D398" s="50" t="s">
        <v>54</v>
      </c>
      <c r="E398" s="50" t="s">
        <v>141</v>
      </c>
      <c r="F398" s="50" t="s">
        <v>142</v>
      </c>
      <c r="G398" s="51" t="s">
        <v>142</v>
      </c>
      <c r="H398" s="46">
        <v>8275.0</v>
      </c>
      <c r="I398" s="47">
        <v>33.9335347</v>
      </c>
      <c r="J398" s="46">
        <v>11181.0</v>
      </c>
      <c r="K398" s="47">
        <v>51.7842769</v>
      </c>
    </row>
    <row r="399" ht="15.0" hidden="1" customHeight="1">
      <c r="A399" s="7"/>
      <c r="B399" s="39">
        <v>392.0</v>
      </c>
      <c r="C399" s="40" t="s">
        <v>19</v>
      </c>
      <c r="D399" s="40" t="s">
        <v>54</v>
      </c>
      <c r="E399" s="40" t="s">
        <v>141</v>
      </c>
      <c r="F399" s="40" t="s">
        <v>142</v>
      </c>
      <c r="G399" s="41" t="s">
        <v>13</v>
      </c>
      <c r="H399" s="42">
        <v>3522.0</v>
      </c>
      <c r="I399" s="43">
        <v>67.4616695</v>
      </c>
      <c r="J399" s="42">
        <v>4184.0</v>
      </c>
      <c r="K399" s="43">
        <v>89.6510516</v>
      </c>
    </row>
    <row r="400" ht="15.0" hidden="1" customHeight="1">
      <c r="A400" s="7"/>
      <c r="B400" s="39">
        <v>393.0</v>
      </c>
      <c r="C400" s="40" t="s">
        <v>19</v>
      </c>
      <c r="D400" s="40" t="s">
        <v>54</v>
      </c>
      <c r="E400" s="40" t="s">
        <v>141</v>
      </c>
      <c r="F400" s="40" t="s">
        <v>142</v>
      </c>
      <c r="G400" s="41" t="s">
        <v>14</v>
      </c>
      <c r="H400" s="42">
        <v>4753.0</v>
      </c>
      <c r="I400" s="43">
        <v>9.0889964</v>
      </c>
      <c r="J400" s="42">
        <v>6997.0</v>
      </c>
      <c r="K400" s="43">
        <v>29.1410605</v>
      </c>
    </row>
    <row r="401" ht="15.0" customHeight="1">
      <c r="A401" s="7"/>
      <c r="B401" s="44">
        <v>394.0</v>
      </c>
      <c r="C401" s="45" t="s">
        <v>19</v>
      </c>
      <c r="D401" s="50" t="s">
        <v>54</v>
      </c>
      <c r="E401" s="50" t="s">
        <v>141</v>
      </c>
      <c r="F401" s="50" t="s">
        <v>143</v>
      </c>
      <c r="G401" s="51" t="s">
        <v>143</v>
      </c>
      <c r="H401" s="46">
        <v>8164.0</v>
      </c>
      <c r="I401" s="47">
        <v>42.0872122</v>
      </c>
      <c r="J401" s="46">
        <v>9539.0</v>
      </c>
      <c r="K401" s="47">
        <v>71.4959639</v>
      </c>
    </row>
    <row r="402" ht="15.0" hidden="1" customHeight="1">
      <c r="A402" s="7"/>
      <c r="B402" s="39">
        <v>395.0</v>
      </c>
      <c r="C402" s="40" t="s">
        <v>19</v>
      </c>
      <c r="D402" s="40" t="s">
        <v>54</v>
      </c>
      <c r="E402" s="40" t="s">
        <v>141</v>
      </c>
      <c r="F402" s="40" t="s">
        <v>143</v>
      </c>
      <c r="G402" s="41" t="s">
        <v>13</v>
      </c>
      <c r="H402" s="42">
        <v>3329.0</v>
      </c>
      <c r="I402" s="43">
        <v>78.4920397</v>
      </c>
      <c r="J402" s="42">
        <v>4268.0</v>
      </c>
      <c r="K402" s="43">
        <v>86.2464855</v>
      </c>
    </row>
    <row r="403" ht="15.0" hidden="1" customHeight="1">
      <c r="A403" s="7"/>
      <c r="B403" s="39">
        <v>396.0</v>
      </c>
      <c r="C403" s="40" t="s">
        <v>19</v>
      </c>
      <c r="D403" s="40" t="s">
        <v>54</v>
      </c>
      <c r="E403" s="40" t="s">
        <v>141</v>
      </c>
      <c r="F403" s="40" t="s">
        <v>143</v>
      </c>
      <c r="G403" s="41" t="s">
        <v>14</v>
      </c>
      <c r="H403" s="42">
        <v>4835.0</v>
      </c>
      <c r="I403" s="43">
        <v>17.0217166</v>
      </c>
      <c r="J403" s="42">
        <v>5271.0</v>
      </c>
      <c r="K403" s="43">
        <v>59.5522671</v>
      </c>
    </row>
    <row r="404" ht="15.0" hidden="1" customHeight="1">
      <c r="A404" s="7"/>
      <c r="B404" s="35">
        <v>397.0</v>
      </c>
      <c r="C404" s="36" t="s">
        <v>17</v>
      </c>
      <c r="D404" s="49" t="s">
        <v>54</v>
      </c>
      <c r="E404" s="49" t="s">
        <v>144</v>
      </c>
      <c r="F404" s="49"/>
      <c r="G404" s="36" t="s">
        <v>144</v>
      </c>
      <c r="H404" s="37">
        <v>16142.0</v>
      </c>
      <c r="I404" s="38">
        <v>9.7447652</v>
      </c>
      <c r="J404" s="37">
        <v>22061.0</v>
      </c>
      <c r="K404" s="38">
        <v>34.7128417</v>
      </c>
    </row>
    <row r="405" ht="15.0" hidden="1" customHeight="1">
      <c r="A405" s="7"/>
      <c r="B405" s="39">
        <v>398.0</v>
      </c>
      <c r="C405" s="40" t="s">
        <v>17</v>
      </c>
      <c r="D405" s="40" t="s">
        <v>54</v>
      </c>
      <c r="E405" s="40" t="s">
        <v>144</v>
      </c>
      <c r="F405" s="40"/>
      <c r="G405" s="41" t="s">
        <v>13</v>
      </c>
      <c r="H405" s="42">
        <v>3266.0</v>
      </c>
      <c r="I405" s="43">
        <v>10.2878138</v>
      </c>
      <c r="J405" s="42">
        <v>2732.0</v>
      </c>
      <c r="K405" s="43">
        <v>16.6544656</v>
      </c>
    </row>
    <row r="406" ht="15.0" hidden="1" customHeight="1">
      <c r="A406" s="7"/>
      <c r="B406" s="39">
        <v>399.0</v>
      </c>
      <c r="C406" s="40" t="s">
        <v>17</v>
      </c>
      <c r="D406" s="40" t="s">
        <v>54</v>
      </c>
      <c r="E406" s="40" t="s">
        <v>144</v>
      </c>
      <c r="F406" s="40"/>
      <c r="G406" s="41" t="s">
        <v>14</v>
      </c>
      <c r="H406" s="42">
        <v>12876.0</v>
      </c>
      <c r="I406" s="43">
        <v>9.6070208</v>
      </c>
      <c r="J406" s="42">
        <v>19329.0</v>
      </c>
      <c r="K406" s="43">
        <v>37.2652491</v>
      </c>
    </row>
    <row r="407" ht="15.0" customHeight="1">
      <c r="A407" s="7"/>
      <c r="B407" s="44">
        <v>400.0</v>
      </c>
      <c r="C407" s="45" t="s">
        <v>19</v>
      </c>
      <c r="D407" s="50" t="s">
        <v>54</v>
      </c>
      <c r="E407" s="50" t="s">
        <v>144</v>
      </c>
      <c r="F407" s="50" t="s">
        <v>145</v>
      </c>
      <c r="G407" s="51" t="s">
        <v>145</v>
      </c>
      <c r="H407" s="46">
        <v>12893.0</v>
      </c>
      <c r="I407" s="47">
        <v>10.2148453</v>
      </c>
      <c r="J407" s="46">
        <v>15535.0</v>
      </c>
      <c r="K407" s="47">
        <v>30.3636949</v>
      </c>
    </row>
    <row r="408" ht="15.0" hidden="1" customHeight="1">
      <c r="A408" s="7"/>
      <c r="B408" s="39">
        <v>401.0</v>
      </c>
      <c r="C408" s="40" t="s">
        <v>19</v>
      </c>
      <c r="D408" s="40" t="s">
        <v>54</v>
      </c>
      <c r="E408" s="40" t="s">
        <v>144</v>
      </c>
      <c r="F408" s="40" t="s">
        <v>145</v>
      </c>
      <c r="G408" s="41" t="s">
        <v>13</v>
      </c>
      <c r="H408" s="42">
        <v>3266.0</v>
      </c>
      <c r="I408" s="43">
        <v>10.2878138</v>
      </c>
      <c r="J408" s="42">
        <v>2732.0</v>
      </c>
      <c r="K408" s="43">
        <v>16.6544656</v>
      </c>
    </row>
    <row r="409" ht="15.0" hidden="1" customHeight="1">
      <c r="A409" s="7"/>
      <c r="B409" s="39">
        <v>402.0</v>
      </c>
      <c r="C409" s="40" t="s">
        <v>19</v>
      </c>
      <c r="D409" s="40" t="s">
        <v>54</v>
      </c>
      <c r="E409" s="40" t="s">
        <v>144</v>
      </c>
      <c r="F409" s="40" t="s">
        <v>145</v>
      </c>
      <c r="G409" s="41" t="s">
        <v>14</v>
      </c>
      <c r="H409" s="42">
        <v>9627.0</v>
      </c>
      <c r="I409" s="43">
        <v>10.1900904</v>
      </c>
      <c r="J409" s="42">
        <v>12803.0</v>
      </c>
      <c r="K409" s="43">
        <v>33.2890729</v>
      </c>
    </row>
    <row r="410" ht="15.0" customHeight="1">
      <c r="A410" s="7"/>
      <c r="B410" s="44">
        <v>403.0</v>
      </c>
      <c r="C410" s="45" t="s">
        <v>19</v>
      </c>
      <c r="D410" s="50" t="s">
        <v>54</v>
      </c>
      <c r="E410" s="50" t="s">
        <v>144</v>
      </c>
      <c r="F410" s="50" t="s">
        <v>146</v>
      </c>
      <c r="G410" s="51" t="s">
        <v>146</v>
      </c>
      <c r="H410" s="46">
        <v>3249.0</v>
      </c>
      <c r="I410" s="47">
        <v>7.8793475</v>
      </c>
      <c r="J410" s="46">
        <v>6526.0</v>
      </c>
      <c r="K410" s="47">
        <v>45.0658903</v>
      </c>
    </row>
    <row r="411" ht="15.0" hidden="1" customHeight="1">
      <c r="A411" s="7"/>
      <c r="B411" s="39">
        <v>404.0</v>
      </c>
      <c r="C411" s="40" t="s">
        <v>19</v>
      </c>
      <c r="D411" s="40" t="s">
        <v>54</v>
      </c>
      <c r="E411" s="40" t="s">
        <v>144</v>
      </c>
      <c r="F411" s="40" t="s">
        <v>146</v>
      </c>
      <c r="G411" s="41" t="s">
        <v>13</v>
      </c>
      <c r="H411" s="42"/>
      <c r="I411" s="43"/>
      <c r="J411" s="42"/>
      <c r="K411" s="43"/>
    </row>
    <row r="412" ht="15.0" hidden="1" customHeight="1">
      <c r="A412" s="7"/>
      <c r="B412" s="39">
        <v>405.0</v>
      </c>
      <c r="C412" s="40" t="s">
        <v>19</v>
      </c>
      <c r="D412" s="40" t="s">
        <v>54</v>
      </c>
      <c r="E412" s="40" t="s">
        <v>144</v>
      </c>
      <c r="F412" s="40" t="s">
        <v>146</v>
      </c>
      <c r="G412" s="41" t="s">
        <v>14</v>
      </c>
      <c r="H412" s="42">
        <v>3249.0</v>
      </c>
      <c r="I412" s="43">
        <v>7.8793475</v>
      </c>
      <c r="J412" s="42">
        <v>6526.0</v>
      </c>
      <c r="K412" s="43">
        <v>45.0658903</v>
      </c>
    </row>
    <row r="413" ht="15.0" hidden="1" customHeight="1">
      <c r="A413" s="7"/>
      <c r="B413" s="35">
        <v>406.0</v>
      </c>
      <c r="C413" s="36" t="s">
        <v>17</v>
      </c>
      <c r="D413" s="49" t="s">
        <v>54</v>
      </c>
      <c r="E413" s="49" t="s">
        <v>147</v>
      </c>
      <c r="F413" s="49"/>
      <c r="G413" s="36" t="s">
        <v>147</v>
      </c>
      <c r="H413" s="37">
        <v>26530.0</v>
      </c>
      <c r="I413" s="38">
        <v>46.6038447</v>
      </c>
      <c r="J413" s="37">
        <v>32795.0</v>
      </c>
      <c r="K413" s="38">
        <v>60.149413</v>
      </c>
    </row>
    <row r="414" ht="15.0" hidden="1" customHeight="1">
      <c r="A414" s="7"/>
      <c r="B414" s="39">
        <v>407.0</v>
      </c>
      <c r="C414" s="40" t="s">
        <v>17</v>
      </c>
      <c r="D414" s="40" t="s">
        <v>54</v>
      </c>
      <c r="E414" s="40" t="s">
        <v>147</v>
      </c>
      <c r="F414" s="40"/>
      <c r="G414" s="41" t="s">
        <v>13</v>
      </c>
      <c r="H414" s="42">
        <v>8771.0</v>
      </c>
      <c r="I414" s="43">
        <v>72.7055068</v>
      </c>
      <c r="J414" s="42">
        <v>9099.0</v>
      </c>
      <c r="K414" s="43">
        <v>85.1082537</v>
      </c>
    </row>
    <row r="415" ht="15.0" hidden="1" customHeight="1">
      <c r="A415" s="7"/>
      <c r="B415" s="39">
        <v>408.0</v>
      </c>
      <c r="C415" s="40" t="s">
        <v>17</v>
      </c>
      <c r="D415" s="40" t="s">
        <v>54</v>
      </c>
      <c r="E415" s="40" t="s">
        <v>147</v>
      </c>
      <c r="F415" s="40"/>
      <c r="G415" s="41" t="s">
        <v>14</v>
      </c>
      <c r="H415" s="42">
        <v>17759.0</v>
      </c>
      <c r="I415" s="43">
        <v>33.7124838</v>
      </c>
      <c r="J415" s="42">
        <v>23696.0</v>
      </c>
      <c r="K415" s="43">
        <v>50.5654963</v>
      </c>
    </row>
    <row r="416" ht="15.0" customHeight="1">
      <c r="A416" s="7"/>
      <c r="B416" s="44">
        <v>409.0</v>
      </c>
      <c r="C416" s="45" t="s">
        <v>19</v>
      </c>
      <c r="D416" s="50" t="s">
        <v>54</v>
      </c>
      <c r="E416" s="50" t="s">
        <v>147</v>
      </c>
      <c r="F416" s="50" t="s">
        <v>148</v>
      </c>
      <c r="G416" s="51" t="s">
        <v>148</v>
      </c>
      <c r="H416" s="46">
        <v>14385.0</v>
      </c>
      <c r="I416" s="47">
        <v>57.56691</v>
      </c>
      <c r="J416" s="46">
        <v>16894.0</v>
      </c>
      <c r="K416" s="47">
        <v>65.4196756</v>
      </c>
    </row>
    <row r="417" ht="15.0" hidden="1" customHeight="1">
      <c r="A417" s="7"/>
      <c r="B417" s="39">
        <v>410.0</v>
      </c>
      <c r="C417" s="40" t="s">
        <v>19</v>
      </c>
      <c r="D417" s="40" t="s">
        <v>54</v>
      </c>
      <c r="E417" s="40" t="s">
        <v>147</v>
      </c>
      <c r="F417" s="40" t="s">
        <v>148</v>
      </c>
      <c r="G417" s="41" t="s">
        <v>13</v>
      </c>
      <c r="H417" s="42">
        <v>5340.0</v>
      </c>
      <c r="I417" s="43">
        <v>90.4494382</v>
      </c>
      <c r="J417" s="42">
        <v>5714.0</v>
      </c>
      <c r="K417" s="43">
        <v>93.3146657</v>
      </c>
    </row>
    <row r="418" ht="15.0" hidden="1" customHeight="1">
      <c r="A418" s="7"/>
      <c r="B418" s="39">
        <v>411.0</v>
      </c>
      <c r="C418" s="40" t="s">
        <v>19</v>
      </c>
      <c r="D418" s="40" t="s">
        <v>54</v>
      </c>
      <c r="E418" s="40" t="s">
        <v>147</v>
      </c>
      <c r="F418" s="40" t="s">
        <v>148</v>
      </c>
      <c r="G418" s="41" t="s">
        <v>14</v>
      </c>
      <c r="H418" s="42">
        <v>9045.0</v>
      </c>
      <c r="I418" s="43">
        <v>38.1536761</v>
      </c>
      <c r="J418" s="42">
        <v>11180.0</v>
      </c>
      <c r="K418" s="43">
        <v>51.1627907</v>
      </c>
    </row>
    <row r="419" ht="15.0" customHeight="1">
      <c r="A419" s="7"/>
      <c r="B419" s="44">
        <v>412.0</v>
      </c>
      <c r="C419" s="45" t="s">
        <v>19</v>
      </c>
      <c r="D419" s="50" t="s">
        <v>54</v>
      </c>
      <c r="E419" s="50" t="s">
        <v>147</v>
      </c>
      <c r="F419" s="50" t="s">
        <v>149</v>
      </c>
      <c r="G419" s="51" t="s">
        <v>149</v>
      </c>
      <c r="H419" s="46">
        <v>5912.0</v>
      </c>
      <c r="I419" s="47">
        <v>37.2124493</v>
      </c>
      <c r="J419" s="46">
        <v>8735.0</v>
      </c>
      <c r="K419" s="47">
        <v>59.4275902</v>
      </c>
    </row>
    <row r="420" ht="15.0" hidden="1" customHeight="1">
      <c r="A420" s="7"/>
      <c r="B420" s="39">
        <v>413.0</v>
      </c>
      <c r="C420" s="40" t="s">
        <v>19</v>
      </c>
      <c r="D420" s="40" t="s">
        <v>54</v>
      </c>
      <c r="E420" s="40" t="s">
        <v>147</v>
      </c>
      <c r="F420" s="40" t="s">
        <v>149</v>
      </c>
      <c r="G420" s="41" t="s">
        <v>13</v>
      </c>
      <c r="H420" s="42"/>
      <c r="I420" s="43"/>
      <c r="J420" s="42"/>
      <c r="K420" s="43"/>
    </row>
    <row r="421" ht="15.0" hidden="1" customHeight="1">
      <c r="A421" s="7"/>
      <c r="B421" s="39">
        <v>414.0</v>
      </c>
      <c r="C421" s="40" t="s">
        <v>19</v>
      </c>
      <c r="D421" s="40" t="s">
        <v>54</v>
      </c>
      <c r="E421" s="40" t="s">
        <v>147</v>
      </c>
      <c r="F421" s="40" t="s">
        <v>149</v>
      </c>
      <c r="G421" s="41" t="s">
        <v>14</v>
      </c>
      <c r="H421" s="42">
        <v>5912.0</v>
      </c>
      <c r="I421" s="43">
        <v>37.2124493</v>
      </c>
      <c r="J421" s="42">
        <v>8735.0</v>
      </c>
      <c r="K421" s="43">
        <v>59.4275902</v>
      </c>
    </row>
    <row r="422" ht="15.0" customHeight="1">
      <c r="A422" s="7"/>
      <c r="B422" s="44">
        <v>415.0</v>
      </c>
      <c r="C422" s="45" t="s">
        <v>19</v>
      </c>
      <c r="D422" s="50" t="s">
        <v>54</v>
      </c>
      <c r="E422" s="50" t="s">
        <v>147</v>
      </c>
      <c r="F422" s="50" t="s">
        <v>150</v>
      </c>
      <c r="G422" s="51" t="s">
        <v>150</v>
      </c>
      <c r="H422" s="46">
        <v>6233.0</v>
      </c>
      <c r="I422" s="47">
        <v>30.2101717</v>
      </c>
      <c r="J422" s="46">
        <v>7166.0</v>
      </c>
      <c r="K422" s="47">
        <v>48.6045214</v>
      </c>
    </row>
    <row r="423" ht="15.0" hidden="1" customHeight="1">
      <c r="A423" s="7"/>
      <c r="B423" s="39">
        <v>416.0</v>
      </c>
      <c r="C423" s="40" t="s">
        <v>19</v>
      </c>
      <c r="D423" s="40" t="s">
        <v>54</v>
      </c>
      <c r="E423" s="40" t="s">
        <v>147</v>
      </c>
      <c r="F423" s="40" t="s">
        <v>150</v>
      </c>
      <c r="G423" s="41" t="s">
        <v>13</v>
      </c>
      <c r="H423" s="42">
        <v>3431.0</v>
      </c>
      <c r="I423" s="43">
        <v>45.0888954</v>
      </c>
      <c r="J423" s="42">
        <v>3385.0</v>
      </c>
      <c r="K423" s="43">
        <v>71.2555391</v>
      </c>
    </row>
    <row r="424" ht="15.0" hidden="1" customHeight="1">
      <c r="A424" s="7"/>
      <c r="B424" s="39">
        <v>417.0</v>
      </c>
      <c r="C424" s="40" t="s">
        <v>19</v>
      </c>
      <c r="D424" s="40" t="s">
        <v>54</v>
      </c>
      <c r="E424" s="40" t="s">
        <v>147</v>
      </c>
      <c r="F424" s="40" t="s">
        <v>150</v>
      </c>
      <c r="G424" s="41" t="s">
        <v>14</v>
      </c>
      <c r="H424" s="42">
        <v>2802.0</v>
      </c>
      <c r="I424" s="43">
        <v>11.9914347</v>
      </c>
      <c r="J424" s="42">
        <v>3781.0</v>
      </c>
      <c r="K424" s="43">
        <v>28.3258397</v>
      </c>
    </row>
    <row r="425" ht="15.0" hidden="1" customHeight="1">
      <c r="A425" s="7"/>
      <c r="B425" s="35">
        <v>418.0</v>
      </c>
      <c r="C425" s="36" t="s">
        <v>17</v>
      </c>
      <c r="D425" s="49" t="s">
        <v>54</v>
      </c>
      <c r="E425" s="49" t="s">
        <v>151</v>
      </c>
      <c r="F425" s="49"/>
      <c r="G425" s="36" t="s">
        <v>151</v>
      </c>
      <c r="H425" s="37">
        <v>17744.0</v>
      </c>
      <c r="I425" s="38">
        <v>17.9384581</v>
      </c>
      <c r="J425" s="37">
        <v>17859.0</v>
      </c>
      <c r="K425" s="38">
        <v>43.1099166</v>
      </c>
    </row>
    <row r="426" ht="15.0" hidden="1" customHeight="1">
      <c r="A426" s="7"/>
      <c r="B426" s="39">
        <v>419.0</v>
      </c>
      <c r="C426" s="40" t="s">
        <v>17</v>
      </c>
      <c r="D426" s="40" t="s">
        <v>54</v>
      </c>
      <c r="E426" s="40" t="s">
        <v>151</v>
      </c>
      <c r="F426" s="40"/>
      <c r="G426" s="41" t="s">
        <v>13</v>
      </c>
      <c r="H426" s="42"/>
      <c r="I426" s="43"/>
      <c r="J426" s="42"/>
      <c r="K426" s="43"/>
    </row>
    <row r="427" ht="15.0" hidden="1" customHeight="1">
      <c r="A427" s="7"/>
      <c r="B427" s="39">
        <v>420.0</v>
      </c>
      <c r="C427" s="40" t="s">
        <v>17</v>
      </c>
      <c r="D427" s="40" t="s">
        <v>54</v>
      </c>
      <c r="E427" s="40" t="s">
        <v>151</v>
      </c>
      <c r="F427" s="40"/>
      <c r="G427" s="41" t="s">
        <v>14</v>
      </c>
      <c r="H427" s="42">
        <v>17744.0</v>
      </c>
      <c r="I427" s="43">
        <v>17.9384581</v>
      </c>
      <c r="J427" s="42">
        <v>17859.0</v>
      </c>
      <c r="K427" s="43">
        <v>43.1099166</v>
      </c>
    </row>
    <row r="428" ht="15.0" customHeight="1">
      <c r="A428" s="7"/>
      <c r="B428" s="44">
        <v>421.0</v>
      </c>
      <c r="C428" s="45" t="s">
        <v>19</v>
      </c>
      <c r="D428" s="50" t="s">
        <v>54</v>
      </c>
      <c r="E428" s="50" t="s">
        <v>151</v>
      </c>
      <c r="F428" s="50" t="s">
        <v>152</v>
      </c>
      <c r="G428" s="51" t="s">
        <v>152</v>
      </c>
      <c r="H428" s="46">
        <v>8766.0</v>
      </c>
      <c r="I428" s="47">
        <v>20.8304814</v>
      </c>
      <c r="J428" s="46">
        <v>9192.0</v>
      </c>
      <c r="K428" s="47">
        <v>45.267624</v>
      </c>
    </row>
    <row r="429" ht="15.0" hidden="1" customHeight="1">
      <c r="A429" s="7"/>
      <c r="B429" s="39">
        <v>422.0</v>
      </c>
      <c r="C429" s="40" t="s">
        <v>19</v>
      </c>
      <c r="D429" s="40" t="s">
        <v>54</v>
      </c>
      <c r="E429" s="40" t="s">
        <v>151</v>
      </c>
      <c r="F429" s="40" t="s">
        <v>152</v>
      </c>
      <c r="G429" s="41" t="s">
        <v>13</v>
      </c>
      <c r="H429" s="42"/>
      <c r="I429" s="43"/>
      <c r="J429" s="42"/>
      <c r="K429" s="43"/>
    </row>
    <row r="430" ht="15.0" hidden="1" customHeight="1">
      <c r="A430" s="7"/>
      <c r="B430" s="39">
        <v>423.0</v>
      </c>
      <c r="C430" s="40" t="s">
        <v>19</v>
      </c>
      <c r="D430" s="40" t="s">
        <v>54</v>
      </c>
      <c r="E430" s="40" t="s">
        <v>151</v>
      </c>
      <c r="F430" s="40" t="s">
        <v>152</v>
      </c>
      <c r="G430" s="41" t="s">
        <v>14</v>
      </c>
      <c r="H430" s="42">
        <v>8766.0</v>
      </c>
      <c r="I430" s="43">
        <v>20.8304814</v>
      </c>
      <c r="J430" s="42">
        <v>9192.0</v>
      </c>
      <c r="K430" s="43">
        <v>45.267624</v>
      </c>
    </row>
    <row r="431" ht="15.0" customHeight="1">
      <c r="A431" s="7"/>
      <c r="B431" s="44">
        <v>424.0</v>
      </c>
      <c r="C431" s="45" t="s">
        <v>19</v>
      </c>
      <c r="D431" s="50" t="s">
        <v>54</v>
      </c>
      <c r="E431" s="50" t="s">
        <v>151</v>
      </c>
      <c r="F431" s="50" t="s">
        <v>153</v>
      </c>
      <c r="G431" s="51" t="s">
        <v>153</v>
      </c>
      <c r="H431" s="46">
        <v>6978.0</v>
      </c>
      <c r="I431" s="47">
        <v>16.6093437</v>
      </c>
      <c r="J431" s="46">
        <v>6627.0</v>
      </c>
      <c r="K431" s="47">
        <v>43.5038479</v>
      </c>
    </row>
    <row r="432" ht="15.0" hidden="1" customHeight="1">
      <c r="A432" s="7"/>
      <c r="B432" s="39">
        <v>425.0</v>
      </c>
      <c r="C432" s="40" t="s">
        <v>19</v>
      </c>
      <c r="D432" s="40" t="s">
        <v>54</v>
      </c>
      <c r="E432" s="40" t="s">
        <v>151</v>
      </c>
      <c r="F432" s="40" t="s">
        <v>153</v>
      </c>
      <c r="G432" s="41" t="s">
        <v>13</v>
      </c>
      <c r="H432" s="42"/>
      <c r="I432" s="43"/>
      <c r="J432" s="42"/>
      <c r="K432" s="43"/>
    </row>
    <row r="433" ht="15.0" hidden="1" customHeight="1">
      <c r="A433" s="7"/>
      <c r="B433" s="39">
        <v>426.0</v>
      </c>
      <c r="C433" s="40" t="s">
        <v>19</v>
      </c>
      <c r="D433" s="40" t="s">
        <v>54</v>
      </c>
      <c r="E433" s="40" t="s">
        <v>151</v>
      </c>
      <c r="F433" s="40" t="s">
        <v>153</v>
      </c>
      <c r="G433" s="41" t="s">
        <v>14</v>
      </c>
      <c r="H433" s="42">
        <v>6978.0</v>
      </c>
      <c r="I433" s="43">
        <v>16.6093437</v>
      </c>
      <c r="J433" s="42">
        <v>6627.0</v>
      </c>
      <c r="K433" s="43">
        <v>43.5038479</v>
      </c>
    </row>
    <row r="434" ht="15.0" customHeight="1">
      <c r="A434" s="7"/>
      <c r="B434" s="44">
        <v>427.0</v>
      </c>
      <c r="C434" s="45" t="s">
        <v>19</v>
      </c>
      <c r="D434" s="50" t="s">
        <v>54</v>
      </c>
      <c r="E434" s="50" t="s">
        <v>151</v>
      </c>
      <c r="F434" s="50" t="s">
        <v>154</v>
      </c>
      <c r="G434" s="51" t="s">
        <v>154</v>
      </c>
      <c r="H434" s="46">
        <v>2000.0</v>
      </c>
      <c r="I434" s="47">
        <v>9.9</v>
      </c>
      <c r="J434" s="46">
        <v>2040.0</v>
      </c>
      <c r="K434" s="47">
        <v>32.1078431</v>
      </c>
    </row>
    <row r="435" ht="15.0" hidden="1" customHeight="1">
      <c r="A435" s="7"/>
      <c r="B435" s="39">
        <v>428.0</v>
      </c>
      <c r="C435" s="40" t="s">
        <v>19</v>
      </c>
      <c r="D435" s="40" t="s">
        <v>54</v>
      </c>
      <c r="E435" s="40" t="s">
        <v>151</v>
      </c>
      <c r="F435" s="40" t="s">
        <v>154</v>
      </c>
      <c r="G435" s="41" t="s">
        <v>13</v>
      </c>
      <c r="H435" s="42"/>
      <c r="I435" s="43"/>
      <c r="J435" s="42"/>
      <c r="K435" s="43"/>
    </row>
    <row r="436" ht="15.0" hidden="1" customHeight="1">
      <c r="A436" s="7"/>
      <c r="B436" s="39">
        <v>429.0</v>
      </c>
      <c r="C436" s="40" t="s">
        <v>19</v>
      </c>
      <c r="D436" s="40" t="s">
        <v>54</v>
      </c>
      <c r="E436" s="40" t="s">
        <v>151</v>
      </c>
      <c r="F436" s="40" t="s">
        <v>154</v>
      </c>
      <c r="G436" s="41" t="s">
        <v>14</v>
      </c>
      <c r="H436" s="42">
        <v>2000.0</v>
      </c>
      <c r="I436" s="43">
        <v>9.9</v>
      </c>
      <c r="J436" s="42">
        <v>2040.0</v>
      </c>
      <c r="K436" s="43">
        <v>32.1078431</v>
      </c>
    </row>
    <row r="437" ht="15.0" hidden="1" customHeight="1">
      <c r="A437" s="7"/>
      <c r="B437" s="35">
        <v>430.0</v>
      </c>
      <c r="C437" s="36" t="s">
        <v>17</v>
      </c>
      <c r="D437" s="49" t="s">
        <v>54</v>
      </c>
      <c r="E437" s="49" t="s">
        <v>155</v>
      </c>
      <c r="F437" s="49"/>
      <c r="G437" s="36" t="s">
        <v>155</v>
      </c>
      <c r="H437" s="37">
        <v>7383.0</v>
      </c>
      <c r="I437" s="38">
        <v>18.4342408</v>
      </c>
      <c r="J437" s="37">
        <v>12036.0</v>
      </c>
      <c r="K437" s="38">
        <v>47.9561316</v>
      </c>
    </row>
    <row r="438" ht="15.0" hidden="1" customHeight="1">
      <c r="A438" s="7"/>
      <c r="B438" s="39">
        <v>431.0</v>
      </c>
      <c r="C438" s="40" t="s">
        <v>17</v>
      </c>
      <c r="D438" s="40" t="s">
        <v>54</v>
      </c>
      <c r="E438" s="40" t="s">
        <v>155</v>
      </c>
      <c r="F438" s="40"/>
      <c r="G438" s="41" t="s">
        <v>13</v>
      </c>
      <c r="H438" s="42"/>
      <c r="I438" s="43"/>
      <c r="J438" s="42"/>
      <c r="K438" s="43"/>
    </row>
    <row r="439" ht="15.0" hidden="1" customHeight="1">
      <c r="A439" s="7"/>
      <c r="B439" s="39">
        <v>432.0</v>
      </c>
      <c r="C439" s="40" t="s">
        <v>17</v>
      </c>
      <c r="D439" s="40" t="s">
        <v>54</v>
      </c>
      <c r="E439" s="40" t="s">
        <v>155</v>
      </c>
      <c r="F439" s="40"/>
      <c r="G439" s="41" t="s">
        <v>14</v>
      </c>
      <c r="H439" s="42">
        <v>7383.0</v>
      </c>
      <c r="I439" s="43">
        <v>18.4342408</v>
      </c>
      <c r="J439" s="42">
        <v>12036.0</v>
      </c>
      <c r="K439" s="43">
        <v>47.9561316</v>
      </c>
    </row>
    <row r="440" ht="15.0" customHeight="1">
      <c r="A440" s="7"/>
      <c r="B440" s="44">
        <v>433.0</v>
      </c>
      <c r="C440" s="45" t="s">
        <v>19</v>
      </c>
      <c r="D440" s="50" t="s">
        <v>54</v>
      </c>
      <c r="E440" s="50" t="s">
        <v>155</v>
      </c>
      <c r="F440" s="50" t="s">
        <v>156</v>
      </c>
      <c r="G440" s="51" t="s">
        <v>156</v>
      </c>
      <c r="H440" s="46">
        <v>4531.0</v>
      </c>
      <c r="I440" s="47">
        <v>14.4338998</v>
      </c>
      <c r="J440" s="46">
        <v>6719.0</v>
      </c>
      <c r="K440" s="47">
        <v>35.5112368</v>
      </c>
    </row>
    <row r="441" ht="15.0" hidden="1" customHeight="1">
      <c r="A441" s="7"/>
      <c r="B441" s="39">
        <v>434.0</v>
      </c>
      <c r="C441" s="40" t="s">
        <v>19</v>
      </c>
      <c r="D441" s="40" t="s">
        <v>54</v>
      </c>
      <c r="E441" s="40" t="s">
        <v>155</v>
      </c>
      <c r="F441" s="40" t="s">
        <v>156</v>
      </c>
      <c r="G441" s="41" t="s">
        <v>13</v>
      </c>
      <c r="H441" s="42"/>
      <c r="I441" s="43"/>
      <c r="J441" s="42"/>
      <c r="K441" s="43"/>
    </row>
    <row r="442" ht="15.0" hidden="1" customHeight="1">
      <c r="A442" s="7"/>
      <c r="B442" s="39">
        <v>435.0</v>
      </c>
      <c r="C442" s="40" t="s">
        <v>19</v>
      </c>
      <c r="D442" s="40" t="s">
        <v>54</v>
      </c>
      <c r="E442" s="40" t="s">
        <v>155</v>
      </c>
      <c r="F442" s="40" t="s">
        <v>156</v>
      </c>
      <c r="G442" s="41" t="s">
        <v>14</v>
      </c>
      <c r="H442" s="42">
        <v>4531.0</v>
      </c>
      <c r="I442" s="43">
        <v>14.4338998</v>
      </c>
      <c r="J442" s="42">
        <v>6719.0</v>
      </c>
      <c r="K442" s="43">
        <v>35.5112368</v>
      </c>
    </row>
    <row r="443" ht="15.0" customHeight="1">
      <c r="A443" s="7"/>
      <c r="B443" s="44">
        <v>436.0</v>
      </c>
      <c r="C443" s="45" t="s">
        <v>19</v>
      </c>
      <c r="D443" s="50" t="s">
        <v>54</v>
      </c>
      <c r="E443" s="50" t="s">
        <v>155</v>
      </c>
      <c r="F443" s="50" t="s">
        <v>157</v>
      </c>
      <c r="G443" s="51" t="s">
        <v>157</v>
      </c>
      <c r="H443" s="46">
        <v>2852.0</v>
      </c>
      <c r="I443" s="47">
        <v>24.7896213</v>
      </c>
      <c r="J443" s="46">
        <v>5317.0</v>
      </c>
      <c r="K443" s="47">
        <v>63.6825277</v>
      </c>
    </row>
    <row r="444" ht="15.0" hidden="1" customHeight="1">
      <c r="A444" s="7"/>
      <c r="B444" s="39">
        <v>437.0</v>
      </c>
      <c r="C444" s="40" t="s">
        <v>19</v>
      </c>
      <c r="D444" s="40" t="s">
        <v>54</v>
      </c>
      <c r="E444" s="40" t="s">
        <v>155</v>
      </c>
      <c r="F444" s="40" t="s">
        <v>157</v>
      </c>
      <c r="G444" s="41" t="s">
        <v>13</v>
      </c>
      <c r="H444" s="42"/>
      <c r="I444" s="43"/>
      <c r="J444" s="42"/>
      <c r="K444" s="43"/>
    </row>
    <row r="445" ht="15.0" hidden="1" customHeight="1">
      <c r="A445" s="7"/>
      <c r="B445" s="39">
        <v>438.0</v>
      </c>
      <c r="C445" s="40" t="s">
        <v>19</v>
      </c>
      <c r="D445" s="40" t="s">
        <v>54</v>
      </c>
      <c r="E445" s="40" t="s">
        <v>155</v>
      </c>
      <c r="F445" s="40" t="s">
        <v>157</v>
      </c>
      <c r="G445" s="41" t="s">
        <v>14</v>
      </c>
      <c r="H445" s="42">
        <v>2852.0</v>
      </c>
      <c r="I445" s="43">
        <v>24.7896213</v>
      </c>
      <c r="J445" s="42">
        <v>5317.0</v>
      </c>
      <c r="K445" s="43">
        <v>63.6825277</v>
      </c>
    </row>
    <row r="446" ht="15.0" hidden="1" customHeight="1">
      <c r="A446" s="7"/>
      <c r="B446" s="35">
        <v>439.0</v>
      </c>
      <c r="C446" s="36" t="s">
        <v>17</v>
      </c>
      <c r="D446" s="49" t="s">
        <v>54</v>
      </c>
      <c r="E446" s="49" t="s">
        <v>158</v>
      </c>
      <c r="F446" s="49"/>
      <c r="G446" s="36" t="s">
        <v>158</v>
      </c>
      <c r="H446" s="37">
        <v>59638.0</v>
      </c>
      <c r="I446" s="38">
        <v>30.6549515</v>
      </c>
      <c r="J446" s="37">
        <v>67499.0</v>
      </c>
      <c r="K446" s="38">
        <v>52.7726337</v>
      </c>
    </row>
    <row r="447" ht="15.0" hidden="1" customHeight="1">
      <c r="A447" s="7"/>
      <c r="B447" s="39">
        <v>440.0</v>
      </c>
      <c r="C447" s="40" t="s">
        <v>17</v>
      </c>
      <c r="D447" s="40" t="s">
        <v>54</v>
      </c>
      <c r="E447" s="40" t="s">
        <v>158</v>
      </c>
      <c r="F447" s="40"/>
      <c r="G447" s="41" t="s">
        <v>13</v>
      </c>
      <c r="H447" s="42">
        <v>12193.0</v>
      </c>
      <c r="I447" s="43">
        <v>91.0522431</v>
      </c>
      <c r="J447" s="42">
        <v>19228.0</v>
      </c>
      <c r="K447" s="43">
        <v>94.4091949</v>
      </c>
    </row>
    <row r="448" ht="15.0" hidden="1" customHeight="1">
      <c r="A448" s="7"/>
      <c r="B448" s="39">
        <v>441.0</v>
      </c>
      <c r="C448" s="40" t="s">
        <v>17</v>
      </c>
      <c r="D448" s="40" t="s">
        <v>54</v>
      </c>
      <c r="E448" s="40" t="s">
        <v>158</v>
      </c>
      <c r="F448" s="40"/>
      <c r="G448" s="41" t="s">
        <v>14</v>
      </c>
      <c r="H448" s="42">
        <v>47445.0</v>
      </c>
      <c r="I448" s="43">
        <v>15.1333123</v>
      </c>
      <c r="J448" s="42">
        <v>48271.0</v>
      </c>
      <c r="K448" s="43">
        <v>36.1873589</v>
      </c>
    </row>
    <row r="449" ht="15.0" customHeight="1">
      <c r="A449" s="7"/>
      <c r="B449" s="44">
        <v>442.0</v>
      </c>
      <c r="C449" s="45" t="s">
        <v>19</v>
      </c>
      <c r="D449" s="50" t="s">
        <v>54</v>
      </c>
      <c r="E449" s="50" t="s">
        <v>158</v>
      </c>
      <c r="F449" s="50" t="s">
        <v>158</v>
      </c>
      <c r="G449" s="51" t="s">
        <v>158</v>
      </c>
      <c r="H449" s="46">
        <v>48811.0</v>
      </c>
      <c r="I449" s="47">
        <v>31.2839319</v>
      </c>
      <c r="J449" s="46">
        <v>57197.0</v>
      </c>
      <c r="K449" s="47">
        <v>53.0867004</v>
      </c>
    </row>
    <row r="450" ht="15.0" hidden="1" customHeight="1">
      <c r="A450" s="7"/>
      <c r="B450" s="39">
        <v>443.0</v>
      </c>
      <c r="C450" s="40" t="s">
        <v>19</v>
      </c>
      <c r="D450" s="40" t="s">
        <v>54</v>
      </c>
      <c r="E450" s="40" t="s">
        <v>158</v>
      </c>
      <c r="F450" s="40" t="s">
        <v>158</v>
      </c>
      <c r="G450" s="41" t="s">
        <v>13</v>
      </c>
      <c r="H450" s="42">
        <v>12193.0</v>
      </c>
      <c r="I450" s="43">
        <v>91.0522431</v>
      </c>
      <c r="J450" s="42">
        <v>19228.0</v>
      </c>
      <c r="K450" s="43">
        <v>94.4091949</v>
      </c>
    </row>
    <row r="451" ht="15.0" hidden="1" customHeight="1">
      <c r="A451" s="7"/>
      <c r="B451" s="39">
        <v>444.0</v>
      </c>
      <c r="C451" s="40" t="s">
        <v>19</v>
      </c>
      <c r="D451" s="40" t="s">
        <v>54</v>
      </c>
      <c r="E451" s="40" t="s">
        <v>158</v>
      </c>
      <c r="F451" s="40" t="s">
        <v>158</v>
      </c>
      <c r="G451" s="41" t="s">
        <v>14</v>
      </c>
      <c r="H451" s="42">
        <v>36618.0</v>
      </c>
      <c r="I451" s="43">
        <v>11.3823803</v>
      </c>
      <c r="J451" s="42">
        <v>37969.0</v>
      </c>
      <c r="K451" s="43">
        <v>32.1604467</v>
      </c>
    </row>
    <row r="452" ht="15.0" customHeight="1">
      <c r="A452" s="7"/>
      <c r="B452" s="44">
        <v>445.0</v>
      </c>
      <c r="C452" s="45" t="s">
        <v>19</v>
      </c>
      <c r="D452" s="50" t="s">
        <v>54</v>
      </c>
      <c r="E452" s="50" t="s">
        <v>158</v>
      </c>
      <c r="F452" s="50" t="s">
        <v>159</v>
      </c>
      <c r="G452" s="51" t="s">
        <v>159</v>
      </c>
      <c r="H452" s="46">
        <v>10827.0</v>
      </c>
      <c r="I452" s="47">
        <v>27.8193405</v>
      </c>
      <c r="J452" s="46">
        <v>10302.0</v>
      </c>
      <c r="K452" s="47">
        <v>51.0289264</v>
      </c>
    </row>
    <row r="453" ht="15.0" hidden="1" customHeight="1">
      <c r="A453" s="7"/>
      <c r="B453" s="39">
        <v>446.0</v>
      </c>
      <c r="C453" s="40" t="s">
        <v>19</v>
      </c>
      <c r="D453" s="40" t="s">
        <v>54</v>
      </c>
      <c r="E453" s="40" t="s">
        <v>158</v>
      </c>
      <c r="F453" s="40" t="s">
        <v>159</v>
      </c>
      <c r="G453" s="41" t="s">
        <v>13</v>
      </c>
      <c r="H453" s="42"/>
      <c r="I453" s="43"/>
      <c r="J453" s="42"/>
      <c r="K453" s="43"/>
    </row>
    <row r="454" ht="15.0" hidden="1" customHeight="1">
      <c r="A454" s="7"/>
      <c r="B454" s="39">
        <v>447.0</v>
      </c>
      <c r="C454" s="40" t="s">
        <v>19</v>
      </c>
      <c r="D454" s="40" t="s">
        <v>54</v>
      </c>
      <c r="E454" s="40" t="s">
        <v>158</v>
      </c>
      <c r="F454" s="40" t="s">
        <v>159</v>
      </c>
      <c r="G454" s="41" t="s">
        <v>14</v>
      </c>
      <c r="H454" s="42">
        <v>10827.0</v>
      </c>
      <c r="I454" s="43">
        <v>27.8193405</v>
      </c>
      <c r="J454" s="42">
        <v>10302.0</v>
      </c>
      <c r="K454" s="43">
        <v>51.0289264</v>
      </c>
    </row>
    <row r="455" ht="15.0" hidden="1" customHeight="1">
      <c r="A455" s="7"/>
      <c r="B455" s="27">
        <v>448.0</v>
      </c>
      <c r="C455" s="28" t="s">
        <v>15</v>
      </c>
      <c r="D455" s="28" t="s">
        <v>160</v>
      </c>
      <c r="E455" s="28"/>
      <c r="F455" s="28"/>
      <c r="G455" s="28" t="s">
        <v>160</v>
      </c>
      <c r="H455" s="29">
        <v>1720331.0</v>
      </c>
      <c r="I455" s="30">
        <v>77.1345747</v>
      </c>
      <c r="J455" s="29">
        <v>1968192.0</v>
      </c>
      <c r="K455" s="30">
        <v>85.5086292</v>
      </c>
    </row>
    <row r="456" ht="15.0" hidden="1" customHeight="1">
      <c r="A456" s="7"/>
      <c r="B456" s="31">
        <v>449.0</v>
      </c>
      <c r="C456" s="32" t="s">
        <v>15</v>
      </c>
      <c r="D456" s="48" t="s">
        <v>160</v>
      </c>
      <c r="E456" s="48"/>
      <c r="F456" s="48"/>
      <c r="G456" s="32" t="s">
        <v>13</v>
      </c>
      <c r="H456" s="33">
        <v>1169656.0</v>
      </c>
      <c r="I456" s="34">
        <v>96.8916502</v>
      </c>
      <c r="J456" s="33">
        <v>1384934.0</v>
      </c>
      <c r="K456" s="34">
        <v>98.7136571</v>
      </c>
    </row>
    <row r="457" ht="15.0" hidden="1" customHeight="1">
      <c r="A457" s="7"/>
      <c r="B457" s="31">
        <v>450.0</v>
      </c>
      <c r="C457" s="32" t="s">
        <v>15</v>
      </c>
      <c r="D457" s="48" t="s">
        <v>160</v>
      </c>
      <c r="E457" s="48"/>
      <c r="F457" s="48"/>
      <c r="G457" s="32" t="s">
        <v>14</v>
      </c>
      <c r="H457" s="33">
        <v>550675.0</v>
      </c>
      <c r="I457" s="34">
        <v>35.1697462</v>
      </c>
      <c r="J457" s="33">
        <v>583258.0</v>
      </c>
      <c r="K457" s="34">
        <v>54.153565</v>
      </c>
    </row>
    <row r="458" ht="15.0" hidden="1" customHeight="1">
      <c r="A458" s="7"/>
      <c r="B458" s="35">
        <v>451.0</v>
      </c>
      <c r="C458" s="36" t="s">
        <v>17</v>
      </c>
      <c r="D458" s="49" t="s">
        <v>160</v>
      </c>
      <c r="E458" s="49" t="s">
        <v>161</v>
      </c>
      <c r="F458" s="49"/>
      <c r="G458" s="36" t="s">
        <v>161</v>
      </c>
      <c r="H458" s="37">
        <v>616249.0</v>
      </c>
      <c r="I458" s="38">
        <v>98.0882728</v>
      </c>
      <c r="J458" s="37">
        <v>647988.0</v>
      </c>
      <c r="K458" s="38">
        <v>99.2529183</v>
      </c>
    </row>
    <row r="459" ht="15.0" hidden="1" customHeight="1">
      <c r="A459" s="7"/>
      <c r="B459" s="39">
        <v>452.0</v>
      </c>
      <c r="C459" s="40" t="s">
        <v>17</v>
      </c>
      <c r="D459" s="40" t="s">
        <v>160</v>
      </c>
      <c r="E459" s="40" t="s">
        <v>161</v>
      </c>
      <c r="F459" s="40"/>
      <c r="G459" s="41" t="s">
        <v>13</v>
      </c>
      <c r="H459" s="42">
        <v>616249.0</v>
      </c>
      <c r="I459" s="43">
        <v>98.0882728</v>
      </c>
      <c r="J459" s="42">
        <v>647965.0</v>
      </c>
      <c r="K459" s="43">
        <v>99.2564413</v>
      </c>
    </row>
    <row r="460" ht="15.0" hidden="1" customHeight="1">
      <c r="A460" s="7"/>
      <c r="B460" s="39">
        <v>453.0</v>
      </c>
      <c r="C460" s="40" t="s">
        <v>17</v>
      </c>
      <c r="D460" s="40" t="s">
        <v>160</v>
      </c>
      <c r="E460" s="40" t="s">
        <v>161</v>
      </c>
      <c r="F460" s="40"/>
      <c r="G460" s="41" t="s">
        <v>14</v>
      </c>
      <c r="H460" s="42"/>
      <c r="I460" s="43"/>
      <c r="J460" s="42">
        <v>23.0</v>
      </c>
      <c r="K460" s="43"/>
    </row>
    <row r="461" ht="15.0" customHeight="1">
      <c r="A461" s="7"/>
      <c r="B461" s="44">
        <v>454.0</v>
      </c>
      <c r="C461" s="45" t="s">
        <v>19</v>
      </c>
      <c r="D461" s="50" t="s">
        <v>160</v>
      </c>
      <c r="E461" s="50" t="s">
        <v>161</v>
      </c>
      <c r="F461" s="50" t="s">
        <v>160</v>
      </c>
      <c r="G461" s="51" t="s">
        <v>160</v>
      </c>
      <c r="H461" s="46">
        <v>616249.0</v>
      </c>
      <c r="I461" s="47">
        <v>98.0882728</v>
      </c>
      <c r="J461" s="46">
        <v>647988.0</v>
      </c>
      <c r="K461" s="47">
        <v>99.2529183</v>
      </c>
    </row>
    <row r="462" ht="15.0" hidden="1" customHeight="1">
      <c r="A462" s="7"/>
      <c r="B462" s="39">
        <v>455.0</v>
      </c>
      <c r="C462" s="40" t="s">
        <v>19</v>
      </c>
      <c r="D462" s="40" t="s">
        <v>160</v>
      </c>
      <c r="E462" s="40" t="s">
        <v>161</v>
      </c>
      <c r="F462" s="40" t="s">
        <v>160</v>
      </c>
      <c r="G462" s="41" t="s">
        <v>13</v>
      </c>
      <c r="H462" s="42">
        <v>616249.0</v>
      </c>
      <c r="I462" s="43">
        <v>98.0882728</v>
      </c>
      <c r="J462" s="42">
        <v>647965.0</v>
      </c>
      <c r="K462" s="43">
        <v>99.2564413</v>
      </c>
    </row>
    <row r="463" ht="15.0" hidden="1" customHeight="1">
      <c r="A463" s="7"/>
      <c r="B463" s="39">
        <v>456.0</v>
      </c>
      <c r="C463" s="40" t="s">
        <v>19</v>
      </c>
      <c r="D463" s="40" t="s">
        <v>160</v>
      </c>
      <c r="E463" s="40" t="s">
        <v>161</v>
      </c>
      <c r="F463" s="40" t="s">
        <v>160</v>
      </c>
      <c r="G463" s="41" t="s">
        <v>14</v>
      </c>
      <c r="H463" s="42"/>
      <c r="I463" s="43"/>
      <c r="J463" s="42">
        <v>23.0</v>
      </c>
      <c r="K463" s="43"/>
    </row>
    <row r="464" ht="15.0" hidden="1" customHeight="1">
      <c r="A464" s="7"/>
      <c r="B464" s="35">
        <v>457.0</v>
      </c>
      <c r="C464" s="36" t="s">
        <v>17</v>
      </c>
      <c r="D464" s="49" t="s">
        <v>160</v>
      </c>
      <c r="E464" s="49" t="s">
        <v>162</v>
      </c>
      <c r="F464" s="49"/>
      <c r="G464" s="36" t="s">
        <v>162</v>
      </c>
      <c r="H464" s="37">
        <v>35267.0</v>
      </c>
      <c r="I464" s="38">
        <v>38.4183514</v>
      </c>
      <c r="J464" s="37">
        <v>35818.0</v>
      </c>
      <c r="K464" s="38">
        <v>55.446982</v>
      </c>
    </row>
    <row r="465" ht="15.0" hidden="1" customHeight="1">
      <c r="A465" s="7"/>
      <c r="B465" s="39">
        <v>458.0</v>
      </c>
      <c r="C465" s="40" t="s">
        <v>17</v>
      </c>
      <c r="D465" s="40" t="s">
        <v>160</v>
      </c>
      <c r="E465" s="40" t="s">
        <v>162</v>
      </c>
      <c r="F465" s="40"/>
      <c r="G465" s="41" t="s">
        <v>13</v>
      </c>
      <c r="H465" s="42">
        <v>10737.0</v>
      </c>
      <c r="I465" s="43">
        <v>87.8178262</v>
      </c>
      <c r="J465" s="42">
        <v>11355.0</v>
      </c>
      <c r="K465" s="43">
        <v>95.7551739</v>
      </c>
    </row>
    <row r="466" ht="15.0" hidden="1" customHeight="1">
      <c r="A466" s="7"/>
      <c r="B466" s="39">
        <v>459.0</v>
      </c>
      <c r="C466" s="40" t="s">
        <v>17</v>
      </c>
      <c r="D466" s="40" t="s">
        <v>160</v>
      </c>
      <c r="E466" s="40" t="s">
        <v>162</v>
      </c>
      <c r="F466" s="40"/>
      <c r="G466" s="41" t="s">
        <v>14</v>
      </c>
      <c r="H466" s="42">
        <v>24530.0</v>
      </c>
      <c r="I466" s="43">
        <v>16.7957603</v>
      </c>
      <c r="J466" s="42">
        <v>24463.0</v>
      </c>
      <c r="K466" s="43">
        <v>36.7371132</v>
      </c>
    </row>
    <row r="467" ht="15.0" customHeight="1">
      <c r="A467" s="7"/>
      <c r="B467" s="44">
        <v>460.0</v>
      </c>
      <c r="C467" s="45" t="s">
        <v>19</v>
      </c>
      <c r="D467" s="50" t="s">
        <v>160</v>
      </c>
      <c r="E467" s="50" t="s">
        <v>162</v>
      </c>
      <c r="F467" s="50" t="s">
        <v>163</v>
      </c>
      <c r="G467" s="51" t="s">
        <v>163</v>
      </c>
      <c r="H467" s="46">
        <v>22949.0</v>
      </c>
      <c r="I467" s="47">
        <v>38.3197525</v>
      </c>
      <c r="J467" s="46">
        <v>22777.0</v>
      </c>
      <c r="K467" s="47">
        <v>56.0828906</v>
      </c>
    </row>
    <row r="468" ht="15.0" hidden="1" customHeight="1">
      <c r="A468" s="7"/>
      <c r="B468" s="39">
        <v>461.0</v>
      </c>
      <c r="C468" s="40" t="s">
        <v>19</v>
      </c>
      <c r="D468" s="40" t="s">
        <v>160</v>
      </c>
      <c r="E468" s="40" t="s">
        <v>162</v>
      </c>
      <c r="F468" s="40" t="s">
        <v>163</v>
      </c>
      <c r="G468" s="41" t="s">
        <v>13</v>
      </c>
      <c r="H468" s="42">
        <v>7680.0</v>
      </c>
      <c r="I468" s="43">
        <v>94.5052083</v>
      </c>
      <c r="J468" s="42">
        <v>8611.0</v>
      </c>
      <c r="K468" s="43">
        <v>98.8270816</v>
      </c>
    </row>
    <row r="469" ht="15.0" hidden="1" customHeight="1">
      <c r="A469" s="7"/>
      <c r="B469" s="39">
        <v>462.0</v>
      </c>
      <c r="C469" s="40" t="s">
        <v>19</v>
      </c>
      <c r="D469" s="40" t="s">
        <v>160</v>
      </c>
      <c r="E469" s="40" t="s">
        <v>162</v>
      </c>
      <c r="F469" s="40" t="s">
        <v>163</v>
      </c>
      <c r="G469" s="41" t="s">
        <v>14</v>
      </c>
      <c r="H469" s="42">
        <v>15269.0</v>
      </c>
      <c r="I469" s="43">
        <v>10.0595979</v>
      </c>
      <c r="J469" s="42">
        <v>14166.0</v>
      </c>
      <c r="K469" s="43">
        <v>30.10024</v>
      </c>
    </row>
    <row r="470" ht="15.0" customHeight="1">
      <c r="A470" s="7"/>
      <c r="B470" s="44">
        <v>463.0</v>
      </c>
      <c r="C470" s="45" t="s">
        <v>19</v>
      </c>
      <c r="D470" s="50" t="s">
        <v>160</v>
      </c>
      <c r="E470" s="50" t="s">
        <v>162</v>
      </c>
      <c r="F470" s="50" t="s">
        <v>164</v>
      </c>
      <c r="G470" s="51" t="s">
        <v>164</v>
      </c>
      <c r="H470" s="46">
        <v>6759.0</v>
      </c>
      <c r="I470" s="47">
        <v>35.3454653</v>
      </c>
      <c r="J470" s="46">
        <v>6387.0</v>
      </c>
      <c r="K470" s="47">
        <v>42.2263974</v>
      </c>
    </row>
    <row r="471" ht="15.0" hidden="1" customHeight="1">
      <c r="A471" s="7"/>
      <c r="B471" s="39">
        <v>464.0</v>
      </c>
      <c r="C471" s="40" t="s">
        <v>19</v>
      </c>
      <c r="D471" s="40" t="s">
        <v>160</v>
      </c>
      <c r="E471" s="40" t="s">
        <v>162</v>
      </c>
      <c r="F471" s="40" t="s">
        <v>164</v>
      </c>
      <c r="G471" s="41" t="s">
        <v>13</v>
      </c>
      <c r="H471" s="42">
        <v>3057.0</v>
      </c>
      <c r="I471" s="43">
        <v>71.0173373</v>
      </c>
      <c r="J471" s="42">
        <v>2744.0</v>
      </c>
      <c r="K471" s="43">
        <v>86.1151603</v>
      </c>
    </row>
    <row r="472" ht="15.0" hidden="1" customHeight="1">
      <c r="A472" s="7"/>
      <c r="B472" s="39">
        <v>465.0</v>
      </c>
      <c r="C472" s="40" t="s">
        <v>19</v>
      </c>
      <c r="D472" s="40" t="s">
        <v>160</v>
      </c>
      <c r="E472" s="40" t="s">
        <v>162</v>
      </c>
      <c r="F472" s="40" t="s">
        <v>164</v>
      </c>
      <c r="G472" s="41" t="s">
        <v>14</v>
      </c>
      <c r="H472" s="42">
        <v>3702.0</v>
      </c>
      <c r="I472" s="43">
        <v>5.8887088</v>
      </c>
      <c r="J472" s="42">
        <v>3643.0</v>
      </c>
      <c r="K472" s="43">
        <v>9.1682679</v>
      </c>
    </row>
    <row r="473" ht="15.0" customHeight="1">
      <c r="A473" s="7"/>
      <c r="B473" s="44">
        <v>466.0</v>
      </c>
      <c r="C473" s="45" t="s">
        <v>19</v>
      </c>
      <c r="D473" s="50" t="s">
        <v>160</v>
      </c>
      <c r="E473" s="50" t="s">
        <v>162</v>
      </c>
      <c r="F473" s="50" t="s">
        <v>165</v>
      </c>
      <c r="G473" s="51" t="s">
        <v>165</v>
      </c>
      <c r="H473" s="46">
        <v>5559.0</v>
      </c>
      <c r="I473" s="47">
        <v>42.5616118</v>
      </c>
      <c r="J473" s="46">
        <v>6654.0</v>
      </c>
      <c r="K473" s="47">
        <v>65.9603246</v>
      </c>
    </row>
    <row r="474" ht="15.0" hidden="1" customHeight="1">
      <c r="A474" s="7"/>
      <c r="B474" s="39">
        <v>467.0</v>
      </c>
      <c r="C474" s="40" t="s">
        <v>19</v>
      </c>
      <c r="D474" s="40" t="s">
        <v>160</v>
      </c>
      <c r="E474" s="40" t="s">
        <v>162</v>
      </c>
      <c r="F474" s="40" t="s">
        <v>165</v>
      </c>
      <c r="G474" s="41" t="s">
        <v>13</v>
      </c>
      <c r="H474" s="42"/>
      <c r="I474" s="43"/>
      <c r="J474" s="42"/>
      <c r="K474" s="43"/>
    </row>
    <row r="475" ht="15.0" hidden="1" customHeight="1">
      <c r="A475" s="7"/>
      <c r="B475" s="39">
        <v>468.0</v>
      </c>
      <c r="C475" s="40" t="s">
        <v>19</v>
      </c>
      <c r="D475" s="40" t="s">
        <v>160</v>
      </c>
      <c r="E475" s="40" t="s">
        <v>162</v>
      </c>
      <c r="F475" s="40" t="s">
        <v>165</v>
      </c>
      <c r="G475" s="41" t="s">
        <v>14</v>
      </c>
      <c r="H475" s="42">
        <v>5559.0</v>
      </c>
      <c r="I475" s="43">
        <v>42.5616118</v>
      </c>
      <c r="J475" s="42">
        <v>6654.0</v>
      </c>
      <c r="K475" s="43">
        <v>65.9603246</v>
      </c>
    </row>
    <row r="476" ht="15.0" hidden="1" customHeight="1">
      <c r="A476" s="7"/>
      <c r="B476" s="35">
        <v>469.0</v>
      </c>
      <c r="C476" s="36" t="s">
        <v>17</v>
      </c>
      <c r="D476" s="49" t="s">
        <v>160</v>
      </c>
      <c r="E476" s="49" t="s">
        <v>166</v>
      </c>
      <c r="F476" s="49"/>
      <c r="G476" s="36" t="s">
        <v>166</v>
      </c>
      <c r="H476" s="37">
        <v>53559.0</v>
      </c>
      <c r="I476" s="38">
        <v>17.2314644</v>
      </c>
      <c r="J476" s="37">
        <v>55679.0</v>
      </c>
      <c r="K476" s="38">
        <v>28.4254387</v>
      </c>
    </row>
    <row r="477" ht="15.0" hidden="1" customHeight="1">
      <c r="A477" s="7"/>
      <c r="B477" s="39">
        <v>470.0</v>
      </c>
      <c r="C477" s="40" t="s">
        <v>17</v>
      </c>
      <c r="D477" s="40" t="s">
        <v>160</v>
      </c>
      <c r="E477" s="40" t="s">
        <v>166</v>
      </c>
      <c r="F477" s="40"/>
      <c r="G477" s="41" t="s">
        <v>13</v>
      </c>
      <c r="H477" s="42"/>
      <c r="I477" s="43"/>
      <c r="J477" s="42"/>
      <c r="K477" s="43"/>
    </row>
    <row r="478" ht="15.0" hidden="1" customHeight="1">
      <c r="A478" s="7"/>
      <c r="B478" s="39">
        <v>471.0</v>
      </c>
      <c r="C478" s="40" t="s">
        <v>17</v>
      </c>
      <c r="D478" s="40" t="s">
        <v>160</v>
      </c>
      <c r="E478" s="40" t="s">
        <v>166</v>
      </c>
      <c r="F478" s="40"/>
      <c r="G478" s="41" t="s">
        <v>14</v>
      </c>
      <c r="H478" s="42">
        <v>53559.0</v>
      </c>
      <c r="I478" s="43">
        <v>17.2314644</v>
      </c>
      <c r="J478" s="42">
        <v>55679.0</v>
      </c>
      <c r="K478" s="43">
        <v>28.4254387</v>
      </c>
    </row>
    <row r="479" ht="15.0" customHeight="1">
      <c r="A479" s="7"/>
      <c r="B479" s="44">
        <v>472.0</v>
      </c>
      <c r="C479" s="45" t="s">
        <v>19</v>
      </c>
      <c r="D479" s="50" t="s">
        <v>160</v>
      </c>
      <c r="E479" s="50" t="s">
        <v>166</v>
      </c>
      <c r="F479" s="50" t="s">
        <v>166</v>
      </c>
      <c r="G479" s="51" t="s">
        <v>166</v>
      </c>
      <c r="H479" s="46">
        <v>23344.0</v>
      </c>
      <c r="I479" s="47">
        <v>24.4088417</v>
      </c>
      <c r="J479" s="46">
        <v>21587.0</v>
      </c>
      <c r="K479" s="47">
        <v>31.3614675</v>
      </c>
    </row>
    <row r="480" ht="15.0" hidden="1" customHeight="1">
      <c r="A480" s="7"/>
      <c r="B480" s="39">
        <v>473.0</v>
      </c>
      <c r="C480" s="40" t="s">
        <v>19</v>
      </c>
      <c r="D480" s="40" t="s">
        <v>160</v>
      </c>
      <c r="E480" s="40" t="s">
        <v>166</v>
      </c>
      <c r="F480" s="40" t="s">
        <v>166</v>
      </c>
      <c r="G480" s="41" t="s">
        <v>13</v>
      </c>
      <c r="H480" s="42"/>
      <c r="I480" s="43"/>
      <c r="J480" s="42"/>
      <c r="K480" s="43"/>
    </row>
    <row r="481" ht="15.0" hidden="1" customHeight="1">
      <c r="A481" s="7"/>
      <c r="B481" s="39">
        <v>474.0</v>
      </c>
      <c r="C481" s="40" t="s">
        <v>19</v>
      </c>
      <c r="D481" s="40" t="s">
        <v>160</v>
      </c>
      <c r="E481" s="40" t="s">
        <v>166</v>
      </c>
      <c r="F481" s="40" t="s">
        <v>166</v>
      </c>
      <c r="G481" s="41" t="s">
        <v>14</v>
      </c>
      <c r="H481" s="42">
        <v>23344.0</v>
      </c>
      <c r="I481" s="43">
        <v>24.4088417</v>
      </c>
      <c r="J481" s="42">
        <v>21587.0</v>
      </c>
      <c r="K481" s="43">
        <v>31.3614675</v>
      </c>
    </row>
    <row r="482" ht="15.0" customHeight="1">
      <c r="A482" s="7"/>
      <c r="B482" s="44">
        <v>475.0</v>
      </c>
      <c r="C482" s="45" t="s">
        <v>19</v>
      </c>
      <c r="D482" s="50" t="s">
        <v>160</v>
      </c>
      <c r="E482" s="50" t="s">
        <v>166</v>
      </c>
      <c r="F482" s="50" t="s">
        <v>167</v>
      </c>
      <c r="G482" s="51" t="s">
        <v>167</v>
      </c>
      <c r="H482" s="46">
        <v>12683.0</v>
      </c>
      <c r="I482" s="47">
        <v>14.3735709</v>
      </c>
      <c r="J482" s="46">
        <v>14614.0</v>
      </c>
      <c r="K482" s="47">
        <v>22.0062953</v>
      </c>
    </row>
    <row r="483" ht="15.0" hidden="1" customHeight="1">
      <c r="A483" s="7"/>
      <c r="B483" s="39">
        <v>476.0</v>
      </c>
      <c r="C483" s="40" t="s">
        <v>19</v>
      </c>
      <c r="D483" s="40" t="s">
        <v>160</v>
      </c>
      <c r="E483" s="40" t="s">
        <v>166</v>
      </c>
      <c r="F483" s="40" t="s">
        <v>167</v>
      </c>
      <c r="G483" s="41" t="s">
        <v>13</v>
      </c>
      <c r="H483" s="42"/>
      <c r="I483" s="43"/>
      <c r="J483" s="42"/>
      <c r="K483" s="43"/>
    </row>
    <row r="484" ht="15.0" hidden="1" customHeight="1">
      <c r="A484" s="7"/>
      <c r="B484" s="39">
        <v>477.0</v>
      </c>
      <c r="C484" s="40" t="s">
        <v>19</v>
      </c>
      <c r="D484" s="40" t="s">
        <v>160</v>
      </c>
      <c r="E484" s="40" t="s">
        <v>166</v>
      </c>
      <c r="F484" s="40" t="s">
        <v>167</v>
      </c>
      <c r="G484" s="41" t="s">
        <v>14</v>
      </c>
      <c r="H484" s="42">
        <v>12683.0</v>
      </c>
      <c r="I484" s="43">
        <v>14.3735709</v>
      </c>
      <c r="J484" s="42">
        <v>14614.0</v>
      </c>
      <c r="K484" s="43">
        <v>22.0062953</v>
      </c>
    </row>
    <row r="485" ht="15.0" customHeight="1">
      <c r="A485" s="7"/>
      <c r="B485" s="44">
        <v>478.0</v>
      </c>
      <c r="C485" s="45" t="s">
        <v>19</v>
      </c>
      <c r="D485" s="50" t="s">
        <v>160</v>
      </c>
      <c r="E485" s="50" t="s">
        <v>166</v>
      </c>
      <c r="F485" s="50" t="s">
        <v>168</v>
      </c>
      <c r="G485" s="51" t="s">
        <v>168</v>
      </c>
      <c r="H485" s="46">
        <v>17532.0</v>
      </c>
      <c r="I485" s="47">
        <v>9.7421857</v>
      </c>
      <c r="J485" s="46">
        <v>19478.0</v>
      </c>
      <c r="K485" s="47">
        <v>29.9876784</v>
      </c>
    </row>
    <row r="486" ht="15.0" hidden="1" customHeight="1">
      <c r="A486" s="7"/>
      <c r="B486" s="39">
        <v>479.0</v>
      </c>
      <c r="C486" s="40" t="s">
        <v>19</v>
      </c>
      <c r="D486" s="40" t="s">
        <v>160</v>
      </c>
      <c r="E486" s="40" t="s">
        <v>166</v>
      </c>
      <c r="F486" s="40" t="s">
        <v>168</v>
      </c>
      <c r="G486" s="41" t="s">
        <v>13</v>
      </c>
      <c r="H486" s="42"/>
      <c r="I486" s="43"/>
      <c r="J486" s="42"/>
      <c r="K486" s="43"/>
    </row>
    <row r="487" ht="15.0" hidden="1" customHeight="1">
      <c r="A487" s="7"/>
      <c r="B487" s="39">
        <v>480.0</v>
      </c>
      <c r="C487" s="40" t="s">
        <v>19</v>
      </c>
      <c r="D487" s="40" t="s">
        <v>160</v>
      </c>
      <c r="E487" s="40" t="s">
        <v>166</v>
      </c>
      <c r="F487" s="40" t="s">
        <v>168</v>
      </c>
      <c r="G487" s="41" t="s">
        <v>14</v>
      </c>
      <c r="H487" s="42">
        <v>17532.0</v>
      </c>
      <c r="I487" s="43">
        <v>9.7421857</v>
      </c>
      <c r="J487" s="42">
        <v>19478.0</v>
      </c>
      <c r="K487" s="43">
        <v>29.9876784</v>
      </c>
    </row>
    <row r="488" ht="15.0" hidden="1" customHeight="1">
      <c r="A488" s="7"/>
      <c r="B488" s="35">
        <v>481.0</v>
      </c>
      <c r="C488" s="36" t="s">
        <v>17</v>
      </c>
      <c r="D488" s="49" t="s">
        <v>160</v>
      </c>
      <c r="E488" s="49" t="s">
        <v>169</v>
      </c>
      <c r="F488" s="49"/>
      <c r="G488" s="36" t="s">
        <v>169</v>
      </c>
      <c r="H488" s="37">
        <v>36099.0</v>
      </c>
      <c r="I488" s="38">
        <v>50.7798</v>
      </c>
      <c r="J488" s="37">
        <v>51548.0</v>
      </c>
      <c r="K488" s="38">
        <v>66.4642663</v>
      </c>
    </row>
    <row r="489" ht="15.0" hidden="1" customHeight="1">
      <c r="A489" s="7"/>
      <c r="B489" s="39">
        <v>482.0</v>
      </c>
      <c r="C489" s="40" t="s">
        <v>17</v>
      </c>
      <c r="D489" s="40" t="s">
        <v>160</v>
      </c>
      <c r="E489" s="40" t="s">
        <v>169</v>
      </c>
      <c r="F489" s="40"/>
      <c r="G489" s="41" t="s">
        <v>13</v>
      </c>
      <c r="H489" s="42">
        <v>7034.0</v>
      </c>
      <c r="I489" s="43">
        <v>87.5177708</v>
      </c>
      <c r="J489" s="42">
        <v>23779.0</v>
      </c>
      <c r="K489" s="43">
        <v>83.6578494</v>
      </c>
    </row>
    <row r="490" ht="15.0" hidden="1" customHeight="1">
      <c r="A490" s="7"/>
      <c r="B490" s="39">
        <v>483.0</v>
      </c>
      <c r="C490" s="40" t="s">
        <v>17</v>
      </c>
      <c r="D490" s="40" t="s">
        <v>160</v>
      </c>
      <c r="E490" s="40" t="s">
        <v>169</v>
      </c>
      <c r="F490" s="40"/>
      <c r="G490" s="41" t="s">
        <v>14</v>
      </c>
      <c r="H490" s="42">
        <v>29065.0</v>
      </c>
      <c r="I490" s="43">
        <v>41.8888698</v>
      </c>
      <c r="J490" s="42">
        <v>27769.0</v>
      </c>
      <c r="K490" s="43">
        <v>51.7411502</v>
      </c>
    </row>
    <row r="491" ht="15.0" customHeight="1">
      <c r="A491" s="7"/>
      <c r="B491" s="44">
        <v>484.0</v>
      </c>
      <c r="C491" s="45" t="s">
        <v>19</v>
      </c>
      <c r="D491" s="50" t="s">
        <v>160</v>
      </c>
      <c r="E491" s="50" t="s">
        <v>169</v>
      </c>
      <c r="F491" s="50" t="s">
        <v>170</v>
      </c>
      <c r="G491" s="51" t="s">
        <v>170</v>
      </c>
      <c r="H491" s="46">
        <v>7758.0</v>
      </c>
      <c r="I491" s="47">
        <v>56.8445476</v>
      </c>
      <c r="J491" s="46">
        <v>10686.0</v>
      </c>
      <c r="K491" s="47">
        <v>67.1532847</v>
      </c>
    </row>
    <row r="492" ht="15.0" hidden="1" customHeight="1">
      <c r="A492" s="7"/>
      <c r="B492" s="39">
        <v>485.0</v>
      </c>
      <c r="C492" s="40" t="s">
        <v>19</v>
      </c>
      <c r="D492" s="40" t="s">
        <v>160</v>
      </c>
      <c r="E492" s="40" t="s">
        <v>169</v>
      </c>
      <c r="F492" s="40" t="s">
        <v>170</v>
      </c>
      <c r="G492" s="41" t="s">
        <v>13</v>
      </c>
      <c r="H492" s="42">
        <v>3540.0</v>
      </c>
      <c r="I492" s="43">
        <v>92.1751412</v>
      </c>
      <c r="J492" s="42">
        <v>3990.0</v>
      </c>
      <c r="K492" s="43">
        <v>97.7944862</v>
      </c>
    </row>
    <row r="493" ht="15.0" hidden="1" customHeight="1">
      <c r="A493" s="7"/>
      <c r="B493" s="39">
        <v>486.0</v>
      </c>
      <c r="C493" s="40" t="s">
        <v>19</v>
      </c>
      <c r="D493" s="40" t="s">
        <v>160</v>
      </c>
      <c r="E493" s="40" t="s">
        <v>169</v>
      </c>
      <c r="F493" s="40" t="s">
        <v>170</v>
      </c>
      <c r="G493" s="41" t="s">
        <v>14</v>
      </c>
      <c r="H493" s="42">
        <v>4218.0</v>
      </c>
      <c r="I493" s="43">
        <v>27.1929825</v>
      </c>
      <c r="J493" s="42">
        <v>6696.0</v>
      </c>
      <c r="K493" s="43">
        <v>48.8948626</v>
      </c>
    </row>
    <row r="494" ht="15.0" customHeight="1">
      <c r="A494" s="7"/>
      <c r="B494" s="44">
        <v>487.0</v>
      </c>
      <c r="C494" s="45" t="s">
        <v>19</v>
      </c>
      <c r="D494" s="50" t="s">
        <v>160</v>
      </c>
      <c r="E494" s="50" t="s">
        <v>169</v>
      </c>
      <c r="F494" s="50" t="s">
        <v>171</v>
      </c>
      <c r="G494" s="51" t="s">
        <v>171</v>
      </c>
      <c r="H494" s="46">
        <v>7127.0</v>
      </c>
      <c r="I494" s="47">
        <v>20.0785744</v>
      </c>
      <c r="J494" s="46">
        <v>7248.0</v>
      </c>
      <c r="K494" s="47">
        <v>29.5253863</v>
      </c>
    </row>
    <row r="495" ht="15.0" hidden="1" customHeight="1">
      <c r="A495" s="7"/>
      <c r="B495" s="39">
        <v>488.0</v>
      </c>
      <c r="C495" s="40" t="s">
        <v>19</v>
      </c>
      <c r="D495" s="40" t="s">
        <v>160</v>
      </c>
      <c r="E495" s="40" t="s">
        <v>169</v>
      </c>
      <c r="F495" s="40" t="s">
        <v>171</v>
      </c>
      <c r="G495" s="41" t="s">
        <v>13</v>
      </c>
      <c r="H495" s="42"/>
      <c r="I495" s="43"/>
      <c r="J495" s="42"/>
      <c r="K495" s="43"/>
    </row>
    <row r="496" ht="15.0" hidden="1" customHeight="1">
      <c r="A496" s="7"/>
      <c r="B496" s="39">
        <v>489.0</v>
      </c>
      <c r="C496" s="40" t="s">
        <v>19</v>
      </c>
      <c r="D496" s="40" t="s">
        <v>160</v>
      </c>
      <c r="E496" s="40" t="s">
        <v>169</v>
      </c>
      <c r="F496" s="40" t="s">
        <v>171</v>
      </c>
      <c r="G496" s="41" t="s">
        <v>14</v>
      </c>
      <c r="H496" s="42">
        <v>7127.0</v>
      </c>
      <c r="I496" s="43">
        <v>20.0785744</v>
      </c>
      <c r="J496" s="42">
        <v>7248.0</v>
      </c>
      <c r="K496" s="43">
        <v>29.5253863</v>
      </c>
    </row>
    <row r="497" ht="15.0" customHeight="1">
      <c r="A497" s="7"/>
      <c r="B497" s="44">
        <v>490.0</v>
      </c>
      <c r="C497" s="45" t="s">
        <v>19</v>
      </c>
      <c r="D497" s="50" t="s">
        <v>160</v>
      </c>
      <c r="E497" s="50" t="s">
        <v>169</v>
      </c>
      <c r="F497" s="50" t="s">
        <v>172</v>
      </c>
      <c r="G497" s="51" t="s">
        <v>172</v>
      </c>
      <c r="H497" s="46">
        <v>16919.0</v>
      </c>
      <c r="I497" s="47">
        <v>69.9095691</v>
      </c>
      <c r="J497" s="46">
        <v>28695.0</v>
      </c>
      <c r="K497" s="47">
        <v>81.6901899</v>
      </c>
    </row>
    <row r="498" ht="15.0" hidden="1" customHeight="1">
      <c r="A498" s="7"/>
      <c r="B498" s="39">
        <v>491.0</v>
      </c>
      <c r="C498" s="40" t="s">
        <v>19</v>
      </c>
      <c r="D498" s="40" t="s">
        <v>160</v>
      </c>
      <c r="E498" s="40" t="s">
        <v>169</v>
      </c>
      <c r="F498" s="40" t="s">
        <v>172</v>
      </c>
      <c r="G498" s="41" t="s">
        <v>13</v>
      </c>
      <c r="H498" s="42">
        <v>3494.0</v>
      </c>
      <c r="I498" s="43">
        <v>82.7990841</v>
      </c>
      <c r="J498" s="42">
        <v>19789.0</v>
      </c>
      <c r="K498" s="43">
        <v>80.8075193</v>
      </c>
    </row>
    <row r="499" ht="15.0" hidden="1" customHeight="1">
      <c r="A499" s="7"/>
      <c r="B499" s="39">
        <v>492.0</v>
      </c>
      <c r="C499" s="40" t="s">
        <v>19</v>
      </c>
      <c r="D499" s="40" t="s">
        <v>160</v>
      </c>
      <c r="E499" s="40" t="s">
        <v>169</v>
      </c>
      <c r="F499" s="40" t="s">
        <v>172</v>
      </c>
      <c r="G499" s="41" t="s">
        <v>14</v>
      </c>
      <c r="H499" s="42">
        <v>13425.0</v>
      </c>
      <c r="I499" s="43">
        <v>66.5549348</v>
      </c>
      <c r="J499" s="42">
        <v>8906.0</v>
      </c>
      <c r="K499" s="43">
        <v>83.6514709</v>
      </c>
    </row>
    <row r="500" ht="15.0" customHeight="1">
      <c r="A500" s="7"/>
      <c r="B500" s="44">
        <v>493.0</v>
      </c>
      <c r="C500" s="45" t="s">
        <v>19</v>
      </c>
      <c r="D500" s="50" t="s">
        <v>160</v>
      </c>
      <c r="E500" s="50" t="s">
        <v>169</v>
      </c>
      <c r="F500" s="50" t="s">
        <v>173</v>
      </c>
      <c r="G500" s="51" t="s">
        <v>173</v>
      </c>
      <c r="H500" s="46">
        <v>4295.0</v>
      </c>
      <c r="I500" s="47">
        <v>15.4132712</v>
      </c>
      <c r="J500" s="46">
        <v>4919.0</v>
      </c>
      <c r="K500" s="47">
        <v>30.5753202</v>
      </c>
    </row>
    <row r="501" ht="15.0" hidden="1" customHeight="1">
      <c r="A501" s="7"/>
      <c r="B501" s="39">
        <v>494.0</v>
      </c>
      <c r="C501" s="40" t="s">
        <v>19</v>
      </c>
      <c r="D501" s="40" t="s">
        <v>160</v>
      </c>
      <c r="E501" s="40" t="s">
        <v>169</v>
      </c>
      <c r="F501" s="40" t="s">
        <v>173</v>
      </c>
      <c r="G501" s="41" t="s">
        <v>13</v>
      </c>
      <c r="H501" s="42"/>
      <c r="I501" s="43"/>
      <c r="J501" s="42"/>
      <c r="K501" s="43"/>
    </row>
    <row r="502" ht="15.0" hidden="1" customHeight="1">
      <c r="A502" s="7"/>
      <c r="B502" s="39">
        <v>495.0</v>
      </c>
      <c r="C502" s="40" t="s">
        <v>19</v>
      </c>
      <c r="D502" s="40" t="s">
        <v>160</v>
      </c>
      <c r="E502" s="40" t="s">
        <v>169</v>
      </c>
      <c r="F502" s="40" t="s">
        <v>173</v>
      </c>
      <c r="G502" s="41" t="s">
        <v>14</v>
      </c>
      <c r="H502" s="42">
        <v>4295.0</v>
      </c>
      <c r="I502" s="43">
        <v>15.4132712</v>
      </c>
      <c r="J502" s="42">
        <v>4919.0</v>
      </c>
      <c r="K502" s="43">
        <v>30.5753202</v>
      </c>
    </row>
    <row r="503" ht="15.0" hidden="1" customHeight="1">
      <c r="A503" s="7"/>
      <c r="B503" s="35">
        <v>496.0</v>
      </c>
      <c r="C503" s="36" t="s">
        <v>17</v>
      </c>
      <c r="D503" s="49" t="s">
        <v>160</v>
      </c>
      <c r="E503" s="49" t="s">
        <v>174</v>
      </c>
      <c r="F503" s="49"/>
      <c r="G503" s="36" t="s">
        <v>174</v>
      </c>
      <c r="H503" s="37">
        <v>18178.0</v>
      </c>
      <c r="I503" s="38">
        <v>46.2592144</v>
      </c>
      <c r="J503" s="37">
        <v>19129.0</v>
      </c>
      <c r="K503" s="38">
        <v>65.455591</v>
      </c>
    </row>
    <row r="504" ht="15.0" hidden="1" customHeight="1">
      <c r="A504" s="7"/>
      <c r="B504" s="39">
        <v>497.0</v>
      </c>
      <c r="C504" s="40" t="s">
        <v>17</v>
      </c>
      <c r="D504" s="40" t="s">
        <v>160</v>
      </c>
      <c r="E504" s="40" t="s">
        <v>174</v>
      </c>
      <c r="F504" s="40"/>
      <c r="G504" s="41" t="s">
        <v>13</v>
      </c>
      <c r="H504" s="42">
        <v>3439.0</v>
      </c>
      <c r="I504" s="43">
        <v>94.9985461</v>
      </c>
      <c r="J504" s="42">
        <v>4105.0</v>
      </c>
      <c r="K504" s="43">
        <v>97.953715</v>
      </c>
    </row>
    <row r="505" ht="15.0" hidden="1" customHeight="1">
      <c r="A505" s="7"/>
      <c r="B505" s="39">
        <v>498.0</v>
      </c>
      <c r="C505" s="40" t="s">
        <v>17</v>
      </c>
      <c r="D505" s="40" t="s">
        <v>160</v>
      </c>
      <c r="E505" s="40" t="s">
        <v>174</v>
      </c>
      <c r="F505" s="40"/>
      <c r="G505" s="41" t="s">
        <v>14</v>
      </c>
      <c r="H505" s="42">
        <v>14739.0</v>
      </c>
      <c r="I505" s="43">
        <v>34.8870344</v>
      </c>
      <c r="J505" s="42">
        <v>15024.0</v>
      </c>
      <c r="K505" s="43">
        <v>56.5761448</v>
      </c>
    </row>
    <row r="506" ht="15.0" customHeight="1">
      <c r="A506" s="7"/>
      <c r="B506" s="44">
        <v>499.0</v>
      </c>
      <c r="C506" s="45" t="s">
        <v>19</v>
      </c>
      <c r="D506" s="50" t="s">
        <v>160</v>
      </c>
      <c r="E506" s="50" t="s">
        <v>174</v>
      </c>
      <c r="F506" s="50" t="s">
        <v>174</v>
      </c>
      <c r="G506" s="51" t="s">
        <v>174</v>
      </c>
      <c r="H506" s="46">
        <v>9303.0</v>
      </c>
      <c r="I506" s="47">
        <v>68.9347522</v>
      </c>
      <c r="J506" s="46">
        <v>10952.0</v>
      </c>
      <c r="K506" s="47">
        <v>85.1260044</v>
      </c>
    </row>
    <row r="507" ht="15.0" hidden="1" customHeight="1">
      <c r="A507" s="7"/>
      <c r="B507" s="39">
        <v>500.0</v>
      </c>
      <c r="C507" s="40" t="s">
        <v>19</v>
      </c>
      <c r="D507" s="40" t="s">
        <v>160</v>
      </c>
      <c r="E507" s="40" t="s">
        <v>174</v>
      </c>
      <c r="F507" s="40" t="s">
        <v>174</v>
      </c>
      <c r="G507" s="41" t="s">
        <v>13</v>
      </c>
      <c r="H507" s="42">
        <v>3439.0</v>
      </c>
      <c r="I507" s="43">
        <v>94.9985461</v>
      </c>
      <c r="J507" s="42">
        <v>4105.0</v>
      </c>
      <c r="K507" s="43">
        <v>97.953715</v>
      </c>
    </row>
    <row r="508" ht="15.0" hidden="1" customHeight="1">
      <c r="A508" s="7"/>
      <c r="B508" s="39">
        <v>501.0</v>
      </c>
      <c r="C508" s="40" t="s">
        <v>19</v>
      </c>
      <c r="D508" s="40" t="s">
        <v>160</v>
      </c>
      <c r="E508" s="40" t="s">
        <v>174</v>
      </c>
      <c r="F508" s="40" t="s">
        <v>174</v>
      </c>
      <c r="G508" s="41" t="s">
        <v>14</v>
      </c>
      <c r="H508" s="42">
        <v>5864.0</v>
      </c>
      <c r="I508" s="43">
        <v>53.6493861</v>
      </c>
      <c r="J508" s="42">
        <v>6847.0</v>
      </c>
      <c r="K508" s="43">
        <v>77.4353732</v>
      </c>
    </row>
    <row r="509" ht="15.0" customHeight="1">
      <c r="A509" s="7"/>
      <c r="B509" s="44">
        <v>502.0</v>
      </c>
      <c r="C509" s="45" t="s">
        <v>19</v>
      </c>
      <c r="D509" s="50" t="s">
        <v>160</v>
      </c>
      <c r="E509" s="50" t="s">
        <v>174</v>
      </c>
      <c r="F509" s="50" t="s">
        <v>175</v>
      </c>
      <c r="G509" s="51" t="s">
        <v>175</v>
      </c>
      <c r="H509" s="46">
        <v>8875.0</v>
      </c>
      <c r="I509" s="47">
        <v>22.4901408</v>
      </c>
      <c r="J509" s="46">
        <v>8177.0</v>
      </c>
      <c r="K509" s="47">
        <v>39.1096979</v>
      </c>
    </row>
    <row r="510" ht="15.0" hidden="1" customHeight="1">
      <c r="A510" s="7"/>
      <c r="B510" s="39">
        <v>503.0</v>
      </c>
      <c r="C510" s="40" t="s">
        <v>19</v>
      </c>
      <c r="D510" s="40" t="s">
        <v>160</v>
      </c>
      <c r="E510" s="40" t="s">
        <v>174</v>
      </c>
      <c r="F510" s="40" t="s">
        <v>175</v>
      </c>
      <c r="G510" s="41" t="s">
        <v>13</v>
      </c>
      <c r="H510" s="42"/>
      <c r="I510" s="43"/>
      <c r="J510" s="42"/>
      <c r="K510" s="43"/>
    </row>
    <row r="511" ht="15.0" hidden="1" customHeight="1">
      <c r="A511" s="7"/>
      <c r="B511" s="39">
        <v>504.0</v>
      </c>
      <c r="C511" s="40" t="s">
        <v>19</v>
      </c>
      <c r="D511" s="40" t="s">
        <v>160</v>
      </c>
      <c r="E511" s="40" t="s">
        <v>174</v>
      </c>
      <c r="F511" s="40" t="s">
        <v>175</v>
      </c>
      <c r="G511" s="41" t="s">
        <v>14</v>
      </c>
      <c r="H511" s="42">
        <v>8875.0</v>
      </c>
      <c r="I511" s="43">
        <v>22.4901408</v>
      </c>
      <c r="J511" s="42">
        <v>8177.0</v>
      </c>
      <c r="K511" s="43">
        <v>39.1096979</v>
      </c>
    </row>
    <row r="512" ht="15.0" hidden="1" customHeight="1">
      <c r="A512" s="7"/>
      <c r="B512" s="35">
        <v>505.0</v>
      </c>
      <c r="C512" s="36" t="s">
        <v>17</v>
      </c>
      <c r="D512" s="49" t="s">
        <v>160</v>
      </c>
      <c r="E512" s="49" t="s">
        <v>176</v>
      </c>
      <c r="F512" s="49"/>
      <c r="G512" s="36" t="s">
        <v>176</v>
      </c>
      <c r="H512" s="37">
        <v>20534.0</v>
      </c>
      <c r="I512" s="38">
        <v>7.2270381</v>
      </c>
      <c r="J512" s="37">
        <v>21213.0</v>
      </c>
      <c r="K512" s="38">
        <v>14.8682412</v>
      </c>
    </row>
    <row r="513" ht="15.0" hidden="1" customHeight="1">
      <c r="A513" s="7"/>
      <c r="B513" s="39">
        <v>506.0</v>
      </c>
      <c r="C513" s="40" t="s">
        <v>17</v>
      </c>
      <c r="D513" s="40" t="s">
        <v>160</v>
      </c>
      <c r="E513" s="40" t="s">
        <v>176</v>
      </c>
      <c r="F513" s="40"/>
      <c r="G513" s="41" t="s">
        <v>13</v>
      </c>
      <c r="H513" s="42"/>
      <c r="I513" s="43"/>
      <c r="J513" s="42"/>
      <c r="K513" s="43"/>
    </row>
    <row r="514" ht="15.0" hidden="1" customHeight="1">
      <c r="A514" s="7"/>
      <c r="B514" s="39">
        <v>507.0</v>
      </c>
      <c r="C514" s="40" t="s">
        <v>17</v>
      </c>
      <c r="D514" s="40" t="s">
        <v>160</v>
      </c>
      <c r="E514" s="40" t="s">
        <v>176</v>
      </c>
      <c r="F514" s="40"/>
      <c r="G514" s="41" t="s">
        <v>14</v>
      </c>
      <c r="H514" s="42">
        <v>20534.0</v>
      </c>
      <c r="I514" s="43">
        <v>7.2270381</v>
      </c>
      <c r="J514" s="42">
        <v>21213.0</v>
      </c>
      <c r="K514" s="43">
        <v>14.8682412</v>
      </c>
    </row>
    <row r="515" ht="15.0" customHeight="1">
      <c r="A515" s="7"/>
      <c r="B515" s="44">
        <v>508.0</v>
      </c>
      <c r="C515" s="45" t="s">
        <v>19</v>
      </c>
      <c r="D515" s="50" t="s">
        <v>160</v>
      </c>
      <c r="E515" s="50" t="s">
        <v>176</v>
      </c>
      <c r="F515" s="50" t="s">
        <v>176</v>
      </c>
      <c r="G515" s="51" t="s">
        <v>176</v>
      </c>
      <c r="H515" s="46">
        <v>10440.0</v>
      </c>
      <c r="I515" s="47">
        <v>9.2911877</v>
      </c>
      <c r="J515" s="46">
        <v>10562.0</v>
      </c>
      <c r="K515" s="47">
        <v>16.7960614</v>
      </c>
    </row>
    <row r="516" ht="15.0" hidden="1" customHeight="1">
      <c r="A516" s="7"/>
      <c r="B516" s="39">
        <v>509.0</v>
      </c>
      <c r="C516" s="40" t="s">
        <v>19</v>
      </c>
      <c r="D516" s="40" t="s">
        <v>160</v>
      </c>
      <c r="E516" s="40" t="s">
        <v>176</v>
      </c>
      <c r="F516" s="40" t="s">
        <v>176</v>
      </c>
      <c r="G516" s="41" t="s">
        <v>13</v>
      </c>
      <c r="H516" s="42"/>
      <c r="I516" s="43"/>
      <c r="J516" s="42"/>
      <c r="K516" s="43"/>
    </row>
    <row r="517" ht="15.0" hidden="1" customHeight="1">
      <c r="A517" s="7"/>
      <c r="B517" s="39">
        <v>510.0</v>
      </c>
      <c r="C517" s="40" t="s">
        <v>19</v>
      </c>
      <c r="D517" s="40" t="s">
        <v>160</v>
      </c>
      <c r="E517" s="40" t="s">
        <v>176</v>
      </c>
      <c r="F517" s="40" t="s">
        <v>176</v>
      </c>
      <c r="G517" s="41" t="s">
        <v>14</v>
      </c>
      <c r="H517" s="42">
        <v>10440.0</v>
      </c>
      <c r="I517" s="43">
        <v>9.2911877</v>
      </c>
      <c r="J517" s="42">
        <v>10562.0</v>
      </c>
      <c r="K517" s="43">
        <v>16.7960614</v>
      </c>
    </row>
    <row r="518" ht="15.0" customHeight="1">
      <c r="A518" s="7"/>
      <c r="B518" s="44">
        <v>511.0</v>
      </c>
      <c r="C518" s="45" t="s">
        <v>19</v>
      </c>
      <c r="D518" s="50" t="s">
        <v>160</v>
      </c>
      <c r="E518" s="50" t="s">
        <v>176</v>
      </c>
      <c r="F518" s="50" t="s">
        <v>177</v>
      </c>
      <c r="G518" s="51" t="s">
        <v>177</v>
      </c>
      <c r="H518" s="46">
        <v>10094.0</v>
      </c>
      <c r="I518" s="47">
        <v>5.0921339</v>
      </c>
      <c r="J518" s="46">
        <v>10651.0</v>
      </c>
      <c r="K518" s="47">
        <v>12.9565299</v>
      </c>
    </row>
    <row r="519" ht="15.0" hidden="1" customHeight="1">
      <c r="A519" s="7"/>
      <c r="B519" s="39">
        <v>512.0</v>
      </c>
      <c r="C519" s="40" t="s">
        <v>19</v>
      </c>
      <c r="D519" s="40" t="s">
        <v>160</v>
      </c>
      <c r="E519" s="40" t="s">
        <v>176</v>
      </c>
      <c r="F519" s="40" t="s">
        <v>177</v>
      </c>
      <c r="G519" s="41" t="s">
        <v>13</v>
      </c>
      <c r="H519" s="42"/>
      <c r="I519" s="43"/>
      <c r="J519" s="42"/>
      <c r="K519" s="43"/>
    </row>
    <row r="520" ht="15.0" hidden="1" customHeight="1">
      <c r="A520" s="7"/>
      <c r="B520" s="39">
        <v>513.0</v>
      </c>
      <c r="C520" s="40" t="s">
        <v>19</v>
      </c>
      <c r="D520" s="40" t="s">
        <v>160</v>
      </c>
      <c r="E520" s="40" t="s">
        <v>176</v>
      </c>
      <c r="F520" s="40" t="s">
        <v>177</v>
      </c>
      <c r="G520" s="41" t="s">
        <v>14</v>
      </c>
      <c r="H520" s="42">
        <v>10094.0</v>
      </c>
      <c r="I520" s="43">
        <v>5.0921339</v>
      </c>
      <c r="J520" s="42">
        <v>10651.0</v>
      </c>
      <c r="K520" s="43">
        <v>12.9565299</v>
      </c>
    </row>
    <row r="521" ht="15.0" hidden="1" customHeight="1">
      <c r="A521" s="7"/>
      <c r="B521" s="35">
        <v>514.0</v>
      </c>
      <c r="C521" s="36" t="s">
        <v>17</v>
      </c>
      <c r="D521" s="49" t="s">
        <v>160</v>
      </c>
      <c r="E521" s="49" t="s">
        <v>178</v>
      </c>
      <c r="F521" s="49"/>
      <c r="G521" s="36" t="s">
        <v>178</v>
      </c>
      <c r="H521" s="37">
        <v>29139.0</v>
      </c>
      <c r="I521" s="38">
        <v>54.2571811</v>
      </c>
      <c r="J521" s="37">
        <v>30745.0</v>
      </c>
      <c r="K521" s="38">
        <v>75.0105708</v>
      </c>
    </row>
    <row r="522" ht="15.0" hidden="1" customHeight="1">
      <c r="A522" s="7"/>
      <c r="B522" s="39">
        <v>515.0</v>
      </c>
      <c r="C522" s="40" t="s">
        <v>17</v>
      </c>
      <c r="D522" s="40" t="s">
        <v>160</v>
      </c>
      <c r="E522" s="40" t="s">
        <v>178</v>
      </c>
      <c r="F522" s="40"/>
      <c r="G522" s="41" t="s">
        <v>13</v>
      </c>
      <c r="H522" s="42">
        <v>8952.0</v>
      </c>
      <c r="I522" s="43">
        <v>91.4209115</v>
      </c>
      <c r="J522" s="42">
        <v>8749.0</v>
      </c>
      <c r="K522" s="43">
        <v>97.9654818</v>
      </c>
    </row>
    <row r="523" ht="15.0" hidden="1" customHeight="1">
      <c r="A523" s="7"/>
      <c r="B523" s="39">
        <v>516.0</v>
      </c>
      <c r="C523" s="40" t="s">
        <v>17</v>
      </c>
      <c r="D523" s="40" t="s">
        <v>160</v>
      </c>
      <c r="E523" s="40" t="s">
        <v>178</v>
      </c>
      <c r="F523" s="40"/>
      <c r="G523" s="41" t="s">
        <v>14</v>
      </c>
      <c r="H523" s="42">
        <v>20187.0</v>
      </c>
      <c r="I523" s="43">
        <v>37.776787</v>
      </c>
      <c r="J523" s="42">
        <v>21996.0</v>
      </c>
      <c r="K523" s="43">
        <v>65.88016</v>
      </c>
    </row>
    <row r="524" ht="15.0" customHeight="1">
      <c r="A524" s="7"/>
      <c r="B524" s="44">
        <v>517.0</v>
      </c>
      <c r="C524" s="45" t="s">
        <v>19</v>
      </c>
      <c r="D524" s="50" t="s">
        <v>160</v>
      </c>
      <c r="E524" s="50" t="s">
        <v>178</v>
      </c>
      <c r="F524" s="50" t="s">
        <v>178</v>
      </c>
      <c r="G524" s="51" t="s">
        <v>178</v>
      </c>
      <c r="H524" s="46">
        <v>19112.0</v>
      </c>
      <c r="I524" s="47">
        <v>64.9748849</v>
      </c>
      <c r="J524" s="46">
        <v>19217.0</v>
      </c>
      <c r="K524" s="47">
        <v>78.0402768</v>
      </c>
    </row>
    <row r="525" ht="15.0" hidden="1" customHeight="1">
      <c r="A525" s="7"/>
      <c r="B525" s="39">
        <v>518.0</v>
      </c>
      <c r="C525" s="40" t="s">
        <v>19</v>
      </c>
      <c r="D525" s="40" t="s">
        <v>160</v>
      </c>
      <c r="E525" s="40" t="s">
        <v>178</v>
      </c>
      <c r="F525" s="40" t="s">
        <v>178</v>
      </c>
      <c r="G525" s="41" t="s">
        <v>13</v>
      </c>
      <c r="H525" s="42">
        <v>8952.0</v>
      </c>
      <c r="I525" s="43">
        <v>91.4209115</v>
      </c>
      <c r="J525" s="42">
        <v>8749.0</v>
      </c>
      <c r="K525" s="43">
        <v>97.9654818</v>
      </c>
    </row>
    <row r="526" ht="15.0" hidden="1" customHeight="1">
      <c r="A526" s="7"/>
      <c r="B526" s="39">
        <v>519.0</v>
      </c>
      <c r="C526" s="40" t="s">
        <v>19</v>
      </c>
      <c r="D526" s="40" t="s">
        <v>160</v>
      </c>
      <c r="E526" s="40" t="s">
        <v>178</v>
      </c>
      <c r="F526" s="40" t="s">
        <v>178</v>
      </c>
      <c r="G526" s="41" t="s">
        <v>14</v>
      </c>
      <c r="H526" s="42">
        <v>10160.0</v>
      </c>
      <c r="I526" s="43">
        <v>41.6732283</v>
      </c>
      <c r="J526" s="42">
        <v>10468.0</v>
      </c>
      <c r="K526" s="43">
        <v>61.3870844</v>
      </c>
    </row>
    <row r="527" ht="15.0" customHeight="1">
      <c r="A527" s="7"/>
      <c r="B527" s="44">
        <v>520.0</v>
      </c>
      <c r="C527" s="45" t="s">
        <v>19</v>
      </c>
      <c r="D527" s="50" t="s">
        <v>160</v>
      </c>
      <c r="E527" s="50" t="s">
        <v>178</v>
      </c>
      <c r="F527" s="50" t="s">
        <v>179</v>
      </c>
      <c r="G527" s="51" t="s">
        <v>179</v>
      </c>
      <c r="H527" s="46">
        <v>6317.0</v>
      </c>
      <c r="I527" s="47">
        <v>41.1271173</v>
      </c>
      <c r="J527" s="46">
        <v>7617.0</v>
      </c>
      <c r="K527" s="47">
        <v>76.8937902</v>
      </c>
    </row>
    <row r="528" ht="15.0" hidden="1" customHeight="1">
      <c r="A528" s="7"/>
      <c r="B528" s="39">
        <v>521.0</v>
      </c>
      <c r="C528" s="40" t="s">
        <v>19</v>
      </c>
      <c r="D528" s="40" t="s">
        <v>160</v>
      </c>
      <c r="E528" s="40" t="s">
        <v>178</v>
      </c>
      <c r="F528" s="40" t="s">
        <v>179</v>
      </c>
      <c r="G528" s="41" t="s">
        <v>13</v>
      </c>
      <c r="H528" s="42"/>
      <c r="I528" s="43"/>
      <c r="J528" s="42"/>
      <c r="K528" s="43"/>
    </row>
    <row r="529" ht="15.0" hidden="1" customHeight="1">
      <c r="A529" s="7"/>
      <c r="B529" s="39">
        <v>522.0</v>
      </c>
      <c r="C529" s="40" t="s">
        <v>19</v>
      </c>
      <c r="D529" s="40" t="s">
        <v>160</v>
      </c>
      <c r="E529" s="40" t="s">
        <v>178</v>
      </c>
      <c r="F529" s="40" t="s">
        <v>179</v>
      </c>
      <c r="G529" s="41" t="s">
        <v>14</v>
      </c>
      <c r="H529" s="42">
        <v>6317.0</v>
      </c>
      <c r="I529" s="43">
        <v>41.1271173</v>
      </c>
      <c r="J529" s="42">
        <v>7617.0</v>
      </c>
      <c r="K529" s="43">
        <v>76.8937902</v>
      </c>
    </row>
    <row r="530" ht="15.0" customHeight="1">
      <c r="A530" s="7"/>
      <c r="B530" s="44">
        <v>523.0</v>
      </c>
      <c r="C530" s="45" t="s">
        <v>19</v>
      </c>
      <c r="D530" s="50" t="s">
        <v>160</v>
      </c>
      <c r="E530" s="50" t="s">
        <v>178</v>
      </c>
      <c r="F530" s="50" t="s">
        <v>180</v>
      </c>
      <c r="G530" s="51" t="s">
        <v>180</v>
      </c>
      <c r="H530" s="46">
        <v>3710.0</v>
      </c>
      <c r="I530" s="47">
        <v>21.4016173</v>
      </c>
      <c r="J530" s="46">
        <v>3911.0</v>
      </c>
      <c r="K530" s="47">
        <v>56.4561493</v>
      </c>
    </row>
    <row r="531" ht="15.0" hidden="1" customHeight="1">
      <c r="A531" s="7"/>
      <c r="B531" s="39">
        <v>524.0</v>
      </c>
      <c r="C531" s="40" t="s">
        <v>19</v>
      </c>
      <c r="D531" s="40" t="s">
        <v>160</v>
      </c>
      <c r="E531" s="40" t="s">
        <v>178</v>
      </c>
      <c r="F531" s="40" t="s">
        <v>180</v>
      </c>
      <c r="G531" s="41" t="s">
        <v>13</v>
      </c>
      <c r="H531" s="42"/>
      <c r="I531" s="43"/>
      <c r="J531" s="42"/>
      <c r="K531" s="43"/>
    </row>
    <row r="532" ht="15.0" hidden="1" customHeight="1">
      <c r="A532" s="7"/>
      <c r="B532" s="39">
        <v>525.0</v>
      </c>
      <c r="C532" s="40" t="s">
        <v>19</v>
      </c>
      <c r="D532" s="40" t="s">
        <v>160</v>
      </c>
      <c r="E532" s="40" t="s">
        <v>178</v>
      </c>
      <c r="F532" s="40" t="s">
        <v>180</v>
      </c>
      <c r="G532" s="41" t="s">
        <v>14</v>
      </c>
      <c r="H532" s="42">
        <v>3710.0</v>
      </c>
      <c r="I532" s="43">
        <v>21.4016173</v>
      </c>
      <c r="J532" s="42">
        <v>3911.0</v>
      </c>
      <c r="K532" s="43">
        <v>56.4561493</v>
      </c>
    </row>
    <row r="533" ht="15.0" hidden="1" customHeight="1">
      <c r="A533" s="7"/>
      <c r="B533" s="35">
        <v>526.0</v>
      </c>
      <c r="C533" s="36" t="s">
        <v>17</v>
      </c>
      <c r="D533" s="49" t="s">
        <v>160</v>
      </c>
      <c r="E533" s="49" t="s">
        <v>181</v>
      </c>
      <c r="F533" s="49"/>
      <c r="G533" s="36" t="s">
        <v>181</v>
      </c>
      <c r="H533" s="37">
        <v>33783.0</v>
      </c>
      <c r="I533" s="38">
        <v>78.7792677</v>
      </c>
      <c r="J533" s="37">
        <v>35763.0</v>
      </c>
      <c r="K533" s="38">
        <v>90.0148198</v>
      </c>
    </row>
    <row r="534" ht="15.0" hidden="1" customHeight="1">
      <c r="A534" s="7"/>
      <c r="B534" s="39">
        <v>527.0</v>
      </c>
      <c r="C534" s="40" t="s">
        <v>17</v>
      </c>
      <c r="D534" s="40" t="s">
        <v>160</v>
      </c>
      <c r="E534" s="40" t="s">
        <v>181</v>
      </c>
      <c r="F534" s="40"/>
      <c r="G534" s="41" t="s">
        <v>13</v>
      </c>
      <c r="H534" s="42">
        <v>14292.0</v>
      </c>
      <c r="I534" s="43">
        <v>93.7937308</v>
      </c>
      <c r="J534" s="42">
        <v>12953.0</v>
      </c>
      <c r="K534" s="43">
        <v>98.9654906</v>
      </c>
    </row>
    <row r="535" ht="15.0" hidden="1" customHeight="1">
      <c r="A535" s="7"/>
      <c r="B535" s="39">
        <v>528.0</v>
      </c>
      <c r="C535" s="40" t="s">
        <v>17</v>
      </c>
      <c r="D535" s="40" t="s">
        <v>160</v>
      </c>
      <c r="E535" s="40" t="s">
        <v>181</v>
      </c>
      <c r="F535" s="40"/>
      <c r="G535" s="41" t="s">
        <v>14</v>
      </c>
      <c r="H535" s="42">
        <v>19491.0</v>
      </c>
      <c r="I535" s="43">
        <v>67.7697399</v>
      </c>
      <c r="J535" s="42">
        <v>22810.0</v>
      </c>
      <c r="K535" s="43">
        <v>84.9320473</v>
      </c>
    </row>
    <row r="536" ht="15.0" customHeight="1">
      <c r="A536" s="7"/>
      <c r="B536" s="44">
        <v>529.0</v>
      </c>
      <c r="C536" s="45" t="s">
        <v>19</v>
      </c>
      <c r="D536" s="50" t="s">
        <v>160</v>
      </c>
      <c r="E536" s="50" t="s">
        <v>181</v>
      </c>
      <c r="F536" s="50" t="s">
        <v>182</v>
      </c>
      <c r="G536" s="51" t="s">
        <v>182</v>
      </c>
      <c r="H536" s="46">
        <v>21663.0</v>
      </c>
      <c r="I536" s="47">
        <v>86.9408669</v>
      </c>
      <c r="J536" s="46">
        <v>20953.0</v>
      </c>
      <c r="K536" s="47">
        <v>97.4371212</v>
      </c>
    </row>
    <row r="537" ht="15.0" hidden="1" customHeight="1">
      <c r="A537" s="7"/>
      <c r="B537" s="39">
        <v>530.0</v>
      </c>
      <c r="C537" s="40" t="s">
        <v>19</v>
      </c>
      <c r="D537" s="40" t="s">
        <v>160</v>
      </c>
      <c r="E537" s="40" t="s">
        <v>181</v>
      </c>
      <c r="F537" s="40" t="s">
        <v>182</v>
      </c>
      <c r="G537" s="41" t="s">
        <v>13</v>
      </c>
      <c r="H537" s="42">
        <v>11127.0</v>
      </c>
      <c r="I537" s="43">
        <v>94.913274</v>
      </c>
      <c r="J537" s="42">
        <v>11002.0</v>
      </c>
      <c r="K537" s="43">
        <v>99.1456099</v>
      </c>
    </row>
    <row r="538" ht="15.0" hidden="1" customHeight="1">
      <c r="A538" s="7"/>
      <c r="B538" s="39">
        <v>531.0</v>
      </c>
      <c r="C538" s="40" t="s">
        <v>19</v>
      </c>
      <c r="D538" s="40" t="s">
        <v>160</v>
      </c>
      <c r="E538" s="40" t="s">
        <v>181</v>
      </c>
      <c r="F538" s="40" t="s">
        <v>182</v>
      </c>
      <c r="G538" s="41" t="s">
        <v>14</v>
      </c>
      <c r="H538" s="42">
        <v>10536.0</v>
      </c>
      <c r="I538" s="43">
        <v>78.5212604</v>
      </c>
      <c r="J538" s="42">
        <v>9951.0</v>
      </c>
      <c r="K538" s="43">
        <v>95.5481861</v>
      </c>
    </row>
    <row r="539" ht="15.0" customHeight="1">
      <c r="A539" s="7"/>
      <c r="B539" s="44">
        <v>532.0</v>
      </c>
      <c r="C539" s="45" t="s">
        <v>19</v>
      </c>
      <c r="D539" s="50" t="s">
        <v>160</v>
      </c>
      <c r="E539" s="50" t="s">
        <v>181</v>
      </c>
      <c r="F539" s="50" t="s">
        <v>183</v>
      </c>
      <c r="G539" s="51" t="s">
        <v>183</v>
      </c>
      <c r="H539" s="46">
        <v>7010.0</v>
      </c>
      <c r="I539" s="47">
        <v>48.2596291</v>
      </c>
      <c r="J539" s="46">
        <v>7308.0</v>
      </c>
      <c r="K539" s="47">
        <v>73.8232074</v>
      </c>
    </row>
    <row r="540" ht="15.0" hidden="1" customHeight="1">
      <c r="A540" s="7"/>
      <c r="B540" s="39">
        <v>533.0</v>
      </c>
      <c r="C540" s="40" t="s">
        <v>19</v>
      </c>
      <c r="D540" s="40" t="s">
        <v>160</v>
      </c>
      <c r="E540" s="40" t="s">
        <v>181</v>
      </c>
      <c r="F540" s="40" t="s">
        <v>183</v>
      </c>
      <c r="G540" s="41" t="s">
        <v>13</v>
      </c>
      <c r="H540" s="42"/>
      <c r="I540" s="43"/>
      <c r="J540" s="42"/>
      <c r="K540" s="43"/>
    </row>
    <row r="541" ht="15.0" hidden="1" customHeight="1">
      <c r="A541" s="7"/>
      <c r="B541" s="39">
        <v>534.0</v>
      </c>
      <c r="C541" s="40" t="s">
        <v>19</v>
      </c>
      <c r="D541" s="40" t="s">
        <v>160</v>
      </c>
      <c r="E541" s="40" t="s">
        <v>181</v>
      </c>
      <c r="F541" s="40" t="s">
        <v>183</v>
      </c>
      <c r="G541" s="41" t="s">
        <v>14</v>
      </c>
      <c r="H541" s="42">
        <v>7010.0</v>
      </c>
      <c r="I541" s="43">
        <v>48.2596291</v>
      </c>
      <c r="J541" s="42">
        <v>7308.0</v>
      </c>
      <c r="K541" s="43">
        <v>73.8232074</v>
      </c>
    </row>
    <row r="542" ht="15.0" customHeight="1">
      <c r="A542" s="7"/>
      <c r="B542" s="44">
        <v>535.0</v>
      </c>
      <c r="C542" s="45" t="s">
        <v>19</v>
      </c>
      <c r="D542" s="50" t="s">
        <v>160</v>
      </c>
      <c r="E542" s="50" t="s">
        <v>181</v>
      </c>
      <c r="F542" s="50" t="s">
        <v>184</v>
      </c>
      <c r="G542" s="51" t="s">
        <v>184</v>
      </c>
      <c r="H542" s="46">
        <v>5110.0</v>
      </c>
      <c r="I542" s="47">
        <v>86.0469667</v>
      </c>
      <c r="J542" s="46">
        <v>7502.0</v>
      </c>
      <c r="K542" s="47">
        <v>85.057318</v>
      </c>
    </row>
    <row r="543" ht="15.0" hidden="1" customHeight="1">
      <c r="A543" s="7"/>
      <c r="B543" s="39">
        <v>536.0</v>
      </c>
      <c r="C543" s="40" t="s">
        <v>19</v>
      </c>
      <c r="D543" s="40" t="s">
        <v>160</v>
      </c>
      <c r="E543" s="40" t="s">
        <v>181</v>
      </c>
      <c r="F543" s="40" t="s">
        <v>184</v>
      </c>
      <c r="G543" s="41" t="s">
        <v>13</v>
      </c>
      <c r="H543" s="42">
        <v>3165.0</v>
      </c>
      <c r="I543" s="43">
        <v>89.8578199</v>
      </c>
      <c r="J543" s="42">
        <v>1951.0</v>
      </c>
      <c r="K543" s="43">
        <v>97.9497693</v>
      </c>
    </row>
    <row r="544" ht="15.0" hidden="1" customHeight="1">
      <c r="A544" s="7"/>
      <c r="B544" s="39">
        <v>537.0</v>
      </c>
      <c r="C544" s="40" t="s">
        <v>19</v>
      </c>
      <c r="D544" s="40" t="s">
        <v>160</v>
      </c>
      <c r="E544" s="40" t="s">
        <v>181</v>
      </c>
      <c r="F544" s="40" t="s">
        <v>184</v>
      </c>
      <c r="G544" s="41" t="s">
        <v>14</v>
      </c>
      <c r="H544" s="42">
        <v>1945.0</v>
      </c>
      <c r="I544" s="43">
        <v>79.8457584</v>
      </c>
      <c r="J544" s="42">
        <v>5551.0</v>
      </c>
      <c r="K544" s="43">
        <v>80.5260313</v>
      </c>
    </row>
    <row r="545" ht="15.0" hidden="1" customHeight="1">
      <c r="A545" s="7"/>
      <c r="B545" s="35">
        <v>538.0</v>
      </c>
      <c r="C545" s="36" t="s">
        <v>17</v>
      </c>
      <c r="D545" s="49" t="s">
        <v>160</v>
      </c>
      <c r="E545" s="49" t="s">
        <v>185</v>
      </c>
      <c r="F545" s="49"/>
      <c r="G545" s="36" t="s">
        <v>185</v>
      </c>
      <c r="H545" s="37">
        <v>329906.0</v>
      </c>
      <c r="I545" s="38">
        <v>91.7528023</v>
      </c>
      <c r="J545" s="37">
        <v>400678.0</v>
      </c>
      <c r="K545" s="38">
        <v>96.8732998</v>
      </c>
    </row>
    <row r="546" ht="15.0" hidden="1" customHeight="1">
      <c r="A546" s="7"/>
      <c r="B546" s="39">
        <v>539.0</v>
      </c>
      <c r="C546" s="40" t="s">
        <v>17</v>
      </c>
      <c r="D546" s="40" t="s">
        <v>160</v>
      </c>
      <c r="E546" s="40" t="s">
        <v>185</v>
      </c>
      <c r="F546" s="40"/>
      <c r="G546" s="41" t="s">
        <v>13</v>
      </c>
      <c r="H546" s="42">
        <v>281251.0</v>
      </c>
      <c r="I546" s="43">
        <v>96.4465904</v>
      </c>
      <c r="J546" s="42">
        <v>362653.0</v>
      </c>
      <c r="K546" s="43">
        <v>99.1242317</v>
      </c>
    </row>
    <row r="547" ht="15.0" hidden="1" customHeight="1">
      <c r="A547" s="7"/>
      <c r="B547" s="39">
        <v>540.0</v>
      </c>
      <c r="C547" s="40" t="s">
        <v>17</v>
      </c>
      <c r="D547" s="40" t="s">
        <v>160</v>
      </c>
      <c r="E547" s="40" t="s">
        <v>185</v>
      </c>
      <c r="F547" s="40"/>
      <c r="G547" s="41" t="s">
        <v>14</v>
      </c>
      <c r="H547" s="42">
        <v>48655.0</v>
      </c>
      <c r="I547" s="43">
        <v>64.6202857</v>
      </c>
      <c r="J547" s="42">
        <v>38025.0</v>
      </c>
      <c r="K547" s="43">
        <v>75.4056542</v>
      </c>
    </row>
    <row r="548" ht="15.0" customHeight="1">
      <c r="A548" s="7"/>
      <c r="B548" s="44">
        <v>541.0</v>
      </c>
      <c r="C548" s="45" t="s">
        <v>19</v>
      </c>
      <c r="D548" s="50" t="s">
        <v>160</v>
      </c>
      <c r="E548" s="50" t="s">
        <v>185</v>
      </c>
      <c r="F548" s="50" t="s">
        <v>185</v>
      </c>
      <c r="G548" s="51" t="s">
        <v>185</v>
      </c>
      <c r="H548" s="46">
        <v>134281.0</v>
      </c>
      <c r="I548" s="47">
        <v>94.8421594</v>
      </c>
      <c r="J548" s="46">
        <v>163818.0</v>
      </c>
      <c r="K548" s="47">
        <v>98.176635</v>
      </c>
    </row>
    <row r="549" ht="15.0" hidden="1" customHeight="1">
      <c r="A549" s="7"/>
      <c r="B549" s="39">
        <v>542.0</v>
      </c>
      <c r="C549" s="40" t="s">
        <v>19</v>
      </c>
      <c r="D549" s="40" t="s">
        <v>160</v>
      </c>
      <c r="E549" s="40" t="s">
        <v>185</v>
      </c>
      <c r="F549" s="40" t="s">
        <v>185</v>
      </c>
      <c r="G549" s="41" t="s">
        <v>13</v>
      </c>
      <c r="H549" s="42">
        <v>127781.0</v>
      </c>
      <c r="I549" s="43">
        <v>97.1318115</v>
      </c>
      <c r="J549" s="42">
        <v>156216.0</v>
      </c>
      <c r="K549" s="43">
        <v>99.251037</v>
      </c>
    </row>
    <row r="550" ht="15.0" hidden="1" customHeight="1">
      <c r="A550" s="7"/>
      <c r="B550" s="39">
        <v>543.0</v>
      </c>
      <c r="C550" s="40" t="s">
        <v>19</v>
      </c>
      <c r="D550" s="40" t="s">
        <v>160</v>
      </c>
      <c r="E550" s="40" t="s">
        <v>185</v>
      </c>
      <c r="F550" s="40" t="s">
        <v>185</v>
      </c>
      <c r="G550" s="41" t="s">
        <v>14</v>
      </c>
      <c r="H550" s="42">
        <v>6500.0</v>
      </c>
      <c r="I550" s="43">
        <v>49.8307692</v>
      </c>
      <c r="J550" s="42">
        <v>7602.0</v>
      </c>
      <c r="K550" s="43">
        <v>76.0983952</v>
      </c>
    </row>
    <row r="551" ht="15.0" customHeight="1">
      <c r="A551" s="7"/>
      <c r="B551" s="44">
        <v>544.0</v>
      </c>
      <c r="C551" s="45" t="s">
        <v>19</v>
      </c>
      <c r="D551" s="50" t="s">
        <v>160</v>
      </c>
      <c r="E551" s="50" t="s">
        <v>185</v>
      </c>
      <c r="F551" s="50" t="s">
        <v>186</v>
      </c>
      <c r="G551" s="51" t="s">
        <v>186</v>
      </c>
      <c r="H551" s="46">
        <v>40761.0</v>
      </c>
      <c r="I551" s="47">
        <v>80.9916342</v>
      </c>
      <c r="J551" s="46">
        <v>55440.0</v>
      </c>
      <c r="K551" s="47">
        <v>92.4332612</v>
      </c>
    </row>
    <row r="552" ht="15.0" hidden="1" customHeight="1">
      <c r="A552" s="7"/>
      <c r="B552" s="39">
        <v>545.0</v>
      </c>
      <c r="C552" s="40" t="s">
        <v>19</v>
      </c>
      <c r="D552" s="40" t="s">
        <v>160</v>
      </c>
      <c r="E552" s="40" t="s">
        <v>185</v>
      </c>
      <c r="F552" s="40" t="s">
        <v>186</v>
      </c>
      <c r="G552" s="41" t="s">
        <v>13</v>
      </c>
      <c r="H552" s="42">
        <v>13833.0</v>
      </c>
      <c r="I552" s="43">
        <v>91.9684812</v>
      </c>
      <c r="J552" s="42">
        <v>37211.0</v>
      </c>
      <c r="K552" s="43">
        <v>97.8662224</v>
      </c>
    </row>
    <row r="553" ht="15.0" hidden="1" customHeight="1">
      <c r="A553" s="7"/>
      <c r="B553" s="39">
        <v>546.0</v>
      </c>
      <c r="C553" s="40" t="s">
        <v>19</v>
      </c>
      <c r="D553" s="40" t="s">
        <v>160</v>
      </c>
      <c r="E553" s="40" t="s">
        <v>185</v>
      </c>
      <c r="F553" s="40" t="s">
        <v>186</v>
      </c>
      <c r="G553" s="41" t="s">
        <v>14</v>
      </c>
      <c r="H553" s="42">
        <v>26928.0</v>
      </c>
      <c r="I553" s="43">
        <v>75.3527926</v>
      </c>
      <c r="J553" s="42">
        <v>18229.0</v>
      </c>
      <c r="K553" s="43">
        <v>81.3429151</v>
      </c>
    </row>
    <row r="554" ht="15.0" customHeight="1">
      <c r="A554" s="7"/>
      <c r="B554" s="44">
        <v>547.0</v>
      </c>
      <c r="C554" s="45" t="s">
        <v>19</v>
      </c>
      <c r="D554" s="50" t="s">
        <v>160</v>
      </c>
      <c r="E554" s="50" t="s">
        <v>185</v>
      </c>
      <c r="F554" s="50" t="s">
        <v>187</v>
      </c>
      <c r="G554" s="51" t="s">
        <v>187</v>
      </c>
      <c r="H554" s="46">
        <v>52595.0</v>
      </c>
      <c r="I554" s="47">
        <v>88.8031182</v>
      </c>
      <c r="J554" s="46">
        <v>60789.0</v>
      </c>
      <c r="K554" s="47">
        <v>94.8329468</v>
      </c>
    </row>
    <row r="555" ht="15.0" hidden="1" customHeight="1">
      <c r="A555" s="7"/>
      <c r="B555" s="39">
        <v>548.0</v>
      </c>
      <c r="C555" s="40" t="s">
        <v>19</v>
      </c>
      <c r="D555" s="40" t="s">
        <v>160</v>
      </c>
      <c r="E555" s="40" t="s">
        <v>185</v>
      </c>
      <c r="F555" s="40" t="s">
        <v>187</v>
      </c>
      <c r="G555" s="41" t="s">
        <v>13</v>
      </c>
      <c r="H555" s="42">
        <v>48181.0</v>
      </c>
      <c r="I555" s="43">
        <v>96.1810672</v>
      </c>
      <c r="J555" s="42">
        <v>57180.0</v>
      </c>
      <c r="K555" s="43">
        <v>99.3004547</v>
      </c>
    </row>
    <row r="556" ht="15.0" hidden="1" customHeight="1">
      <c r="A556" s="7"/>
      <c r="B556" s="39">
        <v>549.0</v>
      </c>
      <c r="C556" s="40" t="s">
        <v>19</v>
      </c>
      <c r="D556" s="40" t="s">
        <v>160</v>
      </c>
      <c r="E556" s="40" t="s">
        <v>185</v>
      </c>
      <c r="F556" s="40" t="s">
        <v>187</v>
      </c>
      <c r="G556" s="41" t="s">
        <v>14</v>
      </c>
      <c r="H556" s="42">
        <v>4414.0</v>
      </c>
      <c r="I556" s="43">
        <v>8.2691436</v>
      </c>
      <c r="J556" s="42">
        <v>3609.0</v>
      </c>
      <c r="K556" s="43">
        <v>24.0509837</v>
      </c>
    </row>
    <row r="557" ht="15.0" customHeight="1">
      <c r="A557" s="7"/>
      <c r="B557" s="44">
        <v>550.0</v>
      </c>
      <c r="C557" s="45" t="s">
        <v>19</v>
      </c>
      <c r="D557" s="50" t="s">
        <v>160</v>
      </c>
      <c r="E557" s="50" t="s">
        <v>185</v>
      </c>
      <c r="F557" s="50" t="s">
        <v>188</v>
      </c>
      <c r="G557" s="51" t="s">
        <v>188</v>
      </c>
      <c r="H557" s="46">
        <v>51162.0</v>
      </c>
      <c r="I557" s="47">
        <v>89.0817404</v>
      </c>
      <c r="J557" s="46">
        <v>55047.0</v>
      </c>
      <c r="K557" s="47">
        <v>96.6047196</v>
      </c>
    </row>
    <row r="558" ht="15.0" hidden="1" customHeight="1">
      <c r="A558" s="7"/>
      <c r="B558" s="39">
        <v>551.0</v>
      </c>
      <c r="C558" s="40" t="s">
        <v>19</v>
      </c>
      <c r="D558" s="40" t="s">
        <v>160</v>
      </c>
      <c r="E558" s="40" t="s">
        <v>185</v>
      </c>
      <c r="F558" s="40" t="s">
        <v>188</v>
      </c>
      <c r="G558" s="41" t="s">
        <v>13</v>
      </c>
      <c r="H558" s="42">
        <v>40349.0</v>
      </c>
      <c r="I558" s="43">
        <v>94.2526457</v>
      </c>
      <c r="J558" s="42">
        <v>46462.0</v>
      </c>
      <c r="K558" s="43">
        <v>98.9755069</v>
      </c>
    </row>
    <row r="559" ht="15.0" hidden="1" customHeight="1">
      <c r="A559" s="7"/>
      <c r="B559" s="39">
        <v>552.0</v>
      </c>
      <c r="C559" s="40" t="s">
        <v>19</v>
      </c>
      <c r="D559" s="40" t="s">
        <v>160</v>
      </c>
      <c r="E559" s="40" t="s">
        <v>185</v>
      </c>
      <c r="F559" s="40" t="s">
        <v>188</v>
      </c>
      <c r="G559" s="41" t="s">
        <v>14</v>
      </c>
      <c r="H559" s="42">
        <v>10813.0</v>
      </c>
      <c r="I559" s="43">
        <v>69.7863683</v>
      </c>
      <c r="J559" s="42">
        <v>8585.0</v>
      </c>
      <c r="K559" s="43">
        <v>83.7740245</v>
      </c>
    </row>
    <row r="560" ht="15.0" customHeight="1">
      <c r="A560" s="7"/>
      <c r="B560" s="44">
        <v>553.0</v>
      </c>
      <c r="C560" s="45" t="s">
        <v>19</v>
      </c>
      <c r="D560" s="50" t="s">
        <v>160</v>
      </c>
      <c r="E560" s="50" t="s">
        <v>185</v>
      </c>
      <c r="F560" s="50" t="s">
        <v>189</v>
      </c>
      <c r="G560" s="51" t="s">
        <v>189</v>
      </c>
      <c r="H560" s="46">
        <v>51107.0</v>
      </c>
      <c r="I560" s="47">
        <v>97.9278768</v>
      </c>
      <c r="J560" s="46">
        <v>65584.0</v>
      </c>
      <c r="K560" s="47">
        <v>99.4876799</v>
      </c>
    </row>
    <row r="561" ht="15.0" hidden="1" customHeight="1">
      <c r="A561" s="7"/>
      <c r="B561" s="39">
        <v>554.0</v>
      </c>
      <c r="C561" s="40" t="s">
        <v>19</v>
      </c>
      <c r="D561" s="40" t="s">
        <v>160</v>
      </c>
      <c r="E561" s="40" t="s">
        <v>185</v>
      </c>
      <c r="F561" s="40" t="s">
        <v>189</v>
      </c>
      <c r="G561" s="41" t="s">
        <v>13</v>
      </c>
      <c r="H561" s="42">
        <v>51107.0</v>
      </c>
      <c r="I561" s="43">
        <v>97.9278768</v>
      </c>
      <c r="J561" s="42">
        <v>65584.0</v>
      </c>
      <c r="K561" s="43">
        <v>99.4876799</v>
      </c>
    </row>
    <row r="562" ht="15.0" hidden="1" customHeight="1">
      <c r="A562" s="7"/>
      <c r="B562" s="39">
        <v>555.0</v>
      </c>
      <c r="C562" s="40" t="s">
        <v>19</v>
      </c>
      <c r="D562" s="40" t="s">
        <v>160</v>
      </c>
      <c r="E562" s="40" t="s">
        <v>185</v>
      </c>
      <c r="F562" s="40" t="s">
        <v>189</v>
      </c>
      <c r="G562" s="41" t="s">
        <v>14</v>
      </c>
      <c r="H562" s="42"/>
      <c r="I562" s="43"/>
      <c r="J562" s="42"/>
      <c r="K562" s="43"/>
    </row>
    <row r="563" ht="15.0" hidden="1" customHeight="1">
      <c r="A563" s="7"/>
      <c r="B563" s="35">
        <v>556.0</v>
      </c>
      <c r="C563" s="36" t="s">
        <v>17</v>
      </c>
      <c r="D563" s="49" t="s">
        <v>160</v>
      </c>
      <c r="E563" s="49" t="s">
        <v>190</v>
      </c>
      <c r="F563" s="49"/>
      <c r="G563" s="36" t="s">
        <v>190</v>
      </c>
      <c r="H563" s="37">
        <v>256242.0</v>
      </c>
      <c r="I563" s="38">
        <v>74.2169512</v>
      </c>
      <c r="J563" s="37">
        <v>326031.0</v>
      </c>
      <c r="K563" s="38">
        <v>85.670381</v>
      </c>
    </row>
    <row r="564" ht="15.0" hidden="1" customHeight="1">
      <c r="A564" s="7"/>
      <c r="B564" s="39">
        <v>557.0</v>
      </c>
      <c r="C564" s="40" t="s">
        <v>17</v>
      </c>
      <c r="D564" s="40" t="s">
        <v>160</v>
      </c>
      <c r="E564" s="40" t="s">
        <v>190</v>
      </c>
      <c r="F564" s="40"/>
      <c r="G564" s="41" t="s">
        <v>13</v>
      </c>
      <c r="H564" s="42">
        <v>158394.0</v>
      </c>
      <c r="I564" s="43">
        <v>96.0661389</v>
      </c>
      <c r="J564" s="42">
        <v>201883.0</v>
      </c>
      <c r="K564" s="43">
        <v>98.5199348</v>
      </c>
    </row>
    <row r="565" ht="15.0" hidden="1" customHeight="1">
      <c r="A565" s="7"/>
      <c r="B565" s="39">
        <v>558.0</v>
      </c>
      <c r="C565" s="40" t="s">
        <v>17</v>
      </c>
      <c r="D565" s="40" t="s">
        <v>160</v>
      </c>
      <c r="E565" s="40" t="s">
        <v>190</v>
      </c>
      <c r="F565" s="40"/>
      <c r="G565" s="41" t="s">
        <v>14</v>
      </c>
      <c r="H565" s="42">
        <v>97848.0</v>
      </c>
      <c r="I565" s="43">
        <v>38.8480092</v>
      </c>
      <c r="J565" s="42">
        <v>124148.0</v>
      </c>
      <c r="K565" s="43">
        <v>64.7751071</v>
      </c>
    </row>
    <row r="566" ht="15.0" customHeight="1">
      <c r="A566" s="7"/>
      <c r="B566" s="44">
        <v>559.0</v>
      </c>
      <c r="C566" s="45" t="s">
        <v>19</v>
      </c>
      <c r="D566" s="50" t="s">
        <v>160</v>
      </c>
      <c r="E566" s="50" t="s">
        <v>190</v>
      </c>
      <c r="F566" s="50" t="s">
        <v>191</v>
      </c>
      <c r="G566" s="51" t="s">
        <v>191</v>
      </c>
      <c r="H566" s="46">
        <v>168840.0</v>
      </c>
      <c r="I566" s="47">
        <v>88.8971808</v>
      </c>
      <c r="J566" s="46">
        <v>213855.0</v>
      </c>
      <c r="K566" s="47">
        <v>94.5565921</v>
      </c>
    </row>
    <row r="567" ht="15.0" hidden="1" customHeight="1">
      <c r="A567" s="7"/>
      <c r="B567" s="39">
        <v>560.0</v>
      </c>
      <c r="C567" s="40" t="s">
        <v>19</v>
      </c>
      <c r="D567" s="40" t="s">
        <v>160</v>
      </c>
      <c r="E567" s="40" t="s">
        <v>190</v>
      </c>
      <c r="F567" s="40" t="s">
        <v>191</v>
      </c>
      <c r="G567" s="41" t="s">
        <v>13</v>
      </c>
      <c r="H567" s="42">
        <v>146911.0</v>
      </c>
      <c r="I567" s="43">
        <v>96.1541341</v>
      </c>
      <c r="J567" s="42">
        <v>187239.0</v>
      </c>
      <c r="K567" s="43">
        <v>98.5238118</v>
      </c>
    </row>
    <row r="568" ht="15.0" hidden="1" customHeight="1">
      <c r="A568" s="7"/>
      <c r="B568" s="39">
        <v>561.0</v>
      </c>
      <c r="C568" s="40" t="s">
        <v>19</v>
      </c>
      <c r="D568" s="40" t="s">
        <v>160</v>
      </c>
      <c r="E568" s="40" t="s">
        <v>190</v>
      </c>
      <c r="F568" s="40" t="s">
        <v>191</v>
      </c>
      <c r="G568" s="41" t="s">
        <v>14</v>
      </c>
      <c r="H568" s="42">
        <v>21929.0</v>
      </c>
      <c r="I568" s="43">
        <v>40.2799945</v>
      </c>
      <c r="J568" s="42">
        <v>26616.0</v>
      </c>
      <c r="K568" s="43">
        <v>66.647881</v>
      </c>
    </row>
    <row r="569" ht="15.0" customHeight="1">
      <c r="A569" s="7"/>
      <c r="B569" s="44">
        <v>562.0</v>
      </c>
      <c r="C569" s="45" t="s">
        <v>19</v>
      </c>
      <c r="D569" s="50" t="s">
        <v>160</v>
      </c>
      <c r="E569" s="50" t="s">
        <v>190</v>
      </c>
      <c r="F569" s="50" t="s">
        <v>192</v>
      </c>
      <c r="G569" s="51" t="s">
        <v>192</v>
      </c>
      <c r="H569" s="46">
        <v>18675.0</v>
      </c>
      <c r="I569" s="47">
        <v>46.4257028</v>
      </c>
      <c r="J569" s="46">
        <v>21248.0</v>
      </c>
      <c r="K569" s="47">
        <v>67.6863705</v>
      </c>
    </row>
    <row r="570" ht="15.0" hidden="1" customHeight="1">
      <c r="A570" s="7"/>
      <c r="B570" s="39">
        <v>563.0</v>
      </c>
      <c r="C570" s="40" t="s">
        <v>19</v>
      </c>
      <c r="D570" s="40" t="s">
        <v>160</v>
      </c>
      <c r="E570" s="40" t="s">
        <v>190</v>
      </c>
      <c r="F570" s="40" t="s">
        <v>192</v>
      </c>
      <c r="G570" s="41" t="s">
        <v>13</v>
      </c>
      <c r="H570" s="42">
        <v>3625.0</v>
      </c>
      <c r="I570" s="43">
        <v>92.1103448</v>
      </c>
      <c r="J570" s="42">
        <v>3939.0</v>
      </c>
      <c r="K570" s="43">
        <v>96.9535415</v>
      </c>
    </row>
    <row r="571" ht="15.0" hidden="1" customHeight="1">
      <c r="A571" s="7"/>
      <c r="B571" s="39">
        <v>564.0</v>
      </c>
      <c r="C571" s="40" t="s">
        <v>19</v>
      </c>
      <c r="D571" s="40" t="s">
        <v>160</v>
      </c>
      <c r="E571" s="40" t="s">
        <v>190</v>
      </c>
      <c r="F571" s="40" t="s">
        <v>192</v>
      </c>
      <c r="G571" s="41" t="s">
        <v>14</v>
      </c>
      <c r="H571" s="42">
        <v>15050.0</v>
      </c>
      <c r="I571" s="43">
        <v>35.4219269</v>
      </c>
      <c r="J571" s="42">
        <v>17309.0</v>
      </c>
      <c r="K571" s="43">
        <v>61.0260558</v>
      </c>
    </row>
    <row r="572" ht="15.0" customHeight="1">
      <c r="A572" s="7"/>
      <c r="B572" s="44">
        <v>565.0</v>
      </c>
      <c r="C572" s="45" t="s">
        <v>19</v>
      </c>
      <c r="D572" s="50" t="s">
        <v>160</v>
      </c>
      <c r="E572" s="50" t="s">
        <v>190</v>
      </c>
      <c r="F572" s="50" t="s">
        <v>193</v>
      </c>
      <c r="G572" s="51" t="s">
        <v>193</v>
      </c>
      <c r="H572" s="46">
        <v>68727.0</v>
      </c>
      <c r="I572" s="47">
        <v>45.7040173</v>
      </c>
      <c r="J572" s="46">
        <v>90928.0</v>
      </c>
      <c r="K572" s="47">
        <v>68.9732536</v>
      </c>
    </row>
    <row r="573" ht="15.0" hidden="1" customHeight="1">
      <c r="A573" s="7"/>
      <c r="B573" s="39">
        <v>566.0</v>
      </c>
      <c r="C573" s="40" t="s">
        <v>19</v>
      </c>
      <c r="D573" s="40" t="s">
        <v>160</v>
      </c>
      <c r="E573" s="40" t="s">
        <v>190</v>
      </c>
      <c r="F573" s="40" t="s">
        <v>193</v>
      </c>
      <c r="G573" s="41" t="s">
        <v>13</v>
      </c>
      <c r="H573" s="42">
        <v>7858.0</v>
      </c>
      <c r="I573" s="43">
        <v>96.2458641</v>
      </c>
      <c r="J573" s="42">
        <v>10705.0</v>
      </c>
      <c r="K573" s="43">
        <v>99.0284914</v>
      </c>
    </row>
    <row r="574" ht="15.0" hidden="1" customHeight="1">
      <c r="A574" s="7"/>
      <c r="B574" s="39">
        <v>567.0</v>
      </c>
      <c r="C574" s="40" t="s">
        <v>19</v>
      </c>
      <c r="D574" s="40" t="s">
        <v>160</v>
      </c>
      <c r="E574" s="40" t="s">
        <v>190</v>
      </c>
      <c r="F574" s="40" t="s">
        <v>193</v>
      </c>
      <c r="G574" s="41" t="s">
        <v>14</v>
      </c>
      <c r="H574" s="42">
        <v>60869.0</v>
      </c>
      <c r="I574" s="43">
        <v>39.1792209</v>
      </c>
      <c r="J574" s="42">
        <v>80223.0</v>
      </c>
      <c r="K574" s="43">
        <v>64.9626666</v>
      </c>
    </row>
    <row r="575" ht="15.0" hidden="1" customHeight="1">
      <c r="A575" s="7"/>
      <c r="B575" s="35">
        <v>568.0</v>
      </c>
      <c r="C575" s="36" t="s">
        <v>17</v>
      </c>
      <c r="D575" s="49" t="s">
        <v>160</v>
      </c>
      <c r="E575" s="49" t="s">
        <v>194</v>
      </c>
      <c r="F575" s="49"/>
      <c r="G575" s="36" t="s">
        <v>194</v>
      </c>
      <c r="H575" s="37">
        <v>24344.0</v>
      </c>
      <c r="I575" s="38">
        <v>11.4771607</v>
      </c>
      <c r="J575" s="37">
        <v>24518.0</v>
      </c>
      <c r="K575" s="38">
        <v>23.1462599</v>
      </c>
    </row>
    <row r="576" ht="15.0" hidden="1" customHeight="1">
      <c r="A576" s="7"/>
      <c r="B576" s="39">
        <v>569.0</v>
      </c>
      <c r="C576" s="40" t="s">
        <v>17</v>
      </c>
      <c r="D576" s="40" t="s">
        <v>160</v>
      </c>
      <c r="E576" s="40" t="s">
        <v>194</v>
      </c>
      <c r="F576" s="40"/>
      <c r="G576" s="41" t="s">
        <v>13</v>
      </c>
      <c r="H576" s="42"/>
      <c r="I576" s="43"/>
      <c r="J576" s="42"/>
      <c r="K576" s="43"/>
    </row>
    <row r="577" ht="15.0" hidden="1" customHeight="1">
      <c r="A577" s="7"/>
      <c r="B577" s="39">
        <v>570.0</v>
      </c>
      <c r="C577" s="40" t="s">
        <v>17</v>
      </c>
      <c r="D577" s="40" t="s">
        <v>160</v>
      </c>
      <c r="E577" s="40" t="s">
        <v>194</v>
      </c>
      <c r="F577" s="40"/>
      <c r="G577" s="41" t="s">
        <v>14</v>
      </c>
      <c r="H577" s="42">
        <v>24344.0</v>
      </c>
      <c r="I577" s="43">
        <v>11.4771607</v>
      </c>
      <c r="J577" s="42">
        <v>24518.0</v>
      </c>
      <c r="K577" s="43">
        <v>23.1462599</v>
      </c>
    </row>
    <row r="578" ht="15.0" customHeight="1">
      <c r="A578" s="7"/>
      <c r="B578" s="44">
        <v>571.0</v>
      </c>
      <c r="C578" s="45" t="s">
        <v>19</v>
      </c>
      <c r="D578" s="50" t="s">
        <v>160</v>
      </c>
      <c r="E578" s="50" t="s">
        <v>194</v>
      </c>
      <c r="F578" s="50" t="s">
        <v>194</v>
      </c>
      <c r="G578" s="51" t="s">
        <v>194</v>
      </c>
      <c r="H578" s="46">
        <v>24344.0</v>
      </c>
      <c r="I578" s="47">
        <v>11.4771607</v>
      </c>
      <c r="J578" s="46">
        <v>24518.0</v>
      </c>
      <c r="K578" s="47">
        <v>23.1462599</v>
      </c>
    </row>
    <row r="579" ht="15.0" hidden="1" customHeight="1">
      <c r="A579" s="7"/>
      <c r="B579" s="39">
        <v>572.0</v>
      </c>
      <c r="C579" s="40" t="s">
        <v>19</v>
      </c>
      <c r="D579" s="40" t="s">
        <v>160</v>
      </c>
      <c r="E579" s="40" t="s">
        <v>194</v>
      </c>
      <c r="F579" s="40" t="s">
        <v>194</v>
      </c>
      <c r="G579" s="41" t="s">
        <v>13</v>
      </c>
      <c r="H579" s="42"/>
      <c r="I579" s="43"/>
      <c r="J579" s="42"/>
      <c r="K579" s="43"/>
    </row>
    <row r="580" ht="15.0" hidden="1" customHeight="1">
      <c r="A580" s="7"/>
      <c r="B580" s="39">
        <v>573.0</v>
      </c>
      <c r="C580" s="40" t="s">
        <v>19</v>
      </c>
      <c r="D580" s="40" t="s">
        <v>160</v>
      </c>
      <c r="E580" s="40" t="s">
        <v>194</v>
      </c>
      <c r="F580" s="40" t="s">
        <v>194</v>
      </c>
      <c r="G580" s="41" t="s">
        <v>14</v>
      </c>
      <c r="H580" s="42">
        <v>24344.0</v>
      </c>
      <c r="I580" s="43">
        <v>11.4771607</v>
      </c>
      <c r="J580" s="42">
        <v>24518.0</v>
      </c>
      <c r="K580" s="43">
        <v>23.1462599</v>
      </c>
    </row>
    <row r="581" ht="15.0" hidden="1" customHeight="1">
      <c r="A581" s="7"/>
      <c r="B581" s="35">
        <v>574.0</v>
      </c>
      <c r="C581" s="36" t="s">
        <v>17</v>
      </c>
      <c r="D581" s="49" t="s">
        <v>160</v>
      </c>
      <c r="E581" s="49" t="s">
        <v>195</v>
      </c>
      <c r="F581" s="49"/>
      <c r="G581" s="36" t="s">
        <v>195</v>
      </c>
      <c r="H581" s="37">
        <v>129474.0</v>
      </c>
      <c r="I581" s="38">
        <v>47.8242736</v>
      </c>
      <c r="J581" s="37">
        <v>169457.0</v>
      </c>
      <c r="K581" s="38">
        <v>72.2673008</v>
      </c>
    </row>
    <row r="582" ht="15.0" hidden="1" customHeight="1">
      <c r="A582" s="7"/>
      <c r="B582" s="39">
        <v>575.0</v>
      </c>
      <c r="C582" s="40" t="s">
        <v>17</v>
      </c>
      <c r="D582" s="40" t="s">
        <v>160</v>
      </c>
      <c r="E582" s="40" t="s">
        <v>195</v>
      </c>
      <c r="F582" s="40"/>
      <c r="G582" s="41" t="s">
        <v>13</v>
      </c>
      <c r="H582" s="42">
        <v>30551.0</v>
      </c>
      <c r="I582" s="43">
        <v>94.2031357</v>
      </c>
      <c r="J582" s="42">
        <v>58077.0</v>
      </c>
      <c r="K582" s="43">
        <v>98.6655647</v>
      </c>
    </row>
    <row r="583" ht="15.0" hidden="1" customHeight="1">
      <c r="A583" s="7"/>
      <c r="B583" s="39">
        <v>576.0</v>
      </c>
      <c r="C583" s="40" t="s">
        <v>17</v>
      </c>
      <c r="D583" s="40" t="s">
        <v>160</v>
      </c>
      <c r="E583" s="40" t="s">
        <v>195</v>
      </c>
      <c r="F583" s="40"/>
      <c r="G583" s="41" t="s">
        <v>14</v>
      </c>
      <c r="H583" s="42">
        <v>98923.0</v>
      </c>
      <c r="I583" s="43">
        <v>33.5008037</v>
      </c>
      <c r="J583" s="42">
        <v>111380.0</v>
      </c>
      <c r="K583" s="43">
        <v>58.5024241</v>
      </c>
    </row>
    <row r="584" ht="15.0" customHeight="1">
      <c r="A584" s="7"/>
      <c r="B584" s="44">
        <v>577.0</v>
      </c>
      <c r="C584" s="45" t="s">
        <v>19</v>
      </c>
      <c r="D584" s="50" t="s">
        <v>160</v>
      </c>
      <c r="E584" s="50" t="s">
        <v>195</v>
      </c>
      <c r="F584" s="50" t="s">
        <v>196</v>
      </c>
      <c r="G584" s="51" t="s">
        <v>196</v>
      </c>
      <c r="H584" s="46">
        <v>14481.0</v>
      </c>
      <c r="I584" s="47">
        <v>22.8437263</v>
      </c>
      <c r="J584" s="46">
        <v>14431.0</v>
      </c>
      <c r="K584" s="47">
        <v>44.1272261</v>
      </c>
    </row>
    <row r="585" ht="15.0" hidden="1" customHeight="1">
      <c r="A585" s="7"/>
      <c r="B585" s="39">
        <v>578.0</v>
      </c>
      <c r="C585" s="40" t="s">
        <v>19</v>
      </c>
      <c r="D585" s="40" t="s">
        <v>160</v>
      </c>
      <c r="E585" s="40" t="s">
        <v>195</v>
      </c>
      <c r="F585" s="40" t="s">
        <v>196</v>
      </c>
      <c r="G585" s="41" t="s">
        <v>13</v>
      </c>
      <c r="H585" s="42"/>
      <c r="I585" s="43"/>
      <c r="J585" s="42"/>
      <c r="K585" s="43"/>
    </row>
    <row r="586" ht="15.0" hidden="1" customHeight="1">
      <c r="A586" s="7"/>
      <c r="B586" s="39">
        <v>579.0</v>
      </c>
      <c r="C586" s="40" t="s">
        <v>19</v>
      </c>
      <c r="D586" s="40" t="s">
        <v>160</v>
      </c>
      <c r="E586" s="40" t="s">
        <v>195</v>
      </c>
      <c r="F586" s="40" t="s">
        <v>196</v>
      </c>
      <c r="G586" s="41" t="s">
        <v>14</v>
      </c>
      <c r="H586" s="42">
        <v>14481.0</v>
      </c>
      <c r="I586" s="43">
        <v>22.8437263</v>
      </c>
      <c r="J586" s="42">
        <v>14431.0</v>
      </c>
      <c r="K586" s="43">
        <v>44.1272261</v>
      </c>
    </row>
    <row r="587" ht="15.0" customHeight="1">
      <c r="A587" s="7"/>
      <c r="B587" s="44">
        <v>580.0</v>
      </c>
      <c r="C587" s="45" t="s">
        <v>19</v>
      </c>
      <c r="D587" s="50" t="s">
        <v>160</v>
      </c>
      <c r="E587" s="50" t="s">
        <v>195</v>
      </c>
      <c r="F587" s="50" t="s">
        <v>197</v>
      </c>
      <c r="G587" s="51" t="s">
        <v>197</v>
      </c>
      <c r="H587" s="46">
        <v>10047.0</v>
      </c>
      <c r="I587" s="47">
        <v>20.9216682</v>
      </c>
      <c r="J587" s="46">
        <v>11593.0</v>
      </c>
      <c r="K587" s="47">
        <v>56.8273958</v>
      </c>
    </row>
    <row r="588" ht="15.0" hidden="1" customHeight="1">
      <c r="A588" s="7"/>
      <c r="B588" s="39">
        <v>581.0</v>
      </c>
      <c r="C588" s="40" t="s">
        <v>19</v>
      </c>
      <c r="D588" s="40" t="s">
        <v>160</v>
      </c>
      <c r="E588" s="40" t="s">
        <v>195</v>
      </c>
      <c r="F588" s="40" t="s">
        <v>197</v>
      </c>
      <c r="G588" s="41" t="s">
        <v>13</v>
      </c>
      <c r="H588" s="42"/>
      <c r="I588" s="43"/>
      <c r="J588" s="42"/>
      <c r="K588" s="43"/>
    </row>
    <row r="589" ht="15.0" hidden="1" customHeight="1">
      <c r="A589" s="7"/>
      <c r="B589" s="39">
        <v>582.0</v>
      </c>
      <c r="C589" s="40" t="s">
        <v>19</v>
      </c>
      <c r="D589" s="40" t="s">
        <v>160</v>
      </c>
      <c r="E589" s="40" t="s">
        <v>195</v>
      </c>
      <c r="F589" s="40" t="s">
        <v>197</v>
      </c>
      <c r="G589" s="41" t="s">
        <v>14</v>
      </c>
      <c r="H589" s="42">
        <v>10047.0</v>
      </c>
      <c r="I589" s="43">
        <v>20.9216682</v>
      </c>
      <c r="J589" s="42">
        <v>11593.0</v>
      </c>
      <c r="K589" s="43">
        <v>56.8273958</v>
      </c>
    </row>
    <row r="590" ht="15.0" customHeight="1">
      <c r="A590" s="7"/>
      <c r="B590" s="44">
        <v>583.0</v>
      </c>
      <c r="C590" s="45" t="s">
        <v>19</v>
      </c>
      <c r="D590" s="50" t="s">
        <v>160</v>
      </c>
      <c r="E590" s="50" t="s">
        <v>195</v>
      </c>
      <c r="F590" s="50" t="s">
        <v>198</v>
      </c>
      <c r="G590" s="51" t="s">
        <v>198</v>
      </c>
      <c r="H590" s="46">
        <v>10514.0</v>
      </c>
      <c r="I590" s="47">
        <v>22.3701731</v>
      </c>
      <c r="J590" s="46">
        <v>11973.0</v>
      </c>
      <c r="K590" s="47">
        <v>53.9630836</v>
      </c>
    </row>
    <row r="591" ht="15.0" hidden="1" customHeight="1">
      <c r="A591" s="7"/>
      <c r="B591" s="39">
        <v>584.0</v>
      </c>
      <c r="C591" s="40" t="s">
        <v>19</v>
      </c>
      <c r="D591" s="40" t="s">
        <v>160</v>
      </c>
      <c r="E591" s="40" t="s">
        <v>195</v>
      </c>
      <c r="F591" s="40" t="s">
        <v>198</v>
      </c>
      <c r="G591" s="41" t="s">
        <v>13</v>
      </c>
      <c r="H591" s="42"/>
      <c r="I591" s="43"/>
      <c r="J591" s="42"/>
      <c r="K591" s="43"/>
    </row>
    <row r="592" ht="15.0" hidden="1" customHeight="1">
      <c r="A592" s="7"/>
      <c r="B592" s="39">
        <v>585.0</v>
      </c>
      <c r="C592" s="40" t="s">
        <v>19</v>
      </c>
      <c r="D592" s="40" t="s">
        <v>160</v>
      </c>
      <c r="E592" s="40" t="s">
        <v>195</v>
      </c>
      <c r="F592" s="40" t="s">
        <v>198</v>
      </c>
      <c r="G592" s="41" t="s">
        <v>14</v>
      </c>
      <c r="H592" s="42">
        <v>10514.0</v>
      </c>
      <c r="I592" s="43">
        <v>22.3701731</v>
      </c>
      <c r="J592" s="42">
        <v>11973.0</v>
      </c>
      <c r="K592" s="43">
        <v>53.9630836</v>
      </c>
    </row>
    <row r="593" ht="15.0" customHeight="1">
      <c r="A593" s="7"/>
      <c r="B593" s="44">
        <v>586.0</v>
      </c>
      <c r="C593" s="45" t="s">
        <v>19</v>
      </c>
      <c r="D593" s="50" t="s">
        <v>160</v>
      </c>
      <c r="E593" s="50" t="s">
        <v>195</v>
      </c>
      <c r="F593" s="50" t="s">
        <v>199</v>
      </c>
      <c r="G593" s="51" t="s">
        <v>199</v>
      </c>
      <c r="H593" s="46">
        <v>20344.0</v>
      </c>
      <c r="I593" s="47">
        <v>59.8063311</v>
      </c>
      <c r="J593" s="46">
        <v>25823.0</v>
      </c>
      <c r="K593" s="47">
        <v>76.1646594</v>
      </c>
    </row>
    <row r="594" ht="15.0" hidden="1" customHeight="1">
      <c r="A594" s="7"/>
      <c r="B594" s="39">
        <v>587.0</v>
      </c>
      <c r="C594" s="40" t="s">
        <v>19</v>
      </c>
      <c r="D594" s="40" t="s">
        <v>160</v>
      </c>
      <c r="E594" s="40" t="s">
        <v>195</v>
      </c>
      <c r="F594" s="40" t="s">
        <v>199</v>
      </c>
      <c r="G594" s="41" t="s">
        <v>13</v>
      </c>
      <c r="H594" s="42">
        <v>5590.0</v>
      </c>
      <c r="I594" s="43">
        <v>94.490161</v>
      </c>
      <c r="J594" s="42">
        <v>9648.0</v>
      </c>
      <c r="K594" s="43">
        <v>98.7769486</v>
      </c>
    </row>
    <row r="595" ht="15.0" hidden="1" customHeight="1">
      <c r="A595" s="7"/>
      <c r="B595" s="39">
        <v>588.0</v>
      </c>
      <c r="C595" s="40" t="s">
        <v>19</v>
      </c>
      <c r="D595" s="40" t="s">
        <v>160</v>
      </c>
      <c r="E595" s="40" t="s">
        <v>195</v>
      </c>
      <c r="F595" s="40" t="s">
        <v>199</v>
      </c>
      <c r="G595" s="41" t="s">
        <v>14</v>
      </c>
      <c r="H595" s="42">
        <v>14754.0</v>
      </c>
      <c r="I595" s="43">
        <v>46.6653111</v>
      </c>
      <c r="J595" s="42">
        <v>16175.0</v>
      </c>
      <c r="K595" s="43">
        <v>62.6769706</v>
      </c>
    </row>
    <row r="596" ht="15.0" customHeight="1">
      <c r="A596" s="7"/>
      <c r="B596" s="44">
        <v>589.0</v>
      </c>
      <c r="C596" s="45" t="s">
        <v>19</v>
      </c>
      <c r="D596" s="50" t="s">
        <v>160</v>
      </c>
      <c r="E596" s="50" t="s">
        <v>195</v>
      </c>
      <c r="F596" s="50" t="s">
        <v>200</v>
      </c>
      <c r="G596" s="51" t="s">
        <v>200</v>
      </c>
      <c r="H596" s="46">
        <v>44974.0</v>
      </c>
      <c r="I596" s="47">
        <v>54.7961044</v>
      </c>
      <c r="J596" s="46">
        <v>62262.0</v>
      </c>
      <c r="K596" s="47">
        <v>78.8956346</v>
      </c>
    </row>
    <row r="597" ht="15.0" hidden="1" customHeight="1">
      <c r="A597" s="7"/>
      <c r="B597" s="39">
        <v>590.0</v>
      </c>
      <c r="C597" s="40" t="s">
        <v>19</v>
      </c>
      <c r="D597" s="40" t="s">
        <v>160</v>
      </c>
      <c r="E597" s="40" t="s">
        <v>195</v>
      </c>
      <c r="F597" s="40" t="s">
        <v>200</v>
      </c>
      <c r="G597" s="41" t="s">
        <v>13</v>
      </c>
      <c r="H597" s="42">
        <v>12186.0</v>
      </c>
      <c r="I597" s="43">
        <v>95.6835713</v>
      </c>
      <c r="J597" s="42">
        <v>21413.0</v>
      </c>
      <c r="K597" s="43">
        <v>98.44954</v>
      </c>
    </row>
    <row r="598" ht="15.0" hidden="1" customHeight="1">
      <c r="A598" s="7"/>
      <c r="B598" s="39">
        <v>591.0</v>
      </c>
      <c r="C598" s="40" t="s">
        <v>19</v>
      </c>
      <c r="D598" s="40" t="s">
        <v>160</v>
      </c>
      <c r="E598" s="40" t="s">
        <v>195</v>
      </c>
      <c r="F598" s="40" t="s">
        <v>200</v>
      </c>
      <c r="G598" s="41" t="s">
        <v>14</v>
      </c>
      <c r="H598" s="42">
        <v>32788.0</v>
      </c>
      <c r="I598" s="43">
        <v>39.5998536</v>
      </c>
      <c r="J598" s="42">
        <v>40849.0</v>
      </c>
      <c r="K598" s="43">
        <v>68.6454993</v>
      </c>
    </row>
    <row r="599" ht="15.0" customHeight="1">
      <c r="A599" s="7"/>
      <c r="B599" s="44">
        <v>592.0</v>
      </c>
      <c r="C599" s="45" t="s">
        <v>19</v>
      </c>
      <c r="D599" s="50" t="s">
        <v>160</v>
      </c>
      <c r="E599" s="50" t="s">
        <v>195</v>
      </c>
      <c r="F599" s="50" t="s">
        <v>201</v>
      </c>
      <c r="G599" s="51" t="s">
        <v>201</v>
      </c>
      <c r="H599" s="46">
        <v>29114.0</v>
      </c>
      <c r="I599" s="47">
        <v>59.5830185</v>
      </c>
      <c r="J599" s="46">
        <v>43375.0</v>
      </c>
      <c r="K599" s="47">
        <v>78.9740634</v>
      </c>
    </row>
    <row r="600" ht="15.0" hidden="1" customHeight="1">
      <c r="A600" s="7"/>
      <c r="B600" s="39">
        <v>593.0</v>
      </c>
      <c r="C600" s="40" t="s">
        <v>19</v>
      </c>
      <c r="D600" s="40" t="s">
        <v>160</v>
      </c>
      <c r="E600" s="40" t="s">
        <v>195</v>
      </c>
      <c r="F600" s="40" t="s">
        <v>201</v>
      </c>
      <c r="G600" s="41" t="s">
        <v>13</v>
      </c>
      <c r="H600" s="42">
        <v>12775.0</v>
      </c>
      <c r="I600" s="43">
        <v>92.665362</v>
      </c>
      <c r="J600" s="42">
        <v>27016.0</v>
      </c>
      <c r="K600" s="43">
        <v>98.7970092</v>
      </c>
    </row>
    <row r="601" ht="15.0" hidden="1" customHeight="1">
      <c r="A601" s="7"/>
      <c r="B601" s="39">
        <v>594.0</v>
      </c>
      <c r="C601" s="40" t="s">
        <v>19</v>
      </c>
      <c r="D601" s="40" t="s">
        <v>160</v>
      </c>
      <c r="E601" s="40" t="s">
        <v>195</v>
      </c>
      <c r="F601" s="40" t="s">
        <v>201</v>
      </c>
      <c r="G601" s="41" t="s">
        <v>14</v>
      </c>
      <c r="H601" s="42">
        <v>16339.0</v>
      </c>
      <c r="I601" s="43">
        <v>33.7168737</v>
      </c>
      <c r="J601" s="42">
        <v>16359.0</v>
      </c>
      <c r="K601" s="43">
        <v>46.2375451</v>
      </c>
    </row>
    <row r="602" ht="15.0" hidden="1" customHeight="1">
      <c r="A602" s="7"/>
      <c r="B602" s="35">
        <v>595.0</v>
      </c>
      <c r="C602" s="36" t="s">
        <v>17</v>
      </c>
      <c r="D602" s="49" t="s">
        <v>160</v>
      </c>
      <c r="E602" s="49" t="s">
        <v>202</v>
      </c>
      <c r="F602" s="49"/>
      <c r="G602" s="36" t="s">
        <v>202</v>
      </c>
      <c r="H602" s="37">
        <v>35291.0</v>
      </c>
      <c r="I602" s="38">
        <v>24.5303335</v>
      </c>
      <c r="J602" s="37">
        <v>36055.0</v>
      </c>
      <c r="K602" s="38">
        <v>39.2899737</v>
      </c>
    </row>
    <row r="603" ht="15.0" hidden="1" customHeight="1">
      <c r="A603" s="7"/>
      <c r="B603" s="39">
        <v>596.0</v>
      </c>
      <c r="C603" s="40" t="s">
        <v>17</v>
      </c>
      <c r="D603" s="40" t="s">
        <v>160</v>
      </c>
      <c r="E603" s="40" t="s">
        <v>202</v>
      </c>
      <c r="F603" s="40"/>
      <c r="G603" s="41" t="s">
        <v>13</v>
      </c>
      <c r="H603" s="42">
        <v>3237.0</v>
      </c>
      <c r="I603" s="43">
        <v>89.5891257</v>
      </c>
      <c r="J603" s="42">
        <v>5882.0</v>
      </c>
      <c r="K603" s="43">
        <v>94.2706562</v>
      </c>
    </row>
    <row r="604" ht="15.0" hidden="1" customHeight="1">
      <c r="A604" s="7"/>
      <c r="B604" s="39">
        <v>597.0</v>
      </c>
      <c r="C604" s="40" t="s">
        <v>17</v>
      </c>
      <c r="D604" s="40" t="s">
        <v>160</v>
      </c>
      <c r="E604" s="40" t="s">
        <v>202</v>
      </c>
      <c r="F604" s="40"/>
      <c r="G604" s="41" t="s">
        <v>14</v>
      </c>
      <c r="H604" s="42">
        <v>32054.0</v>
      </c>
      <c r="I604" s="43">
        <v>17.960317</v>
      </c>
      <c r="J604" s="42">
        <v>30173.0</v>
      </c>
      <c r="K604" s="43">
        <v>28.571902</v>
      </c>
    </row>
    <row r="605" ht="15.0" customHeight="1">
      <c r="A605" s="7"/>
      <c r="B605" s="44">
        <v>598.0</v>
      </c>
      <c r="C605" s="45" t="s">
        <v>19</v>
      </c>
      <c r="D605" s="50" t="s">
        <v>160</v>
      </c>
      <c r="E605" s="50" t="s">
        <v>202</v>
      </c>
      <c r="F605" s="50" t="s">
        <v>202</v>
      </c>
      <c r="G605" s="51" t="s">
        <v>202</v>
      </c>
      <c r="H605" s="46">
        <v>19466.0</v>
      </c>
      <c r="I605" s="47">
        <v>39.7564985</v>
      </c>
      <c r="J605" s="46">
        <v>19421.0</v>
      </c>
      <c r="K605" s="47">
        <v>61.4077545</v>
      </c>
    </row>
    <row r="606" ht="15.0" hidden="1" customHeight="1">
      <c r="A606" s="7"/>
      <c r="B606" s="39">
        <v>599.0</v>
      </c>
      <c r="C606" s="40" t="s">
        <v>19</v>
      </c>
      <c r="D606" s="40" t="s">
        <v>160</v>
      </c>
      <c r="E606" s="40" t="s">
        <v>202</v>
      </c>
      <c r="F606" s="40" t="s">
        <v>202</v>
      </c>
      <c r="G606" s="41" t="s">
        <v>13</v>
      </c>
      <c r="H606" s="42">
        <v>3237.0</v>
      </c>
      <c r="I606" s="43">
        <v>89.5891257</v>
      </c>
      <c r="J606" s="42">
        <v>5882.0</v>
      </c>
      <c r="K606" s="43">
        <v>94.2706562</v>
      </c>
    </row>
    <row r="607" ht="15.0" hidden="1" customHeight="1">
      <c r="A607" s="7"/>
      <c r="B607" s="39">
        <v>600.0</v>
      </c>
      <c r="C607" s="40" t="s">
        <v>19</v>
      </c>
      <c r="D607" s="40" t="s">
        <v>160</v>
      </c>
      <c r="E607" s="40" t="s">
        <v>202</v>
      </c>
      <c r="F607" s="40" t="s">
        <v>202</v>
      </c>
      <c r="G607" s="41" t="s">
        <v>14</v>
      </c>
      <c r="H607" s="42">
        <v>16229.0</v>
      </c>
      <c r="I607" s="43">
        <v>29.8169943</v>
      </c>
      <c r="J607" s="42">
        <v>13539.0</v>
      </c>
      <c r="K607" s="43">
        <v>47.1305119</v>
      </c>
    </row>
    <row r="608" ht="15.0" customHeight="1">
      <c r="A608" s="7"/>
      <c r="B608" s="44">
        <v>601.0</v>
      </c>
      <c r="C608" s="45" t="s">
        <v>19</v>
      </c>
      <c r="D608" s="50" t="s">
        <v>160</v>
      </c>
      <c r="E608" s="50" t="s">
        <v>202</v>
      </c>
      <c r="F608" s="50" t="s">
        <v>203</v>
      </c>
      <c r="G608" s="51" t="s">
        <v>203</v>
      </c>
      <c r="H608" s="46">
        <v>5399.0</v>
      </c>
      <c r="I608" s="47">
        <v>7.9644379</v>
      </c>
      <c r="J608" s="46">
        <v>5169.0</v>
      </c>
      <c r="K608" s="47">
        <v>16.734378</v>
      </c>
    </row>
    <row r="609" ht="15.0" hidden="1" customHeight="1">
      <c r="A609" s="7"/>
      <c r="B609" s="39">
        <v>602.0</v>
      </c>
      <c r="C609" s="40" t="s">
        <v>19</v>
      </c>
      <c r="D609" s="40" t="s">
        <v>160</v>
      </c>
      <c r="E609" s="40" t="s">
        <v>202</v>
      </c>
      <c r="F609" s="40" t="s">
        <v>203</v>
      </c>
      <c r="G609" s="41" t="s">
        <v>13</v>
      </c>
      <c r="H609" s="42"/>
      <c r="I609" s="43"/>
      <c r="J609" s="42"/>
      <c r="K609" s="43"/>
    </row>
    <row r="610" ht="15.0" hidden="1" customHeight="1">
      <c r="A610" s="7"/>
      <c r="B610" s="39">
        <v>603.0</v>
      </c>
      <c r="C610" s="40" t="s">
        <v>19</v>
      </c>
      <c r="D610" s="40" t="s">
        <v>160</v>
      </c>
      <c r="E610" s="40" t="s">
        <v>202</v>
      </c>
      <c r="F610" s="40" t="s">
        <v>203</v>
      </c>
      <c r="G610" s="41" t="s">
        <v>14</v>
      </c>
      <c r="H610" s="42">
        <v>5399.0</v>
      </c>
      <c r="I610" s="43">
        <v>7.9644379</v>
      </c>
      <c r="J610" s="42">
        <v>5169.0</v>
      </c>
      <c r="K610" s="43">
        <v>16.734378</v>
      </c>
    </row>
    <row r="611" ht="15.0" customHeight="1">
      <c r="A611" s="7"/>
      <c r="B611" s="44">
        <v>604.0</v>
      </c>
      <c r="C611" s="45" t="s">
        <v>19</v>
      </c>
      <c r="D611" s="50" t="s">
        <v>160</v>
      </c>
      <c r="E611" s="50" t="s">
        <v>202</v>
      </c>
      <c r="F611" s="50" t="s">
        <v>204</v>
      </c>
      <c r="G611" s="51" t="s">
        <v>204</v>
      </c>
      <c r="H611" s="46">
        <v>3415.0</v>
      </c>
      <c r="I611" s="47">
        <v>4.1288433</v>
      </c>
      <c r="J611" s="46">
        <v>3473.0</v>
      </c>
      <c r="K611" s="47">
        <v>14.1376332</v>
      </c>
    </row>
    <row r="612" ht="15.0" hidden="1" customHeight="1">
      <c r="A612" s="7"/>
      <c r="B612" s="39">
        <v>605.0</v>
      </c>
      <c r="C612" s="40" t="s">
        <v>19</v>
      </c>
      <c r="D612" s="40" t="s">
        <v>160</v>
      </c>
      <c r="E612" s="40" t="s">
        <v>202</v>
      </c>
      <c r="F612" s="40" t="s">
        <v>204</v>
      </c>
      <c r="G612" s="41" t="s">
        <v>13</v>
      </c>
      <c r="H612" s="42"/>
      <c r="I612" s="43"/>
      <c r="J612" s="42"/>
      <c r="K612" s="43"/>
    </row>
    <row r="613" ht="15.0" hidden="1" customHeight="1">
      <c r="A613" s="7"/>
      <c r="B613" s="39">
        <v>606.0</v>
      </c>
      <c r="C613" s="40" t="s">
        <v>19</v>
      </c>
      <c r="D613" s="40" t="s">
        <v>160</v>
      </c>
      <c r="E613" s="40" t="s">
        <v>202</v>
      </c>
      <c r="F613" s="40" t="s">
        <v>204</v>
      </c>
      <c r="G613" s="41" t="s">
        <v>14</v>
      </c>
      <c r="H613" s="42">
        <v>3415.0</v>
      </c>
      <c r="I613" s="43">
        <v>4.1288433</v>
      </c>
      <c r="J613" s="42">
        <v>3473.0</v>
      </c>
      <c r="K613" s="43">
        <v>14.1376332</v>
      </c>
    </row>
    <row r="614" ht="15.0" customHeight="1">
      <c r="A614" s="7"/>
      <c r="B614" s="44">
        <v>607.0</v>
      </c>
      <c r="C614" s="45" t="s">
        <v>19</v>
      </c>
      <c r="D614" s="50" t="s">
        <v>160</v>
      </c>
      <c r="E614" s="50" t="s">
        <v>202</v>
      </c>
      <c r="F614" s="50" t="s">
        <v>205</v>
      </c>
      <c r="G614" s="51" t="s">
        <v>205</v>
      </c>
      <c r="H614" s="46">
        <v>7011.0</v>
      </c>
      <c r="I614" s="47">
        <v>4.9493653</v>
      </c>
      <c r="J614" s="46">
        <v>7992.0</v>
      </c>
      <c r="K614" s="47">
        <v>11.0610611</v>
      </c>
    </row>
    <row r="615" ht="15.0" hidden="1" customHeight="1">
      <c r="A615" s="7"/>
      <c r="B615" s="39">
        <v>608.0</v>
      </c>
      <c r="C615" s="40" t="s">
        <v>19</v>
      </c>
      <c r="D615" s="40" t="s">
        <v>160</v>
      </c>
      <c r="E615" s="40" t="s">
        <v>202</v>
      </c>
      <c r="F615" s="40" t="s">
        <v>205</v>
      </c>
      <c r="G615" s="41" t="s">
        <v>13</v>
      </c>
      <c r="H615" s="42"/>
      <c r="I615" s="43"/>
      <c r="J615" s="42"/>
      <c r="K615" s="43"/>
    </row>
    <row r="616" ht="15.0" hidden="1" customHeight="1">
      <c r="A616" s="7"/>
      <c r="B616" s="39">
        <v>609.0</v>
      </c>
      <c r="C616" s="40" t="s">
        <v>19</v>
      </c>
      <c r="D616" s="40" t="s">
        <v>160</v>
      </c>
      <c r="E616" s="40" t="s">
        <v>202</v>
      </c>
      <c r="F616" s="40" t="s">
        <v>205</v>
      </c>
      <c r="G616" s="41" t="s">
        <v>14</v>
      </c>
      <c r="H616" s="42">
        <v>7011.0</v>
      </c>
      <c r="I616" s="43">
        <v>4.9493653</v>
      </c>
      <c r="J616" s="42">
        <v>7992.0</v>
      </c>
      <c r="K616" s="43">
        <v>11.0610611</v>
      </c>
    </row>
    <row r="617" ht="15.0" hidden="1" customHeight="1">
      <c r="A617" s="7"/>
      <c r="B617" s="35">
        <v>610.0</v>
      </c>
      <c r="C617" s="36" t="s">
        <v>17</v>
      </c>
      <c r="D617" s="49" t="s">
        <v>160</v>
      </c>
      <c r="E617" s="49" t="s">
        <v>206</v>
      </c>
      <c r="F617" s="49"/>
      <c r="G617" s="36" t="s">
        <v>206</v>
      </c>
      <c r="H617" s="37">
        <v>53975.0</v>
      </c>
      <c r="I617" s="38">
        <v>80.7855489</v>
      </c>
      <c r="J617" s="37">
        <v>60934.0</v>
      </c>
      <c r="K617" s="38">
        <v>91.2758066</v>
      </c>
    </row>
    <row r="618" ht="15.0" hidden="1" customHeight="1">
      <c r="A618" s="7"/>
      <c r="B618" s="39">
        <v>611.0</v>
      </c>
      <c r="C618" s="40" t="s">
        <v>17</v>
      </c>
      <c r="D618" s="40" t="s">
        <v>160</v>
      </c>
      <c r="E618" s="40" t="s">
        <v>206</v>
      </c>
      <c r="F618" s="40"/>
      <c r="G618" s="41" t="s">
        <v>13</v>
      </c>
      <c r="H618" s="42">
        <v>27757.0</v>
      </c>
      <c r="I618" s="43">
        <v>94.3077422</v>
      </c>
      <c r="J618" s="42">
        <v>36764.0</v>
      </c>
      <c r="K618" s="43">
        <v>97.7559569</v>
      </c>
    </row>
    <row r="619" ht="15.0" hidden="1" customHeight="1">
      <c r="A619" s="7"/>
      <c r="B619" s="39">
        <v>612.0</v>
      </c>
      <c r="C619" s="40" t="s">
        <v>17</v>
      </c>
      <c r="D619" s="40" t="s">
        <v>160</v>
      </c>
      <c r="E619" s="40" t="s">
        <v>206</v>
      </c>
      <c r="F619" s="40"/>
      <c r="G619" s="41" t="s">
        <v>14</v>
      </c>
      <c r="H619" s="42">
        <v>26218.0</v>
      </c>
      <c r="I619" s="43">
        <v>66.469601</v>
      </c>
      <c r="J619" s="42">
        <v>24170.0</v>
      </c>
      <c r="K619" s="43">
        <v>81.4191146</v>
      </c>
    </row>
    <row r="620" ht="15.0" customHeight="1">
      <c r="A620" s="7"/>
      <c r="B620" s="44">
        <v>613.0</v>
      </c>
      <c r="C620" s="45" t="s">
        <v>19</v>
      </c>
      <c r="D620" s="50" t="s">
        <v>160</v>
      </c>
      <c r="E620" s="50" t="s">
        <v>206</v>
      </c>
      <c r="F620" s="50" t="s">
        <v>206</v>
      </c>
      <c r="G620" s="51" t="s">
        <v>206</v>
      </c>
      <c r="H620" s="46">
        <v>28564.0</v>
      </c>
      <c r="I620" s="47">
        <v>91.4857863</v>
      </c>
      <c r="J620" s="46">
        <v>34432.0</v>
      </c>
      <c r="K620" s="47">
        <v>97.2438429</v>
      </c>
    </row>
    <row r="621" ht="15.0" hidden="1" customHeight="1">
      <c r="A621" s="7"/>
      <c r="B621" s="39">
        <v>614.0</v>
      </c>
      <c r="C621" s="40" t="s">
        <v>19</v>
      </c>
      <c r="D621" s="40" t="s">
        <v>160</v>
      </c>
      <c r="E621" s="40" t="s">
        <v>206</v>
      </c>
      <c r="F621" s="40" t="s">
        <v>206</v>
      </c>
      <c r="G621" s="41" t="s">
        <v>13</v>
      </c>
      <c r="H621" s="42">
        <v>19352.0</v>
      </c>
      <c r="I621" s="43">
        <v>96.7083506</v>
      </c>
      <c r="J621" s="42">
        <v>25990.0</v>
      </c>
      <c r="K621" s="43">
        <v>98.3147364</v>
      </c>
    </row>
    <row r="622" ht="15.0" hidden="1" customHeight="1">
      <c r="A622" s="7"/>
      <c r="B622" s="39">
        <v>615.0</v>
      </c>
      <c r="C622" s="40" t="s">
        <v>19</v>
      </c>
      <c r="D622" s="40" t="s">
        <v>160</v>
      </c>
      <c r="E622" s="40" t="s">
        <v>206</v>
      </c>
      <c r="F622" s="40" t="s">
        <v>206</v>
      </c>
      <c r="G622" s="41" t="s">
        <v>14</v>
      </c>
      <c r="H622" s="42">
        <v>9212.0</v>
      </c>
      <c r="I622" s="43">
        <v>80.5145462</v>
      </c>
      <c r="J622" s="42">
        <v>8442.0</v>
      </c>
      <c r="K622" s="43">
        <v>93.946932</v>
      </c>
    </row>
    <row r="623" ht="15.0" customHeight="1">
      <c r="A623" s="7"/>
      <c r="B623" s="44">
        <v>616.0</v>
      </c>
      <c r="C623" s="45" t="s">
        <v>19</v>
      </c>
      <c r="D623" s="50" t="s">
        <v>160</v>
      </c>
      <c r="E623" s="50" t="s">
        <v>206</v>
      </c>
      <c r="F623" s="50" t="s">
        <v>207</v>
      </c>
      <c r="G623" s="51" t="s">
        <v>207</v>
      </c>
      <c r="H623" s="46">
        <v>8060.0</v>
      </c>
      <c r="I623" s="47">
        <v>70.5831266</v>
      </c>
      <c r="J623" s="46">
        <v>8454.0</v>
      </c>
      <c r="K623" s="47">
        <v>84.8828957</v>
      </c>
    </row>
    <row r="624" ht="15.0" hidden="1" customHeight="1">
      <c r="A624" s="7"/>
      <c r="B624" s="39">
        <v>617.0</v>
      </c>
      <c r="C624" s="40" t="s">
        <v>19</v>
      </c>
      <c r="D624" s="40" t="s">
        <v>160</v>
      </c>
      <c r="E624" s="40" t="s">
        <v>206</v>
      </c>
      <c r="F624" s="40" t="s">
        <v>207</v>
      </c>
      <c r="G624" s="41" t="s">
        <v>13</v>
      </c>
      <c r="H624" s="42"/>
      <c r="I624" s="43"/>
      <c r="J624" s="42">
        <v>2609.0</v>
      </c>
      <c r="K624" s="43">
        <v>94.4806439</v>
      </c>
    </row>
    <row r="625" ht="15.0" hidden="1" customHeight="1">
      <c r="A625" s="7"/>
      <c r="B625" s="39">
        <v>618.0</v>
      </c>
      <c r="C625" s="40" t="s">
        <v>19</v>
      </c>
      <c r="D625" s="40" t="s">
        <v>160</v>
      </c>
      <c r="E625" s="40" t="s">
        <v>206</v>
      </c>
      <c r="F625" s="40" t="s">
        <v>207</v>
      </c>
      <c r="G625" s="41" t="s">
        <v>14</v>
      </c>
      <c r="H625" s="42">
        <v>8060.0</v>
      </c>
      <c r="I625" s="43">
        <v>70.5831266</v>
      </c>
      <c r="J625" s="42">
        <v>5845.0</v>
      </c>
      <c r="K625" s="43">
        <v>80.5988024</v>
      </c>
    </row>
    <row r="626" ht="15.0" customHeight="1">
      <c r="A626" s="7"/>
      <c r="B626" s="44">
        <v>619.0</v>
      </c>
      <c r="C626" s="45" t="s">
        <v>19</v>
      </c>
      <c r="D626" s="50" t="s">
        <v>160</v>
      </c>
      <c r="E626" s="50" t="s">
        <v>206</v>
      </c>
      <c r="F626" s="50" t="s">
        <v>208</v>
      </c>
      <c r="G626" s="51" t="s">
        <v>208</v>
      </c>
      <c r="H626" s="46">
        <v>13318.0</v>
      </c>
      <c r="I626" s="47">
        <v>80.9430845</v>
      </c>
      <c r="J626" s="46">
        <v>12985.0</v>
      </c>
      <c r="K626" s="47">
        <v>92.8917982</v>
      </c>
    </row>
    <row r="627" ht="15.0" hidden="1" customHeight="1">
      <c r="A627" s="7"/>
      <c r="B627" s="39">
        <v>620.0</v>
      </c>
      <c r="C627" s="40" t="s">
        <v>19</v>
      </c>
      <c r="D627" s="40" t="s">
        <v>160</v>
      </c>
      <c r="E627" s="40" t="s">
        <v>206</v>
      </c>
      <c r="F627" s="40" t="s">
        <v>208</v>
      </c>
      <c r="G627" s="41" t="s">
        <v>13</v>
      </c>
      <c r="H627" s="42">
        <v>8405.0</v>
      </c>
      <c r="I627" s="43">
        <v>88.7804878</v>
      </c>
      <c r="J627" s="42">
        <v>8165.0</v>
      </c>
      <c r="K627" s="43">
        <v>97.0238824</v>
      </c>
    </row>
    <row r="628" ht="15.0" hidden="1" customHeight="1">
      <c r="A628" s="7"/>
      <c r="B628" s="39">
        <v>621.0</v>
      </c>
      <c r="C628" s="40" t="s">
        <v>19</v>
      </c>
      <c r="D628" s="40" t="s">
        <v>160</v>
      </c>
      <c r="E628" s="40" t="s">
        <v>206</v>
      </c>
      <c r="F628" s="40" t="s">
        <v>208</v>
      </c>
      <c r="G628" s="41" t="s">
        <v>14</v>
      </c>
      <c r="H628" s="42">
        <v>4913.0</v>
      </c>
      <c r="I628" s="43">
        <v>67.5351109</v>
      </c>
      <c r="J628" s="42">
        <v>4820.0</v>
      </c>
      <c r="K628" s="43">
        <v>85.8921162</v>
      </c>
    </row>
    <row r="629" ht="15.0" customHeight="1">
      <c r="A629" s="7"/>
      <c r="B629" s="44">
        <v>622.0</v>
      </c>
      <c r="C629" s="45" t="s">
        <v>19</v>
      </c>
      <c r="D629" s="50" t="s">
        <v>160</v>
      </c>
      <c r="E629" s="50" t="s">
        <v>206</v>
      </c>
      <c r="F629" s="50" t="s">
        <v>209</v>
      </c>
      <c r="G629" s="51" t="s">
        <v>209</v>
      </c>
      <c r="H629" s="46">
        <v>1296.0</v>
      </c>
      <c r="I629" s="47">
        <v>34.6450617</v>
      </c>
      <c r="J629" s="46">
        <v>1260.0</v>
      </c>
      <c r="K629" s="47">
        <v>70.3968254</v>
      </c>
    </row>
    <row r="630" ht="15.0" hidden="1" customHeight="1">
      <c r="A630" s="7"/>
      <c r="B630" s="39">
        <v>623.0</v>
      </c>
      <c r="C630" s="40" t="s">
        <v>19</v>
      </c>
      <c r="D630" s="40" t="s">
        <v>160</v>
      </c>
      <c r="E630" s="40" t="s">
        <v>206</v>
      </c>
      <c r="F630" s="40" t="s">
        <v>209</v>
      </c>
      <c r="G630" s="41" t="s">
        <v>13</v>
      </c>
      <c r="H630" s="42"/>
      <c r="I630" s="43"/>
      <c r="J630" s="42"/>
      <c r="K630" s="43"/>
    </row>
    <row r="631" ht="15.0" hidden="1" customHeight="1">
      <c r="A631" s="7"/>
      <c r="B631" s="39">
        <v>624.0</v>
      </c>
      <c r="C631" s="40" t="s">
        <v>19</v>
      </c>
      <c r="D631" s="40" t="s">
        <v>160</v>
      </c>
      <c r="E631" s="40" t="s">
        <v>206</v>
      </c>
      <c r="F631" s="40" t="s">
        <v>209</v>
      </c>
      <c r="G631" s="41" t="s">
        <v>14</v>
      </c>
      <c r="H631" s="42">
        <v>1296.0</v>
      </c>
      <c r="I631" s="43">
        <v>34.6450617</v>
      </c>
      <c r="J631" s="42">
        <v>1260.0</v>
      </c>
      <c r="K631" s="43">
        <v>70.3968254</v>
      </c>
    </row>
    <row r="632" ht="15.0" customHeight="1">
      <c r="A632" s="7"/>
      <c r="B632" s="44">
        <v>625.0</v>
      </c>
      <c r="C632" s="45" t="s">
        <v>19</v>
      </c>
      <c r="D632" s="50" t="s">
        <v>160</v>
      </c>
      <c r="E632" s="50" t="s">
        <v>206</v>
      </c>
      <c r="F632" s="50" t="s">
        <v>210</v>
      </c>
      <c r="G632" s="51" t="s">
        <v>210</v>
      </c>
      <c r="H632" s="46">
        <v>2737.0</v>
      </c>
      <c r="I632" s="47">
        <v>20.2411399</v>
      </c>
      <c r="J632" s="46">
        <v>3803.0</v>
      </c>
      <c r="K632" s="47">
        <v>52.8530108</v>
      </c>
    </row>
    <row r="633" ht="15.0" hidden="1" customHeight="1">
      <c r="A633" s="7"/>
      <c r="B633" s="39">
        <v>626.0</v>
      </c>
      <c r="C633" s="40" t="s">
        <v>19</v>
      </c>
      <c r="D633" s="40" t="s">
        <v>160</v>
      </c>
      <c r="E633" s="40" t="s">
        <v>206</v>
      </c>
      <c r="F633" s="40" t="s">
        <v>210</v>
      </c>
      <c r="G633" s="41" t="s">
        <v>13</v>
      </c>
      <c r="H633" s="42"/>
      <c r="I633" s="43"/>
      <c r="J633" s="42"/>
      <c r="K633" s="43"/>
    </row>
    <row r="634" ht="15.0" hidden="1" customHeight="1">
      <c r="A634" s="7"/>
      <c r="B634" s="39">
        <v>627.0</v>
      </c>
      <c r="C634" s="40" t="s">
        <v>19</v>
      </c>
      <c r="D634" s="40" t="s">
        <v>160</v>
      </c>
      <c r="E634" s="40" t="s">
        <v>206</v>
      </c>
      <c r="F634" s="40" t="s">
        <v>210</v>
      </c>
      <c r="G634" s="41" t="s">
        <v>14</v>
      </c>
      <c r="H634" s="42">
        <v>2737.0</v>
      </c>
      <c r="I634" s="43">
        <v>20.2411399</v>
      </c>
      <c r="J634" s="42">
        <v>3803.0</v>
      </c>
      <c r="K634" s="43">
        <v>52.8530108</v>
      </c>
    </row>
    <row r="635" ht="15.0" hidden="1" customHeight="1">
      <c r="A635" s="7"/>
      <c r="B635" s="35">
        <v>628.0</v>
      </c>
      <c r="C635" s="36" t="s">
        <v>17</v>
      </c>
      <c r="D635" s="49" t="s">
        <v>160</v>
      </c>
      <c r="E635" s="49" t="s">
        <v>211</v>
      </c>
      <c r="F635" s="49"/>
      <c r="G635" s="36" t="s">
        <v>211</v>
      </c>
      <c r="H635" s="37">
        <v>7153.0</v>
      </c>
      <c r="I635" s="38">
        <v>14.2317909</v>
      </c>
      <c r="J635" s="37">
        <v>8248.0</v>
      </c>
      <c r="K635" s="38">
        <v>20.6231814</v>
      </c>
    </row>
    <row r="636" ht="15.0" hidden="1" customHeight="1">
      <c r="A636" s="7"/>
      <c r="B636" s="39">
        <v>629.0</v>
      </c>
      <c r="C636" s="40" t="s">
        <v>17</v>
      </c>
      <c r="D636" s="40" t="s">
        <v>160</v>
      </c>
      <c r="E636" s="40" t="s">
        <v>211</v>
      </c>
      <c r="F636" s="40"/>
      <c r="G636" s="41" t="s">
        <v>13</v>
      </c>
      <c r="H636" s="42"/>
      <c r="I636" s="43"/>
      <c r="J636" s="42"/>
      <c r="K636" s="43"/>
    </row>
    <row r="637" ht="15.0" hidden="1" customHeight="1">
      <c r="A637" s="7"/>
      <c r="B637" s="39">
        <v>630.0</v>
      </c>
      <c r="C637" s="40" t="s">
        <v>17</v>
      </c>
      <c r="D637" s="40" t="s">
        <v>160</v>
      </c>
      <c r="E637" s="40" t="s">
        <v>211</v>
      </c>
      <c r="F637" s="40"/>
      <c r="G637" s="41" t="s">
        <v>14</v>
      </c>
      <c r="H637" s="42">
        <v>7153.0</v>
      </c>
      <c r="I637" s="43">
        <v>14.2317909</v>
      </c>
      <c r="J637" s="42">
        <v>8248.0</v>
      </c>
      <c r="K637" s="43">
        <v>20.6231814</v>
      </c>
    </row>
    <row r="638" ht="15.0" customHeight="1">
      <c r="A638" s="7"/>
      <c r="B638" s="44">
        <v>631.0</v>
      </c>
      <c r="C638" s="45" t="s">
        <v>19</v>
      </c>
      <c r="D638" s="50" t="s">
        <v>160</v>
      </c>
      <c r="E638" s="50" t="s">
        <v>211</v>
      </c>
      <c r="F638" s="50" t="s">
        <v>211</v>
      </c>
      <c r="G638" s="51" t="s">
        <v>211</v>
      </c>
      <c r="H638" s="46">
        <v>7153.0</v>
      </c>
      <c r="I638" s="47">
        <v>14.2317909</v>
      </c>
      <c r="J638" s="46">
        <v>8248.0</v>
      </c>
      <c r="K638" s="47">
        <v>20.6231814</v>
      </c>
    </row>
    <row r="639" ht="15.0" hidden="1" customHeight="1">
      <c r="A639" s="7"/>
      <c r="B639" s="39">
        <v>632.0</v>
      </c>
      <c r="C639" s="40" t="s">
        <v>19</v>
      </c>
      <c r="D639" s="40" t="s">
        <v>160</v>
      </c>
      <c r="E639" s="40" t="s">
        <v>211</v>
      </c>
      <c r="F639" s="40" t="s">
        <v>211</v>
      </c>
      <c r="G639" s="41" t="s">
        <v>13</v>
      </c>
      <c r="H639" s="42"/>
      <c r="I639" s="43"/>
      <c r="J639" s="42"/>
      <c r="K639" s="43"/>
    </row>
    <row r="640" ht="15.0" hidden="1" customHeight="1">
      <c r="A640" s="7"/>
      <c r="B640" s="39">
        <v>633.0</v>
      </c>
      <c r="C640" s="40" t="s">
        <v>19</v>
      </c>
      <c r="D640" s="40" t="s">
        <v>160</v>
      </c>
      <c r="E640" s="40" t="s">
        <v>211</v>
      </c>
      <c r="F640" s="40" t="s">
        <v>211</v>
      </c>
      <c r="G640" s="41" t="s">
        <v>14</v>
      </c>
      <c r="H640" s="42">
        <v>7153.0</v>
      </c>
      <c r="I640" s="43">
        <v>14.2317909</v>
      </c>
      <c r="J640" s="42">
        <v>8248.0</v>
      </c>
      <c r="K640" s="43">
        <v>20.6231814</v>
      </c>
    </row>
    <row r="641" ht="15.0" hidden="1" customHeight="1">
      <c r="A641" s="7"/>
      <c r="B641" s="35">
        <v>634.0</v>
      </c>
      <c r="C641" s="36" t="s">
        <v>17</v>
      </c>
      <c r="D641" s="49" t="s">
        <v>160</v>
      </c>
      <c r="E641" s="49" t="s">
        <v>212</v>
      </c>
      <c r="F641" s="49"/>
      <c r="G641" s="36" t="s">
        <v>212</v>
      </c>
      <c r="H641" s="37">
        <v>41138.0</v>
      </c>
      <c r="I641" s="38">
        <v>44.2656425</v>
      </c>
      <c r="J641" s="37">
        <v>44388.0</v>
      </c>
      <c r="K641" s="38">
        <v>71.7896729</v>
      </c>
    </row>
    <row r="642" ht="15.0" hidden="1" customHeight="1">
      <c r="A642" s="7"/>
      <c r="B642" s="39">
        <v>635.0</v>
      </c>
      <c r="C642" s="40" t="s">
        <v>17</v>
      </c>
      <c r="D642" s="40" t="s">
        <v>160</v>
      </c>
      <c r="E642" s="40" t="s">
        <v>212</v>
      </c>
      <c r="F642" s="40"/>
      <c r="G642" s="41" t="s">
        <v>13</v>
      </c>
      <c r="H642" s="42">
        <v>7763.0</v>
      </c>
      <c r="I642" s="43">
        <v>91.6269483</v>
      </c>
      <c r="J642" s="42">
        <v>10769.0</v>
      </c>
      <c r="K642" s="43">
        <v>98.7742594</v>
      </c>
    </row>
    <row r="643" ht="15.0" hidden="1" customHeight="1">
      <c r="A643" s="7"/>
      <c r="B643" s="39">
        <v>636.0</v>
      </c>
      <c r="C643" s="40" t="s">
        <v>17</v>
      </c>
      <c r="D643" s="40" t="s">
        <v>160</v>
      </c>
      <c r="E643" s="40" t="s">
        <v>212</v>
      </c>
      <c r="F643" s="40"/>
      <c r="G643" s="41" t="s">
        <v>14</v>
      </c>
      <c r="H643" s="42">
        <v>33375.0</v>
      </c>
      <c r="I643" s="43">
        <v>33.2494382</v>
      </c>
      <c r="J643" s="42">
        <v>33619.0</v>
      </c>
      <c r="K643" s="43">
        <v>63.1458401</v>
      </c>
    </row>
    <row r="644" ht="15.0" customHeight="1">
      <c r="A644" s="7"/>
      <c r="B644" s="44">
        <v>637.0</v>
      </c>
      <c r="C644" s="45" t="s">
        <v>19</v>
      </c>
      <c r="D644" s="50" t="s">
        <v>160</v>
      </c>
      <c r="E644" s="50" t="s">
        <v>212</v>
      </c>
      <c r="F644" s="50" t="s">
        <v>212</v>
      </c>
      <c r="G644" s="51" t="s">
        <v>212</v>
      </c>
      <c r="H644" s="46">
        <v>21025.0</v>
      </c>
      <c r="I644" s="47">
        <v>30.5445898</v>
      </c>
      <c r="J644" s="46">
        <v>18306.0</v>
      </c>
      <c r="K644" s="47">
        <v>59.8328417</v>
      </c>
    </row>
    <row r="645" ht="15.0" hidden="1" customHeight="1">
      <c r="A645" s="7"/>
      <c r="B645" s="39">
        <v>638.0</v>
      </c>
      <c r="C645" s="40" t="s">
        <v>19</v>
      </c>
      <c r="D645" s="40" t="s">
        <v>160</v>
      </c>
      <c r="E645" s="40" t="s">
        <v>212</v>
      </c>
      <c r="F645" s="40" t="s">
        <v>212</v>
      </c>
      <c r="G645" s="41" t="s">
        <v>13</v>
      </c>
      <c r="H645" s="42">
        <v>2260.0</v>
      </c>
      <c r="I645" s="43">
        <v>75.7522124</v>
      </c>
      <c r="J645" s="42">
        <v>2535.0</v>
      </c>
      <c r="K645" s="43">
        <v>97.8303748</v>
      </c>
    </row>
    <row r="646" ht="15.0" hidden="1" customHeight="1">
      <c r="A646" s="7"/>
      <c r="B646" s="39">
        <v>639.0</v>
      </c>
      <c r="C646" s="40" t="s">
        <v>19</v>
      </c>
      <c r="D646" s="40" t="s">
        <v>160</v>
      </c>
      <c r="E646" s="40" t="s">
        <v>212</v>
      </c>
      <c r="F646" s="40" t="s">
        <v>212</v>
      </c>
      <c r="G646" s="41" t="s">
        <v>14</v>
      </c>
      <c r="H646" s="42">
        <v>18765.0</v>
      </c>
      <c r="I646" s="43">
        <v>25.0999201</v>
      </c>
      <c r="J646" s="42">
        <v>15771.0</v>
      </c>
      <c r="K646" s="43">
        <v>53.7251918</v>
      </c>
    </row>
    <row r="647" ht="15.0" customHeight="1">
      <c r="A647" s="7"/>
      <c r="B647" s="44">
        <v>640.0</v>
      </c>
      <c r="C647" s="45" t="s">
        <v>19</v>
      </c>
      <c r="D647" s="50" t="s">
        <v>160</v>
      </c>
      <c r="E647" s="50" t="s">
        <v>212</v>
      </c>
      <c r="F647" s="50" t="s">
        <v>213</v>
      </c>
      <c r="G647" s="51" t="s">
        <v>213</v>
      </c>
      <c r="H647" s="46">
        <v>20113.0</v>
      </c>
      <c r="I647" s="47">
        <v>58.6088599</v>
      </c>
      <c r="J647" s="46">
        <v>26082.0</v>
      </c>
      <c r="K647" s="47">
        <v>80.1817345</v>
      </c>
    </row>
    <row r="648" ht="15.0" hidden="1" customHeight="1">
      <c r="A648" s="7"/>
      <c r="B648" s="39">
        <v>641.0</v>
      </c>
      <c r="C648" s="40" t="s">
        <v>19</v>
      </c>
      <c r="D648" s="40" t="s">
        <v>160</v>
      </c>
      <c r="E648" s="40" t="s">
        <v>212</v>
      </c>
      <c r="F648" s="40" t="s">
        <v>213</v>
      </c>
      <c r="G648" s="41" t="s">
        <v>13</v>
      </c>
      <c r="H648" s="42">
        <v>5503.0</v>
      </c>
      <c r="I648" s="43">
        <v>98.1464656</v>
      </c>
      <c r="J648" s="42">
        <v>8234.0</v>
      </c>
      <c r="K648" s="43">
        <v>99.064853</v>
      </c>
    </row>
    <row r="649" ht="15.0" hidden="1" customHeight="1">
      <c r="A649" s="7"/>
      <c r="B649" s="39">
        <v>642.0</v>
      </c>
      <c r="C649" s="40" t="s">
        <v>19</v>
      </c>
      <c r="D649" s="40" t="s">
        <v>160</v>
      </c>
      <c r="E649" s="40" t="s">
        <v>212</v>
      </c>
      <c r="F649" s="40" t="s">
        <v>213</v>
      </c>
      <c r="G649" s="41" t="s">
        <v>14</v>
      </c>
      <c r="H649" s="42">
        <v>14610.0</v>
      </c>
      <c r="I649" s="43">
        <v>43.7166324</v>
      </c>
      <c r="J649" s="42">
        <v>17848.0</v>
      </c>
      <c r="K649" s="43">
        <v>71.4701927</v>
      </c>
    </row>
    <row r="650" ht="15.0" hidden="1" customHeight="1">
      <c r="A650" s="7"/>
      <c r="B650" s="27">
        <v>643.0</v>
      </c>
      <c r="C650" s="28" t="s">
        <v>15</v>
      </c>
      <c r="D650" s="28" t="s">
        <v>214</v>
      </c>
      <c r="E650" s="28"/>
      <c r="F650" s="28"/>
      <c r="G650" s="28" t="s">
        <v>214</v>
      </c>
      <c r="H650" s="29">
        <v>483358.0</v>
      </c>
      <c r="I650" s="30">
        <v>74.1756628</v>
      </c>
      <c r="J650" s="29">
        <v>557463.0</v>
      </c>
      <c r="K650" s="30">
        <v>81.8355658</v>
      </c>
    </row>
    <row r="651" ht="15.0" hidden="1" customHeight="1">
      <c r="A651" s="7"/>
      <c r="B651" s="31">
        <v>644.0</v>
      </c>
      <c r="C651" s="32" t="s">
        <v>15</v>
      </c>
      <c r="D651" s="48" t="s">
        <v>214</v>
      </c>
      <c r="E651" s="48"/>
      <c r="F651" s="48"/>
      <c r="G651" s="32" t="s">
        <v>13</v>
      </c>
      <c r="H651" s="33">
        <v>308608.0</v>
      </c>
      <c r="I651" s="34">
        <v>99.1795417</v>
      </c>
      <c r="J651" s="33">
        <v>347621.0</v>
      </c>
      <c r="K651" s="34">
        <v>99.4235101</v>
      </c>
    </row>
    <row r="652" ht="15.0" hidden="1" customHeight="1">
      <c r="A652" s="7"/>
      <c r="B652" s="31">
        <v>645.0</v>
      </c>
      <c r="C652" s="32" t="s">
        <v>15</v>
      </c>
      <c r="D652" s="48" t="s">
        <v>214</v>
      </c>
      <c r="E652" s="48"/>
      <c r="F652" s="48"/>
      <c r="G652" s="32" t="s">
        <v>14</v>
      </c>
      <c r="H652" s="33">
        <v>174750.0</v>
      </c>
      <c r="I652" s="34">
        <v>30.0188841</v>
      </c>
      <c r="J652" s="33">
        <v>209842.0</v>
      </c>
      <c r="K652" s="34">
        <v>52.6996502</v>
      </c>
    </row>
    <row r="653" ht="15.0" hidden="1" customHeight="1">
      <c r="A653" s="7"/>
      <c r="B653" s="35">
        <v>646.0</v>
      </c>
      <c r="C653" s="36" t="s">
        <v>17</v>
      </c>
      <c r="D653" s="49" t="s">
        <v>214</v>
      </c>
      <c r="E653" s="49" t="s">
        <v>161</v>
      </c>
      <c r="F653" s="49"/>
      <c r="G653" s="36" t="s">
        <v>161</v>
      </c>
      <c r="H653" s="37">
        <v>302978.0</v>
      </c>
      <c r="I653" s="38">
        <v>90.8953785</v>
      </c>
      <c r="J653" s="37">
        <v>337637.0</v>
      </c>
      <c r="K653" s="38">
        <v>94.6815663</v>
      </c>
    </row>
    <row r="654" ht="15.0" hidden="1" customHeight="1">
      <c r="A654" s="7"/>
      <c r="B654" s="39">
        <v>647.0</v>
      </c>
      <c r="C654" s="40" t="s">
        <v>17</v>
      </c>
      <c r="D654" s="40" t="s">
        <v>214</v>
      </c>
      <c r="E654" s="40" t="s">
        <v>161</v>
      </c>
      <c r="F654" s="40"/>
      <c r="G654" s="41" t="s">
        <v>13</v>
      </c>
      <c r="H654" s="42">
        <v>263961.0</v>
      </c>
      <c r="I654" s="43">
        <v>99.3771807</v>
      </c>
      <c r="J654" s="42">
        <v>296975.0</v>
      </c>
      <c r="K654" s="43">
        <v>99.5999663</v>
      </c>
    </row>
    <row r="655" ht="15.0" hidden="1" customHeight="1">
      <c r="A655" s="7"/>
      <c r="B655" s="39">
        <v>648.0</v>
      </c>
      <c r="C655" s="40" t="s">
        <v>17</v>
      </c>
      <c r="D655" s="40" t="s">
        <v>214</v>
      </c>
      <c r="E655" s="40" t="s">
        <v>161</v>
      </c>
      <c r="F655" s="40"/>
      <c r="G655" s="41" t="s">
        <v>14</v>
      </c>
      <c r="H655" s="42">
        <v>39017.0</v>
      </c>
      <c r="I655" s="43">
        <v>33.5135966</v>
      </c>
      <c r="J655" s="42">
        <v>40662.0</v>
      </c>
      <c r="K655" s="43">
        <v>58.7600216</v>
      </c>
    </row>
    <row r="656" ht="15.0" customHeight="1">
      <c r="A656" s="7"/>
      <c r="B656" s="44">
        <v>649.0</v>
      </c>
      <c r="C656" s="45" t="s">
        <v>19</v>
      </c>
      <c r="D656" s="50" t="s">
        <v>214</v>
      </c>
      <c r="E656" s="50" t="s">
        <v>161</v>
      </c>
      <c r="F656" s="50" t="s">
        <v>214</v>
      </c>
      <c r="G656" s="51" t="s">
        <v>214</v>
      </c>
      <c r="H656" s="46">
        <v>258733.0</v>
      </c>
      <c r="I656" s="47">
        <v>99.3854669</v>
      </c>
      <c r="J656" s="46">
        <v>289903.0</v>
      </c>
      <c r="K656" s="47">
        <v>99.7181816</v>
      </c>
    </row>
    <row r="657" ht="15.0" hidden="1" customHeight="1">
      <c r="A657" s="7"/>
      <c r="B657" s="39">
        <v>650.0</v>
      </c>
      <c r="C657" s="40" t="s">
        <v>19</v>
      </c>
      <c r="D657" s="40" t="s">
        <v>214</v>
      </c>
      <c r="E657" s="40" t="s">
        <v>161</v>
      </c>
      <c r="F657" s="40" t="s">
        <v>214</v>
      </c>
      <c r="G657" s="41" t="s">
        <v>13</v>
      </c>
      <c r="H657" s="42">
        <v>258733.0</v>
      </c>
      <c r="I657" s="43">
        <v>99.3854669</v>
      </c>
      <c r="J657" s="42">
        <v>289811.0</v>
      </c>
      <c r="K657" s="43">
        <v>99.7253382</v>
      </c>
    </row>
    <row r="658" ht="15.0" hidden="1" customHeight="1">
      <c r="A658" s="7"/>
      <c r="B658" s="39">
        <v>651.0</v>
      </c>
      <c r="C658" s="40" t="s">
        <v>19</v>
      </c>
      <c r="D658" s="40" t="s">
        <v>214</v>
      </c>
      <c r="E658" s="40" t="s">
        <v>161</v>
      </c>
      <c r="F658" s="40" t="s">
        <v>214</v>
      </c>
      <c r="G658" s="41" t="s">
        <v>14</v>
      </c>
      <c r="H658" s="42"/>
      <c r="I658" s="43"/>
      <c r="J658" s="42">
        <v>92.0</v>
      </c>
      <c r="K658" s="43">
        <v>77.173913</v>
      </c>
    </row>
    <row r="659" ht="15.0" customHeight="1">
      <c r="A659" s="7"/>
      <c r="B659" s="44">
        <v>652.0</v>
      </c>
      <c r="C659" s="45" t="s">
        <v>19</v>
      </c>
      <c r="D659" s="50" t="s">
        <v>214</v>
      </c>
      <c r="E659" s="50" t="s">
        <v>161</v>
      </c>
      <c r="F659" s="50" t="s">
        <v>215</v>
      </c>
      <c r="G659" s="51" t="s">
        <v>215</v>
      </c>
      <c r="H659" s="46">
        <v>22841.0</v>
      </c>
      <c r="I659" s="47">
        <v>47.8394116</v>
      </c>
      <c r="J659" s="46">
        <v>22245.0</v>
      </c>
      <c r="K659" s="47">
        <v>70.0966509</v>
      </c>
    </row>
    <row r="660" ht="15.0" hidden="1" customHeight="1">
      <c r="A660" s="7"/>
      <c r="B660" s="39">
        <v>653.0</v>
      </c>
      <c r="C660" s="40" t="s">
        <v>19</v>
      </c>
      <c r="D660" s="40" t="s">
        <v>214</v>
      </c>
      <c r="E660" s="40" t="s">
        <v>161</v>
      </c>
      <c r="F660" s="40" t="s">
        <v>215</v>
      </c>
      <c r="G660" s="41" t="s">
        <v>13</v>
      </c>
      <c r="H660" s="42">
        <v>5228.0</v>
      </c>
      <c r="I660" s="43">
        <v>98.9671002</v>
      </c>
      <c r="J660" s="42">
        <v>7164.0</v>
      </c>
      <c r="K660" s="43">
        <v>94.5281965</v>
      </c>
    </row>
    <row r="661" ht="15.0" hidden="1" customHeight="1">
      <c r="A661" s="7"/>
      <c r="B661" s="39">
        <v>654.0</v>
      </c>
      <c r="C661" s="40" t="s">
        <v>19</v>
      </c>
      <c r="D661" s="40" t="s">
        <v>214</v>
      </c>
      <c r="E661" s="40" t="s">
        <v>161</v>
      </c>
      <c r="F661" s="40" t="s">
        <v>215</v>
      </c>
      <c r="G661" s="41" t="s">
        <v>14</v>
      </c>
      <c r="H661" s="42">
        <v>17613.0</v>
      </c>
      <c r="I661" s="43">
        <v>32.6633736</v>
      </c>
      <c r="J661" s="42">
        <v>15081.0</v>
      </c>
      <c r="K661" s="43">
        <v>58.4908163</v>
      </c>
    </row>
    <row r="662" ht="15.0" customHeight="1">
      <c r="A662" s="7"/>
      <c r="B662" s="44">
        <v>655.0</v>
      </c>
      <c r="C662" s="45" t="s">
        <v>19</v>
      </c>
      <c r="D662" s="50" t="s">
        <v>214</v>
      </c>
      <c r="E662" s="50" t="s">
        <v>161</v>
      </c>
      <c r="F662" s="50" t="s">
        <v>216</v>
      </c>
      <c r="G662" s="51" t="s">
        <v>216</v>
      </c>
      <c r="H662" s="46">
        <v>8658.0</v>
      </c>
      <c r="I662" s="47">
        <v>11.018711</v>
      </c>
      <c r="J662" s="46">
        <v>9891.0</v>
      </c>
      <c r="K662" s="47">
        <v>34.8397533</v>
      </c>
    </row>
    <row r="663" ht="15.0" hidden="1" customHeight="1">
      <c r="A663" s="7"/>
      <c r="B663" s="39">
        <v>656.0</v>
      </c>
      <c r="C663" s="40" t="s">
        <v>19</v>
      </c>
      <c r="D663" s="40" t="s">
        <v>214</v>
      </c>
      <c r="E663" s="40" t="s">
        <v>161</v>
      </c>
      <c r="F663" s="40" t="s">
        <v>216</v>
      </c>
      <c r="G663" s="41" t="s">
        <v>13</v>
      </c>
      <c r="H663" s="42"/>
      <c r="I663" s="43"/>
      <c r="J663" s="42"/>
      <c r="K663" s="43"/>
    </row>
    <row r="664" ht="15.0" hidden="1" customHeight="1">
      <c r="A664" s="7"/>
      <c r="B664" s="39">
        <v>657.0</v>
      </c>
      <c r="C664" s="40" t="s">
        <v>19</v>
      </c>
      <c r="D664" s="40" t="s">
        <v>214</v>
      </c>
      <c r="E664" s="40" t="s">
        <v>161</v>
      </c>
      <c r="F664" s="40" t="s">
        <v>216</v>
      </c>
      <c r="G664" s="41" t="s">
        <v>14</v>
      </c>
      <c r="H664" s="42">
        <v>8658.0</v>
      </c>
      <c r="I664" s="43">
        <v>11.018711</v>
      </c>
      <c r="J664" s="42">
        <v>9891.0</v>
      </c>
      <c r="K664" s="43">
        <v>34.8397533</v>
      </c>
    </row>
    <row r="665" ht="15.0" customHeight="1">
      <c r="A665" s="7"/>
      <c r="B665" s="44">
        <v>658.0</v>
      </c>
      <c r="C665" s="45" t="s">
        <v>19</v>
      </c>
      <c r="D665" s="50" t="s">
        <v>214</v>
      </c>
      <c r="E665" s="50" t="s">
        <v>161</v>
      </c>
      <c r="F665" s="50" t="s">
        <v>217</v>
      </c>
      <c r="G665" s="51" t="s">
        <v>217</v>
      </c>
      <c r="H665" s="46">
        <v>12746.0</v>
      </c>
      <c r="I665" s="47">
        <v>49.9686176</v>
      </c>
      <c r="J665" s="46">
        <v>15598.0</v>
      </c>
      <c r="K665" s="47">
        <v>74.0800103</v>
      </c>
    </row>
    <row r="666" ht="15.0" hidden="1" customHeight="1">
      <c r="A666" s="7"/>
      <c r="B666" s="39">
        <v>659.0</v>
      </c>
      <c r="C666" s="40" t="s">
        <v>19</v>
      </c>
      <c r="D666" s="40" t="s">
        <v>214</v>
      </c>
      <c r="E666" s="40" t="s">
        <v>161</v>
      </c>
      <c r="F666" s="40" t="s">
        <v>217</v>
      </c>
      <c r="G666" s="41" t="s">
        <v>13</v>
      </c>
      <c r="H666" s="42"/>
      <c r="I666" s="43"/>
      <c r="J666" s="42"/>
      <c r="K666" s="43"/>
    </row>
    <row r="667" ht="15.0" hidden="1" customHeight="1">
      <c r="A667" s="7"/>
      <c r="B667" s="39">
        <v>660.0</v>
      </c>
      <c r="C667" s="40" t="s">
        <v>19</v>
      </c>
      <c r="D667" s="40" t="s">
        <v>214</v>
      </c>
      <c r="E667" s="40" t="s">
        <v>161</v>
      </c>
      <c r="F667" s="40" t="s">
        <v>217</v>
      </c>
      <c r="G667" s="41" t="s">
        <v>14</v>
      </c>
      <c r="H667" s="42">
        <v>12746.0</v>
      </c>
      <c r="I667" s="43">
        <v>49.9686176</v>
      </c>
      <c r="J667" s="42">
        <v>15598.0</v>
      </c>
      <c r="K667" s="43">
        <v>74.0800103</v>
      </c>
    </row>
    <row r="668" ht="15.0" hidden="1" customHeight="1">
      <c r="A668" s="7"/>
      <c r="B668" s="35">
        <v>661.0</v>
      </c>
      <c r="C668" s="36" t="s">
        <v>17</v>
      </c>
      <c r="D668" s="49" t="s">
        <v>214</v>
      </c>
      <c r="E668" s="49" t="s">
        <v>218</v>
      </c>
      <c r="F668" s="49"/>
      <c r="G668" s="36" t="s">
        <v>218</v>
      </c>
      <c r="H668" s="37">
        <v>31937.0</v>
      </c>
      <c r="I668" s="38">
        <v>52.3749883</v>
      </c>
      <c r="J668" s="37">
        <v>39895.0</v>
      </c>
      <c r="K668" s="38">
        <v>62.4915403</v>
      </c>
    </row>
    <row r="669" ht="15.0" hidden="1" customHeight="1">
      <c r="A669" s="7"/>
      <c r="B669" s="39">
        <v>662.0</v>
      </c>
      <c r="C669" s="40" t="s">
        <v>17</v>
      </c>
      <c r="D669" s="40" t="s">
        <v>214</v>
      </c>
      <c r="E669" s="40" t="s">
        <v>218</v>
      </c>
      <c r="F669" s="40"/>
      <c r="G669" s="41" t="s">
        <v>13</v>
      </c>
      <c r="H669" s="42">
        <v>11867.0</v>
      </c>
      <c r="I669" s="43">
        <v>96.4017865</v>
      </c>
      <c r="J669" s="42">
        <v>12429.0</v>
      </c>
      <c r="K669" s="43">
        <v>99.4850752</v>
      </c>
    </row>
    <row r="670" ht="15.0" hidden="1" customHeight="1">
      <c r="A670" s="7"/>
      <c r="B670" s="39">
        <v>663.0</v>
      </c>
      <c r="C670" s="40" t="s">
        <v>17</v>
      </c>
      <c r="D670" s="40" t="s">
        <v>214</v>
      </c>
      <c r="E670" s="40" t="s">
        <v>218</v>
      </c>
      <c r="F670" s="40"/>
      <c r="G670" s="41" t="s">
        <v>14</v>
      </c>
      <c r="H670" s="42">
        <v>20070.0</v>
      </c>
      <c r="I670" s="43">
        <v>26.3428002</v>
      </c>
      <c r="J670" s="42">
        <v>27466.0</v>
      </c>
      <c r="K670" s="43">
        <v>45.7511105</v>
      </c>
    </row>
    <row r="671" ht="15.0" customHeight="1">
      <c r="A671" s="7"/>
      <c r="B671" s="44">
        <v>664.0</v>
      </c>
      <c r="C671" s="45" t="s">
        <v>19</v>
      </c>
      <c r="D671" s="50" t="s">
        <v>214</v>
      </c>
      <c r="E671" s="50" t="s">
        <v>218</v>
      </c>
      <c r="F671" s="50" t="s">
        <v>219</v>
      </c>
      <c r="G671" s="51" t="s">
        <v>219</v>
      </c>
      <c r="H671" s="46">
        <v>27986.0</v>
      </c>
      <c r="I671" s="47">
        <v>53.205174</v>
      </c>
      <c r="J671" s="46">
        <v>34774.0</v>
      </c>
      <c r="K671" s="47">
        <v>62.5237246</v>
      </c>
    </row>
    <row r="672" ht="15.0" hidden="1" customHeight="1">
      <c r="A672" s="7"/>
      <c r="B672" s="39">
        <v>665.0</v>
      </c>
      <c r="C672" s="40" t="s">
        <v>19</v>
      </c>
      <c r="D672" s="40" t="s">
        <v>214</v>
      </c>
      <c r="E672" s="40" t="s">
        <v>218</v>
      </c>
      <c r="F672" s="40" t="s">
        <v>219</v>
      </c>
      <c r="G672" s="41" t="s">
        <v>13</v>
      </c>
      <c r="H672" s="42">
        <v>11867.0</v>
      </c>
      <c r="I672" s="43">
        <v>96.4017865</v>
      </c>
      <c r="J672" s="42">
        <v>12429.0</v>
      </c>
      <c r="K672" s="43">
        <v>99.4850752</v>
      </c>
    </row>
    <row r="673" ht="15.0" hidden="1" customHeight="1">
      <c r="A673" s="7"/>
      <c r="B673" s="39">
        <v>666.0</v>
      </c>
      <c r="C673" s="40" t="s">
        <v>19</v>
      </c>
      <c r="D673" s="40" t="s">
        <v>214</v>
      </c>
      <c r="E673" s="40" t="s">
        <v>218</v>
      </c>
      <c r="F673" s="40" t="s">
        <v>219</v>
      </c>
      <c r="G673" s="41" t="s">
        <v>14</v>
      </c>
      <c r="H673" s="42">
        <v>16119.0</v>
      </c>
      <c r="I673" s="43">
        <v>21.4033129</v>
      </c>
      <c r="J673" s="42">
        <v>22345.0</v>
      </c>
      <c r="K673" s="43">
        <v>41.9646453</v>
      </c>
    </row>
    <row r="674" ht="15.0" customHeight="1">
      <c r="A674" s="7"/>
      <c r="B674" s="44">
        <v>667.0</v>
      </c>
      <c r="C674" s="45" t="s">
        <v>19</v>
      </c>
      <c r="D674" s="50" t="s">
        <v>214</v>
      </c>
      <c r="E674" s="50" t="s">
        <v>218</v>
      </c>
      <c r="F674" s="50" t="s">
        <v>220</v>
      </c>
      <c r="G674" s="51" t="s">
        <v>220</v>
      </c>
      <c r="H674" s="46">
        <v>3951.0</v>
      </c>
      <c r="I674" s="47">
        <v>46.4945583</v>
      </c>
      <c r="J674" s="46">
        <v>5121.0</v>
      </c>
      <c r="K674" s="47">
        <v>62.2729936</v>
      </c>
    </row>
    <row r="675" ht="15.0" hidden="1" customHeight="1">
      <c r="A675" s="7"/>
      <c r="B675" s="39">
        <v>668.0</v>
      </c>
      <c r="C675" s="40" t="s">
        <v>19</v>
      </c>
      <c r="D675" s="40" t="s">
        <v>214</v>
      </c>
      <c r="E675" s="40" t="s">
        <v>218</v>
      </c>
      <c r="F675" s="40" t="s">
        <v>220</v>
      </c>
      <c r="G675" s="41" t="s">
        <v>13</v>
      </c>
      <c r="H675" s="42"/>
      <c r="I675" s="43"/>
      <c r="J675" s="42"/>
      <c r="K675" s="43"/>
    </row>
    <row r="676" ht="15.0" hidden="1" customHeight="1">
      <c r="A676" s="7"/>
      <c r="B676" s="39">
        <v>669.0</v>
      </c>
      <c r="C676" s="40" t="s">
        <v>19</v>
      </c>
      <c r="D676" s="40" t="s">
        <v>214</v>
      </c>
      <c r="E676" s="40" t="s">
        <v>218</v>
      </c>
      <c r="F676" s="40" t="s">
        <v>220</v>
      </c>
      <c r="G676" s="41" t="s">
        <v>14</v>
      </c>
      <c r="H676" s="42">
        <v>3951.0</v>
      </c>
      <c r="I676" s="43">
        <v>46.4945583</v>
      </c>
      <c r="J676" s="42">
        <v>5121.0</v>
      </c>
      <c r="K676" s="43">
        <v>62.2729936</v>
      </c>
    </row>
    <row r="677" ht="15.0" hidden="1" customHeight="1">
      <c r="A677" s="7"/>
      <c r="B677" s="35">
        <v>670.0</v>
      </c>
      <c r="C677" s="36" t="s">
        <v>17</v>
      </c>
      <c r="D677" s="49" t="s">
        <v>214</v>
      </c>
      <c r="E677" s="49" t="s">
        <v>221</v>
      </c>
      <c r="F677" s="49"/>
      <c r="G677" s="36" t="s">
        <v>221</v>
      </c>
      <c r="H677" s="37">
        <v>10765.0</v>
      </c>
      <c r="I677" s="38">
        <v>14.1384115</v>
      </c>
      <c r="J677" s="37">
        <v>18359.0</v>
      </c>
      <c r="K677" s="38">
        <v>32.7686693</v>
      </c>
    </row>
    <row r="678" ht="15.0" hidden="1" customHeight="1">
      <c r="A678" s="7"/>
      <c r="B678" s="39">
        <v>671.0</v>
      </c>
      <c r="C678" s="40" t="s">
        <v>17</v>
      </c>
      <c r="D678" s="40" t="s">
        <v>214</v>
      </c>
      <c r="E678" s="40" t="s">
        <v>221</v>
      </c>
      <c r="F678" s="40"/>
      <c r="G678" s="41" t="s">
        <v>13</v>
      </c>
      <c r="H678" s="42"/>
      <c r="I678" s="43"/>
      <c r="J678" s="42"/>
      <c r="K678" s="43"/>
    </row>
    <row r="679" ht="15.0" hidden="1" customHeight="1">
      <c r="A679" s="7"/>
      <c r="B679" s="39">
        <v>672.0</v>
      </c>
      <c r="C679" s="40" t="s">
        <v>17</v>
      </c>
      <c r="D679" s="40" t="s">
        <v>214</v>
      </c>
      <c r="E679" s="40" t="s">
        <v>221</v>
      </c>
      <c r="F679" s="40"/>
      <c r="G679" s="41" t="s">
        <v>14</v>
      </c>
      <c r="H679" s="42">
        <v>10765.0</v>
      </c>
      <c r="I679" s="43">
        <v>14.1384115</v>
      </c>
      <c r="J679" s="42">
        <v>18359.0</v>
      </c>
      <c r="K679" s="43">
        <v>32.7686693</v>
      </c>
    </row>
    <row r="680" ht="15.0" customHeight="1">
      <c r="A680" s="7"/>
      <c r="B680" s="44">
        <v>673.0</v>
      </c>
      <c r="C680" s="45" t="s">
        <v>19</v>
      </c>
      <c r="D680" s="50" t="s">
        <v>214</v>
      </c>
      <c r="E680" s="50" t="s">
        <v>221</v>
      </c>
      <c r="F680" s="50" t="s">
        <v>222</v>
      </c>
      <c r="G680" s="51" t="s">
        <v>222</v>
      </c>
      <c r="H680" s="46">
        <v>8953.0</v>
      </c>
      <c r="I680" s="47">
        <v>14.4755948</v>
      </c>
      <c r="J680" s="46">
        <v>15863.0</v>
      </c>
      <c r="K680" s="47">
        <v>33.0643636</v>
      </c>
    </row>
    <row r="681" ht="15.0" hidden="1" customHeight="1">
      <c r="A681" s="7"/>
      <c r="B681" s="39">
        <v>674.0</v>
      </c>
      <c r="C681" s="40" t="s">
        <v>19</v>
      </c>
      <c r="D681" s="40" t="s">
        <v>214</v>
      </c>
      <c r="E681" s="40" t="s">
        <v>221</v>
      </c>
      <c r="F681" s="40" t="s">
        <v>222</v>
      </c>
      <c r="G681" s="41" t="s">
        <v>13</v>
      </c>
      <c r="H681" s="42"/>
      <c r="I681" s="43"/>
      <c r="J681" s="42"/>
      <c r="K681" s="43"/>
    </row>
    <row r="682" ht="15.0" hidden="1" customHeight="1">
      <c r="A682" s="7"/>
      <c r="B682" s="39">
        <v>675.0</v>
      </c>
      <c r="C682" s="40" t="s">
        <v>19</v>
      </c>
      <c r="D682" s="40" t="s">
        <v>214</v>
      </c>
      <c r="E682" s="40" t="s">
        <v>221</v>
      </c>
      <c r="F682" s="40" t="s">
        <v>222</v>
      </c>
      <c r="G682" s="41" t="s">
        <v>14</v>
      </c>
      <c r="H682" s="42">
        <v>8953.0</v>
      </c>
      <c r="I682" s="43">
        <v>14.4755948</v>
      </c>
      <c r="J682" s="42">
        <v>15863.0</v>
      </c>
      <c r="K682" s="43">
        <v>33.0643636</v>
      </c>
    </row>
    <row r="683" ht="15.0" customHeight="1">
      <c r="A683" s="7"/>
      <c r="B683" s="44">
        <v>676.0</v>
      </c>
      <c r="C683" s="45" t="s">
        <v>19</v>
      </c>
      <c r="D683" s="50" t="s">
        <v>214</v>
      </c>
      <c r="E683" s="50" t="s">
        <v>221</v>
      </c>
      <c r="F683" s="50" t="s">
        <v>223</v>
      </c>
      <c r="G683" s="51" t="s">
        <v>223</v>
      </c>
      <c r="H683" s="46">
        <v>1812.0</v>
      </c>
      <c r="I683" s="47">
        <v>12.4724062</v>
      </c>
      <c r="J683" s="46">
        <v>2496.0</v>
      </c>
      <c r="K683" s="47">
        <v>30.8894231</v>
      </c>
    </row>
    <row r="684" ht="15.0" hidden="1" customHeight="1">
      <c r="A684" s="7"/>
      <c r="B684" s="39">
        <v>677.0</v>
      </c>
      <c r="C684" s="40" t="s">
        <v>19</v>
      </c>
      <c r="D684" s="40" t="s">
        <v>214</v>
      </c>
      <c r="E684" s="40" t="s">
        <v>221</v>
      </c>
      <c r="F684" s="40" t="s">
        <v>223</v>
      </c>
      <c r="G684" s="41" t="s">
        <v>13</v>
      </c>
      <c r="H684" s="42"/>
      <c r="I684" s="43"/>
      <c r="J684" s="42"/>
      <c r="K684" s="43"/>
    </row>
    <row r="685" ht="15.0" hidden="1" customHeight="1">
      <c r="A685" s="7"/>
      <c r="B685" s="39">
        <v>678.0</v>
      </c>
      <c r="C685" s="40" t="s">
        <v>19</v>
      </c>
      <c r="D685" s="40" t="s">
        <v>214</v>
      </c>
      <c r="E685" s="40" t="s">
        <v>221</v>
      </c>
      <c r="F685" s="40" t="s">
        <v>223</v>
      </c>
      <c r="G685" s="41" t="s">
        <v>14</v>
      </c>
      <c r="H685" s="42">
        <v>1812.0</v>
      </c>
      <c r="I685" s="43">
        <v>12.4724062</v>
      </c>
      <c r="J685" s="42">
        <v>2496.0</v>
      </c>
      <c r="K685" s="43">
        <v>30.8894231</v>
      </c>
    </row>
    <row r="686" ht="15.0" hidden="1" customHeight="1">
      <c r="A686" s="7"/>
      <c r="B686" s="35">
        <v>679.0</v>
      </c>
      <c r="C686" s="36" t="s">
        <v>17</v>
      </c>
      <c r="D686" s="49" t="s">
        <v>214</v>
      </c>
      <c r="E686" s="49" t="s">
        <v>224</v>
      </c>
      <c r="F686" s="49"/>
      <c r="G686" s="36" t="s">
        <v>224</v>
      </c>
      <c r="H686" s="37">
        <v>9032.0</v>
      </c>
      <c r="I686" s="38">
        <v>30.6908769</v>
      </c>
      <c r="J686" s="37">
        <v>11907.0</v>
      </c>
      <c r="K686" s="38">
        <v>33.9800118</v>
      </c>
    </row>
    <row r="687" ht="15.0" hidden="1" customHeight="1">
      <c r="A687" s="7"/>
      <c r="B687" s="39">
        <v>680.0</v>
      </c>
      <c r="C687" s="40" t="s">
        <v>17</v>
      </c>
      <c r="D687" s="40" t="s">
        <v>214</v>
      </c>
      <c r="E687" s="40" t="s">
        <v>224</v>
      </c>
      <c r="F687" s="40"/>
      <c r="G687" s="41" t="s">
        <v>13</v>
      </c>
      <c r="H687" s="42"/>
      <c r="I687" s="43"/>
      <c r="J687" s="42"/>
      <c r="K687" s="43"/>
    </row>
    <row r="688" ht="15.0" hidden="1" customHeight="1">
      <c r="A688" s="7"/>
      <c r="B688" s="39">
        <v>681.0</v>
      </c>
      <c r="C688" s="40" t="s">
        <v>17</v>
      </c>
      <c r="D688" s="40" t="s">
        <v>214</v>
      </c>
      <c r="E688" s="40" t="s">
        <v>224</v>
      </c>
      <c r="F688" s="40"/>
      <c r="G688" s="41" t="s">
        <v>14</v>
      </c>
      <c r="H688" s="42">
        <v>9032.0</v>
      </c>
      <c r="I688" s="43">
        <v>30.6908769</v>
      </c>
      <c r="J688" s="42">
        <v>11907.0</v>
      </c>
      <c r="K688" s="43">
        <v>33.9800118</v>
      </c>
    </row>
    <row r="689" ht="15.0" customHeight="1">
      <c r="A689" s="7"/>
      <c r="B689" s="44">
        <v>682.0</v>
      </c>
      <c r="C689" s="45" t="s">
        <v>19</v>
      </c>
      <c r="D689" s="50" t="s">
        <v>214</v>
      </c>
      <c r="E689" s="50" t="s">
        <v>224</v>
      </c>
      <c r="F689" s="50" t="s">
        <v>225</v>
      </c>
      <c r="G689" s="51" t="s">
        <v>225</v>
      </c>
      <c r="H689" s="46">
        <v>3907.0</v>
      </c>
      <c r="I689" s="47">
        <v>40.3890453</v>
      </c>
      <c r="J689" s="46">
        <v>6348.0</v>
      </c>
      <c r="K689" s="47">
        <v>34.8141147</v>
      </c>
    </row>
    <row r="690" ht="15.0" hidden="1" customHeight="1">
      <c r="A690" s="7"/>
      <c r="B690" s="39">
        <v>683.0</v>
      </c>
      <c r="C690" s="40" t="s">
        <v>19</v>
      </c>
      <c r="D690" s="40" t="s">
        <v>214</v>
      </c>
      <c r="E690" s="40" t="s">
        <v>224</v>
      </c>
      <c r="F690" s="40" t="s">
        <v>225</v>
      </c>
      <c r="G690" s="41" t="s">
        <v>13</v>
      </c>
      <c r="H690" s="42"/>
      <c r="I690" s="43"/>
      <c r="J690" s="42"/>
      <c r="K690" s="43"/>
    </row>
    <row r="691" ht="15.0" hidden="1" customHeight="1">
      <c r="A691" s="7"/>
      <c r="B691" s="39">
        <v>684.0</v>
      </c>
      <c r="C691" s="40" t="s">
        <v>19</v>
      </c>
      <c r="D691" s="40" t="s">
        <v>214</v>
      </c>
      <c r="E691" s="40" t="s">
        <v>224</v>
      </c>
      <c r="F691" s="40" t="s">
        <v>225</v>
      </c>
      <c r="G691" s="41" t="s">
        <v>14</v>
      </c>
      <c r="H691" s="42">
        <v>3907.0</v>
      </c>
      <c r="I691" s="43">
        <v>40.3890453</v>
      </c>
      <c r="J691" s="42">
        <v>6348.0</v>
      </c>
      <c r="K691" s="43">
        <v>34.8141147</v>
      </c>
    </row>
    <row r="692" ht="15.0" customHeight="1">
      <c r="A692" s="7"/>
      <c r="B692" s="44">
        <v>685.0</v>
      </c>
      <c r="C692" s="45" t="s">
        <v>19</v>
      </c>
      <c r="D692" s="50" t="s">
        <v>214</v>
      </c>
      <c r="E692" s="50" t="s">
        <v>224</v>
      </c>
      <c r="F692" s="50" t="s">
        <v>226</v>
      </c>
      <c r="G692" s="51" t="s">
        <v>226</v>
      </c>
      <c r="H692" s="46">
        <v>5125.0</v>
      </c>
      <c r="I692" s="47">
        <v>23.297561</v>
      </c>
      <c r="J692" s="46">
        <v>5559.0</v>
      </c>
      <c r="K692" s="47">
        <v>33.0275229</v>
      </c>
    </row>
    <row r="693" ht="15.0" hidden="1" customHeight="1">
      <c r="A693" s="7"/>
      <c r="B693" s="39">
        <v>686.0</v>
      </c>
      <c r="C693" s="40" t="s">
        <v>19</v>
      </c>
      <c r="D693" s="40" t="s">
        <v>214</v>
      </c>
      <c r="E693" s="40" t="s">
        <v>224</v>
      </c>
      <c r="F693" s="40" t="s">
        <v>226</v>
      </c>
      <c r="G693" s="41" t="s">
        <v>13</v>
      </c>
      <c r="H693" s="42"/>
      <c r="I693" s="43"/>
      <c r="J693" s="42"/>
      <c r="K693" s="43"/>
    </row>
    <row r="694" ht="15.0" hidden="1" customHeight="1">
      <c r="A694" s="7"/>
      <c r="B694" s="39">
        <v>687.0</v>
      </c>
      <c r="C694" s="40" t="s">
        <v>19</v>
      </c>
      <c r="D694" s="40" t="s">
        <v>214</v>
      </c>
      <c r="E694" s="40" t="s">
        <v>224</v>
      </c>
      <c r="F694" s="40" t="s">
        <v>226</v>
      </c>
      <c r="G694" s="41" t="s">
        <v>14</v>
      </c>
      <c r="H694" s="42">
        <v>5125.0</v>
      </c>
      <c r="I694" s="43">
        <v>23.297561</v>
      </c>
      <c r="J694" s="42">
        <v>5559.0</v>
      </c>
      <c r="K694" s="43">
        <v>33.0275229</v>
      </c>
    </row>
    <row r="695" ht="15.0" hidden="1" customHeight="1">
      <c r="A695" s="7"/>
      <c r="B695" s="35">
        <v>688.0</v>
      </c>
      <c r="C695" s="36" t="s">
        <v>17</v>
      </c>
      <c r="D695" s="49" t="s">
        <v>214</v>
      </c>
      <c r="E695" s="49" t="s">
        <v>227</v>
      </c>
      <c r="F695" s="49"/>
      <c r="G695" s="36" t="s">
        <v>227</v>
      </c>
      <c r="H695" s="37">
        <v>9981.0</v>
      </c>
      <c r="I695" s="38">
        <v>29.1754333</v>
      </c>
      <c r="J695" s="37">
        <v>14114.0</v>
      </c>
      <c r="K695" s="38">
        <v>79.6301545</v>
      </c>
    </row>
    <row r="696" ht="15.0" hidden="1" customHeight="1">
      <c r="A696" s="7"/>
      <c r="B696" s="39">
        <v>689.0</v>
      </c>
      <c r="C696" s="40" t="s">
        <v>17</v>
      </c>
      <c r="D696" s="40" t="s">
        <v>214</v>
      </c>
      <c r="E696" s="40" t="s">
        <v>227</v>
      </c>
      <c r="F696" s="40"/>
      <c r="G696" s="41" t="s">
        <v>13</v>
      </c>
      <c r="H696" s="42"/>
      <c r="I696" s="43"/>
      <c r="J696" s="42">
        <v>6181.0</v>
      </c>
      <c r="K696" s="43">
        <v>91.1826565</v>
      </c>
    </row>
    <row r="697" ht="15.0" hidden="1" customHeight="1">
      <c r="A697" s="7"/>
      <c r="B697" s="39">
        <v>690.0</v>
      </c>
      <c r="C697" s="40" t="s">
        <v>17</v>
      </c>
      <c r="D697" s="40" t="s">
        <v>214</v>
      </c>
      <c r="E697" s="40" t="s">
        <v>227</v>
      </c>
      <c r="F697" s="40"/>
      <c r="G697" s="41" t="s">
        <v>14</v>
      </c>
      <c r="H697" s="42">
        <v>9981.0</v>
      </c>
      <c r="I697" s="43">
        <v>29.1754333</v>
      </c>
      <c r="J697" s="42">
        <v>7933.0</v>
      </c>
      <c r="K697" s="43">
        <v>70.629018</v>
      </c>
    </row>
    <row r="698" ht="15.0" customHeight="1">
      <c r="A698" s="7"/>
      <c r="B698" s="44">
        <v>691.0</v>
      </c>
      <c r="C698" s="45" t="s">
        <v>19</v>
      </c>
      <c r="D698" s="50" t="s">
        <v>214</v>
      </c>
      <c r="E698" s="50" t="s">
        <v>227</v>
      </c>
      <c r="F698" s="50" t="s">
        <v>228</v>
      </c>
      <c r="G698" s="51" t="s">
        <v>228</v>
      </c>
      <c r="H698" s="46">
        <v>646.0</v>
      </c>
      <c r="I698" s="47">
        <v>94.1176471</v>
      </c>
      <c r="J698" s="46">
        <v>3778.0</v>
      </c>
      <c r="K698" s="47">
        <v>97.2736898</v>
      </c>
    </row>
    <row r="699" ht="15.0" hidden="1" customHeight="1">
      <c r="A699" s="7"/>
      <c r="B699" s="39">
        <v>692.0</v>
      </c>
      <c r="C699" s="40" t="s">
        <v>19</v>
      </c>
      <c r="D699" s="40" t="s">
        <v>214</v>
      </c>
      <c r="E699" s="40" t="s">
        <v>227</v>
      </c>
      <c r="F699" s="40" t="s">
        <v>228</v>
      </c>
      <c r="G699" s="41" t="s">
        <v>13</v>
      </c>
      <c r="H699" s="42"/>
      <c r="I699" s="43"/>
      <c r="J699" s="42">
        <v>3644.0</v>
      </c>
      <c r="K699" s="43">
        <v>97.7222832</v>
      </c>
    </row>
    <row r="700" ht="15.0" hidden="1" customHeight="1">
      <c r="A700" s="7"/>
      <c r="B700" s="39">
        <v>693.0</v>
      </c>
      <c r="C700" s="40" t="s">
        <v>19</v>
      </c>
      <c r="D700" s="40" t="s">
        <v>214</v>
      </c>
      <c r="E700" s="40" t="s">
        <v>227</v>
      </c>
      <c r="F700" s="40" t="s">
        <v>228</v>
      </c>
      <c r="G700" s="41" t="s">
        <v>14</v>
      </c>
      <c r="H700" s="42">
        <v>646.0</v>
      </c>
      <c r="I700" s="43">
        <v>94.1176471</v>
      </c>
      <c r="J700" s="42">
        <v>134.0</v>
      </c>
      <c r="K700" s="43">
        <v>85.0746269</v>
      </c>
    </row>
    <row r="701" ht="15.0" customHeight="1">
      <c r="A701" s="7"/>
      <c r="B701" s="44">
        <v>694.0</v>
      </c>
      <c r="C701" s="45" t="s">
        <v>19</v>
      </c>
      <c r="D701" s="50" t="s">
        <v>214</v>
      </c>
      <c r="E701" s="50" t="s">
        <v>227</v>
      </c>
      <c r="F701" s="50" t="s">
        <v>229</v>
      </c>
      <c r="G701" s="51" t="s">
        <v>229</v>
      </c>
      <c r="H701" s="46">
        <v>4193.0</v>
      </c>
      <c r="I701" s="47">
        <v>14.5480563</v>
      </c>
      <c r="J701" s="46">
        <v>4130.0</v>
      </c>
      <c r="K701" s="47">
        <v>67.9418886</v>
      </c>
    </row>
    <row r="702" ht="15.0" hidden="1" customHeight="1">
      <c r="A702" s="7"/>
      <c r="B702" s="39">
        <v>695.0</v>
      </c>
      <c r="C702" s="40" t="s">
        <v>19</v>
      </c>
      <c r="D702" s="40" t="s">
        <v>214</v>
      </c>
      <c r="E702" s="40" t="s">
        <v>227</v>
      </c>
      <c r="F702" s="40" t="s">
        <v>229</v>
      </c>
      <c r="G702" s="41" t="s">
        <v>13</v>
      </c>
      <c r="H702" s="42"/>
      <c r="I702" s="43"/>
      <c r="J702" s="42">
        <v>2537.0</v>
      </c>
      <c r="K702" s="43">
        <v>81.7895152</v>
      </c>
    </row>
    <row r="703" ht="15.0" hidden="1" customHeight="1">
      <c r="A703" s="7"/>
      <c r="B703" s="39">
        <v>696.0</v>
      </c>
      <c r="C703" s="40" t="s">
        <v>19</v>
      </c>
      <c r="D703" s="40" t="s">
        <v>214</v>
      </c>
      <c r="E703" s="40" t="s">
        <v>227</v>
      </c>
      <c r="F703" s="40" t="s">
        <v>229</v>
      </c>
      <c r="G703" s="41" t="s">
        <v>14</v>
      </c>
      <c r="H703" s="42">
        <v>4193.0</v>
      </c>
      <c r="I703" s="43">
        <v>14.5480563</v>
      </c>
      <c r="J703" s="42">
        <v>1593.0</v>
      </c>
      <c r="K703" s="43">
        <v>45.8882611</v>
      </c>
    </row>
    <row r="704" ht="15.0" customHeight="1">
      <c r="A704" s="7"/>
      <c r="B704" s="44">
        <v>697.0</v>
      </c>
      <c r="C704" s="45" t="s">
        <v>19</v>
      </c>
      <c r="D704" s="50" t="s">
        <v>214</v>
      </c>
      <c r="E704" s="50" t="s">
        <v>227</v>
      </c>
      <c r="F704" s="50" t="s">
        <v>230</v>
      </c>
      <c r="G704" s="51" t="s">
        <v>230</v>
      </c>
      <c r="H704" s="46">
        <v>1941.0</v>
      </c>
      <c r="I704" s="47">
        <v>25.2962391</v>
      </c>
      <c r="J704" s="46">
        <v>1491.0</v>
      </c>
      <c r="K704" s="47">
        <v>78.4708249</v>
      </c>
    </row>
    <row r="705" ht="15.0" hidden="1" customHeight="1">
      <c r="A705" s="7"/>
      <c r="B705" s="39">
        <v>698.0</v>
      </c>
      <c r="C705" s="40" t="s">
        <v>19</v>
      </c>
      <c r="D705" s="40" t="s">
        <v>214</v>
      </c>
      <c r="E705" s="40" t="s">
        <v>227</v>
      </c>
      <c r="F705" s="40" t="s">
        <v>230</v>
      </c>
      <c r="G705" s="41" t="s">
        <v>13</v>
      </c>
      <c r="H705" s="42"/>
      <c r="I705" s="43"/>
      <c r="J705" s="42"/>
      <c r="K705" s="43"/>
    </row>
    <row r="706" ht="15.0" hidden="1" customHeight="1">
      <c r="A706" s="7"/>
      <c r="B706" s="39">
        <v>699.0</v>
      </c>
      <c r="C706" s="40" t="s">
        <v>19</v>
      </c>
      <c r="D706" s="40" t="s">
        <v>214</v>
      </c>
      <c r="E706" s="40" t="s">
        <v>227</v>
      </c>
      <c r="F706" s="40" t="s">
        <v>230</v>
      </c>
      <c r="G706" s="41" t="s">
        <v>14</v>
      </c>
      <c r="H706" s="42">
        <v>1941.0</v>
      </c>
      <c r="I706" s="43">
        <v>25.2962391</v>
      </c>
      <c r="J706" s="42">
        <v>1491.0</v>
      </c>
      <c r="K706" s="43">
        <v>78.4708249</v>
      </c>
    </row>
    <row r="707" ht="15.0" customHeight="1">
      <c r="A707" s="7"/>
      <c r="B707" s="44">
        <v>700.0</v>
      </c>
      <c r="C707" s="45" t="s">
        <v>19</v>
      </c>
      <c r="D707" s="50" t="s">
        <v>214</v>
      </c>
      <c r="E707" s="50" t="s">
        <v>227</v>
      </c>
      <c r="F707" s="50" t="s">
        <v>231</v>
      </c>
      <c r="G707" s="51" t="s">
        <v>231</v>
      </c>
      <c r="H707" s="46">
        <v>513.0</v>
      </c>
      <c r="I707" s="47">
        <v>7.0175439</v>
      </c>
      <c r="J707" s="46">
        <v>872.0</v>
      </c>
      <c r="K707" s="47">
        <v>74.8853211</v>
      </c>
    </row>
    <row r="708" ht="15.0" hidden="1" customHeight="1">
      <c r="A708" s="7"/>
      <c r="B708" s="39">
        <v>701.0</v>
      </c>
      <c r="C708" s="40" t="s">
        <v>19</v>
      </c>
      <c r="D708" s="40" t="s">
        <v>214</v>
      </c>
      <c r="E708" s="40" t="s">
        <v>227</v>
      </c>
      <c r="F708" s="40" t="s">
        <v>231</v>
      </c>
      <c r="G708" s="41" t="s">
        <v>13</v>
      </c>
      <c r="H708" s="42"/>
      <c r="I708" s="43"/>
      <c r="J708" s="42"/>
      <c r="K708" s="43"/>
    </row>
    <row r="709" ht="15.0" hidden="1" customHeight="1">
      <c r="A709" s="7"/>
      <c r="B709" s="39">
        <v>702.0</v>
      </c>
      <c r="C709" s="40" t="s">
        <v>19</v>
      </c>
      <c r="D709" s="40" t="s">
        <v>214</v>
      </c>
      <c r="E709" s="40" t="s">
        <v>227</v>
      </c>
      <c r="F709" s="40" t="s">
        <v>231</v>
      </c>
      <c r="G709" s="41" t="s">
        <v>14</v>
      </c>
      <c r="H709" s="42">
        <v>513.0</v>
      </c>
      <c r="I709" s="43">
        <v>7.0175439</v>
      </c>
      <c r="J709" s="42">
        <v>872.0</v>
      </c>
      <c r="K709" s="43">
        <v>74.8853211</v>
      </c>
    </row>
    <row r="710" ht="15.0" customHeight="1">
      <c r="A710" s="7"/>
      <c r="B710" s="44">
        <v>703.0</v>
      </c>
      <c r="C710" s="45" t="s">
        <v>19</v>
      </c>
      <c r="D710" s="50" t="s">
        <v>214</v>
      </c>
      <c r="E710" s="50" t="s">
        <v>227</v>
      </c>
      <c r="F710" s="50" t="s">
        <v>232</v>
      </c>
      <c r="G710" s="51" t="s">
        <v>232</v>
      </c>
      <c r="H710" s="46">
        <v>2688.0</v>
      </c>
      <c r="I710" s="47">
        <v>43.4151786</v>
      </c>
      <c r="J710" s="46">
        <v>3843.0</v>
      </c>
      <c r="K710" s="47">
        <v>76.3726256</v>
      </c>
    </row>
    <row r="711" ht="15.0" hidden="1" customHeight="1">
      <c r="A711" s="7"/>
      <c r="B711" s="39">
        <v>704.0</v>
      </c>
      <c r="C711" s="40" t="s">
        <v>19</v>
      </c>
      <c r="D711" s="40" t="s">
        <v>214</v>
      </c>
      <c r="E711" s="40" t="s">
        <v>227</v>
      </c>
      <c r="F711" s="40" t="s">
        <v>232</v>
      </c>
      <c r="G711" s="41" t="s">
        <v>13</v>
      </c>
      <c r="H711" s="42"/>
      <c r="I711" s="43"/>
      <c r="J711" s="42"/>
      <c r="K711" s="43"/>
    </row>
    <row r="712" ht="15.0" hidden="1" customHeight="1">
      <c r="A712" s="7"/>
      <c r="B712" s="39">
        <v>705.0</v>
      </c>
      <c r="C712" s="40" t="s">
        <v>19</v>
      </c>
      <c r="D712" s="40" t="s">
        <v>214</v>
      </c>
      <c r="E712" s="40" t="s">
        <v>227</v>
      </c>
      <c r="F712" s="40" t="s">
        <v>232</v>
      </c>
      <c r="G712" s="41" t="s">
        <v>14</v>
      </c>
      <c r="H712" s="42">
        <v>2688.0</v>
      </c>
      <c r="I712" s="43">
        <v>43.4151786</v>
      </c>
      <c r="J712" s="42">
        <v>3843.0</v>
      </c>
      <c r="K712" s="43">
        <v>76.3726256</v>
      </c>
    </row>
    <row r="713" ht="15.0" hidden="1" customHeight="1">
      <c r="A713" s="7"/>
      <c r="B713" s="35">
        <v>706.0</v>
      </c>
      <c r="C713" s="36" t="s">
        <v>17</v>
      </c>
      <c r="D713" s="49" t="s">
        <v>214</v>
      </c>
      <c r="E713" s="49" t="s">
        <v>233</v>
      </c>
      <c r="F713" s="49"/>
      <c r="G713" s="36" t="s">
        <v>233</v>
      </c>
      <c r="H713" s="37">
        <v>16262.0</v>
      </c>
      <c r="I713" s="38">
        <v>63.7621449</v>
      </c>
      <c r="J713" s="37">
        <v>16686.0</v>
      </c>
      <c r="K713" s="38">
        <v>79.2460746</v>
      </c>
    </row>
    <row r="714" ht="15.0" hidden="1" customHeight="1">
      <c r="A714" s="7"/>
      <c r="B714" s="39">
        <v>707.0</v>
      </c>
      <c r="C714" s="40" t="s">
        <v>17</v>
      </c>
      <c r="D714" s="40" t="s">
        <v>214</v>
      </c>
      <c r="E714" s="40" t="s">
        <v>233</v>
      </c>
      <c r="F714" s="40"/>
      <c r="G714" s="41" t="s">
        <v>13</v>
      </c>
      <c r="H714" s="42">
        <v>3500.0</v>
      </c>
      <c r="I714" s="43">
        <v>98.5428571</v>
      </c>
      <c r="J714" s="42">
        <v>4595.0</v>
      </c>
      <c r="K714" s="43">
        <v>99.2600653</v>
      </c>
    </row>
    <row r="715" ht="15.0" hidden="1" customHeight="1">
      <c r="A715" s="7"/>
      <c r="B715" s="39">
        <v>708.0</v>
      </c>
      <c r="C715" s="40" t="s">
        <v>17</v>
      </c>
      <c r="D715" s="40" t="s">
        <v>214</v>
      </c>
      <c r="E715" s="40" t="s">
        <v>233</v>
      </c>
      <c r="F715" s="40"/>
      <c r="G715" s="41" t="s">
        <v>14</v>
      </c>
      <c r="H715" s="42">
        <v>12762.0</v>
      </c>
      <c r="I715" s="43">
        <v>54.2234759</v>
      </c>
      <c r="J715" s="42">
        <v>12091.0</v>
      </c>
      <c r="K715" s="43">
        <v>71.6400629</v>
      </c>
    </row>
    <row r="716" ht="15.0" customHeight="1">
      <c r="A716" s="7"/>
      <c r="B716" s="44">
        <v>709.0</v>
      </c>
      <c r="C716" s="45" t="s">
        <v>19</v>
      </c>
      <c r="D716" s="50" t="s">
        <v>214</v>
      </c>
      <c r="E716" s="50" t="s">
        <v>233</v>
      </c>
      <c r="F716" s="50" t="s">
        <v>233</v>
      </c>
      <c r="G716" s="51" t="s">
        <v>233</v>
      </c>
      <c r="H716" s="46">
        <v>7173.0</v>
      </c>
      <c r="I716" s="47">
        <v>58.1764952</v>
      </c>
      <c r="J716" s="46">
        <v>9040.0</v>
      </c>
      <c r="K716" s="47">
        <v>76.7035398</v>
      </c>
    </row>
    <row r="717" ht="15.0" hidden="1" customHeight="1">
      <c r="A717" s="7"/>
      <c r="B717" s="39">
        <v>710.0</v>
      </c>
      <c r="C717" s="40" t="s">
        <v>19</v>
      </c>
      <c r="D717" s="40" t="s">
        <v>214</v>
      </c>
      <c r="E717" s="40" t="s">
        <v>233</v>
      </c>
      <c r="F717" s="40" t="s">
        <v>233</v>
      </c>
      <c r="G717" s="41" t="s">
        <v>13</v>
      </c>
      <c r="H717" s="42">
        <v>3500.0</v>
      </c>
      <c r="I717" s="43">
        <v>98.5428571</v>
      </c>
      <c r="J717" s="42">
        <v>4595.0</v>
      </c>
      <c r="K717" s="43">
        <v>99.2600653</v>
      </c>
    </row>
    <row r="718" ht="15.0" hidden="1" customHeight="1">
      <c r="A718" s="7"/>
      <c r="B718" s="39">
        <v>711.0</v>
      </c>
      <c r="C718" s="40" t="s">
        <v>19</v>
      </c>
      <c r="D718" s="40" t="s">
        <v>214</v>
      </c>
      <c r="E718" s="40" t="s">
        <v>233</v>
      </c>
      <c r="F718" s="40" t="s">
        <v>233</v>
      </c>
      <c r="G718" s="41" t="s">
        <v>14</v>
      </c>
      <c r="H718" s="42">
        <v>3673.0</v>
      </c>
      <c r="I718" s="43">
        <v>19.7114076</v>
      </c>
      <c r="J718" s="42">
        <v>4445.0</v>
      </c>
      <c r="K718" s="43">
        <v>53.3858268</v>
      </c>
    </row>
    <row r="719" ht="15.0" customHeight="1">
      <c r="A719" s="7"/>
      <c r="B719" s="44">
        <v>712.0</v>
      </c>
      <c r="C719" s="45" t="s">
        <v>19</v>
      </c>
      <c r="D719" s="50" t="s">
        <v>214</v>
      </c>
      <c r="E719" s="50" t="s">
        <v>233</v>
      </c>
      <c r="F719" s="50" t="s">
        <v>234</v>
      </c>
      <c r="G719" s="51" t="s">
        <v>234</v>
      </c>
      <c r="H719" s="46">
        <v>5910.0</v>
      </c>
      <c r="I719" s="47">
        <v>69.4754653</v>
      </c>
      <c r="J719" s="46">
        <v>4129.0</v>
      </c>
      <c r="K719" s="47">
        <v>81.666263</v>
      </c>
    </row>
    <row r="720" ht="15.0" hidden="1" customHeight="1">
      <c r="A720" s="7"/>
      <c r="B720" s="39">
        <v>713.0</v>
      </c>
      <c r="C720" s="40" t="s">
        <v>19</v>
      </c>
      <c r="D720" s="40" t="s">
        <v>214</v>
      </c>
      <c r="E720" s="40" t="s">
        <v>233</v>
      </c>
      <c r="F720" s="40" t="s">
        <v>234</v>
      </c>
      <c r="G720" s="41" t="s">
        <v>13</v>
      </c>
      <c r="H720" s="42"/>
      <c r="I720" s="43"/>
      <c r="J720" s="42"/>
      <c r="K720" s="43"/>
    </row>
    <row r="721" ht="15.0" hidden="1" customHeight="1">
      <c r="A721" s="7"/>
      <c r="B721" s="39">
        <v>714.0</v>
      </c>
      <c r="C721" s="40" t="s">
        <v>19</v>
      </c>
      <c r="D721" s="40" t="s">
        <v>214</v>
      </c>
      <c r="E721" s="40" t="s">
        <v>233</v>
      </c>
      <c r="F721" s="40" t="s">
        <v>234</v>
      </c>
      <c r="G721" s="41" t="s">
        <v>14</v>
      </c>
      <c r="H721" s="42">
        <v>5910.0</v>
      </c>
      <c r="I721" s="43">
        <v>69.4754653</v>
      </c>
      <c r="J721" s="42">
        <v>4129.0</v>
      </c>
      <c r="K721" s="43">
        <v>81.666263</v>
      </c>
    </row>
    <row r="722" ht="15.0" customHeight="1">
      <c r="A722" s="7"/>
      <c r="B722" s="44">
        <v>715.0</v>
      </c>
      <c r="C722" s="45" t="s">
        <v>19</v>
      </c>
      <c r="D722" s="50" t="s">
        <v>214</v>
      </c>
      <c r="E722" s="50" t="s">
        <v>233</v>
      </c>
      <c r="F722" s="50" t="s">
        <v>235</v>
      </c>
      <c r="G722" s="51" t="s">
        <v>235</v>
      </c>
      <c r="H722" s="46">
        <v>3179.0</v>
      </c>
      <c r="I722" s="47">
        <v>65.7439446</v>
      </c>
      <c r="J722" s="46">
        <v>3517.0</v>
      </c>
      <c r="K722" s="47">
        <v>82.9400057</v>
      </c>
    </row>
    <row r="723" ht="15.0" hidden="1" customHeight="1">
      <c r="A723" s="7"/>
      <c r="B723" s="39">
        <v>716.0</v>
      </c>
      <c r="C723" s="40" t="s">
        <v>19</v>
      </c>
      <c r="D723" s="40" t="s">
        <v>214</v>
      </c>
      <c r="E723" s="40" t="s">
        <v>233</v>
      </c>
      <c r="F723" s="40" t="s">
        <v>235</v>
      </c>
      <c r="G723" s="41" t="s">
        <v>13</v>
      </c>
      <c r="H723" s="42"/>
      <c r="I723" s="43"/>
      <c r="J723" s="42"/>
      <c r="K723" s="43"/>
    </row>
    <row r="724" ht="15.0" hidden="1" customHeight="1">
      <c r="A724" s="7"/>
      <c r="B724" s="39">
        <v>717.0</v>
      </c>
      <c r="C724" s="40" t="s">
        <v>19</v>
      </c>
      <c r="D724" s="40" t="s">
        <v>214</v>
      </c>
      <c r="E724" s="40" t="s">
        <v>233</v>
      </c>
      <c r="F724" s="40" t="s">
        <v>235</v>
      </c>
      <c r="G724" s="41" t="s">
        <v>14</v>
      </c>
      <c r="H724" s="42">
        <v>3179.0</v>
      </c>
      <c r="I724" s="43">
        <v>65.7439446</v>
      </c>
      <c r="J724" s="42">
        <v>3517.0</v>
      </c>
      <c r="K724" s="43">
        <v>82.9400057</v>
      </c>
    </row>
    <row r="725" ht="15.0" hidden="1" customHeight="1">
      <c r="A725" s="7"/>
      <c r="B725" s="35">
        <v>718.0</v>
      </c>
      <c r="C725" s="36" t="s">
        <v>17</v>
      </c>
      <c r="D725" s="49" t="s">
        <v>214</v>
      </c>
      <c r="E725" s="49" t="s">
        <v>236</v>
      </c>
      <c r="F725" s="49"/>
      <c r="G725" s="36" t="s">
        <v>236</v>
      </c>
      <c r="H725" s="37">
        <v>28818.0</v>
      </c>
      <c r="I725" s="38">
        <v>86.9734194</v>
      </c>
      <c r="J725" s="37">
        <v>25426.0</v>
      </c>
      <c r="K725" s="38">
        <v>92.4919374</v>
      </c>
    </row>
    <row r="726" ht="15.0" hidden="1" customHeight="1">
      <c r="A726" s="7"/>
      <c r="B726" s="39">
        <v>719.0</v>
      </c>
      <c r="C726" s="40" t="s">
        <v>17</v>
      </c>
      <c r="D726" s="40" t="s">
        <v>214</v>
      </c>
      <c r="E726" s="40" t="s">
        <v>236</v>
      </c>
      <c r="F726" s="40"/>
      <c r="G726" s="41" t="s">
        <v>13</v>
      </c>
      <c r="H726" s="42">
        <v>22508.0</v>
      </c>
      <c r="I726" s="43">
        <v>99.8000711</v>
      </c>
      <c r="J726" s="42">
        <v>18720.0</v>
      </c>
      <c r="K726" s="43">
        <v>99.8450855</v>
      </c>
    </row>
    <row r="727" ht="15.0" hidden="1" customHeight="1">
      <c r="A727" s="7"/>
      <c r="B727" s="39">
        <v>720.0</v>
      </c>
      <c r="C727" s="40" t="s">
        <v>17</v>
      </c>
      <c r="D727" s="40" t="s">
        <v>214</v>
      </c>
      <c r="E727" s="40" t="s">
        <v>236</v>
      </c>
      <c r="F727" s="40"/>
      <c r="G727" s="41" t="s">
        <v>14</v>
      </c>
      <c r="H727" s="42">
        <v>6310.0</v>
      </c>
      <c r="I727" s="43">
        <v>41.2202853</v>
      </c>
      <c r="J727" s="42">
        <v>6706.0</v>
      </c>
      <c r="K727" s="43">
        <v>71.9654041</v>
      </c>
    </row>
    <row r="728" ht="15.0" customHeight="1">
      <c r="A728" s="7"/>
      <c r="B728" s="44">
        <v>721.0</v>
      </c>
      <c r="C728" s="45" t="s">
        <v>19</v>
      </c>
      <c r="D728" s="50" t="s">
        <v>214</v>
      </c>
      <c r="E728" s="50" t="s">
        <v>236</v>
      </c>
      <c r="F728" s="50" t="s">
        <v>237</v>
      </c>
      <c r="G728" s="51" t="s">
        <v>237</v>
      </c>
      <c r="H728" s="46">
        <v>24097.0</v>
      </c>
      <c r="I728" s="47">
        <v>89.6294144</v>
      </c>
      <c r="J728" s="46">
        <v>19368.0</v>
      </c>
      <c r="K728" s="47">
        <v>93.7577447</v>
      </c>
    </row>
    <row r="729" ht="15.0" hidden="1" customHeight="1">
      <c r="A729" s="7"/>
      <c r="B729" s="39">
        <v>722.0</v>
      </c>
      <c r="C729" s="40" t="s">
        <v>19</v>
      </c>
      <c r="D729" s="40" t="s">
        <v>214</v>
      </c>
      <c r="E729" s="40" t="s">
        <v>236</v>
      </c>
      <c r="F729" s="40" t="s">
        <v>237</v>
      </c>
      <c r="G729" s="41" t="s">
        <v>13</v>
      </c>
      <c r="H729" s="42">
        <v>19833.0</v>
      </c>
      <c r="I729" s="43">
        <v>99.9243685</v>
      </c>
      <c r="J729" s="42">
        <v>15562.0</v>
      </c>
      <c r="K729" s="43">
        <v>99.9100373</v>
      </c>
    </row>
    <row r="730" ht="15.0" hidden="1" customHeight="1">
      <c r="A730" s="7"/>
      <c r="B730" s="39">
        <v>723.0</v>
      </c>
      <c r="C730" s="40" t="s">
        <v>19</v>
      </c>
      <c r="D730" s="40" t="s">
        <v>214</v>
      </c>
      <c r="E730" s="40" t="s">
        <v>236</v>
      </c>
      <c r="F730" s="40" t="s">
        <v>237</v>
      </c>
      <c r="G730" s="41" t="s">
        <v>14</v>
      </c>
      <c r="H730" s="42">
        <v>4264.0</v>
      </c>
      <c r="I730" s="43">
        <v>41.7448405</v>
      </c>
      <c r="J730" s="42">
        <v>3806.0</v>
      </c>
      <c r="K730" s="43">
        <v>68.602207</v>
      </c>
    </row>
    <row r="731" ht="15.0" customHeight="1">
      <c r="A731" s="7"/>
      <c r="B731" s="44">
        <v>724.0</v>
      </c>
      <c r="C731" s="45" t="s">
        <v>19</v>
      </c>
      <c r="D731" s="50" t="s">
        <v>214</v>
      </c>
      <c r="E731" s="50" t="s">
        <v>236</v>
      </c>
      <c r="F731" s="50" t="s">
        <v>238</v>
      </c>
      <c r="G731" s="51" t="s">
        <v>238</v>
      </c>
      <c r="H731" s="46">
        <v>4721.0</v>
      </c>
      <c r="I731" s="47">
        <v>73.416649</v>
      </c>
      <c r="J731" s="46">
        <v>6058.0</v>
      </c>
      <c r="K731" s="47">
        <v>88.4450314</v>
      </c>
    </row>
    <row r="732" ht="15.0" hidden="1" customHeight="1">
      <c r="A732" s="7"/>
      <c r="B732" s="39">
        <v>725.0</v>
      </c>
      <c r="C732" s="40" t="s">
        <v>19</v>
      </c>
      <c r="D732" s="40" t="s">
        <v>214</v>
      </c>
      <c r="E732" s="40" t="s">
        <v>236</v>
      </c>
      <c r="F732" s="40" t="s">
        <v>238</v>
      </c>
      <c r="G732" s="41" t="s">
        <v>13</v>
      </c>
      <c r="H732" s="42">
        <v>2675.0</v>
      </c>
      <c r="I732" s="43">
        <v>98.8785047</v>
      </c>
      <c r="J732" s="42">
        <v>3158.0</v>
      </c>
      <c r="K732" s="43">
        <v>99.5250158</v>
      </c>
    </row>
    <row r="733" ht="15.0" hidden="1" customHeight="1">
      <c r="A733" s="7"/>
      <c r="B733" s="39">
        <v>726.0</v>
      </c>
      <c r="C733" s="40" t="s">
        <v>19</v>
      </c>
      <c r="D733" s="40" t="s">
        <v>214</v>
      </c>
      <c r="E733" s="40" t="s">
        <v>236</v>
      </c>
      <c r="F733" s="40" t="s">
        <v>238</v>
      </c>
      <c r="G733" s="41" t="s">
        <v>14</v>
      </c>
      <c r="H733" s="42">
        <v>2046.0</v>
      </c>
      <c r="I733" s="43">
        <v>40.1270772</v>
      </c>
      <c r="J733" s="42">
        <v>2900.0</v>
      </c>
      <c r="K733" s="43">
        <v>76.3793103</v>
      </c>
    </row>
    <row r="734" ht="15.0" hidden="1" customHeight="1">
      <c r="A734" s="7"/>
      <c r="B734" s="35">
        <v>727.0</v>
      </c>
      <c r="C734" s="36" t="s">
        <v>17</v>
      </c>
      <c r="D734" s="49" t="s">
        <v>214</v>
      </c>
      <c r="E734" s="49" t="s">
        <v>239</v>
      </c>
      <c r="F734" s="49"/>
      <c r="G734" s="36" t="s">
        <v>239</v>
      </c>
      <c r="H734" s="37">
        <v>14612.0</v>
      </c>
      <c r="I734" s="38">
        <v>38.6120996</v>
      </c>
      <c r="J734" s="37">
        <v>18982.0</v>
      </c>
      <c r="K734" s="38">
        <v>64.7139395</v>
      </c>
    </row>
    <row r="735" ht="15.0" hidden="1" customHeight="1">
      <c r="A735" s="7"/>
      <c r="B735" s="39">
        <v>728.0</v>
      </c>
      <c r="C735" s="40" t="s">
        <v>17</v>
      </c>
      <c r="D735" s="40" t="s">
        <v>214</v>
      </c>
      <c r="E735" s="40" t="s">
        <v>239</v>
      </c>
      <c r="F735" s="40"/>
      <c r="G735" s="41" t="s">
        <v>13</v>
      </c>
      <c r="H735" s="42"/>
      <c r="I735" s="43"/>
      <c r="J735" s="42"/>
      <c r="K735" s="43"/>
    </row>
    <row r="736" ht="15.0" hidden="1" customHeight="1">
      <c r="A736" s="7"/>
      <c r="B736" s="39">
        <v>729.0</v>
      </c>
      <c r="C736" s="40" t="s">
        <v>17</v>
      </c>
      <c r="D736" s="40" t="s">
        <v>214</v>
      </c>
      <c r="E736" s="40" t="s">
        <v>239</v>
      </c>
      <c r="F736" s="40"/>
      <c r="G736" s="41" t="s">
        <v>14</v>
      </c>
      <c r="H736" s="42">
        <v>14612.0</v>
      </c>
      <c r="I736" s="43">
        <v>38.6120996</v>
      </c>
      <c r="J736" s="42">
        <v>18982.0</v>
      </c>
      <c r="K736" s="43">
        <v>64.7139395</v>
      </c>
    </row>
    <row r="737" ht="15.0" customHeight="1">
      <c r="A737" s="7"/>
      <c r="B737" s="44">
        <v>730.0</v>
      </c>
      <c r="C737" s="45" t="s">
        <v>19</v>
      </c>
      <c r="D737" s="50" t="s">
        <v>214</v>
      </c>
      <c r="E737" s="50" t="s">
        <v>239</v>
      </c>
      <c r="F737" s="50" t="s">
        <v>240</v>
      </c>
      <c r="G737" s="51" t="s">
        <v>240</v>
      </c>
      <c r="H737" s="46">
        <v>11685.0</v>
      </c>
      <c r="I737" s="47">
        <v>38.9816003</v>
      </c>
      <c r="J737" s="46">
        <v>15794.0</v>
      </c>
      <c r="K737" s="47">
        <v>64.2902368</v>
      </c>
    </row>
    <row r="738" ht="15.0" hidden="1" customHeight="1">
      <c r="A738" s="7"/>
      <c r="B738" s="39">
        <v>731.0</v>
      </c>
      <c r="C738" s="40" t="s">
        <v>19</v>
      </c>
      <c r="D738" s="40" t="s">
        <v>214</v>
      </c>
      <c r="E738" s="40" t="s">
        <v>239</v>
      </c>
      <c r="F738" s="40" t="s">
        <v>240</v>
      </c>
      <c r="G738" s="41" t="s">
        <v>13</v>
      </c>
      <c r="H738" s="42"/>
      <c r="I738" s="43"/>
      <c r="J738" s="42"/>
      <c r="K738" s="43"/>
    </row>
    <row r="739" ht="15.0" hidden="1" customHeight="1">
      <c r="A739" s="7"/>
      <c r="B739" s="39">
        <v>732.0</v>
      </c>
      <c r="C739" s="40" t="s">
        <v>19</v>
      </c>
      <c r="D739" s="40" t="s">
        <v>214</v>
      </c>
      <c r="E739" s="40" t="s">
        <v>239</v>
      </c>
      <c r="F739" s="40" t="s">
        <v>240</v>
      </c>
      <c r="G739" s="41" t="s">
        <v>14</v>
      </c>
      <c r="H739" s="42">
        <v>11685.0</v>
      </c>
      <c r="I739" s="43">
        <v>38.9816003</v>
      </c>
      <c r="J739" s="42">
        <v>15794.0</v>
      </c>
      <c r="K739" s="43">
        <v>64.2902368</v>
      </c>
    </row>
    <row r="740" ht="15.0" customHeight="1">
      <c r="A740" s="7"/>
      <c r="B740" s="44">
        <v>733.0</v>
      </c>
      <c r="C740" s="45" t="s">
        <v>19</v>
      </c>
      <c r="D740" s="50" t="s">
        <v>214</v>
      </c>
      <c r="E740" s="50" t="s">
        <v>239</v>
      </c>
      <c r="F740" s="50" t="s">
        <v>241</v>
      </c>
      <c r="G740" s="51" t="s">
        <v>241</v>
      </c>
      <c r="H740" s="46">
        <v>2927.0</v>
      </c>
      <c r="I740" s="47">
        <v>37.1370003</v>
      </c>
      <c r="J740" s="46">
        <v>3188.0</v>
      </c>
      <c r="K740" s="47">
        <v>66.8130489</v>
      </c>
    </row>
    <row r="741" ht="15.0" hidden="1" customHeight="1">
      <c r="A741" s="7"/>
      <c r="B741" s="39">
        <v>734.0</v>
      </c>
      <c r="C741" s="40" t="s">
        <v>19</v>
      </c>
      <c r="D741" s="40" t="s">
        <v>214</v>
      </c>
      <c r="E741" s="40" t="s">
        <v>239</v>
      </c>
      <c r="F741" s="40" t="s">
        <v>241</v>
      </c>
      <c r="G741" s="41" t="s">
        <v>13</v>
      </c>
      <c r="H741" s="42"/>
      <c r="I741" s="43"/>
      <c r="J741" s="42"/>
      <c r="K741" s="43"/>
    </row>
    <row r="742" ht="15.0" hidden="1" customHeight="1">
      <c r="A742" s="7"/>
      <c r="B742" s="39">
        <v>735.0</v>
      </c>
      <c r="C742" s="40" t="s">
        <v>19</v>
      </c>
      <c r="D742" s="40" t="s">
        <v>214</v>
      </c>
      <c r="E742" s="40" t="s">
        <v>239</v>
      </c>
      <c r="F742" s="40" t="s">
        <v>241</v>
      </c>
      <c r="G742" s="41" t="s">
        <v>14</v>
      </c>
      <c r="H742" s="42">
        <v>2927.0</v>
      </c>
      <c r="I742" s="43">
        <v>37.1370003</v>
      </c>
      <c r="J742" s="42">
        <v>3188.0</v>
      </c>
      <c r="K742" s="43">
        <v>66.8130489</v>
      </c>
    </row>
    <row r="743" ht="15.0" hidden="1" customHeight="1">
      <c r="A743" s="7"/>
      <c r="B743" s="35">
        <v>736.0</v>
      </c>
      <c r="C743" s="36" t="s">
        <v>17</v>
      </c>
      <c r="D743" s="49" t="s">
        <v>214</v>
      </c>
      <c r="E743" s="49" t="s">
        <v>242</v>
      </c>
      <c r="F743" s="49"/>
      <c r="G743" s="36" t="s">
        <v>242</v>
      </c>
      <c r="H743" s="37">
        <v>10643.0</v>
      </c>
      <c r="I743" s="38">
        <v>37.7619092</v>
      </c>
      <c r="J743" s="37">
        <v>18307.0</v>
      </c>
      <c r="K743" s="38">
        <v>74.9276233</v>
      </c>
    </row>
    <row r="744" ht="15.0" hidden="1" customHeight="1">
      <c r="A744" s="7"/>
      <c r="B744" s="39">
        <v>737.0</v>
      </c>
      <c r="C744" s="40" t="s">
        <v>17</v>
      </c>
      <c r="D744" s="40" t="s">
        <v>214</v>
      </c>
      <c r="E744" s="40" t="s">
        <v>242</v>
      </c>
      <c r="F744" s="40"/>
      <c r="G744" s="41" t="s">
        <v>13</v>
      </c>
      <c r="H744" s="42"/>
      <c r="I744" s="43"/>
      <c r="J744" s="42">
        <v>2288.0</v>
      </c>
      <c r="K744" s="43">
        <v>96.9405594</v>
      </c>
    </row>
    <row r="745" ht="15.0" hidden="1" customHeight="1">
      <c r="A745" s="7"/>
      <c r="B745" s="39">
        <v>738.0</v>
      </c>
      <c r="C745" s="40" t="s">
        <v>17</v>
      </c>
      <c r="D745" s="40" t="s">
        <v>214</v>
      </c>
      <c r="E745" s="40" t="s">
        <v>242</v>
      </c>
      <c r="F745" s="40"/>
      <c r="G745" s="41" t="s">
        <v>14</v>
      </c>
      <c r="H745" s="42">
        <v>10643.0</v>
      </c>
      <c r="I745" s="43">
        <v>37.7619092</v>
      </c>
      <c r="J745" s="42">
        <v>16019.0</v>
      </c>
      <c r="K745" s="43">
        <v>71.7835071</v>
      </c>
    </row>
    <row r="746" ht="15.0" customHeight="1">
      <c r="A746" s="7"/>
      <c r="B746" s="44">
        <v>739.0</v>
      </c>
      <c r="C746" s="45" t="s">
        <v>19</v>
      </c>
      <c r="D746" s="50" t="s">
        <v>214</v>
      </c>
      <c r="E746" s="50" t="s">
        <v>242</v>
      </c>
      <c r="F746" s="50" t="s">
        <v>242</v>
      </c>
      <c r="G746" s="51" t="s">
        <v>242</v>
      </c>
      <c r="H746" s="46">
        <v>7792.0</v>
      </c>
      <c r="I746" s="47">
        <v>31.6991786</v>
      </c>
      <c r="J746" s="46">
        <v>14592.0</v>
      </c>
      <c r="K746" s="47">
        <v>74.9588816</v>
      </c>
    </row>
    <row r="747" ht="15.0" hidden="1" customHeight="1">
      <c r="A747" s="7"/>
      <c r="B747" s="39">
        <v>740.0</v>
      </c>
      <c r="C747" s="40" t="s">
        <v>19</v>
      </c>
      <c r="D747" s="40" t="s">
        <v>214</v>
      </c>
      <c r="E747" s="40" t="s">
        <v>242</v>
      </c>
      <c r="F747" s="40" t="s">
        <v>242</v>
      </c>
      <c r="G747" s="41" t="s">
        <v>13</v>
      </c>
      <c r="H747" s="42"/>
      <c r="I747" s="43"/>
      <c r="J747" s="42">
        <v>2288.0</v>
      </c>
      <c r="K747" s="43">
        <v>96.9405594</v>
      </c>
    </row>
    <row r="748" ht="15.0" hidden="1" customHeight="1">
      <c r="A748" s="7"/>
      <c r="B748" s="39">
        <v>741.0</v>
      </c>
      <c r="C748" s="40" t="s">
        <v>19</v>
      </c>
      <c r="D748" s="40" t="s">
        <v>214</v>
      </c>
      <c r="E748" s="40" t="s">
        <v>242</v>
      </c>
      <c r="F748" s="40" t="s">
        <v>242</v>
      </c>
      <c r="G748" s="41" t="s">
        <v>14</v>
      </c>
      <c r="H748" s="42">
        <v>7792.0</v>
      </c>
      <c r="I748" s="43">
        <v>31.6991786</v>
      </c>
      <c r="J748" s="42">
        <v>12304.0</v>
      </c>
      <c r="K748" s="43">
        <v>70.8712614</v>
      </c>
    </row>
    <row r="749" ht="15.0" customHeight="1">
      <c r="A749" s="7"/>
      <c r="B749" s="44">
        <v>742.0</v>
      </c>
      <c r="C749" s="45" t="s">
        <v>19</v>
      </c>
      <c r="D749" s="50" t="s">
        <v>214</v>
      </c>
      <c r="E749" s="50" t="s">
        <v>242</v>
      </c>
      <c r="F749" s="50" t="s">
        <v>243</v>
      </c>
      <c r="G749" s="51" t="s">
        <v>243</v>
      </c>
      <c r="H749" s="46">
        <v>873.0</v>
      </c>
      <c r="I749" s="47">
        <v>71.0194731</v>
      </c>
      <c r="J749" s="46">
        <v>1378.0</v>
      </c>
      <c r="K749" s="47">
        <v>94.0493469</v>
      </c>
    </row>
    <row r="750" ht="15.0" hidden="1" customHeight="1">
      <c r="A750" s="7"/>
      <c r="B750" s="39">
        <v>743.0</v>
      </c>
      <c r="C750" s="40" t="s">
        <v>19</v>
      </c>
      <c r="D750" s="40" t="s">
        <v>214</v>
      </c>
      <c r="E750" s="40" t="s">
        <v>242</v>
      </c>
      <c r="F750" s="40" t="s">
        <v>243</v>
      </c>
      <c r="G750" s="41" t="s">
        <v>13</v>
      </c>
      <c r="H750" s="42"/>
      <c r="I750" s="43"/>
      <c r="J750" s="42"/>
      <c r="K750" s="43"/>
    </row>
    <row r="751" ht="15.0" hidden="1" customHeight="1">
      <c r="A751" s="7"/>
      <c r="B751" s="39">
        <v>744.0</v>
      </c>
      <c r="C751" s="40" t="s">
        <v>19</v>
      </c>
      <c r="D751" s="40" t="s">
        <v>214</v>
      </c>
      <c r="E751" s="40" t="s">
        <v>242</v>
      </c>
      <c r="F751" s="40" t="s">
        <v>243</v>
      </c>
      <c r="G751" s="41" t="s">
        <v>14</v>
      </c>
      <c r="H751" s="42">
        <v>873.0</v>
      </c>
      <c r="I751" s="43">
        <v>71.0194731</v>
      </c>
      <c r="J751" s="42">
        <v>1378.0</v>
      </c>
      <c r="K751" s="43">
        <v>94.0493469</v>
      </c>
    </row>
    <row r="752" ht="15.0" customHeight="1">
      <c r="A752" s="7"/>
      <c r="B752" s="44">
        <v>745.0</v>
      </c>
      <c r="C752" s="45" t="s">
        <v>19</v>
      </c>
      <c r="D752" s="50" t="s">
        <v>214</v>
      </c>
      <c r="E752" s="50" t="s">
        <v>242</v>
      </c>
      <c r="F752" s="50" t="s">
        <v>244</v>
      </c>
      <c r="G752" s="51" t="s">
        <v>244</v>
      </c>
      <c r="H752" s="46">
        <v>1978.0</v>
      </c>
      <c r="I752" s="47">
        <v>46.966633</v>
      </c>
      <c r="J752" s="46">
        <v>2337.0</v>
      </c>
      <c r="K752" s="47">
        <v>63.457424</v>
      </c>
    </row>
    <row r="753" ht="15.0" hidden="1" customHeight="1">
      <c r="A753" s="7"/>
      <c r="B753" s="39">
        <v>746.0</v>
      </c>
      <c r="C753" s="40" t="s">
        <v>19</v>
      </c>
      <c r="D753" s="40" t="s">
        <v>214</v>
      </c>
      <c r="E753" s="40" t="s">
        <v>242</v>
      </c>
      <c r="F753" s="40" t="s">
        <v>244</v>
      </c>
      <c r="G753" s="41" t="s">
        <v>13</v>
      </c>
      <c r="H753" s="42"/>
      <c r="I753" s="43"/>
      <c r="J753" s="42"/>
      <c r="K753" s="43"/>
    </row>
    <row r="754" ht="15.0" hidden="1" customHeight="1">
      <c r="A754" s="7"/>
      <c r="B754" s="39">
        <v>747.0</v>
      </c>
      <c r="C754" s="40" t="s">
        <v>19</v>
      </c>
      <c r="D754" s="40" t="s">
        <v>214</v>
      </c>
      <c r="E754" s="40" t="s">
        <v>242</v>
      </c>
      <c r="F754" s="40" t="s">
        <v>244</v>
      </c>
      <c r="G754" s="41" t="s">
        <v>14</v>
      </c>
      <c r="H754" s="42">
        <v>1978.0</v>
      </c>
      <c r="I754" s="43">
        <v>46.966633</v>
      </c>
      <c r="J754" s="42">
        <v>2337.0</v>
      </c>
      <c r="K754" s="43">
        <v>63.457424</v>
      </c>
    </row>
    <row r="755" ht="15.0" hidden="1" customHeight="1">
      <c r="A755" s="7"/>
      <c r="B755" s="35">
        <v>748.0</v>
      </c>
      <c r="C755" s="36" t="s">
        <v>17</v>
      </c>
      <c r="D755" s="49" t="s">
        <v>214</v>
      </c>
      <c r="E755" s="49" t="s">
        <v>245</v>
      </c>
      <c r="F755" s="49"/>
      <c r="G755" s="36" t="s">
        <v>245</v>
      </c>
      <c r="H755" s="37">
        <v>9993.0</v>
      </c>
      <c r="I755" s="38">
        <v>20.8846192</v>
      </c>
      <c r="J755" s="37">
        <v>12084.0</v>
      </c>
      <c r="K755" s="38">
        <v>36.6683217</v>
      </c>
    </row>
    <row r="756" ht="15.0" hidden="1" customHeight="1">
      <c r="A756" s="7"/>
      <c r="B756" s="39">
        <v>749.0</v>
      </c>
      <c r="C756" s="40" t="s">
        <v>17</v>
      </c>
      <c r="D756" s="40" t="s">
        <v>214</v>
      </c>
      <c r="E756" s="40" t="s">
        <v>245</v>
      </c>
      <c r="F756" s="40"/>
      <c r="G756" s="41" t="s">
        <v>13</v>
      </c>
      <c r="H756" s="42"/>
      <c r="I756" s="43"/>
      <c r="J756" s="42"/>
      <c r="K756" s="43"/>
    </row>
    <row r="757" ht="15.0" hidden="1" customHeight="1">
      <c r="A757" s="7"/>
      <c r="B757" s="39">
        <v>750.0</v>
      </c>
      <c r="C757" s="40" t="s">
        <v>17</v>
      </c>
      <c r="D757" s="40" t="s">
        <v>214</v>
      </c>
      <c r="E757" s="40" t="s">
        <v>245</v>
      </c>
      <c r="F757" s="40"/>
      <c r="G757" s="41" t="s">
        <v>14</v>
      </c>
      <c r="H757" s="42">
        <v>9993.0</v>
      </c>
      <c r="I757" s="43">
        <v>20.8846192</v>
      </c>
      <c r="J757" s="42">
        <v>12084.0</v>
      </c>
      <c r="K757" s="43">
        <v>36.6683217</v>
      </c>
    </row>
    <row r="758" ht="15.0" customHeight="1">
      <c r="A758" s="7"/>
      <c r="B758" s="44">
        <v>751.0</v>
      </c>
      <c r="C758" s="45" t="s">
        <v>19</v>
      </c>
      <c r="D758" s="50" t="s">
        <v>214</v>
      </c>
      <c r="E758" s="50" t="s">
        <v>245</v>
      </c>
      <c r="F758" s="50" t="s">
        <v>246</v>
      </c>
      <c r="G758" s="51" t="s">
        <v>246</v>
      </c>
      <c r="H758" s="46">
        <v>9993.0</v>
      </c>
      <c r="I758" s="47">
        <v>20.8846192</v>
      </c>
      <c r="J758" s="46">
        <v>12084.0</v>
      </c>
      <c r="K758" s="47">
        <v>36.6683217</v>
      </c>
    </row>
    <row r="759" ht="15.0" hidden="1" customHeight="1">
      <c r="A759" s="7"/>
      <c r="B759" s="39">
        <v>752.0</v>
      </c>
      <c r="C759" s="40" t="s">
        <v>19</v>
      </c>
      <c r="D759" s="40" t="s">
        <v>214</v>
      </c>
      <c r="E759" s="40" t="s">
        <v>245</v>
      </c>
      <c r="F759" s="40" t="s">
        <v>246</v>
      </c>
      <c r="G759" s="41" t="s">
        <v>13</v>
      </c>
      <c r="H759" s="42"/>
      <c r="I759" s="43"/>
      <c r="J759" s="42"/>
      <c r="K759" s="43"/>
    </row>
    <row r="760" ht="15.0" hidden="1" customHeight="1">
      <c r="A760" s="7"/>
      <c r="B760" s="39">
        <v>753.0</v>
      </c>
      <c r="C760" s="40" t="s">
        <v>19</v>
      </c>
      <c r="D760" s="40" t="s">
        <v>214</v>
      </c>
      <c r="E760" s="40" t="s">
        <v>245</v>
      </c>
      <c r="F760" s="40" t="s">
        <v>246</v>
      </c>
      <c r="G760" s="41" t="s">
        <v>14</v>
      </c>
      <c r="H760" s="42">
        <v>9993.0</v>
      </c>
      <c r="I760" s="43">
        <v>20.8846192</v>
      </c>
      <c r="J760" s="42">
        <v>12084.0</v>
      </c>
      <c r="K760" s="43">
        <v>36.6683217</v>
      </c>
    </row>
    <row r="761" ht="15.0" hidden="1" customHeight="1">
      <c r="A761" s="7"/>
      <c r="B761" s="35">
        <v>754.0</v>
      </c>
      <c r="C761" s="36" t="s">
        <v>17</v>
      </c>
      <c r="D761" s="49" t="s">
        <v>214</v>
      </c>
      <c r="E761" s="49" t="s">
        <v>247</v>
      </c>
      <c r="F761" s="49"/>
      <c r="G761" s="36" t="s">
        <v>247</v>
      </c>
      <c r="H761" s="37">
        <v>5188.0</v>
      </c>
      <c r="I761" s="38">
        <v>62.1048574</v>
      </c>
      <c r="J761" s="37">
        <v>5309.0</v>
      </c>
      <c r="K761" s="38">
        <v>82.5390846</v>
      </c>
    </row>
    <row r="762" ht="15.0" hidden="1" customHeight="1">
      <c r="A762" s="7"/>
      <c r="B762" s="39">
        <v>755.0</v>
      </c>
      <c r="C762" s="40" t="s">
        <v>17</v>
      </c>
      <c r="D762" s="40" t="s">
        <v>214</v>
      </c>
      <c r="E762" s="40" t="s">
        <v>247</v>
      </c>
      <c r="F762" s="40"/>
      <c r="G762" s="41" t="s">
        <v>13</v>
      </c>
      <c r="H762" s="42">
        <v>2563.0</v>
      </c>
      <c r="I762" s="43">
        <v>93.7573156</v>
      </c>
      <c r="J762" s="42">
        <v>2170.0</v>
      </c>
      <c r="K762" s="43">
        <v>99.078341</v>
      </c>
    </row>
    <row r="763" ht="15.0" hidden="1" customHeight="1">
      <c r="A763" s="7"/>
      <c r="B763" s="39">
        <v>756.0</v>
      </c>
      <c r="C763" s="40" t="s">
        <v>17</v>
      </c>
      <c r="D763" s="40" t="s">
        <v>214</v>
      </c>
      <c r="E763" s="40" t="s">
        <v>247</v>
      </c>
      <c r="F763" s="40"/>
      <c r="G763" s="41" t="s">
        <v>14</v>
      </c>
      <c r="H763" s="42">
        <v>2625.0</v>
      </c>
      <c r="I763" s="43">
        <v>31.2</v>
      </c>
      <c r="J763" s="42">
        <v>3139.0</v>
      </c>
      <c r="K763" s="43">
        <v>71.1054476</v>
      </c>
    </row>
    <row r="764" ht="15.0" customHeight="1">
      <c r="A764" s="7"/>
      <c r="B764" s="44">
        <v>757.0</v>
      </c>
      <c r="C764" s="45" t="s">
        <v>19</v>
      </c>
      <c r="D764" s="50" t="s">
        <v>214</v>
      </c>
      <c r="E764" s="50" t="s">
        <v>247</v>
      </c>
      <c r="F764" s="50" t="s">
        <v>248</v>
      </c>
      <c r="G764" s="51" t="s">
        <v>248</v>
      </c>
      <c r="H764" s="46">
        <v>5188.0</v>
      </c>
      <c r="I764" s="47">
        <v>62.1048574</v>
      </c>
      <c r="J764" s="46">
        <v>5309.0</v>
      </c>
      <c r="K764" s="47">
        <v>82.5390846</v>
      </c>
    </row>
    <row r="765" ht="15.0" hidden="1" customHeight="1">
      <c r="A765" s="7"/>
      <c r="B765" s="39">
        <v>758.0</v>
      </c>
      <c r="C765" s="40" t="s">
        <v>19</v>
      </c>
      <c r="D765" s="40" t="s">
        <v>214</v>
      </c>
      <c r="E765" s="40" t="s">
        <v>247</v>
      </c>
      <c r="F765" s="40" t="s">
        <v>248</v>
      </c>
      <c r="G765" s="41" t="s">
        <v>13</v>
      </c>
      <c r="H765" s="42">
        <v>2563.0</v>
      </c>
      <c r="I765" s="43">
        <v>93.7573156</v>
      </c>
      <c r="J765" s="42">
        <v>2170.0</v>
      </c>
      <c r="K765" s="43">
        <v>99.078341</v>
      </c>
    </row>
    <row r="766" ht="15.0" hidden="1" customHeight="1">
      <c r="A766" s="7"/>
      <c r="B766" s="39">
        <v>759.0</v>
      </c>
      <c r="C766" s="40" t="s">
        <v>19</v>
      </c>
      <c r="D766" s="40" t="s">
        <v>214</v>
      </c>
      <c r="E766" s="40" t="s">
        <v>247</v>
      </c>
      <c r="F766" s="40" t="s">
        <v>248</v>
      </c>
      <c r="G766" s="41" t="s">
        <v>14</v>
      </c>
      <c r="H766" s="42">
        <v>2625.0</v>
      </c>
      <c r="I766" s="43">
        <v>31.2</v>
      </c>
      <c r="J766" s="42">
        <v>3139.0</v>
      </c>
      <c r="K766" s="43">
        <v>71.1054476</v>
      </c>
    </row>
    <row r="767" ht="15.0" hidden="1" customHeight="1">
      <c r="A767" s="7"/>
      <c r="B767" s="35">
        <v>760.0</v>
      </c>
      <c r="C767" s="36" t="s">
        <v>17</v>
      </c>
      <c r="D767" s="49" t="s">
        <v>214</v>
      </c>
      <c r="E767" s="49" t="s">
        <v>249</v>
      </c>
      <c r="F767" s="49"/>
      <c r="G767" s="36" t="s">
        <v>249</v>
      </c>
      <c r="H767" s="37">
        <v>7170.0</v>
      </c>
      <c r="I767" s="38">
        <v>17.2803347</v>
      </c>
      <c r="J767" s="37">
        <v>9319.0</v>
      </c>
      <c r="K767" s="38">
        <v>42.6333298</v>
      </c>
    </row>
    <row r="768" ht="15.0" hidden="1" customHeight="1">
      <c r="A768" s="7"/>
      <c r="B768" s="39">
        <v>761.0</v>
      </c>
      <c r="C768" s="40" t="s">
        <v>17</v>
      </c>
      <c r="D768" s="40" t="s">
        <v>214</v>
      </c>
      <c r="E768" s="40" t="s">
        <v>249</v>
      </c>
      <c r="F768" s="40"/>
      <c r="G768" s="41" t="s">
        <v>13</v>
      </c>
      <c r="H768" s="42"/>
      <c r="I768" s="43"/>
      <c r="J768" s="42"/>
      <c r="K768" s="43"/>
    </row>
    <row r="769" ht="15.0" hidden="1" customHeight="1">
      <c r="A769" s="7"/>
      <c r="B769" s="39">
        <v>762.0</v>
      </c>
      <c r="C769" s="40" t="s">
        <v>17</v>
      </c>
      <c r="D769" s="40" t="s">
        <v>214</v>
      </c>
      <c r="E769" s="40" t="s">
        <v>249</v>
      </c>
      <c r="F769" s="40"/>
      <c r="G769" s="41" t="s">
        <v>14</v>
      </c>
      <c r="H769" s="42">
        <v>7170.0</v>
      </c>
      <c r="I769" s="43">
        <v>17.2803347</v>
      </c>
      <c r="J769" s="42">
        <v>9319.0</v>
      </c>
      <c r="K769" s="43">
        <v>42.6333298</v>
      </c>
    </row>
    <row r="770" ht="15.0" customHeight="1">
      <c r="A770" s="7"/>
      <c r="B770" s="44">
        <v>763.0</v>
      </c>
      <c r="C770" s="45" t="s">
        <v>19</v>
      </c>
      <c r="D770" s="50" t="s">
        <v>214</v>
      </c>
      <c r="E770" s="50" t="s">
        <v>249</v>
      </c>
      <c r="F770" s="50" t="s">
        <v>250</v>
      </c>
      <c r="G770" s="51" t="s">
        <v>250</v>
      </c>
      <c r="H770" s="46">
        <v>5177.0</v>
      </c>
      <c r="I770" s="47">
        <v>19.1230442</v>
      </c>
      <c r="J770" s="46">
        <v>6288.0</v>
      </c>
      <c r="K770" s="47">
        <v>37.6590331</v>
      </c>
    </row>
    <row r="771" ht="15.0" hidden="1" customHeight="1">
      <c r="A771" s="7"/>
      <c r="B771" s="39">
        <v>764.0</v>
      </c>
      <c r="C771" s="40" t="s">
        <v>19</v>
      </c>
      <c r="D771" s="40" t="s">
        <v>214</v>
      </c>
      <c r="E771" s="40" t="s">
        <v>249</v>
      </c>
      <c r="F771" s="40" t="s">
        <v>250</v>
      </c>
      <c r="G771" s="41" t="s">
        <v>13</v>
      </c>
      <c r="H771" s="42"/>
      <c r="I771" s="43"/>
      <c r="J771" s="42"/>
      <c r="K771" s="43"/>
    </row>
    <row r="772" ht="15.0" hidden="1" customHeight="1">
      <c r="A772" s="7"/>
      <c r="B772" s="39">
        <v>765.0</v>
      </c>
      <c r="C772" s="40" t="s">
        <v>19</v>
      </c>
      <c r="D772" s="40" t="s">
        <v>214</v>
      </c>
      <c r="E772" s="40" t="s">
        <v>249</v>
      </c>
      <c r="F772" s="40" t="s">
        <v>250</v>
      </c>
      <c r="G772" s="41" t="s">
        <v>14</v>
      </c>
      <c r="H772" s="42">
        <v>5177.0</v>
      </c>
      <c r="I772" s="43">
        <v>19.1230442</v>
      </c>
      <c r="J772" s="42">
        <v>6288.0</v>
      </c>
      <c r="K772" s="43">
        <v>37.6590331</v>
      </c>
    </row>
    <row r="773" ht="15.0" customHeight="1">
      <c r="A773" s="7"/>
      <c r="B773" s="44">
        <v>766.0</v>
      </c>
      <c r="C773" s="45" t="s">
        <v>19</v>
      </c>
      <c r="D773" s="50" t="s">
        <v>214</v>
      </c>
      <c r="E773" s="50" t="s">
        <v>249</v>
      </c>
      <c r="F773" s="50" t="s">
        <v>251</v>
      </c>
      <c r="G773" s="51" t="s">
        <v>251</v>
      </c>
      <c r="H773" s="46">
        <v>1993.0</v>
      </c>
      <c r="I773" s="47">
        <v>12.493728</v>
      </c>
      <c r="J773" s="46">
        <v>3031.0</v>
      </c>
      <c r="K773" s="47">
        <v>52.9528209</v>
      </c>
    </row>
    <row r="774" ht="15.0" hidden="1" customHeight="1">
      <c r="A774" s="7"/>
      <c r="B774" s="39">
        <v>767.0</v>
      </c>
      <c r="C774" s="40" t="s">
        <v>19</v>
      </c>
      <c r="D774" s="40" t="s">
        <v>214</v>
      </c>
      <c r="E774" s="40" t="s">
        <v>249</v>
      </c>
      <c r="F774" s="40" t="s">
        <v>251</v>
      </c>
      <c r="G774" s="41" t="s">
        <v>13</v>
      </c>
      <c r="H774" s="42"/>
      <c r="I774" s="43"/>
      <c r="J774" s="42"/>
      <c r="K774" s="43"/>
    </row>
    <row r="775" ht="15.0" hidden="1" customHeight="1">
      <c r="A775" s="7"/>
      <c r="B775" s="39">
        <v>768.0</v>
      </c>
      <c r="C775" s="40" t="s">
        <v>19</v>
      </c>
      <c r="D775" s="40" t="s">
        <v>214</v>
      </c>
      <c r="E775" s="40" t="s">
        <v>249</v>
      </c>
      <c r="F775" s="40" t="s">
        <v>251</v>
      </c>
      <c r="G775" s="41" t="s">
        <v>14</v>
      </c>
      <c r="H775" s="42">
        <v>1993.0</v>
      </c>
      <c r="I775" s="43">
        <v>12.493728</v>
      </c>
      <c r="J775" s="42">
        <v>3031.0</v>
      </c>
      <c r="K775" s="43">
        <v>52.9528209</v>
      </c>
    </row>
    <row r="776" ht="15.0" hidden="1" customHeight="1">
      <c r="A776" s="7"/>
      <c r="B776" s="35">
        <v>769.0</v>
      </c>
      <c r="C776" s="36" t="s">
        <v>17</v>
      </c>
      <c r="D776" s="49" t="s">
        <v>214</v>
      </c>
      <c r="E776" s="49" t="s">
        <v>252</v>
      </c>
      <c r="F776" s="49"/>
      <c r="G776" s="36" t="s">
        <v>252</v>
      </c>
      <c r="H776" s="37">
        <v>5485.0</v>
      </c>
      <c r="I776" s="38">
        <v>10.0820419</v>
      </c>
      <c r="J776" s="37">
        <v>6593.0</v>
      </c>
      <c r="K776" s="38">
        <v>27.589868</v>
      </c>
    </row>
    <row r="777" ht="15.0" hidden="1" customHeight="1">
      <c r="A777" s="7"/>
      <c r="B777" s="39">
        <v>770.0</v>
      </c>
      <c r="C777" s="40" t="s">
        <v>17</v>
      </c>
      <c r="D777" s="40" t="s">
        <v>214</v>
      </c>
      <c r="E777" s="40" t="s">
        <v>252</v>
      </c>
      <c r="F777" s="40"/>
      <c r="G777" s="41" t="s">
        <v>13</v>
      </c>
      <c r="H777" s="42"/>
      <c r="I777" s="43"/>
      <c r="J777" s="42"/>
      <c r="K777" s="43"/>
    </row>
    <row r="778" ht="15.0" hidden="1" customHeight="1">
      <c r="A778" s="7"/>
      <c r="B778" s="39">
        <v>771.0</v>
      </c>
      <c r="C778" s="40" t="s">
        <v>17</v>
      </c>
      <c r="D778" s="40" t="s">
        <v>214</v>
      </c>
      <c r="E778" s="40" t="s">
        <v>252</v>
      </c>
      <c r="F778" s="40"/>
      <c r="G778" s="41" t="s">
        <v>14</v>
      </c>
      <c r="H778" s="42">
        <v>5485.0</v>
      </c>
      <c r="I778" s="43">
        <v>10.0820419</v>
      </c>
      <c r="J778" s="42">
        <v>6593.0</v>
      </c>
      <c r="K778" s="43">
        <v>27.589868</v>
      </c>
    </row>
    <row r="779" ht="15.0" customHeight="1">
      <c r="A779" s="7"/>
      <c r="B779" s="44">
        <v>772.0</v>
      </c>
      <c r="C779" s="45" t="s">
        <v>19</v>
      </c>
      <c r="D779" s="50" t="s">
        <v>214</v>
      </c>
      <c r="E779" s="50" t="s">
        <v>252</v>
      </c>
      <c r="F779" s="50" t="s">
        <v>196</v>
      </c>
      <c r="G779" s="51" t="s">
        <v>196</v>
      </c>
      <c r="H779" s="46">
        <v>5485.0</v>
      </c>
      <c r="I779" s="47">
        <v>10.0820419</v>
      </c>
      <c r="J779" s="46">
        <v>6593.0</v>
      </c>
      <c r="K779" s="47">
        <v>27.589868</v>
      </c>
    </row>
    <row r="780" ht="15.0" hidden="1" customHeight="1">
      <c r="A780" s="7"/>
      <c r="B780" s="39">
        <v>773.0</v>
      </c>
      <c r="C780" s="40" t="s">
        <v>19</v>
      </c>
      <c r="D780" s="40" t="s">
        <v>214</v>
      </c>
      <c r="E780" s="40" t="s">
        <v>252</v>
      </c>
      <c r="F780" s="40" t="s">
        <v>196</v>
      </c>
      <c r="G780" s="41" t="s">
        <v>13</v>
      </c>
      <c r="H780" s="42"/>
      <c r="I780" s="43"/>
      <c r="J780" s="42"/>
      <c r="K780" s="43"/>
    </row>
    <row r="781" ht="15.0" hidden="1" customHeight="1">
      <c r="A781" s="7"/>
      <c r="B781" s="39">
        <v>774.0</v>
      </c>
      <c r="C781" s="40" t="s">
        <v>19</v>
      </c>
      <c r="D781" s="40" t="s">
        <v>214</v>
      </c>
      <c r="E781" s="40" t="s">
        <v>252</v>
      </c>
      <c r="F781" s="40" t="s">
        <v>196</v>
      </c>
      <c r="G781" s="41" t="s">
        <v>14</v>
      </c>
      <c r="H781" s="42">
        <v>5485.0</v>
      </c>
      <c r="I781" s="43">
        <v>10.0820419</v>
      </c>
      <c r="J781" s="42">
        <v>6593.0</v>
      </c>
      <c r="K781" s="43">
        <v>27.589868</v>
      </c>
    </row>
    <row r="782" ht="15.0" hidden="1" customHeight="1">
      <c r="A782" s="7"/>
      <c r="B782" s="35">
        <v>775.0</v>
      </c>
      <c r="C782" s="36" t="s">
        <v>17</v>
      </c>
      <c r="D782" s="49" t="s">
        <v>214</v>
      </c>
      <c r="E782" s="49" t="s">
        <v>253</v>
      </c>
      <c r="F782" s="49"/>
      <c r="G782" s="36" t="s">
        <v>253</v>
      </c>
      <c r="H782" s="37">
        <v>13042.0</v>
      </c>
      <c r="I782" s="38">
        <v>44.9700966</v>
      </c>
      <c r="J782" s="37">
        <v>13427.0</v>
      </c>
      <c r="K782" s="38">
        <v>65.316154</v>
      </c>
    </row>
    <row r="783" ht="15.0" hidden="1" customHeight="1">
      <c r="A783" s="7"/>
      <c r="B783" s="39">
        <v>776.0</v>
      </c>
      <c r="C783" s="40" t="s">
        <v>17</v>
      </c>
      <c r="D783" s="40" t="s">
        <v>214</v>
      </c>
      <c r="E783" s="40" t="s">
        <v>253</v>
      </c>
      <c r="F783" s="40"/>
      <c r="G783" s="41" t="s">
        <v>13</v>
      </c>
      <c r="H783" s="42">
        <v>4209.0</v>
      </c>
      <c r="I783" s="43">
        <v>95.1294844</v>
      </c>
      <c r="J783" s="42">
        <v>4263.0</v>
      </c>
      <c r="K783" s="43">
        <v>98.7332864</v>
      </c>
    </row>
    <row r="784" ht="15.0" hidden="1" customHeight="1">
      <c r="A784" s="7"/>
      <c r="B784" s="39">
        <v>777.0</v>
      </c>
      <c r="C784" s="40" t="s">
        <v>17</v>
      </c>
      <c r="D784" s="40" t="s">
        <v>214</v>
      </c>
      <c r="E784" s="40" t="s">
        <v>253</v>
      </c>
      <c r="F784" s="40"/>
      <c r="G784" s="41" t="s">
        <v>14</v>
      </c>
      <c r="H784" s="42">
        <v>8833.0</v>
      </c>
      <c r="I784" s="43">
        <v>21.0687196</v>
      </c>
      <c r="J784" s="42">
        <v>9164.0</v>
      </c>
      <c r="K784" s="43">
        <v>49.7708424</v>
      </c>
    </row>
    <row r="785" ht="15.0" customHeight="1">
      <c r="A785" s="7"/>
      <c r="B785" s="44">
        <v>778.0</v>
      </c>
      <c r="C785" s="45" t="s">
        <v>19</v>
      </c>
      <c r="D785" s="50" t="s">
        <v>214</v>
      </c>
      <c r="E785" s="50" t="s">
        <v>253</v>
      </c>
      <c r="F785" s="50" t="s">
        <v>254</v>
      </c>
      <c r="G785" s="51" t="s">
        <v>254</v>
      </c>
      <c r="H785" s="46">
        <v>13042.0</v>
      </c>
      <c r="I785" s="47">
        <v>44.9700966</v>
      </c>
      <c r="J785" s="46">
        <v>13427.0</v>
      </c>
      <c r="K785" s="47">
        <v>65.316154</v>
      </c>
    </row>
    <row r="786" ht="15.0" hidden="1" customHeight="1">
      <c r="A786" s="7"/>
      <c r="B786" s="39">
        <v>779.0</v>
      </c>
      <c r="C786" s="40" t="s">
        <v>19</v>
      </c>
      <c r="D786" s="40" t="s">
        <v>214</v>
      </c>
      <c r="E786" s="40" t="s">
        <v>253</v>
      </c>
      <c r="F786" s="40" t="s">
        <v>254</v>
      </c>
      <c r="G786" s="41" t="s">
        <v>13</v>
      </c>
      <c r="H786" s="42">
        <v>4209.0</v>
      </c>
      <c r="I786" s="43">
        <v>95.1294844</v>
      </c>
      <c r="J786" s="42">
        <v>4263.0</v>
      </c>
      <c r="K786" s="43">
        <v>98.7332864</v>
      </c>
    </row>
    <row r="787" ht="15.0" hidden="1" customHeight="1">
      <c r="A787" s="7"/>
      <c r="B787" s="39">
        <v>780.0</v>
      </c>
      <c r="C787" s="40" t="s">
        <v>19</v>
      </c>
      <c r="D787" s="40" t="s">
        <v>214</v>
      </c>
      <c r="E787" s="40" t="s">
        <v>253</v>
      </c>
      <c r="F787" s="40" t="s">
        <v>254</v>
      </c>
      <c r="G787" s="41" t="s">
        <v>14</v>
      </c>
      <c r="H787" s="42">
        <v>8833.0</v>
      </c>
      <c r="I787" s="43">
        <v>21.0687196</v>
      </c>
      <c r="J787" s="42">
        <v>9164.0</v>
      </c>
      <c r="K787" s="43">
        <v>49.7708424</v>
      </c>
    </row>
    <row r="788" ht="15.0" hidden="1" customHeight="1">
      <c r="A788" s="7"/>
      <c r="B788" s="35">
        <v>781.0</v>
      </c>
      <c r="C788" s="36" t="s">
        <v>17</v>
      </c>
      <c r="D788" s="49" t="s">
        <v>214</v>
      </c>
      <c r="E788" s="49" t="s">
        <v>255</v>
      </c>
      <c r="F788" s="49"/>
      <c r="G788" s="36" t="s">
        <v>255</v>
      </c>
      <c r="H788" s="37">
        <v>2006.0</v>
      </c>
      <c r="I788" s="38">
        <v>14.3569292</v>
      </c>
      <c r="J788" s="37">
        <v>3447.0</v>
      </c>
      <c r="K788" s="38">
        <v>58.9498114</v>
      </c>
    </row>
    <row r="789" ht="15.0" hidden="1" customHeight="1">
      <c r="A789" s="7"/>
      <c r="B789" s="39">
        <v>782.0</v>
      </c>
      <c r="C789" s="40" t="s">
        <v>17</v>
      </c>
      <c r="D789" s="40" t="s">
        <v>214</v>
      </c>
      <c r="E789" s="40" t="s">
        <v>255</v>
      </c>
      <c r="F789" s="40"/>
      <c r="G789" s="41" t="s">
        <v>13</v>
      </c>
      <c r="H789" s="42"/>
      <c r="I789" s="43"/>
      <c r="J789" s="42"/>
      <c r="K789" s="43"/>
    </row>
    <row r="790" ht="15.0" hidden="1" customHeight="1">
      <c r="A790" s="7"/>
      <c r="B790" s="39">
        <v>783.0</v>
      </c>
      <c r="C790" s="40" t="s">
        <v>17</v>
      </c>
      <c r="D790" s="40" t="s">
        <v>214</v>
      </c>
      <c r="E790" s="40" t="s">
        <v>255</v>
      </c>
      <c r="F790" s="40"/>
      <c r="G790" s="41" t="s">
        <v>14</v>
      </c>
      <c r="H790" s="42">
        <v>2006.0</v>
      </c>
      <c r="I790" s="43">
        <v>14.3569292</v>
      </c>
      <c r="J790" s="42">
        <v>3447.0</v>
      </c>
      <c r="K790" s="43">
        <v>58.9498114</v>
      </c>
    </row>
    <row r="791" ht="15.0" customHeight="1">
      <c r="A791" s="7"/>
      <c r="B791" s="44">
        <v>784.0</v>
      </c>
      <c r="C791" s="45" t="s">
        <v>19</v>
      </c>
      <c r="D791" s="50" t="s">
        <v>214</v>
      </c>
      <c r="E791" s="50" t="s">
        <v>255</v>
      </c>
      <c r="F791" s="50" t="s">
        <v>256</v>
      </c>
      <c r="G791" s="51" t="s">
        <v>256</v>
      </c>
      <c r="H791" s="46">
        <v>507.0</v>
      </c>
      <c r="I791" s="47">
        <v>23.2741617</v>
      </c>
      <c r="J791" s="46">
        <v>1251.0</v>
      </c>
      <c r="K791" s="47">
        <v>58.9928058</v>
      </c>
    </row>
    <row r="792" ht="15.0" hidden="1" customHeight="1">
      <c r="A792" s="7"/>
      <c r="B792" s="39">
        <v>785.0</v>
      </c>
      <c r="C792" s="40" t="s">
        <v>19</v>
      </c>
      <c r="D792" s="40" t="s">
        <v>214</v>
      </c>
      <c r="E792" s="40" t="s">
        <v>255</v>
      </c>
      <c r="F792" s="40" t="s">
        <v>256</v>
      </c>
      <c r="G792" s="41" t="s">
        <v>13</v>
      </c>
      <c r="H792" s="42"/>
      <c r="I792" s="43"/>
      <c r="J792" s="42"/>
      <c r="K792" s="43"/>
    </row>
    <row r="793" ht="15.0" hidden="1" customHeight="1">
      <c r="A793" s="7"/>
      <c r="B793" s="39">
        <v>786.0</v>
      </c>
      <c r="C793" s="40" t="s">
        <v>19</v>
      </c>
      <c r="D793" s="40" t="s">
        <v>214</v>
      </c>
      <c r="E793" s="40" t="s">
        <v>255</v>
      </c>
      <c r="F793" s="40" t="s">
        <v>256</v>
      </c>
      <c r="G793" s="41" t="s">
        <v>14</v>
      </c>
      <c r="H793" s="42">
        <v>507.0</v>
      </c>
      <c r="I793" s="43">
        <v>23.2741617</v>
      </c>
      <c r="J793" s="42">
        <v>1251.0</v>
      </c>
      <c r="K793" s="43">
        <v>58.9928058</v>
      </c>
    </row>
    <row r="794" ht="15.0" customHeight="1">
      <c r="A794" s="7"/>
      <c r="B794" s="44">
        <v>787.0</v>
      </c>
      <c r="C794" s="45" t="s">
        <v>19</v>
      </c>
      <c r="D794" s="50" t="s">
        <v>214</v>
      </c>
      <c r="E794" s="50" t="s">
        <v>255</v>
      </c>
      <c r="F794" s="50" t="s">
        <v>257</v>
      </c>
      <c r="G794" s="51" t="s">
        <v>257</v>
      </c>
      <c r="H794" s="46">
        <v>661.0</v>
      </c>
      <c r="I794" s="47">
        <v>10.2874433</v>
      </c>
      <c r="J794" s="46">
        <v>1077.0</v>
      </c>
      <c r="K794" s="47">
        <v>67.8737233</v>
      </c>
    </row>
    <row r="795" ht="15.0" hidden="1" customHeight="1">
      <c r="A795" s="7"/>
      <c r="B795" s="39">
        <v>788.0</v>
      </c>
      <c r="C795" s="40" t="s">
        <v>19</v>
      </c>
      <c r="D795" s="40" t="s">
        <v>214</v>
      </c>
      <c r="E795" s="40" t="s">
        <v>255</v>
      </c>
      <c r="F795" s="40" t="s">
        <v>257</v>
      </c>
      <c r="G795" s="41" t="s">
        <v>13</v>
      </c>
      <c r="H795" s="42"/>
      <c r="I795" s="43"/>
      <c r="J795" s="42"/>
      <c r="K795" s="43"/>
    </row>
    <row r="796" ht="15.0" hidden="1" customHeight="1">
      <c r="A796" s="7"/>
      <c r="B796" s="39">
        <v>789.0</v>
      </c>
      <c r="C796" s="40" t="s">
        <v>19</v>
      </c>
      <c r="D796" s="40" t="s">
        <v>214</v>
      </c>
      <c r="E796" s="40" t="s">
        <v>255</v>
      </c>
      <c r="F796" s="40" t="s">
        <v>257</v>
      </c>
      <c r="G796" s="41" t="s">
        <v>14</v>
      </c>
      <c r="H796" s="42">
        <v>661.0</v>
      </c>
      <c r="I796" s="43">
        <v>10.2874433</v>
      </c>
      <c r="J796" s="42">
        <v>1077.0</v>
      </c>
      <c r="K796" s="43">
        <v>67.8737233</v>
      </c>
    </row>
    <row r="797" ht="15.0" customHeight="1">
      <c r="A797" s="7"/>
      <c r="B797" s="44">
        <v>790.0</v>
      </c>
      <c r="C797" s="45" t="s">
        <v>19</v>
      </c>
      <c r="D797" s="50" t="s">
        <v>214</v>
      </c>
      <c r="E797" s="50" t="s">
        <v>255</v>
      </c>
      <c r="F797" s="50" t="s">
        <v>221</v>
      </c>
      <c r="G797" s="51" t="s">
        <v>221</v>
      </c>
      <c r="H797" s="46">
        <v>838.0</v>
      </c>
      <c r="I797" s="47">
        <v>12.1718377</v>
      </c>
      <c r="J797" s="46">
        <v>1119.0</v>
      </c>
      <c r="K797" s="47">
        <v>50.3127793</v>
      </c>
    </row>
    <row r="798" ht="15.0" hidden="1" customHeight="1">
      <c r="A798" s="7"/>
      <c r="B798" s="39">
        <v>791.0</v>
      </c>
      <c r="C798" s="40" t="s">
        <v>19</v>
      </c>
      <c r="D798" s="40" t="s">
        <v>214</v>
      </c>
      <c r="E798" s="40" t="s">
        <v>255</v>
      </c>
      <c r="F798" s="40" t="s">
        <v>221</v>
      </c>
      <c r="G798" s="41" t="s">
        <v>13</v>
      </c>
      <c r="H798" s="42"/>
      <c r="I798" s="43"/>
      <c r="J798" s="42"/>
      <c r="K798" s="43"/>
    </row>
    <row r="799" ht="15.0" hidden="1" customHeight="1">
      <c r="A799" s="7"/>
      <c r="B799" s="39">
        <v>792.0</v>
      </c>
      <c r="C799" s="40" t="s">
        <v>19</v>
      </c>
      <c r="D799" s="40" t="s">
        <v>214</v>
      </c>
      <c r="E799" s="40" t="s">
        <v>255</v>
      </c>
      <c r="F799" s="40" t="s">
        <v>221</v>
      </c>
      <c r="G799" s="41" t="s">
        <v>14</v>
      </c>
      <c r="H799" s="42">
        <v>838.0</v>
      </c>
      <c r="I799" s="43">
        <v>12.1718377</v>
      </c>
      <c r="J799" s="42">
        <v>1119.0</v>
      </c>
      <c r="K799" s="43">
        <v>50.3127793</v>
      </c>
    </row>
    <row r="800" ht="15.0" hidden="1" customHeight="1">
      <c r="A800" s="7"/>
      <c r="B800" s="35">
        <v>793.0</v>
      </c>
      <c r="C800" s="36" t="s">
        <v>17</v>
      </c>
      <c r="D800" s="49" t="s">
        <v>214</v>
      </c>
      <c r="E800" s="49" t="s">
        <v>258</v>
      </c>
      <c r="F800" s="49"/>
      <c r="G800" s="36" t="s">
        <v>258</v>
      </c>
      <c r="H800" s="37">
        <v>5446.0</v>
      </c>
      <c r="I800" s="38">
        <v>15.7914065</v>
      </c>
      <c r="J800" s="37">
        <v>5971.0</v>
      </c>
      <c r="K800" s="38">
        <v>35.8901357</v>
      </c>
    </row>
    <row r="801" ht="15.0" hidden="1" customHeight="1">
      <c r="A801" s="7"/>
      <c r="B801" s="39">
        <v>794.0</v>
      </c>
      <c r="C801" s="40" t="s">
        <v>17</v>
      </c>
      <c r="D801" s="40" t="s">
        <v>214</v>
      </c>
      <c r="E801" s="40" t="s">
        <v>258</v>
      </c>
      <c r="F801" s="40"/>
      <c r="G801" s="41" t="s">
        <v>13</v>
      </c>
      <c r="H801" s="42"/>
      <c r="I801" s="43"/>
      <c r="J801" s="42"/>
      <c r="K801" s="43"/>
    </row>
    <row r="802" ht="15.0" hidden="1" customHeight="1">
      <c r="A802" s="7"/>
      <c r="B802" s="39">
        <v>795.0</v>
      </c>
      <c r="C802" s="40" t="s">
        <v>17</v>
      </c>
      <c r="D802" s="40" t="s">
        <v>214</v>
      </c>
      <c r="E802" s="40" t="s">
        <v>258</v>
      </c>
      <c r="F802" s="40"/>
      <c r="G802" s="41" t="s">
        <v>14</v>
      </c>
      <c r="H802" s="42">
        <v>5446.0</v>
      </c>
      <c r="I802" s="43">
        <v>15.7914065</v>
      </c>
      <c r="J802" s="42">
        <v>5971.0</v>
      </c>
      <c r="K802" s="43">
        <v>35.8901357</v>
      </c>
    </row>
    <row r="803" ht="15.0" customHeight="1">
      <c r="A803" s="7"/>
      <c r="B803" s="44">
        <v>796.0</v>
      </c>
      <c r="C803" s="45" t="s">
        <v>19</v>
      </c>
      <c r="D803" s="50" t="s">
        <v>214</v>
      </c>
      <c r="E803" s="50" t="s">
        <v>258</v>
      </c>
      <c r="F803" s="50" t="s">
        <v>259</v>
      </c>
      <c r="G803" s="51" t="s">
        <v>259</v>
      </c>
      <c r="H803" s="46">
        <v>5446.0</v>
      </c>
      <c r="I803" s="47">
        <v>15.7914065</v>
      </c>
      <c r="J803" s="46">
        <v>5971.0</v>
      </c>
      <c r="K803" s="47">
        <v>35.8901357</v>
      </c>
    </row>
    <row r="804" ht="15.0" hidden="1" customHeight="1">
      <c r="A804" s="7"/>
      <c r="B804" s="39">
        <v>797.0</v>
      </c>
      <c r="C804" s="40" t="s">
        <v>19</v>
      </c>
      <c r="D804" s="40" t="s">
        <v>214</v>
      </c>
      <c r="E804" s="40" t="s">
        <v>258</v>
      </c>
      <c r="F804" s="40" t="s">
        <v>259</v>
      </c>
      <c r="G804" s="41" t="s">
        <v>13</v>
      </c>
      <c r="H804" s="42"/>
      <c r="I804" s="43"/>
      <c r="J804" s="42"/>
      <c r="K804" s="43"/>
    </row>
    <row r="805" ht="15.0" hidden="1" customHeight="1">
      <c r="A805" s="7"/>
      <c r="B805" s="39">
        <v>798.0</v>
      </c>
      <c r="C805" s="40" t="s">
        <v>19</v>
      </c>
      <c r="D805" s="40" t="s">
        <v>214</v>
      </c>
      <c r="E805" s="40" t="s">
        <v>258</v>
      </c>
      <c r="F805" s="40" t="s">
        <v>259</v>
      </c>
      <c r="G805" s="41" t="s">
        <v>14</v>
      </c>
      <c r="H805" s="42">
        <v>5446.0</v>
      </c>
      <c r="I805" s="43">
        <v>15.7914065</v>
      </c>
      <c r="J805" s="42">
        <v>5971.0</v>
      </c>
      <c r="K805" s="43">
        <v>35.8901357</v>
      </c>
    </row>
    <row r="806" ht="15.0" hidden="1" customHeight="1">
      <c r="A806" s="7"/>
      <c r="B806" s="27">
        <v>799.0</v>
      </c>
      <c r="C806" s="28" t="s">
        <v>15</v>
      </c>
      <c r="D806" s="28" t="s">
        <v>260</v>
      </c>
      <c r="E806" s="28"/>
      <c r="F806" s="28"/>
      <c r="G806" s="28" t="s">
        <v>260</v>
      </c>
      <c r="H806" s="29">
        <v>810141.0</v>
      </c>
      <c r="I806" s="30">
        <v>53.3567614</v>
      </c>
      <c r="J806" s="29">
        <v>841628.0</v>
      </c>
      <c r="K806" s="30">
        <v>64.2048506</v>
      </c>
    </row>
    <row r="807" ht="15.0" hidden="1" customHeight="1">
      <c r="A807" s="7"/>
      <c r="B807" s="31">
        <v>800.0</v>
      </c>
      <c r="C807" s="32" t="s">
        <v>15</v>
      </c>
      <c r="D807" s="48" t="s">
        <v>260</v>
      </c>
      <c r="E807" s="48"/>
      <c r="F807" s="48"/>
      <c r="G807" s="32" t="s">
        <v>13</v>
      </c>
      <c r="H807" s="33">
        <v>326263.0</v>
      </c>
      <c r="I807" s="34">
        <v>99.0765119</v>
      </c>
      <c r="J807" s="33">
        <v>368874.0</v>
      </c>
      <c r="K807" s="34">
        <v>99.4206694</v>
      </c>
    </row>
    <row r="808" ht="15.0" hidden="1" customHeight="1">
      <c r="A808" s="7"/>
      <c r="B808" s="31">
        <v>801.0</v>
      </c>
      <c r="C808" s="32" t="s">
        <v>15</v>
      </c>
      <c r="D808" s="48" t="s">
        <v>260</v>
      </c>
      <c r="E808" s="48"/>
      <c r="F808" s="48"/>
      <c r="G808" s="32" t="s">
        <v>14</v>
      </c>
      <c r="H808" s="33">
        <v>483878.0</v>
      </c>
      <c r="I808" s="34">
        <v>22.5294392</v>
      </c>
      <c r="J808" s="33">
        <v>472754.0</v>
      </c>
      <c r="K808" s="34">
        <v>36.727135</v>
      </c>
    </row>
    <row r="809" ht="15.0" hidden="1" customHeight="1">
      <c r="A809" s="7"/>
      <c r="B809" s="35">
        <v>802.0</v>
      </c>
      <c r="C809" s="36" t="s">
        <v>17</v>
      </c>
      <c r="D809" s="49" t="s">
        <v>260</v>
      </c>
      <c r="E809" s="49" t="s">
        <v>261</v>
      </c>
      <c r="F809" s="49"/>
      <c r="G809" s="36" t="s">
        <v>261</v>
      </c>
      <c r="H809" s="37">
        <v>225481.0</v>
      </c>
      <c r="I809" s="38">
        <v>80.8422883</v>
      </c>
      <c r="J809" s="37">
        <v>257026.0</v>
      </c>
      <c r="K809" s="38">
        <v>84.1370134</v>
      </c>
    </row>
    <row r="810" ht="15.0" hidden="1" customHeight="1">
      <c r="A810" s="7"/>
      <c r="B810" s="39">
        <v>803.0</v>
      </c>
      <c r="C810" s="40" t="s">
        <v>17</v>
      </c>
      <c r="D810" s="40" t="s">
        <v>260</v>
      </c>
      <c r="E810" s="40" t="s">
        <v>261</v>
      </c>
      <c r="F810" s="40"/>
      <c r="G810" s="41" t="s">
        <v>13</v>
      </c>
      <c r="H810" s="42">
        <v>171908.0</v>
      </c>
      <c r="I810" s="43">
        <v>99.7091468</v>
      </c>
      <c r="J810" s="42">
        <v>193202.0</v>
      </c>
      <c r="K810" s="43">
        <v>99.6811627</v>
      </c>
    </row>
    <row r="811" ht="15.0" hidden="1" customHeight="1">
      <c r="A811" s="7"/>
      <c r="B811" s="39">
        <v>804.0</v>
      </c>
      <c r="C811" s="40" t="s">
        <v>17</v>
      </c>
      <c r="D811" s="40" t="s">
        <v>260</v>
      </c>
      <c r="E811" s="40" t="s">
        <v>261</v>
      </c>
      <c r="F811" s="40"/>
      <c r="G811" s="41" t="s">
        <v>14</v>
      </c>
      <c r="H811" s="42">
        <v>53573.0</v>
      </c>
      <c r="I811" s="43">
        <v>20.3012712</v>
      </c>
      <c r="J811" s="42">
        <v>63824.0</v>
      </c>
      <c r="K811" s="43">
        <v>37.0832289</v>
      </c>
    </row>
    <row r="812" ht="15.0" customHeight="1">
      <c r="A812" s="7"/>
      <c r="B812" s="44">
        <v>805.0</v>
      </c>
      <c r="C812" s="45" t="s">
        <v>19</v>
      </c>
      <c r="D812" s="50" t="s">
        <v>260</v>
      </c>
      <c r="E812" s="50" t="s">
        <v>261</v>
      </c>
      <c r="F812" s="50" t="s">
        <v>260</v>
      </c>
      <c r="G812" s="51" t="s">
        <v>260</v>
      </c>
      <c r="H812" s="46">
        <v>186908.0</v>
      </c>
      <c r="I812" s="47">
        <v>93.9836711</v>
      </c>
      <c r="J812" s="46">
        <v>212998.0</v>
      </c>
      <c r="K812" s="47">
        <v>95.4755444</v>
      </c>
    </row>
    <row r="813" ht="15.0" hidden="1" customHeight="1">
      <c r="A813" s="7"/>
      <c r="B813" s="39">
        <v>806.0</v>
      </c>
      <c r="C813" s="40" t="s">
        <v>19</v>
      </c>
      <c r="D813" s="40" t="s">
        <v>260</v>
      </c>
      <c r="E813" s="40" t="s">
        <v>261</v>
      </c>
      <c r="F813" s="40" t="s">
        <v>260</v>
      </c>
      <c r="G813" s="41" t="s">
        <v>13</v>
      </c>
      <c r="H813" s="42">
        <v>171908.0</v>
      </c>
      <c r="I813" s="43">
        <v>99.7091468</v>
      </c>
      <c r="J813" s="42">
        <v>193202.0</v>
      </c>
      <c r="K813" s="43">
        <v>99.6811627</v>
      </c>
    </row>
    <row r="814" ht="15.0" hidden="1" customHeight="1">
      <c r="A814" s="7"/>
      <c r="B814" s="39">
        <v>807.0</v>
      </c>
      <c r="C814" s="40" t="s">
        <v>19</v>
      </c>
      <c r="D814" s="40" t="s">
        <v>260</v>
      </c>
      <c r="E814" s="40" t="s">
        <v>261</v>
      </c>
      <c r="F814" s="40" t="s">
        <v>260</v>
      </c>
      <c r="G814" s="41" t="s">
        <v>14</v>
      </c>
      <c r="H814" s="42">
        <v>15000.0</v>
      </c>
      <c r="I814" s="43">
        <v>28.3666667</v>
      </c>
      <c r="J814" s="42">
        <v>19796.0</v>
      </c>
      <c r="K814" s="43">
        <v>54.4301879</v>
      </c>
    </row>
    <row r="815" ht="15.0" customHeight="1">
      <c r="A815" s="7"/>
      <c r="B815" s="44">
        <v>808.0</v>
      </c>
      <c r="C815" s="45" t="s">
        <v>19</v>
      </c>
      <c r="D815" s="50" t="s">
        <v>260</v>
      </c>
      <c r="E815" s="50" t="s">
        <v>261</v>
      </c>
      <c r="F815" s="50" t="s">
        <v>262</v>
      </c>
      <c r="G815" s="51" t="s">
        <v>262</v>
      </c>
      <c r="H815" s="46">
        <v>27064.0</v>
      </c>
      <c r="I815" s="47">
        <v>7.7852498</v>
      </c>
      <c r="J815" s="46">
        <v>28820.0</v>
      </c>
      <c r="K815" s="47">
        <v>14.2470507</v>
      </c>
    </row>
    <row r="816" ht="15.0" hidden="1" customHeight="1">
      <c r="A816" s="7"/>
      <c r="B816" s="39">
        <v>809.0</v>
      </c>
      <c r="C816" s="40" t="s">
        <v>19</v>
      </c>
      <c r="D816" s="40" t="s">
        <v>260</v>
      </c>
      <c r="E816" s="40" t="s">
        <v>261</v>
      </c>
      <c r="F816" s="40" t="s">
        <v>262</v>
      </c>
      <c r="G816" s="41" t="s">
        <v>13</v>
      </c>
      <c r="H816" s="42"/>
      <c r="I816" s="43"/>
      <c r="J816" s="42"/>
      <c r="K816" s="43"/>
    </row>
    <row r="817" ht="15.0" hidden="1" customHeight="1">
      <c r="A817" s="7"/>
      <c r="B817" s="39">
        <v>810.0</v>
      </c>
      <c r="C817" s="40" t="s">
        <v>19</v>
      </c>
      <c r="D817" s="40" t="s">
        <v>260</v>
      </c>
      <c r="E817" s="40" t="s">
        <v>261</v>
      </c>
      <c r="F817" s="40" t="s">
        <v>262</v>
      </c>
      <c r="G817" s="41" t="s">
        <v>14</v>
      </c>
      <c r="H817" s="42">
        <v>27064.0</v>
      </c>
      <c r="I817" s="43">
        <v>7.7852498</v>
      </c>
      <c r="J817" s="42">
        <v>28820.0</v>
      </c>
      <c r="K817" s="43">
        <v>14.2470507</v>
      </c>
    </row>
    <row r="818" ht="15.0" customHeight="1">
      <c r="A818" s="7"/>
      <c r="B818" s="44">
        <v>811.0</v>
      </c>
      <c r="C818" s="45" t="s">
        <v>19</v>
      </c>
      <c r="D818" s="50" t="s">
        <v>260</v>
      </c>
      <c r="E818" s="50" t="s">
        <v>261</v>
      </c>
      <c r="F818" s="50" t="s">
        <v>263</v>
      </c>
      <c r="G818" s="51" t="s">
        <v>263</v>
      </c>
      <c r="H818" s="46">
        <v>8762.0</v>
      </c>
      <c r="I818" s="47">
        <v>46.2793883</v>
      </c>
      <c r="J818" s="46">
        <v>12100.0</v>
      </c>
      <c r="K818" s="47">
        <v>64.2561983</v>
      </c>
    </row>
    <row r="819" ht="15.0" hidden="1" customHeight="1">
      <c r="A819" s="7"/>
      <c r="B819" s="39">
        <v>812.0</v>
      </c>
      <c r="C819" s="40" t="s">
        <v>19</v>
      </c>
      <c r="D819" s="40" t="s">
        <v>260</v>
      </c>
      <c r="E819" s="40" t="s">
        <v>261</v>
      </c>
      <c r="F819" s="40" t="s">
        <v>263</v>
      </c>
      <c r="G819" s="41" t="s">
        <v>13</v>
      </c>
      <c r="H819" s="42"/>
      <c r="I819" s="43"/>
      <c r="J819" s="42"/>
      <c r="K819" s="43"/>
    </row>
    <row r="820" ht="15.0" hidden="1" customHeight="1">
      <c r="A820" s="7"/>
      <c r="B820" s="39">
        <v>813.0</v>
      </c>
      <c r="C820" s="40" t="s">
        <v>19</v>
      </c>
      <c r="D820" s="40" t="s">
        <v>260</v>
      </c>
      <c r="E820" s="40" t="s">
        <v>261</v>
      </c>
      <c r="F820" s="40" t="s">
        <v>263</v>
      </c>
      <c r="G820" s="41" t="s">
        <v>14</v>
      </c>
      <c r="H820" s="42">
        <v>8762.0</v>
      </c>
      <c r="I820" s="43">
        <v>46.2793883</v>
      </c>
      <c r="J820" s="42">
        <v>12100.0</v>
      </c>
      <c r="K820" s="43">
        <v>64.2561983</v>
      </c>
    </row>
    <row r="821" ht="15.0" customHeight="1">
      <c r="A821" s="7"/>
      <c r="B821" s="44">
        <v>814.0</v>
      </c>
      <c r="C821" s="45" t="s">
        <v>19</v>
      </c>
      <c r="D821" s="50" t="s">
        <v>260</v>
      </c>
      <c r="E821" s="50" t="s">
        <v>261</v>
      </c>
      <c r="F821" s="50" t="s">
        <v>264</v>
      </c>
      <c r="G821" s="51" t="s">
        <v>264</v>
      </c>
      <c r="H821" s="46">
        <v>2747.0</v>
      </c>
      <c r="I821" s="47">
        <v>16.7091372</v>
      </c>
      <c r="J821" s="46">
        <v>3108.0</v>
      </c>
      <c r="K821" s="47">
        <v>32.5611326</v>
      </c>
    </row>
    <row r="822" ht="15.0" hidden="1" customHeight="1">
      <c r="A822" s="7"/>
      <c r="B822" s="39">
        <v>815.0</v>
      </c>
      <c r="C822" s="40" t="s">
        <v>19</v>
      </c>
      <c r="D822" s="40" t="s">
        <v>260</v>
      </c>
      <c r="E822" s="40" t="s">
        <v>261</v>
      </c>
      <c r="F822" s="40" t="s">
        <v>264</v>
      </c>
      <c r="G822" s="41" t="s">
        <v>13</v>
      </c>
      <c r="H822" s="42"/>
      <c r="I822" s="43"/>
      <c r="J822" s="42"/>
      <c r="K822" s="43"/>
    </row>
    <row r="823" ht="15.0" hidden="1" customHeight="1">
      <c r="A823" s="7"/>
      <c r="B823" s="39">
        <v>816.0</v>
      </c>
      <c r="C823" s="40" t="s">
        <v>19</v>
      </c>
      <c r="D823" s="40" t="s">
        <v>260</v>
      </c>
      <c r="E823" s="40" t="s">
        <v>261</v>
      </c>
      <c r="F823" s="40" t="s">
        <v>264</v>
      </c>
      <c r="G823" s="41" t="s">
        <v>14</v>
      </c>
      <c r="H823" s="42">
        <v>2747.0</v>
      </c>
      <c r="I823" s="43">
        <v>16.7091372</v>
      </c>
      <c r="J823" s="42">
        <v>3108.0</v>
      </c>
      <c r="K823" s="43">
        <v>32.5611326</v>
      </c>
    </row>
    <row r="824" ht="15.0" hidden="1" customHeight="1">
      <c r="A824" s="7"/>
      <c r="B824" s="35">
        <v>817.0</v>
      </c>
      <c r="C824" s="36" t="s">
        <v>17</v>
      </c>
      <c r="D824" s="49" t="s">
        <v>260</v>
      </c>
      <c r="E824" s="49" t="s">
        <v>265</v>
      </c>
      <c r="F824" s="49"/>
      <c r="G824" s="36" t="s">
        <v>265</v>
      </c>
      <c r="H824" s="37">
        <v>85260.0</v>
      </c>
      <c r="I824" s="38">
        <v>68.0518414</v>
      </c>
      <c r="J824" s="37">
        <v>86377.0</v>
      </c>
      <c r="K824" s="38">
        <v>77.4743277</v>
      </c>
    </row>
    <row r="825" ht="15.0" hidden="1" customHeight="1">
      <c r="A825" s="7"/>
      <c r="B825" s="39">
        <v>818.0</v>
      </c>
      <c r="C825" s="40" t="s">
        <v>17</v>
      </c>
      <c r="D825" s="40" t="s">
        <v>260</v>
      </c>
      <c r="E825" s="40" t="s">
        <v>265</v>
      </c>
      <c r="F825" s="40"/>
      <c r="G825" s="41" t="s">
        <v>13</v>
      </c>
      <c r="H825" s="42">
        <v>44780.0</v>
      </c>
      <c r="I825" s="43">
        <v>98.5841894</v>
      </c>
      <c r="J825" s="42">
        <v>48603.0</v>
      </c>
      <c r="K825" s="43">
        <v>99.3025122</v>
      </c>
    </row>
    <row r="826" ht="15.0" hidden="1" customHeight="1">
      <c r="A826" s="7"/>
      <c r="B826" s="39">
        <v>819.0</v>
      </c>
      <c r="C826" s="40" t="s">
        <v>17</v>
      </c>
      <c r="D826" s="40" t="s">
        <v>260</v>
      </c>
      <c r="E826" s="40" t="s">
        <v>265</v>
      </c>
      <c r="F826" s="40"/>
      <c r="G826" s="41" t="s">
        <v>14</v>
      </c>
      <c r="H826" s="42">
        <v>40480.0</v>
      </c>
      <c r="I826" s="43">
        <v>34.2761858</v>
      </c>
      <c r="J826" s="42">
        <v>37774.0</v>
      </c>
      <c r="K826" s="43">
        <v>49.3884683</v>
      </c>
    </row>
    <row r="827" ht="15.0" customHeight="1">
      <c r="A827" s="7"/>
      <c r="B827" s="44">
        <v>820.0</v>
      </c>
      <c r="C827" s="45" t="s">
        <v>19</v>
      </c>
      <c r="D827" s="50" t="s">
        <v>260</v>
      </c>
      <c r="E827" s="50" t="s">
        <v>265</v>
      </c>
      <c r="F827" s="50" t="s">
        <v>266</v>
      </c>
      <c r="G827" s="51" t="s">
        <v>266</v>
      </c>
      <c r="H827" s="46">
        <v>21492.0</v>
      </c>
      <c r="I827" s="47">
        <v>61.3391029</v>
      </c>
      <c r="J827" s="46">
        <v>21997.0</v>
      </c>
      <c r="K827" s="47">
        <v>71.3142701</v>
      </c>
    </row>
    <row r="828" ht="15.0" hidden="1" customHeight="1">
      <c r="A828" s="7"/>
      <c r="B828" s="39">
        <v>821.0</v>
      </c>
      <c r="C828" s="40" t="s">
        <v>19</v>
      </c>
      <c r="D828" s="40" t="s">
        <v>260</v>
      </c>
      <c r="E828" s="40" t="s">
        <v>265</v>
      </c>
      <c r="F828" s="40" t="s">
        <v>266</v>
      </c>
      <c r="G828" s="41" t="s">
        <v>13</v>
      </c>
      <c r="H828" s="42">
        <v>8412.0</v>
      </c>
      <c r="I828" s="43">
        <v>98.9300999</v>
      </c>
      <c r="J828" s="42">
        <v>8532.0</v>
      </c>
      <c r="K828" s="43">
        <v>99.6483826</v>
      </c>
    </row>
    <row r="829" ht="15.0" hidden="1" customHeight="1">
      <c r="A829" s="7"/>
      <c r="B829" s="39">
        <v>822.0</v>
      </c>
      <c r="C829" s="40" t="s">
        <v>19</v>
      </c>
      <c r="D829" s="40" t="s">
        <v>260</v>
      </c>
      <c r="E829" s="40" t="s">
        <v>265</v>
      </c>
      <c r="F829" s="40" t="s">
        <v>266</v>
      </c>
      <c r="G829" s="41" t="s">
        <v>14</v>
      </c>
      <c r="H829" s="42">
        <v>13080.0</v>
      </c>
      <c r="I829" s="43">
        <v>37.1636086</v>
      </c>
      <c r="J829" s="42">
        <v>13465.0</v>
      </c>
      <c r="K829" s="43">
        <v>53.3605644</v>
      </c>
    </row>
    <row r="830" ht="15.0" customHeight="1">
      <c r="A830" s="7"/>
      <c r="B830" s="44">
        <v>823.0</v>
      </c>
      <c r="C830" s="45" t="s">
        <v>19</v>
      </c>
      <c r="D830" s="50" t="s">
        <v>260</v>
      </c>
      <c r="E830" s="50" t="s">
        <v>265</v>
      </c>
      <c r="F830" s="50" t="s">
        <v>267</v>
      </c>
      <c r="G830" s="51" t="s">
        <v>267</v>
      </c>
      <c r="H830" s="46">
        <v>15865.0</v>
      </c>
      <c r="I830" s="47">
        <v>43.0003152</v>
      </c>
      <c r="J830" s="46">
        <v>15571.0</v>
      </c>
      <c r="K830" s="47">
        <v>58.3392203</v>
      </c>
    </row>
    <row r="831" ht="15.0" hidden="1" customHeight="1">
      <c r="A831" s="7"/>
      <c r="B831" s="39">
        <v>824.0</v>
      </c>
      <c r="C831" s="40" t="s">
        <v>19</v>
      </c>
      <c r="D831" s="40" t="s">
        <v>260</v>
      </c>
      <c r="E831" s="40" t="s">
        <v>265</v>
      </c>
      <c r="F831" s="40" t="s">
        <v>267</v>
      </c>
      <c r="G831" s="41" t="s">
        <v>13</v>
      </c>
      <c r="H831" s="42">
        <v>2372.0</v>
      </c>
      <c r="I831" s="43">
        <v>92.4536256</v>
      </c>
      <c r="J831" s="42">
        <v>2532.0</v>
      </c>
      <c r="K831" s="43">
        <v>98.3017378</v>
      </c>
    </row>
    <row r="832" ht="15.0" hidden="1" customHeight="1">
      <c r="A832" s="7"/>
      <c r="B832" s="39">
        <v>825.0</v>
      </c>
      <c r="C832" s="40" t="s">
        <v>19</v>
      </c>
      <c r="D832" s="40" t="s">
        <v>260</v>
      </c>
      <c r="E832" s="40" t="s">
        <v>265</v>
      </c>
      <c r="F832" s="40" t="s">
        <v>267</v>
      </c>
      <c r="G832" s="41" t="s">
        <v>14</v>
      </c>
      <c r="H832" s="42">
        <v>13493.0</v>
      </c>
      <c r="I832" s="43">
        <v>34.3066775</v>
      </c>
      <c r="J832" s="42">
        <v>13039.0</v>
      </c>
      <c r="K832" s="43">
        <v>50.5790321</v>
      </c>
    </row>
    <row r="833" ht="15.0" customHeight="1">
      <c r="A833" s="7"/>
      <c r="B833" s="44">
        <v>826.0</v>
      </c>
      <c r="C833" s="45" t="s">
        <v>19</v>
      </c>
      <c r="D833" s="50" t="s">
        <v>260</v>
      </c>
      <c r="E833" s="50" t="s">
        <v>265</v>
      </c>
      <c r="F833" s="50" t="s">
        <v>268</v>
      </c>
      <c r="G833" s="51" t="s">
        <v>268</v>
      </c>
      <c r="H833" s="46">
        <v>39995.0</v>
      </c>
      <c r="I833" s="47">
        <v>87.3459182</v>
      </c>
      <c r="J833" s="46">
        <v>40637.0</v>
      </c>
      <c r="K833" s="47">
        <v>92.0048232</v>
      </c>
    </row>
    <row r="834" ht="15.0" hidden="1" customHeight="1">
      <c r="A834" s="7"/>
      <c r="B834" s="39">
        <v>827.0</v>
      </c>
      <c r="C834" s="40" t="s">
        <v>19</v>
      </c>
      <c r="D834" s="40" t="s">
        <v>260</v>
      </c>
      <c r="E834" s="40" t="s">
        <v>265</v>
      </c>
      <c r="F834" s="40" t="s">
        <v>268</v>
      </c>
      <c r="G834" s="41" t="s">
        <v>13</v>
      </c>
      <c r="H834" s="42">
        <v>33996.0</v>
      </c>
      <c r="I834" s="43">
        <v>98.9263443</v>
      </c>
      <c r="J834" s="42">
        <v>35529.0</v>
      </c>
      <c r="K834" s="43">
        <v>99.3836021</v>
      </c>
    </row>
    <row r="835" ht="15.0" hidden="1" customHeight="1">
      <c r="A835" s="7"/>
      <c r="B835" s="39">
        <v>828.0</v>
      </c>
      <c r="C835" s="40" t="s">
        <v>19</v>
      </c>
      <c r="D835" s="40" t="s">
        <v>260</v>
      </c>
      <c r="E835" s="40" t="s">
        <v>265</v>
      </c>
      <c r="F835" s="40" t="s">
        <v>268</v>
      </c>
      <c r="G835" s="41" t="s">
        <v>14</v>
      </c>
      <c r="H835" s="42">
        <v>5999.0</v>
      </c>
      <c r="I835" s="43">
        <v>21.7202867</v>
      </c>
      <c r="J835" s="42">
        <v>5108.0</v>
      </c>
      <c r="K835" s="43">
        <v>40.6812843</v>
      </c>
    </row>
    <row r="836" ht="15.0" customHeight="1">
      <c r="A836" s="7"/>
      <c r="B836" s="44">
        <v>829.0</v>
      </c>
      <c r="C836" s="45" t="s">
        <v>19</v>
      </c>
      <c r="D836" s="50" t="s">
        <v>260</v>
      </c>
      <c r="E836" s="50" t="s">
        <v>265</v>
      </c>
      <c r="F836" s="50" t="s">
        <v>269</v>
      </c>
      <c r="G836" s="51" t="s">
        <v>269</v>
      </c>
      <c r="H836" s="46">
        <v>7908.0</v>
      </c>
      <c r="I836" s="47">
        <v>38.9731917</v>
      </c>
      <c r="J836" s="46">
        <v>8172.0</v>
      </c>
      <c r="K836" s="47">
        <v>58.2599119</v>
      </c>
    </row>
    <row r="837" ht="15.0" hidden="1" customHeight="1">
      <c r="A837" s="7"/>
      <c r="B837" s="39">
        <v>830.0</v>
      </c>
      <c r="C837" s="40" t="s">
        <v>19</v>
      </c>
      <c r="D837" s="40" t="s">
        <v>260</v>
      </c>
      <c r="E837" s="40" t="s">
        <v>265</v>
      </c>
      <c r="F837" s="40" t="s">
        <v>269</v>
      </c>
      <c r="G837" s="41" t="s">
        <v>13</v>
      </c>
      <c r="H837" s="42"/>
      <c r="I837" s="43"/>
      <c r="J837" s="42">
        <v>2010.0</v>
      </c>
      <c r="K837" s="43">
        <v>97.6616915</v>
      </c>
    </row>
    <row r="838" ht="15.0" hidden="1" customHeight="1">
      <c r="A838" s="7"/>
      <c r="B838" s="39">
        <v>831.0</v>
      </c>
      <c r="C838" s="40" t="s">
        <v>19</v>
      </c>
      <c r="D838" s="40" t="s">
        <v>260</v>
      </c>
      <c r="E838" s="40" t="s">
        <v>265</v>
      </c>
      <c r="F838" s="40" t="s">
        <v>269</v>
      </c>
      <c r="G838" s="41" t="s">
        <v>14</v>
      </c>
      <c r="H838" s="42">
        <v>7908.0</v>
      </c>
      <c r="I838" s="43">
        <v>38.9731917</v>
      </c>
      <c r="J838" s="42">
        <v>6162.0</v>
      </c>
      <c r="K838" s="43">
        <v>45.4073353</v>
      </c>
    </row>
    <row r="839" ht="15.0" hidden="1" customHeight="1">
      <c r="A839" s="7"/>
      <c r="B839" s="35">
        <v>832.0</v>
      </c>
      <c r="C839" s="36" t="s">
        <v>17</v>
      </c>
      <c r="D839" s="49" t="s">
        <v>260</v>
      </c>
      <c r="E839" s="49" t="s">
        <v>270</v>
      </c>
      <c r="F839" s="49"/>
      <c r="G839" s="36" t="s">
        <v>270</v>
      </c>
      <c r="H839" s="37">
        <v>54996.0</v>
      </c>
      <c r="I839" s="38">
        <v>29.2221252</v>
      </c>
      <c r="J839" s="37">
        <v>54997.0</v>
      </c>
      <c r="K839" s="38">
        <v>41.6586359</v>
      </c>
    </row>
    <row r="840" ht="15.0" hidden="1" customHeight="1">
      <c r="A840" s="7"/>
      <c r="B840" s="39">
        <v>833.0</v>
      </c>
      <c r="C840" s="40" t="s">
        <v>17</v>
      </c>
      <c r="D840" s="40" t="s">
        <v>260</v>
      </c>
      <c r="E840" s="40" t="s">
        <v>270</v>
      </c>
      <c r="F840" s="40"/>
      <c r="G840" s="41" t="s">
        <v>13</v>
      </c>
      <c r="H840" s="42">
        <v>4623.0</v>
      </c>
      <c r="I840" s="43">
        <v>98.1181051</v>
      </c>
      <c r="J840" s="42">
        <v>6152.0</v>
      </c>
      <c r="K840" s="43">
        <v>98.2769831</v>
      </c>
    </row>
    <row r="841" ht="15.0" hidden="1" customHeight="1">
      <c r="A841" s="7"/>
      <c r="B841" s="39">
        <v>834.0</v>
      </c>
      <c r="C841" s="40" t="s">
        <v>17</v>
      </c>
      <c r="D841" s="40" t="s">
        <v>260</v>
      </c>
      <c r="E841" s="40" t="s">
        <v>270</v>
      </c>
      <c r="F841" s="40"/>
      <c r="G841" s="41" t="s">
        <v>14</v>
      </c>
      <c r="H841" s="42">
        <v>50373.0</v>
      </c>
      <c r="I841" s="43">
        <v>22.8991722</v>
      </c>
      <c r="J841" s="42">
        <v>48845.0</v>
      </c>
      <c r="K841" s="43">
        <v>34.5275873</v>
      </c>
    </row>
    <row r="842" ht="15.0" customHeight="1">
      <c r="A842" s="7"/>
      <c r="B842" s="44">
        <v>835.0</v>
      </c>
      <c r="C842" s="45" t="s">
        <v>19</v>
      </c>
      <c r="D842" s="50" t="s">
        <v>260</v>
      </c>
      <c r="E842" s="50" t="s">
        <v>270</v>
      </c>
      <c r="F842" s="50" t="s">
        <v>271</v>
      </c>
      <c r="G842" s="51" t="s">
        <v>271</v>
      </c>
      <c r="H842" s="46">
        <v>33563.0</v>
      </c>
      <c r="I842" s="47">
        <v>37.6724369</v>
      </c>
      <c r="J842" s="46">
        <v>31595.0</v>
      </c>
      <c r="K842" s="47">
        <v>53.5179617</v>
      </c>
    </row>
    <row r="843" ht="15.0" hidden="1" customHeight="1">
      <c r="A843" s="7"/>
      <c r="B843" s="39">
        <v>836.0</v>
      </c>
      <c r="C843" s="40" t="s">
        <v>19</v>
      </c>
      <c r="D843" s="40" t="s">
        <v>260</v>
      </c>
      <c r="E843" s="40" t="s">
        <v>270</v>
      </c>
      <c r="F843" s="40" t="s">
        <v>271</v>
      </c>
      <c r="G843" s="41" t="s">
        <v>13</v>
      </c>
      <c r="H843" s="42">
        <v>4623.0</v>
      </c>
      <c r="I843" s="43">
        <v>98.1181051</v>
      </c>
      <c r="J843" s="42">
        <v>6152.0</v>
      </c>
      <c r="K843" s="43">
        <v>98.2769831</v>
      </c>
    </row>
    <row r="844" ht="15.0" hidden="1" customHeight="1">
      <c r="A844" s="7"/>
      <c r="B844" s="39">
        <v>837.0</v>
      </c>
      <c r="C844" s="40" t="s">
        <v>19</v>
      </c>
      <c r="D844" s="40" t="s">
        <v>260</v>
      </c>
      <c r="E844" s="40" t="s">
        <v>270</v>
      </c>
      <c r="F844" s="40" t="s">
        <v>271</v>
      </c>
      <c r="G844" s="41" t="s">
        <v>14</v>
      </c>
      <c r="H844" s="42">
        <v>28940.0</v>
      </c>
      <c r="I844" s="43">
        <v>28.016586</v>
      </c>
      <c r="J844" s="42">
        <v>25443.0</v>
      </c>
      <c r="K844" s="43">
        <v>42.6954369</v>
      </c>
    </row>
    <row r="845" ht="15.0" customHeight="1">
      <c r="A845" s="7"/>
      <c r="B845" s="44">
        <v>838.0</v>
      </c>
      <c r="C845" s="45" t="s">
        <v>19</v>
      </c>
      <c r="D845" s="50" t="s">
        <v>260</v>
      </c>
      <c r="E845" s="50" t="s">
        <v>270</v>
      </c>
      <c r="F845" s="50" t="s">
        <v>272</v>
      </c>
      <c r="G845" s="51" t="s">
        <v>272</v>
      </c>
      <c r="H845" s="46">
        <v>9762.0</v>
      </c>
      <c r="I845" s="47">
        <v>24.6261012</v>
      </c>
      <c r="J845" s="46">
        <v>9115.0</v>
      </c>
      <c r="K845" s="47">
        <v>44.5309929</v>
      </c>
    </row>
    <row r="846" ht="15.0" hidden="1" customHeight="1">
      <c r="A846" s="7"/>
      <c r="B846" s="39">
        <v>839.0</v>
      </c>
      <c r="C846" s="40" t="s">
        <v>19</v>
      </c>
      <c r="D846" s="40" t="s">
        <v>260</v>
      </c>
      <c r="E846" s="40" t="s">
        <v>270</v>
      </c>
      <c r="F846" s="40" t="s">
        <v>272</v>
      </c>
      <c r="G846" s="41" t="s">
        <v>13</v>
      </c>
      <c r="H846" s="42"/>
      <c r="I846" s="43"/>
      <c r="J846" s="42"/>
      <c r="K846" s="43"/>
    </row>
    <row r="847" ht="15.0" hidden="1" customHeight="1">
      <c r="A847" s="7"/>
      <c r="B847" s="39">
        <v>840.0</v>
      </c>
      <c r="C847" s="40" t="s">
        <v>19</v>
      </c>
      <c r="D847" s="40" t="s">
        <v>260</v>
      </c>
      <c r="E847" s="40" t="s">
        <v>270</v>
      </c>
      <c r="F847" s="40" t="s">
        <v>272</v>
      </c>
      <c r="G847" s="41" t="s">
        <v>14</v>
      </c>
      <c r="H847" s="42">
        <v>9762.0</v>
      </c>
      <c r="I847" s="43">
        <v>24.6261012</v>
      </c>
      <c r="J847" s="42">
        <v>9115.0</v>
      </c>
      <c r="K847" s="43">
        <v>44.5309929</v>
      </c>
    </row>
    <row r="848" ht="15.0" customHeight="1">
      <c r="A848" s="7"/>
      <c r="B848" s="44">
        <v>841.0</v>
      </c>
      <c r="C848" s="45" t="s">
        <v>19</v>
      </c>
      <c r="D848" s="50" t="s">
        <v>260</v>
      </c>
      <c r="E848" s="50" t="s">
        <v>270</v>
      </c>
      <c r="F848" s="50" t="s">
        <v>273</v>
      </c>
      <c r="G848" s="51" t="s">
        <v>273</v>
      </c>
      <c r="H848" s="46">
        <v>11671.0</v>
      </c>
      <c r="I848" s="47">
        <v>8.7653157</v>
      </c>
      <c r="J848" s="46">
        <v>14287.0</v>
      </c>
      <c r="K848" s="47">
        <v>13.599776</v>
      </c>
    </row>
    <row r="849" ht="15.0" hidden="1" customHeight="1">
      <c r="A849" s="7"/>
      <c r="B849" s="39">
        <v>842.0</v>
      </c>
      <c r="C849" s="40" t="s">
        <v>19</v>
      </c>
      <c r="D849" s="40" t="s">
        <v>260</v>
      </c>
      <c r="E849" s="40" t="s">
        <v>270</v>
      </c>
      <c r="F849" s="40" t="s">
        <v>273</v>
      </c>
      <c r="G849" s="41" t="s">
        <v>13</v>
      </c>
      <c r="H849" s="42"/>
      <c r="I849" s="43"/>
      <c r="J849" s="42"/>
      <c r="K849" s="43"/>
    </row>
    <row r="850" ht="15.0" hidden="1" customHeight="1">
      <c r="A850" s="7"/>
      <c r="B850" s="39">
        <v>843.0</v>
      </c>
      <c r="C850" s="40" t="s">
        <v>19</v>
      </c>
      <c r="D850" s="40" t="s">
        <v>260</v>
      </c>
      <c r="E850" s="40" t="s">
        <v>270</v>
      </c>
      <c r="F850" s="40" t="s">
        <v>273</v>
      </c>
      <c r="G850" s="41" t="s">
        <v>14</v>
      </c>
      <c r="H850" s="42">
        <v>11671.0</v>
      </c>
      <c r="I850" s="43">
        <v>8.7653157</v>
      </c>
      <c r="J850" s="42">
        <v>14287.0</v>
      </c>
      <c r="K850" s="43">
        <v>13.599776</v>
      </c>
    </row>
    <row r="851" ht="15.0" hidden="1" customHeight="1">
      <c r="A851" s="7"/>
      <c r="B851" s="35">
        <v>844.0</v>
      </c>
      <c r="C851" s="36" t="s">
        <v>17</v>
      </c>
      <c r="D851" s="49" t="s">
        <v>260</v>
      </c>
      <c r="E851" s="49" t="s">
        <v>267</v>
      </c>
      <c r="F851" s="49"/>
      <c r="G851" s="36" t="s">
        <v>267</v>
      </c>
      <c r="H851" s="37">
        <v>97833.0</v>
      </c>
      <c r="I851" s="38">
        <v>16.4157288</v>
      </c>
      <c r="J851" s="37">
        <v>100352.0</v>
      </c>
      <c r="K851" s="38">
        <v>26.4170121</v>
      </c>
    </row>
    <row r="852" ht="15.0" hidden="1" customHeight="1">
      <c r="A852" s="7"/>
      <c r="B852" s="39">
        <v>845.0</v>
      </c>
      <c r="C852" s="40" t="s">
        <v>17</v>
      </c>
      <c r="D852" s="40" t="s">
        <v>260</v>
      </c>
      <c r="E852" s="40" t="s">
        <v>267</v>
      </c>
      <c r="F852" s="40"/>
      <c r="G852" s="41" t="s">
        <v>13</v>
      </c>
      <c r="H852" s="42">
        <v>4095.0</v>
      </c>
      <c r="I852" s="43">
        <v>97.2405372</v>
      </c>
      <c r="J852" s="42">
        <v>7274.0</v>
      </c>
      <c r="K852" s="43">
        <v>97.7041518</v>
      </c>
    </row>
    <row r="853" ht="15.0" hidden="1" customHeight="1">
      <c r="A853" s="7"/>
      <c r="B853" s="39">
        <v>846.0</v>
      </c>
      <c r="C853" s="40" t="s">
        <v>17</v>
      </c>
      <c r="D853" s="40" t="s">
        <v>260</v>
      </c>
      <c r="E853" s="40" t="s">
        <v>267</v>
      </c>
      <c r="F853" s="40"/>
      <c r="G853" s="41" t="s">
        <v>14</v>
      </c>
      <c r="H853" s="42">
        <v>93738.0</v>
      </c>
      <c r="I853" s="43">
        <v>12.8848493</v>
      </c>
      <c r="J853" s="42">
        <v>93078.0</v>
      </c>
      <c r="K853" s="43">
        <v>20.8459572</v>
      </c>
    </row>
    <row r="854" ht="15.0" customHeight="1">
      <c r="A854" s="7"/>
      <c r="B854" s="44">
        <v>847.0</v>
      </c>
      <c r="C854" s="45" t="s">
        <v>19</v>
      </c>
      <c r="D854" s="50" t="s">
        <v>260</v>
      </c>
      <c r="E854" s="50" t="s">
        <v>267</v>
      </c>
      <c r="F854" s="50" t="s">
        <v>274</v>
      </c>
      <c r="G854" s="51" t="s">
        <v>274</v>
      </c>
      <c r="H854" s="46">
        <v>15006.0</v>
      </c>
      <c r="I854" s="47">
        <v>33.1800613</v>
      </c>
      <c r="J854" s="46">
        <v>15920.0</v>
      </c>
      <c r="K854" s="47">
        <v>40.5276382</v>
      </c>
    </row>
    <row r="855" ht="15.0" hidden="1" customHeight="1">
      <c r="A855" s="7"/>
      <c r="B855" s="39">
        <v>848.0</v>
      </c>
      <c r="C855" s="40" t="s">
        <v>19</v>
      </c>
      <c r="D855" s="40" t="s">
        <v>260</v>
      </c>
      <c r="E855" s="40" t="s">
        <v>267</v>
      </c>
      <c r="F855" s="40" t="s">
        <v>274</v>
      </c>
      <c r="G855" s="41" t="s">
        <v>13</v>
      </c>
      <c r="H855" s="42">
        <v>4095.0</v>
      </c>
      <c r="I855" s="43">
        <v>97.2405372</v>
      </c>
      <c r="J855" s="42">
        <v>5115.0</v>
      </c>
      <c r="K855" s="43">
        <v>99.5503421</v>
      </c>
    </row>
    <row r="856" ht="15.0" hidden="1" customHeight="1">
      <c r="A856" s="7"/>
      <c r="B856" s="39">
        <v>849.0</v>
      </c>
      <c r="C856" s="40" t="s">
        <v>19</v>
      </c>
      <c r="D856" s="40" t="s">
        <v>260</v>
      </c>
      <c r="E856" s="40" t="s">
        <v>267</v>
      </c>
      <c r="F856" s="40" t="s">
        <v>274</v>
      </c>
      <c r="G856" s="41" t="s">
        <v>14</v>
      </c>
      <c r="H856" s="42">
        <v>10911.0</v>
      </c>
      <c r="I856" s="43">
        <v>9.1375676</v>
      </c>
      <c r="J856" s="42">
        <v>10805.0</v>
      </c>
      <c r="K856" s="43">
        <v>12.5867654</v>
      </c>
    </row>
    <row r="857" ht="15.0" customHeight="1">
      <c r="A857" s="7"/>
      <c r="B857" s="44">
        <v>850.0</v>
      </c>
      <c r="C857" s="45" t="s">
        <v>19</v>
      </c>
      <c r="D857" s="50" t="s">
        <v>260</v>
      </c>
      <c r="E857" s="50" t="s">
        <v>267</v>
      </c>
      <c r="F857" s="50" t="s">
        <v>275</v>
      </c>
      <c r="G857" s="51" t="s">
        <v>275</v>
      </c>
      <c r="H857" s="46">
        <v>20962.0</v>
      </c>
      <c r="I857" s="47">
        <v>10.2566549</v>
      </c>
      <c r="J857" s="46">
        <v>16774.0</v>
      </c>
      <c r="K857" s="47">
        <v>13.4553476</v>
      </c>
    </row>
    <row r="858" ht="15.0" hidden="1" customHeight="1">
      <c r="A858" s="7"/>
      <c r="B858" s="39">
        <v>851.0</v>
      </c>
      <c r="C858" s="40" t="s">
        <v>19</v>
      </c>
      <c r="D858" s="40" t="s">
        <v>260</v>
      </c>
      <c r="E858" s="40" t="s">
        <v>267</v>
      </c>
      <c r="F858" s="40" t="s">
        <v>275</v>
      </c>
      <c r="G858" s="41" t="s">
        <v>13</v>
      </c>
      <c r="H858" s="42"/>
      <c r="I858" s="43"/>
      <c r="J858" s="42"/>
      <c r="K858" s="43"/>
    </row>
    <row r="859" ht="15.0" hidden="1" customHeight="1">
      <c r="A859" s="7"/>
      <c r="B859" s="39">
        <v>852.0</v>
      </c>
      <c r="C859" s="40" t="s">
        <v>19</v>
      </c>
      <c r="D859" s="40" t="s">
        <v>260</v>
      </c>
      <c r="E859" s="40" t="s">
        <v>267</v>
      </c>
      <c r="F859" s="40" t="s">
        <v>275</v>
      </c>
      <c r="G859" s="41" t="s">
        <v>14</v>
      </c>
      <c r="H859" s="42">
        <v>20962.0</v>
      </c>
      <c r="I859" s="43">
        <v>10.2566549</v>
      </c>
      <c r="J859" s="42">
        <v>16774.0</v>
      </c>
      <c r="K859" s="43">
        <v>13.4553476</v>
      </c>
    </row>
    <row r="860" ht="15.0" customHeight="1">
      <c r="A860" s="7"/>
      <c r="B860" s="44">
        <v>853.0</v>
      </c>
      <c r="C860" s="45" t="s">
        <v>19</v>
      </c>
      <c r="D860" s="50" t="s">
        <v>260</v>
      </c>
      <c r="E860" s="50" t="s">
        <v>267</v>
      </c>
      <c r="F860" s="50" t="s">
        <v>276</v>
      </c>
      <c r="G860" s="51" t="s">
        <v>276</v>
      </c>
      <c r="H860" s="46">
        <v>26113.0</v>
      </c>
      <c r="I860" s="47">
        <v>14.2725845</v>
      </c>
      <c r="J860" s="46">
        <v>32403.0</v>
      </c>
      <c r="K860" s="47">
        <v>25.8000802</v>
      </c>
    </row>
    <row r="861" ht="15.0" hidden="1" customHeight="1">
      <c r="A861" s="7"/>
      <c r="B861" s="39">
        <v>854.0</v>
      </c>
      <c r="C861" s="40" t="s">
        <v>19</v>
      </c>
      <c r="D861" s="40" t="s">
        <v>260</v>
      </c>
      <c r="E861" s="40" t="s">
        <v>267</v>
      </c>
      <c r="F861" s="40" t="s">
        <v>276</v>
      </c>
      <c r="G861" s="41" t="s">
        <v>13</v>
      </c>
      <c r="H861" s="42"/>
      <c r="I861" s="43"/>
      <c r="J861" s="42">
        <v>2159.0</v>
      </c>
      <c r="K861" s="43">
        <v>93.3302455</v>
      </c>
    </row>
    <row r="862" ht="15.0" hidden="1" customHeight="1">
      <c r="A862" s="7"/>
      <c r="B862" s="39">
        <v>855.0</v>
      </c>
      <c r="C862" s="40" t="s">
        <v>19</v>
      </c>
      <c r="D862" s="40" t="s">
        <v>260</v>
      </c>
      <c r="E862" s="40" t="s">
        <v>267</v>
      </c>
      <c r="F862" s="40" t="s">
        <v>276</v>
      </c>
      <c r="G862" s="41" t="s">
        <v>14</v>
      </c>
      <c r="H862" s="42">
        <v>26113.0</v>
      </c>
      <c r="I862" s="43">
        <v>14.2725845</v>
      </c>
      <c r="J862" s="42">
        <v>30244.0</v>
      </c>
      <c r="K862" s="43">
        <v>20.9793678</v>
      </c>
    </row>
    <row r="863" ht="15.0" customHeight="1">
      <c r="A863" s="7"/>
      <c r="B863" s="44">
        <v>856.0</v>
      </c>
      <c r="C863" s="45" t="s">
        <v>19</v>
      </c>
      <c r="D863" s="50" t="s">
        <v>260</v>
      </c>
      <c r="E863" s="50" t="s">
        <v>267</v>
      </c>
      <c r="F863" s="50" t="s">
        <v>277</v>
      </c>
      <c r="G863" s="51" t="s">
        <v>277</v>
      </c>
      <c r="H863" s="46">
        <v>15990.0</v>
      </c>
      <c r="I863" s="47">
        <v>13.1582239</v>
      </c>
      <c r="J863" s="46">
        <v>14405.0</v>
      </c>
      <c r="K863" s="47">
        <v>16.2096494</v>
      </c>
    </row>
    <row r="864" ht="15.0" hidden="1" customHeight="1">
      <c r="A864" s="7"/>
      <c r="B864" s="39">
        <v>857.0</v>
      </c>
      <c r="C864" s="40" t="s">
        <v>19</v>
      </c>
      <c r="D864" s="40" t="s">
        <v>260</v>
      </c>
      <c r="E864" s="40" t="s">
        <v>267</v>
      </c>
      <c r="F864" s="40" t="s">
        <v>277</v>
      </c>
      <c r="G864" s="41" t="s">
        <v>13</v>
      </c>
      <c r="H864" s="42"/>
      <c r="I864" s="43"/>
      <c r="J864" s="42"/>
      <c r="K864" s="43"/>
    </row>
    <row r="865" ht="15.0" hidden="1" customHeight="1">
      <c r="A865" s="7"/>
      <c r="B865" s="39">
        <v>858.0</v>
      </c>
      <c r="C865" s="40" t="s">
        <v>19</v>
      </c>
      <c r="D865" s="40" t="s">
        <v>260</v>
      </c>
      <c r="E865" s="40" t="s">
        <v>267</v>
      </c>
      <c r="F865" s="40" t="s">
        <v>277</v>
      </c>
      <c r="G865" s="41" t="s">
        <v>14</v>
      </c>
      <c r="H865" s="42">
        <v>15990.0</v>
      </c>
      <c r="I865" s="43">
        <v>13.1582239</v>
      </c>
      <c r="J865" s="42">
        <v>14405.0</v>
      </c>
      <c r="K865" s="43">
        <v>16.2096494</v>
      </c>
    </row>
    <row r="866" ht="15.0" customHeight="1">
      <c r="A866" s="7"/>
      <c r="B866" s="44">
        <v>859.0</v>
      </c>
      <c r="C866" s="45" t="s">
        <v>19</v>
      </c>
      <c r="D866" s="50" t="s">
        <v>260</v>
      </c>
      <c r="E866" s="50" t="s">
        <v>267</v>
      </c>
      <c r="F866" s="50" t="s">
        <v>278</v>
      </c>
      <c r="G866" s="51" t="s">
        <v>278</v>
      </c>
      <c r="H866" s="46">
        <v>19762.0</v>
      </c>
      <c r="I866" s="47">
        <v>15.6866714</v>
      </c>
      <c r="J866" s="46">
        <v>20850.0</v>
      </c>
      <c r="K866" s="47">
        <v>34.0815348</v>
      </c>
    </row>
    <row r="867" ht="15.0" hidden="1" customHeight="1">
      <c r="A867" s="7"/>
      <c r="B867" s="39">
        <v>860.0</v>
      </c>
      <c r="C867" s="40" t="s">
        <v>19</v>
      </c>
      <c r="D867" s="40" t="s">
        <v>260</v>
      </c>
      <c r="E867" s="40" t="s">
        <v>267</v>
      </c>
      <c r="F867" s="40" t="s">
        <v>278</v>
      </c>
      <c r="G867" s="41" t="s">
        <v>13</v>
      </c>
      <c r="H867" s="42"/>
      <c r="I867" s="43"/>
      <c r="J867" s="42"/>
      <c r="K867" s="43"/>
    </row>
    <row r="868" ht="15.0" hidden="1" customHeight="1">
      <c r="A868" s="7"/>
      <c r="B868" s="39">
        <v>861.0</v>
      </c>
      <c r="C868" s="40" t="s">
        <v>19</v>
      </c>
      <c r="D868" s="40" t="s">
        <v>260</v>
      </c>
      <c r="E868" s="40" t="s">
        <v>267</v>
      </c>
      <c r="F868" s="40" t="s">
        <v>278</v>
      </c>
      <c r="G868" s="41" t="s">
        <v>14</v>
      </c>
      <c r="H868" s="42">
        <v>19762.0</v>
      </c>
      <c r="I868" s="43">
        <v>15.6866714</v>
      </c>
      <c r="J868" s="42">
        <v>20850.0</v>
      </c>
      <c r="K868" s="43">
        <v>34.0815348</v>
      </c>
    </row>
    <row r="869" ht="15.0" hidden="1" customHeight="1">
      <c r="A869" s="7"/>
      <c r="B869" s="35">
        <v>862.0</v>
      </c>
      <c r="C869" s="36" t="s">
        <v>17</v>
      </c>
      <c r="D869" s="49" t="s">
        <v>260</v>
      </c>
      <c r="E869" s="49" t="s">
        <v>279</v>
      </c>
      <c r="F869" s="49"/>
      <c r="G869" s="36" t="s">
        <v>279</v>
      </c>
      <c r="H869" s="37">
        <v>40421.0</v>
      </c>
      <c r="I869" s="38">
        <v>11.8873853</v>
      </c>
      <c r="J869" s="37">
        <v>38792.0</v>
      </c>
      <c r="K869" s="38">
        <v>20.1639513</v>
      </c>
    </row>
    <row r="870" ht="15.0" hidden="1" customHeight="1">
      <c r="A870" s="7"/>
      <c r="B870" s="39">
        <v>863.0</v>
      </c>
      <c r="C870" s="40" t="s">
        <v>17</v>
      </c>
      <c r="D870" s="40" t="s">
        <v>260</v>
      </c>
      <c r="E870" s="40" t="s">
        <v>279</v>
      </c>
      <c r="F870" s="40"/>
      <c r="G870" s="41" t="s">
        <v>13</v>
      </c>
      <c r="H870" s="42"/>
      <c r="I870" s="43"/>
      <c r="J870" s="42"/>
      <c r="K870" s="43"/>
    </row>
    <row r="871" ht="15.0" hidden="1" customHeight="1">
      <c r="A871" s="7"/>
      <c r="B871" s="39">
        <v>864.0</v>
      </c>
      <c r="C871" s="40" t="s">
        <v>17</v>
      </c>
      <c r="D871" s="40" t="s">
        <v>260</v>
      </c>
      <c r="E871" s="40" t="s">
        <v>279</v>
      </c>
      <c r="F871" s="40"/>
      <c r="G871" s="41" t="s">
        <v>14</v>
      </c>
      <c r="H871" s="42">
        <v>40421.0</v>
      </c>
      <c r="I871" s="43">
        <v>11.8873853</v>
      </c>
      <c r="J871" s="42">
        <v>38792.0</v>
      </c>
      <c r="K871" s="43">
        <v>20.1639513</v>
      </c>
    </row>
    <row r="872" ht="15.0" customHeight="1">
      <c r="A872" s="7"/>
      <c r="B872" s="44">
        <v>865.0</v>
      </c>
      <c r="C872" s="45" t="s">
        <v>19</v>
      </c>
      <c r="D872" s="50" t="s">
        <v>260</v>
      </c>
      <c r="E872" s="50" t="s">
        <v>279</v>
      </c>
      <c r="F872" s="50" t="s">
        <v>280</v>
      </c>
      <c r="G872" s="51" t="s">
        <v>280</v>
      </c>
      <c r="H872" s="46">
        <v>29744.0</v>
      </c>
      <c r="I872" s="47">
        <v>10.9064013</v>
      </c>
      <c r="J872" s="46">
        <v>28240.0</v>
      </c>
      <c r="K872" s="47">
        <v>17.0467422</v>
      </c>
    </row>
    <row r="873" ht="15.0" hidden="1" customHeight="1">
      <c r="A873" s="7"/>
      <c r="B873" s="39">
        <v>866.0</v>
      </c>
      <c r="C873" s="40" t="s">
        <v>19</v>
      </c>
      <c r="D873" s="40" t="s">
        <v>260</v>
      </c>
      <c r="E873" s="40" t="s">
        <v>279</v>
      </c>
      <c r="F873" s="40" t="s">
        <v>280</v>
      </c>
      <c r="G873" s="41" t="s">
        <v>13</v>
      </c>
      <c r="H873" s="42"/>
      <c r="I873" s="43"/>
      <c r="J873" s="42"/>
      <c r="K873" s="43"/>
    </row>
    <row r="874" ht="15.0" hidden="1" customHeight="1">
      <c r="A874" s="7"/>
      <c r="B874" s="39">
        <v>867.0</v>
      </c>
      <c r="C874" s="40" t="s">
        <v>19</v>
      </c>
      <c r="D874" s="40" t="s">
        <v>260</v>
      </c>
      <c r="E874" s="40" t="s">
        <v>279</v>
      </c>
      <c r="F874" s="40" t="s">
        <v>280</v>
      </c>
      <c r="G874" s="41" t="s">
        <v>14</v>
      </c>
      <c r="H874" s="42">
        <v>29744.0</v>
      </c>
      <c r="I874" s="43">
        <v>10.9064013</v>
      </c>
      <c r="J874" s="42">
        <v>28240.0</v>
      </c>
      <c r="K874" s="43">
        <v>17.0467422</v>
      </c>
    </row>
    <row r="875" ht="15.0" customHeight="1">
      <c r="A875" s="7"/>
      <c r="B875" s="44">
        <v>868.0</v>
      </c>
      <c r="C875" s="45" t="s">
        <v>19</v>
      </c>
      <c r="D875" s="50" t="s">
        <v>260</v>
      </c>
      <c r="E875" s="50" t="s">
        <v>279</v>
      </c>
      <c r="F875" s="50" t="s">
        <v>281</v>
      </c>
      <c r="G875" s="51" t="s">
        <v>281</v>
      </c>
      <c r="H875" s="46">
        <v>10677.0</v>
      </c>
      <c r="I875" s="47">
        <v>14.6202117</v>
      </c>
      <c r="J875" s="46">
        <v>10552.0</v>
      </c>
      <c r="K875" s="47">
        <v>28.5064443</v>
      </c>
    </row>
    <row r="876" ht="15.0" hidden="1" customHeight="1">
      <c r="A876" s="7"/>
      <c r="B876" s="39">
        <v>869.0</v>
      </c>
      <c r="C876" s="40" t="s">
        <v>19</v>
      </c>
      <c r="D876" s="40" t="s">
        <v>260</v>
      </c>
      <c r="E876" s="40" t="s">
        <v>279</v>
      </c>
      <c r="F876" s="40" t="s">
        <v>281</v>
      </c>
      <c r="G876" s="41" t="s">
        <v>13</v>
      </c>
      <c r="H876" s="42"/>
      <c r="I876" s="43"/>
      <c r="J876" s="42"/>
      <c r="K876" s="43"/>
    </row>
    <row r="877" ht="15.0" hidden="1" customHeight="1">
      <c r="A877" s="7"/>
      <c r="B877" s="39">
        <v>870.0</v>
      </c>
      <c r="C877" s="40" t="s">
        <v>19</v>
      </c>
      <c r="D877" s="40" t="s">
        <v>260</v>
      </c>
      <c r="E877" s="40" t="s">
        <v>279</v>
      </c>
      <c r="F877" s="40" t="s">
        <v>281</v>
      </c>
      <c r="G877" s="41" t="s">
        <v>14</v>
      </c>
      <c r="H877" s="42">
        <v>10677.0</v>
      </c>
      <c r="I877" s="43">
        <v>14.6202117</v>
      </c>
      <c r="J877" s="42">
        <v>10552.0</v>
      </c>
      <c r="K877" s="43">
        <v>28.5064443</v>
      </c>
    </row>
    <row r="878" ht="15.0" hidden="1" customHeight="1">
      <c r="A878" s="7"/>
      <c r="B878" s="35">
        <v>871.0</v>
      </c>
      <c r="C878" s="36" t="s">
        <v>17</v>
      </c>
      <c r="D878" s="49" t="s">
        <v>260</v>
      </c>
      <c r="E878" s="49" t="s">
        <v>282</v>
      </c>
      <c r="F878" s="49"/>
      <c r="G878" s="36" t="s">
        <v>282</v>
      </c>
      <c r="H878" s="37">
        <v>41770.0</v>
      </c>
      <c r="I878" s="38">
        <v>29.6001915</v>
      </c>
      <c r="J878" s="37">
        <v>38991.0</v>
      </c>
      <c r="K878" s="38">
        <v>38.1780411</v>
      </c>
    </row>
    <row r="879" ht="15.0" hidden="1" customHeight="1">
      <c r="A879" s="7"/>
      <c r="B879" s="39">
        <v>872.0</v>
      </c>
      <c r="C879" s="40" t="s">
        <v>17</v>
      </c>
      <c r="D879" s="40" t="s">
        <v>260</v>
      </c>
      <c r="E879" s="40" t="s">
        <v>282</v>
      </c>
      <c r="F879" s="40"/>
      <c r="G879" s="41" t="s">
        <v>13</v>
      </c>
      <c r="H879" s="42">
        <v>6181.0</v>
      </c>
      <c r="I879" s="43">
        <v>95.2758453</v>
      </c>
      <c r="J879" s="42">
        <v>3149.0</v>
      </c>
      <c r="K879" s="43">
        <v>97.2372182</v>
      </c>
    </row>
    <row r="880" ht="15.0" hidden="1" customHeight="1">
      <c r="A880" s="7"/>
      <c r="B880" s="39">
        <v>873.0</v>
      </c>
      <c r="C880" s="40" t="s">
        <v>17</v>
      </c>
      <c r="D880" s="40" t="s">
        <v>260</v>
      </c>
      <c r="E880" s="40" t="s">
        <v>282</v>
      </c>
      <c r="F880" s="40"/>
      <c r="G880" s="41" t="s">
        <v>14</v>
      </c>
      <c r="H880" s="42">
        <v>35589.0</v>
      </c>
      <c r="I880" s="43">
        <v>18.1938239</v>
      </c>
      <c r="J880" s="42">
        <v>35842.0</v>
      </c>
      <c r="K880" s="43">
        <v>32.9892305</v>
      </c>
    </row>
    <row r="881" ht="15.0" customHeight="1">
      <c r="A881" s="7"/>
      <c r="B881" s="44">
        <v>874.0</v>
      </c>
      <c r="C881" s="45" t="s">
        <v>19</v>
      </c>
      <c r="D881" s="50" t="s">
        <v>260</v>
      </c>
      <c r="E881" s="50" t="s">
        <v>282</v>
      </c>
      <c r="F881" s="50" t="s">
        <v>283</v>
      </c>
      <c r="G881" s="51" t="s">
        <v>283</v>
      </c>
      <c r="H881" s="46">
        <v>31296.0</v>
      </c>
      <c r="I881" s="47">
        <v>33.7359407</v>
      </c>
      <c r="J881" s="46">
        <v>28940.0</v>
      </c>
      <c r="K881" s="47">
        <v>40.8707671</v>
      </c>
    </row>
    <row r="882" ht="15.0" hidden="1" customHeight="1">
      <c r="A882" s="7"/>
      <c r="B882" s="39">
        <v>875.0</v>
      </c>
      <c r="C882" s="40" t="s">
        <v>19</v>
      </c>
      <c r="D882" s="40" t="s">
        <v>260</v>
      </c>
      <c r="E882" s="40" t="s">
        <v>282</v>
      </c>
      <c r="F882" s="40" t="s">
        <v>283</v>
      </c>
      <c r="G882" s="41" t="s">
        <v>13</v>
      </c>
      <c r="H882" s="42">
        <v>6181.0</v>
      </c>
      <c r="I882" s="43">
        <v>95.2758453</v>
      </c>
      <c r="J882" s="42">
        <v>3149.0</v>
      </c>
      <c r="K882" s="43">
        <v>97.2372182</v>
      </c>
    </row>
    <row r="883" ht="15.0" hidden="1" customHeight="1">
      <c r="A883" s="7"/>
      <c r="B883" s="39">
        <v>876.0</v>
      </c>
      <c r="C883" s="40" t="s">
        <v>19</v>
      </c>
      <c r="D883" s="40" t="s">
        <v>260</v>
      </c>
      <c r="E883" s="40" t="s">
        <v>282</v>
      </c>
      <c r="F883" s="40" t="s">
        <v>283</v>
      </c>
      <c r="G883" s="41" t="s">
        <v>14</v>
      </c>
      <c r="H883" s="42">
        <v>25115.0</v>
      </c>
      <c r="I883" s="43">
        <v>18.5904838</v>
      </c>
      <c r="J883" s="42">
        <v>25791.0</v>
      </c>
      <c r="K883" s="43">
        <v>33.9886007</v>
      </c>
    </row>
    <row r="884" ht="15.0" customHeight="1">
      <c r="A884" s="7"/>
      <c r="B884" s="44">
        <v>877.0</v>
      </c>
      <c r="C884" s="45" t="s">
        <v>19</v>
      </c>
      <c r="D884" s="50" t="s">
        <v>260</v>
      </c>
      <c r="E884" s="50" t="s">
        <v>282</v>
      </c>
      <c r="F884" s="50" t="s">
        <v>284</v>
      </c>
      <c r="G884" s="51" t="s">
        <v>284</v>
      </c>
      <c r="H884" s="46">
        <v>10474.0</v>
      </c>
      <c r="I884" s="47">
        <v>17.2426962</v>
      </c>
      <c r="J884" s="46">
        <v>10051.0</v>
      </c>
      <c r="K884" s="47">
        <v>30.4248333</v>
      </c>
    </row>
    <row r="885" ht="15.0" hidden="1" customHeight="1">
      <c r="A885" s="7"/>
      <c r="B885" s="39">
        <v>878.0</v>
      </c>
      <c r="C885" s="40" t="s">
        <v>19</v>
      </c>
      <c r="D885" s="40" t="s">
        <v>260</v>
      </c>
      <c r="E885" s="40" t="s">
        <v>282</v>
      </c>
      <c r="F885" s="40" t="s">
        <v>284</v>
      </c>
      <c r="G885" s="41" t="s">
        <v>13</v>
      </c>
      <c r="H885" s="42"/>
      <c r="I885" s="43"/>
      <c r="J885" s="42"/>
      <c r="K885" s="43"/>
    </row>
    <row r="886" ht="15.0" hidden="1" customHeight="1">
      <c r="A886" s="7"/>
      <c r="B886" s="39">
        <v>879.0</v>
      </c>
      <c r="C886" s="40" t="s">
        <v>19</v>
      </c>
      <c r="D886" s="40" t="s">
        <v>260</v>
      </c>
      <c r="E886" s="40" t="s">
        <v>282</v>
      </c>
      <c r="F886" s="40" t="s">
        <v>284</v>
      </c>
      <c r="G886" s="41" t="s">
        <v>14</v>
      </c>
      <c r="H886" s="42">
        <v>10474.0</v>
      </c>
      <c r="I886" s="43">
        <v>17.2426962</v>
      </c>
      <c r="J886" s="42">
        <v>10051.0</v>
      </c>
      <c r="K886" s="43">
        <v>30.4248333</v>
      </c>
    </row>
    <row r="887" ht="15.0" hidden="1" customHeight="1">
      <c r="A887" s="7"/>
      <c r="B887" s="35">
        <v>880.0</v>
      </c>
      <c r="C887" s="36" t="s">
        <v>17</v>
      </c>
      <c r="D887" s="49" t="s">
        <v>260</v>
      </c>
      <c r="E887" s="49" t="s">
        <v>285</v>
      </c>
      <c r="F887" s="49"/>
      <c r="G887" s="36" t="s">
        <v>285</v>
      </c>
      <c r="H887" s="37">
        <v>27955.0</v>
      </c>
      <c r="I887" s="38">
        <v>14.7665892</v>
      </c>
      <c r="J887" s="37">
        <v>25483.0</v>
      </c>
      <c r="K887" s="38">
        <v>26.3352039</v>
      </c>
    </row>
    <row r="888" ht="15.0" hidden="1" customHeight="1">
      <c r="A888" s="7"/>
      <c r="B888" s="39">
        <v>881.0</v>
      </c>
      <c r="C888" s="40" t="s">
        <v>17</v>
      </c>
      <c r="D888" s="40" t="s">
        <v>260</v>
      </c>
      <c r="E888" s="40" t="s">
        <v>285</v>
      </c>
      <c r="F888" s="40"/>
      <c r="G888" s="41" t="s">
        <v>13</v>
      </c>
      <c r="H888" s="42">
        <v>2231.0</v>
      </c>
      <c r="I888" s="43">
        <v>77.6333483</v>
      </c>
      <c r="J888" s="42">
        <v>2262.0</v>
      </c>
      <c r="K888" s="43">
        <v>93.1476569</v>
      </c>
    </row>
    <row r="889" ht="15.0" hidden="1" customHeight="1">
      <c r="A889" s="7"/>
      <c r="B889" s="39">
        <v>882.0</v>
      </c>
      <c r="C889" s="40" t="s">
        <v>17</v>
      </c>
      <c r="D889" s="40" t="s">
        <v>260</v>
      </c>
      <c r="E889" s="40" t="s">
        <v>285</v>
      </c>
      <c r="F889" s="40"/>
      <c r="G889" s="41" t="s">
        <v>14</v>
      </c>
      <c r="H889" s="42">
        <v>25724.0</v>
      </c>
      <c r="I889" s="43">
        <v>9.3142591</v>
      </c>
      <c r="J889" s="42">
        <v>23221.0</v>
      </c>
      <c r="K889" s="43">
        <v>19.8268808</v>
      </c>
    </row>
    <row r="890" ht="15.0" customHeight="1">
      <c r="A890" s="7"/>
      <c r="B890" s="44">
        <v>883.0</v>
      </c>
      <c r="C890" s="45" t="s">
        <v>19</v>
      </c>
      <c r="D890" s="50" t="s">
        <v>260</v>
      </c>
      <c r="E890" s="50" t="s">
        <v>285</v>
      </c>
      <c r="F890" s="50" t="s">
        <v>286</v>
      </c>
      <c r="G890" s="51" t="s">
        <v>286</v>
      </c>
      <c r="H890" s="46">
        <v>19320.0</v>
      </c>
      <c r="I890" s="47">
        <v>15.9679089</v>
      </c>
      <c r="J890" s="46">
        <v>17091.0</v>
      </c>
      <c r="K890" s="47">
        <v>30.045053</v>
      </c>
    </row>
    <row r="891" ht="15.0" hidden="1" customHeight="1">
      <c r="A891" s="7"/>
      <c r="B891" s="39">
        <v>884.0</v>
      </c>
      <c r="C891" s="40" t="s">
        <v>19</v>
      </c>
      <c r="D891" s="40" t="s">
        <v>260</v>
      </c>
      <c r="E891" s="40" t="s">
        <v>285</v>
      </c>
      <c r="F891" s="40" t="s">
        <v>286</v>
      </c>
      <c r="G891" s="41" t="s">
        <v>13</v>
      </c>
      <c r="H891" s="42">
        <v>2231.0</v>
      </c>
      <c r="I891" s="43">
        <v>77.6333483</v>
      </c>
      <c r="J891" s="42">
        <v>2262.0</v>
      </c>
      <c r="K891" s="43">
        <v>93.1476569</v>
      </c>
    </row>
    <row r="892" ht="15.0" hidden="1" customHeight="1">
      <c r="A892" s="7"/>
      <c r="B892" s="39">
        <v>885.0</v>
      </c>
      <c r="C892" s="40" t="s">
        <v>19</v>
      </c>
      <c r="D892" s="40" t="s">
        <v>260</v>
      </c>
      <c r="E892" s="40" t="s">
        <v>285</v>
      </c>
      <c r="F892" s="40" t="s">
        <v>286</v>
      </c>
      <c r="G892" s="41" t="s">
        <v>14</v>
      </c>
      <c r="H892" s="42">
        <v>17089.0</v>
      </c>
      <c r="I892" s="43">
        <v>7.9173737</v>
      </c>
      <c r="J892" s="42">
        <v>14829.0</v>
      </c>
      <c r="K892" s="43">
        <v>20.4194484</v>
      </c>
    </row>
    <row r="893" ht="15.0" customHeight="1">
      <c r="A893" s="7"/>
      <c r="B893" s="44">
        <v>886.0</v>
      </c>
      <c r="C893" s="45" t="s">
        <v>19</v>
      </c>
      <c r="D893" s="50" t="s">
        <v>260</v>
      </c>
      <c r="E893" s="50" t="s">
        <v>285</v>
      </c>
      <c r="F893" s="50" t="s">
        <v>287</v>
      </c>
      <c r="G893" s="51" t="s">
        <v>287</v>
      </c>
      <c r="H893" s="46">
        <v>8635.0</v>
      </c>
      <c r="I893" s="47">
        <v>12.0787493</v>
      </c>
      <c r="J893" s="46">
        <v>8392.0</v>
      </c>
      <c r="K893" s="47">
        <v>18.7797903</v>
      </c>
    </row>
    <row r="894" ht="15.0" hidden="1" customHeight="1">
      <c r="A894" s="7"/>
      <c r="B894" s="39">
        <v>887.0</v>
      </c>
      <c r="C894" s="40" t="s">
        <v>19</v>
      </c>
      <c r="D894" s="40" t="s">
        <v>260</v>
      </c>
      <c r="E894" s="40" t="s">
        <v>285</v>
      </c>
      <c r="F894" s="40" t="s">
        <v>287</v>
      </c>
      <c r="G894" s="41" t="s">
        <v>13</v>
      </c>
      <c r="H894" s="42"/>
      <c r="I894" s="43"/>
      <c r="J894" s="42"/>
      <c r="K894" s="43"/>
    </row>
    <row r="895" ht="15.0" hidden="1" customHeight="1">
      <c r="A895" s="7"/>
      <c r="B895" s="39">
        <v>888.0</v>
      </c>
      <c r="C895" s="40" t="s">
        <v>19</v>
      </c>
      <c r="D895" s="40" t="s">
        <v>260</v>
      </c>
      <c r="E895" s="40" t="s">
        <v>285</v>
      </c>
      <c r="F895" s="40" t="s">
        <v>287</v>
      </c>
      <c r="G895" s="41" t="s">
        <v>14</v>
      </c>
      <c r="H895" s="42">
        <v>8635.0</v>
      </c>
      <c r="I895" s="43">
        <v>12.0787493</v>
      </c>
      <c r="J895" s="42">
        <v>8392.0</v>
      </c>
      <c r="K895" s="43">
        <v>18.7797903</v>
      </c>
    </row>
    <row r="896" ht="15.0" hidden="1" customHeight="1">
      <c r="A896" s="7"/>
      <c r="B896" s="35">
        <v>889.0</v>
      </c>
      <c r="C896" s="36" t="s">
        <v>17</v>
      </c>
      <c r="D896" s="49" t="s">
        <v>260</v>
      </c>
      <c r="E896" s="49" t="s">
        <v>288</v>
      </c>
      <c r="F896" s="49"/>
      <c r="G896" s="36" t="s">
        <v>288</v>
      </c>
      <c r="H896" s="37">
        <v>54339.0</v>
      </c>
      <c r="I896" s="38">
        <v>77.7139808</v>
      </c>
      <c r="J896" s="37">
        <v>53553.0</v>
      </c>
      <c r="K896" s="38">
        <v>85.1455567</v>
      </c>
    </row>
    <row r="897" ht="15.0" hidden="1" customHeight="1">
      <c r="A897" s="7"/>
      <c r="B897" s="39">
        <v>890.0</v>
      </c>
      <c r="C897" s="40" t="s">
        <v>17</v>
      </c>
      <c r="D897" s="40" t="s">
        <v>260</v>
      </c>
      <c r="E897" s="40" t="s">
        <v>288</v>
      </c>
      <c r="F897" s="40"/>
      <c r="G897" s="41" t="s">
        <v>13</v>
      </c>
      <c r="H897" s="42">
        <v>30747.0</v>
      </c>
      <c r="I897" s="43">
        <v>98.7803688</v>
      </c>
      <c r="J897" s="42">
        <v>27583.0</v>
      </c>
      <c r="K897" s="43">
        <v>99.2712903</v>
      </c>
    </row>
    <row r="898" ht="15.0" hidden="1" customHeight="1">
      <c r="A898" s="7"/>
      <c r="B898" s="39">
        <v>891.0</v>
      </c>
      <c r="C898" s="40" t="s">
        <v>17</v>
      </c>
      <c r="D898" s="40" t="s">
        <v>260</v>
      </c>
      <c r="E898" s="40" t="s">
        <v>288</v>
      </c>
      <c r="F898" s="40"/>
      <c r="G898" s="41" t="s">
        <v>14</v>
      </c>
      <c r="H898" s="42">
        <v>23592.0</v>
      </c>
      <c r="I898" s="43">
        <v>50.2585622</v>
      </c>
      <c r="J898" s="42">
        <v>25970.0</v>
      </c>
      <c r="K898" s="43">
        <v>70.1424721</v>
      </c>
    </row>
    <row r="899" ht="15.0" customHeight="1">
      <c r="A899" s="7"/>
      <c r="B899" s="44">
        <v>892.0</v>
      </c>
      <c r="C899" s="45" t="s">
        <v>19</v>
      </c>
      <c r="D899" s="50" t="s">
        <v>260</v>
      </c>
      <c r="E899" s="50" t="s">
        <v>288</v>
      </c>
      <c r="F899" s="50" t="s">
        <v>289</v>
      </c>
      <c r="G899" s="51" t="s">
        <v>289</v>
      </c>
      <c r="H899" s="46">
        <v>43474.0</v>
      </c>
      <c r="I899" s="47">
        <v>73.4991029</v>
      </c>
      <c r="J899" s="46">
        <v>44192.0</v>
      </c>
      <c r="K899" s="47">
        <v>82.8860427</v>
      </c>
    </row>
    <row r="900" ht="15.0" hidden="1" customHeight="1">
      <c r="A900" s="7"/>
      <c r="B900" s="39">
        <v>893.0</v>
      </c>
      <c r="C900" s="40" t="s">
        <v>19</v>
      </c>
      <c r="D900" s="40" t="s">
        <v>260</v>
      </c>
      <c r="E900" s="40" t="s">
        <v>288</v>
      </c>
      <c r="F900" s="40" t="s">
        <v>289</v>
      </c>
      <c r="G900" s="41" t="s">
        <v>13</v>
      </c>
      <c r="H900" s="42">
        <v>26384.0</v>
      </c>
      <c r="I900" s="43">
        <v>98.6165858</v>
      </c>
      <c r="J900" s="42">
        <v>27583.0</v>
      </c>
      <c r="K900" s="43">
        <v>99.2712903</v>
      </c>
    </row>
    <row r="901" ht="15.0" hidden="1" customHeight="1">
      <c r="A901" s="7"/>
      <c r="B901" s="39">
        <v>894.0</v>
      </c>
      <c r="C901" s="40" t="s">
        <v>19</v>
      </c>
      <c r="D901" s="40" t="s">
        <v>260</v>
      </c>
      <c r="E901" s="40" t="s">
        <v>288</v>
      </c>
      <c r="F901" s="40" t="s">
        <v>289</v>
      </c>
      <c r="G901" s="41" t="s">
        <v>14</v>
      </c>
      <c r="H901" s="42">
        <v>17090.0</v>
      </c>
      <c r="I901" s="43">
        <v>34.7220597</v>
      </c>
      <c r="J901" s="42">
        <v>16609.0</v>
      </c>
      <c r="K901" s="43">
        <v>55.6746342</v>
      </c>
    </row>
    <row r="902" ht="15.0" customHeight="1">
      <c r="A902" s="7"/>
      <c r="B902" s="44">
        <v>895.0</v>
      </c>
      <c r="C902" s="45" t="s">
        <v>19</v>
      </c>
      <c r="D902" s="50" t="s">
        <v>260</v>
      </c>
      <c r="E902" s="50" t="s">
        <v>288</v>
      </c>
      <c r="F902" s="50" t="s">
        <v>290</v>
      </c>
      <c r="G902" s="51" t="s">
        <v>290</v>
      </c>
      <c r="H902" s="46">
        <v>10865.0</v>
      </c>
      <c r="I902" s="47">
        <v>94.5789231</v>
      </c>
      <c r="J902" s="46">
        <v>9361.0</v>
      </c>
      <c r="K902" s="47">
        <v>95.8124132</v>
      </c>
    </row>
    <row r="903" ht="15.0" hidden="1" customHeight="1">
      <c r="A903" s="7"/>
      <c r="B903" s="39">
        <v>896.0</v>
      </c>
      <c r="C903" s="40" t="s">
        <v>19</v>
      </c>
      <c r="D903" s="40" t="s">
        <v>260</v>
      </c>
      <c r="E903" s="40" t="s">
        <v>288</v>
      </c>
      <c r="F903" s="40" t="s">
        <v>290</v>
      </c>
      <c r="G903" s="41" t="s">
        <v>13</v>
      </c>
      <c r="H903" s="42">
        <v>4363.0</v>
      </c>
      <c r="I903" s="43">
        <v>99.7707999</v>
      </c>
      <c r="J903" s="42"/>
      <c r="K903" s="43"/>
    </row>
    <row r="904" ht="15.0" hidden="1" customHeight="1">
      <c r="A904" s="7"/>
      <c r="B904" s="39">
        <v>897.0</v>
      </c>
      <c r="C904" s="40" t="s">
        <v>19</v>
      </c>
      <c r="D904" s="40" t="s">
        <v>260</v>
      </c>
      <c r="E904" s="40" t="s">
        <v>288</v>
      </c>
      <c r="F904" s="40" t="s">
        <v>290</v>
      </c>
      <c r="G904" s="41" t="s">
        <v>14</v>
      </c>
      <c r="H904" s="42">
        <v>6502.0</v>
      </c>
      <c r="I904" s="43">
        <v>91.0950477</v>
      </c>
      <c r="J904" s="42">
        <v>9361.0</v>
      </c>
      <c r="K904" s="43">
        <v>95.8124132</v>
      </c>
    </row>
    <row r="905" ht="15.0" hidden="1" customHeight="1">
      <c r="A905" s="7"/>
      <c r="B905" s="35">
        <v>898.0</v>
      </c>
      <c r="C905" s="36" t="s">
        <v>17</v>
      </c>
      <c r="D905" s="49" t="s">
        <v>260</v>
      </c>
      <c r="E905" s="49" t="s">
        <v>291</v>
      </c>
      <c r="F905" s="49"/>
      <c r="G905" s="36" t="s">
        <v>291</v>
      </c>
      <c r="H905" s="37">
        <v>12063.0</v>
      </c>
      <c r="I905" s="38">
        <v>49.912957</v>
      </c>
      <c r="J905" s="37">
        <v>12407.0</v>
      </c>
      <c r="K905" s="38">
        <v>81.6232772</v>
      </c>
    </row>
    <row r="906" ht="15.0" hidden="1" customHeight="1">
      <c r="A906" s="7"/>
      <c r="B906" s="39">
        <v>899.0</v>
      </c>
      <c r="C906" s="40" t="s">
        <v>17</v>
      </c>
      <c r="D906" s="40" t="s">
        <v>260</v>
      </c>
      <c r="E906" s="40" t="s">
        <v>291</v>
      </c>
      <c r="F906" s="40"/>
      <c r="G906" s="41" t="s">
        <v>13</v>
      </c>
      <c r="H906" s="42"/>
      <c r="I906" s="43"/>
      <c r="J906" s="42">
        <v>2130.0</v>
      </c>
      <c r="K906" s="43">
        <v>98.8262911</v>
      </c>
    </row>
    <row r="907" ht="15.0" hidden="1" customHeight="1">
      <c r="A907" s="7"/>
      <c r="B907" s="39">
        <v>900.0</v>
      </c>
      <c r="C907" s="40" t="s">
        <v>17</v>
      </c>
      <c r="D907" s="40" t="s">
        <v>260</v>
      </c>
      <c r="E907" s="40" t="s">
        <v>291</v>
      </c>
      <c r="F907" s="40"/>
      <c r="G907" s="41" t="s">
        <v>14</v>
      </c>
      <c r="H907" s="42">
        <v>12063.0</v>
      </c>
      <c r="I907" s="43">
        <v>49.912957</v>
      </c>
      <c r="J907" s="42">
        <v>10277.0</v>
      </c>
      <c r="K907" s="43">
        <v>78.057799</v>
      </c>
    </row>
    <row r="908" ht="15.0" customHeight="1">
      <c r="A908" s="7"/>
      <c r="B908" s="44">
        <v>901.0</v>
      </c>
      <c r="C908" s="45" t="s">
        <v>19</v>
      </c>
      <c r="D908" s="50" t="s">
        <v>260</v>
      </c>
      <c r="E908" s="50" t="s">
        <v>291</v>
      </c>
      <c r="F908" s="50" t="s">
        <v>292</v>
      </c>
      <c r="G908" s="51" t="s">
        <v>292</v>
      </c>
      <c r="H908" s="46">
        <v>11068.0</v>
      </c>
      <c r="I908" s="47">
        <v>50.7770148</v>
      </c>
      <c r="J908" s="46">
        <v>10906.0</v>
      </c>
      <c r="K908" s="47">
        <v>82.4500275</v>
      </c>
    </row>
    <row r="909" ht="15.0" hidden="1" customHeight="1">
      <c r="A909" s="7"/>
      <c r="B909" s="39">
        <v>902.0</v>
      </c>
      <c r="C909" s="40" t="s">
        <v>19</v>
      </c>
      <c r="D909" s="40" t="s">
        <v>260</v>
      </c>
      <c r="E909" s="40" t="s">
        <v>291</v>
      </c>
      <c r="F909" s="40" t="s">
        <v>292</v>
      </c>
      <c r="G909" s="41" t="s">
        <v>13</v>
      </c>
      <c r="H909" s="42"/>
      <c r="I909" s="43"/>
      <c r="J909" s="42">
        <v>2130.0</v>
      </c>
      <c r="K909" s="43">
        <v>98.8262911</v>
      </c>
    </row>
    <row r="910" ht="15.0" hidden="1" customHeight="1">
      <c r="A910" s="7"/>
      <c r="B910" s="39">
        <v>903.0</v>
      </c>
      <c r="C910" s="40" t="s">
        <v>19</v>
      </c>
      <c r="D910" s="40" t="s">
        <v>260</v>
      </c>
      <c r="E910" s="40" t="s">
        <v>291</v>
      </c>
      <c r="F910" s="40" t="s">
        <v>292</v>
      </c>
      <c r="G910" s="41" t="s">
        <v>14</v>
      </c>
      <c r="H910" s="42">
        <v>11068.0</v>
      </c>
      <c r="I910" s="43">
        <v>50.7770148</v>
      </c>
      <c r="J910" s="42">
        <v>8776.0</v>
      </c>
      <c r="K910" s="43">
        <v>78.4753874</v>
      </c>
    </row>
    <row r="911" ht="15.0" customHeight="1">
      <c r="A911" s="7"/>
      <c r="B911" s="44">
        <v>904.0</v>
      </c>
      <c r="C911" s="45" t="s">
        <v>19</v>
      </c>
      <c r="D911" s="50" t="s">
        <v>260</v>
      </c>
      <c r="E911" s="50" t="s">
        <v>291</v>
      </c>
      <c r="F911" s="50" t="s">
        <v>293</v>
      </c>
      <c r="G911" s="51" t="s">
        <v>293</v>
      </c>
      <c r="H911" s="46">
        <v>995.0</v>
      </c>
      <c r="I911" s="47">
        <v>40.3015075</v>
      </c>
      <c r="J911" s="46">
        <v>1501.0</v>
      </c>
      <c r="K911" s="47">
        <v>75.6162558</v>
      </c>
    </row>
    <row r="912" ht="15.0" hidden="1" customHeight="1">
      <c r="A912" s="7"/>
      <c r="B912" s="39">
        <v>905.0</v>
      </c>
      <c r="C912" s="40" t="s">
        <v>19</v>
      </c>
      <c r="D912" s="40" t="s">
        <v>260</v>
      </c>
      <c r="E912" s="40" t="s">
        <v>291</v>
      </c>
      <c r="F912" s="40" t="s">
        <v>293</v>
      </c>
      <c r="G912" s="41" t="s">
        <v>13</v>
      </c>
      <c r="H912" s="42"/>
      <c r="I912" s="43"/>
      <c r="J912" s="42"/>
      <c r="K912" s="43"/>
    </row>
    <row r="913" ht="15.0" hidden="1" customHeight="1">
      <c r="A913" s="7"/>
      <c r="B913" s="39">
        <v>906.0</v>
      </c>
      <c r="C913" s="40" t="s">
        <v>19</v>
      </c>
      <c r="D913" s="40" t="s">
        <v>260</v>
      </c>
      <c r="E913" s="40" t="s">
        <v>291</v>
      </c>
      <c r="F913" s="40" t="s">
        <v>293</v>
      </c>
      <c r="G913" s="41" t="s">
        <v>14</v>
      </c>
      <c r="H913" s="42">
        <v>995.0</v>
      </c>
      <c r="I913" s="43">
        <v>40.3015075</v>
      </c>
      <c r="J913" s="42">
        <v>1501.0</v>
      </c>
      <c r="K913" s="43">
        <v>75.6162558</v>
      </c>
    </row>
    <row r="914" ht="15.0" hidden="1" customHeight="1">
      <c r="A914" s="7"/>
      <c r="B914" s="35">
        <v>907.0</v>
      </c>
      <c r="C914" s="36" t="s">
        <v>17</v>
      </c>
      <c r="D914" s="49" t="s">
        <v>260</v>
      </c>
      <c r="E914" s="49" t="s">
        <v>294</v>
      </c>
      <c r="F914" s="49"/>
      <c r="G914" s="36" t="s">
        <v>294</v>
      </c>
      <c r="H914" s="37">
        <v>6357.0</v>
      </c>
      <c r="I914" s="38">
        <v>20.0880919</v>
      </c>
      <c r="J914" s="37">
        <v>5715.0</v>
      </c>
      <c r="K914" s="38">
        <v>44.0419948</v>
      </c>
    </row>
    <row r="915" ht="15.0" hidden="1" customHeight="1">
      <c r="A915" s="7"/>
      <c r="B915" s="39">
        <v>908.0</v>
      </c>
      <c r="C915" s="40" t="s">
        <v>17</v>
      </c>
      <c r="D915" s="40" t="s">
        <v>260</v>
      </c>
      <c r="E915" s="40" t="s">
        <v>294</v>
      </c>
      <c r="F915" s="40"/>
      <c r="G915" s="41" t="s">
        <v>13</v>
      </c>
      <c r="H915" s="42"/>
      <c r="I915" s="43"/>
      <c r="J915" s="42"/>
      <c r="K915" s="43"/>
    </row>
    <row r="916" ht="15.0" hidden="1" customHeight="1">
      <c r="A916" s="7"/>
      <c r="B916" s="39">
        <v>909.0</v>
      </c>
      <c r="C916" s="40" t="s">
        <v>17</v>
      </c>
      <c r="D916" s="40" t="s">
        <v>260</v>
      </c>
      <c r="E916" s="40" t="s">
        <v>294</v>
      </c>
      <c r="F916" s="40"/>
      <c r="G916" s="41" t="s">
        <v>14</v>
      </c>
      <c r="H916" s="42">
        <v>6357.0</v>
      </c>
      <c r="I916" s="43">
        <v>20.0880919</v>
      </c>
      <c r="J916" s="42">
        <v>5715.0</v>
      </c>
      <c r="K916" s="43">
        <v>44.0419948</v>
      </c>
    </row>
    <row r="917" ht="15.0" customHeight="1">
      <c r="A917" s="7"/>
      <c r="B917" s="44">
        <v>910.0</v>
      </c>
      <c r="C917" s="45" t="s">
        <v>19</v>
      </c>
      <c r="D917" s="50" t="s">
        <v>260</v>
      </c>
      <c r="E917" s="50" t="s">
        <v>294</v>
      </c>
      <c r="F917" s="50" t="s">
        <v>295</v>
      </c>
      <c r="G917" s="51" t="s">
        <v>295</v>
      </c>
      <c r="H917" s="46">
        <v>2951.0</v>
      </c>
      <c r="I917" s="47">
        <v>21.1792613</v>
      </c>
      <c r="J917" s="46">
        <v>2885.0</v>
      </c>
      <c r="K917" s="47">
        <v>47.7642981</v>
      </c>
    </row>
    <row r="918" ht="15.0" hidden="1" customHeight="1">
      <c r="A918" s="7"/>
      <c r="B918" s="39">
        <v>911.0</v>
      </c>
      <c r="C918" s="40" t="s">
        <v>19</v>
      </c>
      <c r="D918" s="40" t="s">
        <v>260</v>
      </c>
      <c r="E918" s="40" t="s">
        <v>294</v>
      </c>
      <c r="F918" s="40" t="s">
        <v>295</v>
      </c>
      <c r="G918" s="41" t="s">
        <v>13</v>
      </c>
      <c r="H918" s="42"/>
      <c r="I918" s="43"/>
      <c r="J918" s="42"/>
      <c r="K918" s="43"/>
    </row>
    <row r="919" ht="15.0" hidden="1" customHeight="1">
      <c r="A919" s="7"/>
      <c r="B919" s="39">
        <v>912.0</v>
      </c>
      <c r="C919" s="40" t="s">
        <v>19</v>
      </c>
      <c r="D919" s="40" t="s">
        <v>260</v>
      </c>
      <c r="E919" s="40" t="s">
        <v>294</v>
      </c>
      <c r="F919" s="40" t="s">
        <v>295</v>
      </c>
      <c r="G919" s="41" t="s">
        <v>14</v>
      </c>
      <c r="H919" s="42">
        <v>2951.0</v>
      </c>
      <c r="I919" s="43">
        <v>21.1792613</v>
      </c>
      <c r="J919" s="42">
        <v>2885.0</v>
      </c>
      <c r="K919" s="43">
        <v>47.7642981</v>
      </c>
    </row>
    <row r="920" ht="15.0" customHeight="1">
      <c r="A920" s="7"/>
      <c r="B920" s="44">
        <v>913.0</v>
      </c>
      <c r="C920" s="45" t="s">
        <v>19</v>
      </c>
      <c r="D920" s="50" t="s">
        <v>260</v>
      </c>
      <c r="E920" s="50" t="s">
        <v>294</v>
      </c>
      <c r="F920" s="50" t="s">
        <v>296</v>
      </c>
      <c r="G920" s="51" t="s">
        <v>296</v>
      </c>
      <c r="H920" s="46">
        <v>1175.0</v>
      </c>
      <c r="I920" s="47">
        <v>5.7021277</v>
      </c>
      <c r="J920" s="46">
        <v>960.0</v>
      </c>
      <c r="K920" s="47">
        <v>31.4583333</v>
      </c>
    </row>
    <row r="921" ht="15.0" hidden="1" customHeight="1">
      <c r="A921" s="7"/>
      <c r="B921" s="39">
        <v>914.0</v>
      </c>
      <c r="C921" s="40" t="s">
        <v>19</v>
      </c>
      <c r="D921" s="40" t="s">
        <v>260</v>
      </c>
      <c r="E921" s="40" t="s">
        <v>294</v>
      </c>
      <c r="F921" s="40" t="s">
        <v>296</v>
      </c>
      <c r="G921" s="41" t="s">
        <v>13</v>
      </c>
      <c r="H921" s="42"/>
      <c r="I921" s="43"/>
      <c r="J921" s="42"/>
      <c r="K921" s="43"/>
    </row>
    <row r="922" ht="15.0" hidden="1" customHeight="1">
      <c r="A922" s="7"/>
      <c r="B922" s="39">
        <v>915.0</v>
      </c>
      <c r="C922" s="40" t="s">
        <v>19</v>
      </c>
      <c r="D922" s="40" t="s">
        <v>260</v>
      </c>
      <c r="E922" s="40" t="s">
        <v>294</v>
      </c>
      <c r="F922" s="40" t="s">
        <v>296</v>
      </c>
      <c r="G922" s="41" t="s">
        <v>14</v>
      </c>
      <c r="H922" s="42">
        <v>1175.0</v>
      </c>
      <c r="I922" s="43">
        <v>5.7021277</v>
      </c>
      <c r="J922" s="42">
        <v>960.0</v>
      </c>
      <c r="K922" s="43">
        <v>31.4583333</v>
      </c>
    </row>
    <row r="923" ht="15.0" customHeight="1">
      <c r="A923" s="7"/>
      <c r="B923" s="44">
        <v>916.0</v>
      </c>
      <c r="C923" s="45" t="s">
        <v>19</v>
      </c>
      <c r="D923" s="50" t="s">
        <v>260</v>
      </c>
      <c r="E923" s="50" t="s">
        <v>294</v>
      </c>
      <c r="F923" s="50" t="s">
        <v>297</v>
      </c>
      <c r="G923" s="51" t="s">
        <v>297</v>
      </c>
      <c r="H923" s="46">
        <v>2231.0</v>
      </c>
      <c r="I923" s="47">
        <v>26.2214254</v>
      </c>
      <c r="J923" s="46">
        <v>1870.0</v>
      </c>
      <c r="K923" s="47">
        <v>44.7593583</v>
      </c>
    </row>
    <row r="924" ht="15.0" hidden="1" customHeight="1">
      <c r="A924" s="7"/>
      <c r="B924" s="39">
        <v>917.0</v>
      </c>
      <c r="C924" s="40" t="s">
        <v>19</v>
      </c>
      <c r="D924" s="40" t="s">
        <v>260</v>
      </c>
      <c r="E924" s="40" t="s">
        <v>294</v>
      </c>
      <c r="F924" s="40" t="s">
        <v>297</v>
      </c>
      <c r="G924" s="41" t="s">
        <v>13</v>
      </c>
      <c r="H924" s="42"/>
      <c r="I924" s="43"/>
      <c r="J924" s="42"/>
      <c r="K924" s="43"/>
    </row>
    <row r="925" ht="15.0" hidden="1" customHeight="1">
      <c r="A925" s="7"/>
      <c r="B925" s="39">
        <v>918.0</v>
      </c>
      <c r="C925" s="40" t="s">
        <v>19</v>
      </c>
      <c r="D925" s="40" t="s">
        <v>260</v>
      </c>
      <c r="E925" s="40" t="s">
        <v>294</v>
      </c>
      <c r="F925" s="40" t="s">
        <v>297</v>
      </c>
      <c r="G925" s="41" t="s">
        <v>14</v>
      </c>
      <c r="H925" s="42">
        <v>2231.0</v>
      </c>
      <c r="I925" s="43">
        <v>26.2214254</v>
      </c>
      <c r="J925" s="42">
        <v>1870.0</v>
      </c>
      <c r="K925" s="43">
        <v>44.7593583</v>
      </c>
    </row>
    <row r="926" ht="15.0" hidden="1" customHeight="1">
      <c r="A926" s="7"/>
      <c r="B926" s="35">
        <v>919.0</v>
      </c>
      <c r="C926" s="36" t="s">
        <v>17</v>
      </c>
      <c r="D926" s="49" t="s">
        <v>260</v>
      </c>
      <c r="E926" s="49" t="s">
        <v>298</v>
      </c>
      <c r="F926" s="49"/>
      <c r="G926" s="36" t="s">
        <v>298</v>
      </c>
      <c r="H926" s="37">
        <v>49072.0</v>
      </c>
      <c r="I926" s="38">
        <v>27.266058</v>
      </c>
      <c r="J926" s="37">
        <v>42960.0</v>
      </c>
      <c r="K926" s="38">
        <v>43.0377095</v>
      </c>
    </row>
    <row r="927" ht="15.0" hidden="1" customHeight="1">
      <c r="A927" s="7"/>
      <c r="B927" s="39">
        <v>920.0</v>
      </c>
      <c r="C927" s="40" t="s">
        <v>17</v>
      </c>
      <c r="D927" s="40" t="s">
        <v>260</v>
      </c>
      <c r="E927" s="40" t="s">
        <v>298</v>
      </c>
      <c r="F927" s="40"/>
      <c r="G927" s="41" t="s">
        <v>13</v>
      </c>
      <c r="H927" s="42">
        <v>2573.0</v>
      </c>
      <c r="I927" s="43">
        <v>87.5631558</v>
      </c>
      <c r="J927" s="42">
        <v>3384.0</v>
      </c>
      <c r="K927" s="43">
        <v>97.4881797</v>
      </c>
    </row>
    <row r="928" ht="15.0" hidden="1" customHeight="1">
      <c r="A928" s="7"/>
      <c r="B928" s="39">
        <v>921.0</v>
      </c>
      <c r="C928" s="40" t="s">
        <v>17</v>
      </c>
      <c r="D928" s="40" t="s">
        <v>260</v>
      </c>
      <c r="E928" s="40" t="s">
        <v>298</v>
      </c>
      <c r="F928" s="40"/>
      <c r="G928" s="41" t="s">
        <v>14</v>
      </c>
      <c r="H928" s="42">
        <v>46499.0</v>
      </c>
      <c r="I928" s="43">
        <v>23.9295469</v>
      </c>
      <c r="J928" s="42">
        <v>39576.0</v>
      </c>
      <c r="K928" s="43">
        <v>38.3818476</v>
      </c>
    </row>
    <row r="929" ht="15.0" customHeight="1">
      <c r="A929" s="7"/>
      <c r="B929" s="44">
        <v>922.0</v>
      </c>
      <c r="C929" s="45" t="s">
        <v>19</v>
      </c>
      <c r="D929" s="50" t="s">
        <v>260</v>
      </c>
      <c r="E929" s="50" t="s">
        <v>298</v>
      </c>
      <c r="F929" s="50" t="s">
        <v>299</v>
      </c>
      <c r="G929" s="51" t="s">
        <v>299</v>
      </c>
      <c r="H929" s="46">
        <v>21710.0</v>
      </c>
      <c r="I929" s="47">
        <v>28.6043298</v>
      </c>
      <c r="J929" s="46">
        <v>16167.0</v>
      </c>
      <c r="K929" s="47">
        <v>46.7990351</v>
      </c>
    </row>
    <row r="930" ht="15.0" hidden="1" customHeight="1">
      <c r="A930" s="7"/>
      <c r="B930" s="39">
        <v>923.0</v>
      </c>
      <c r="C930" s="40" t="s">
        <v>19</v>
      </c>
      <c r="D930" s="40" t="s">
        <v>260</v>
      </c>
      <c r="E930" s="40" t="s">
        <v>298</v>
      </c>
      <c r="F930" s="40" t="s">
        <v>299</v>
      </c>
      <c r="G930" s="41" t="s">
        <v>13</v>
      </c>
      <c r="H930" s="42"/>
      <c r="I930" s="43"/>
      <c r="J930" s="42"/>
      <c r="K930" s="43"/>
    </row>
    <row r="931" ht="15.0" hidden="1" customHeight="1">
      <c r="A931" s="7"/>
      <c r="B931" s="39">
        <v>924.0</v>
      </c>
      <c r="C931" s="40" t="s">
        <v>19</v>
      </c>
      <c r="D931" s="40" t="s">
        <v>260</v>
      </c>
      <c r="E931" s="40" t="s">
        <v>298</v>
      </c>
      <c r="F931" s="40" t="s">
        <v>299</v>
      </c>
      <c r="G931" s="41" t="s">
        <v>14</v>
      </c>
      <c r="H931" s="42">
        <v>21710.0</v>
      </c>
      <c r="I931" s="43">
        <v>28.6043298</v>
      </c>
      <c r="J931" s="42">
        <v>16167.0</v>
      </c>
      <c r="K931" s="43">
        <v>46.7990351</v>
      </c>
    </row>
    <row r="932" ht="15.0" customHeight="1">
      <c r="A932" s="7"/>
      <c r="B932" s="44">
        <v>925.0</v>
      </c>
      <c r="C932" s="45" t="s">
        <v>19</v>
      </c>
      <c r="D932" s="50" t="s">
        <v>260</v>
      </c>
      <c r="E932" s="50" t="s">
        <v>298</v>
      </c>
      <c r="F932" s="50" t="s">
        <v>300</v>
      </c>
      <c r="G932" s="51" t="s">
        <v>300</v>
      </c>
      <c r="H932" s="46">
        <v>11704.0</v>
      </c>
      <c r="I932" s="47">
        <v>45.1042379</v>
      </c>
      <c r="J932" s="46">
        <v>12535.0</v>
      </c>
      <c r="K932" s="47">
        <v>66.8209015</v>
      </c>
    </row>
    <row r="933" ht="15.0" hidden="1" customHeight="1">
      <c r="A933" s="7"/>
      <c r="B933" s="39">
        <v>926.0</v>
      </c>
      <c r="C933" s="40" t="s">
        <v>19</v>
      </c>
      <c r="D933" s="40" t="s">
        <v>260</v>
      </c>
      <c r="E933" s="40" t="s">
        <v>298</v>
      </c>
      <c r="F933" s="40" t="s">
        <v>300</v>
      </c>
      <c r="G933" s="41" t="s">
        <v>13</v>
      </c>
      <c r="H933" s="42">
        <v>2573.0</v>
      </c>
      <c r="I933" s="43">
        <v>87.5631558</v>
      </c>
      <c r="J933" s="42">
        <v>3384.0</v>
      </c>
      <c r="K933" s="43">
        <v>97.4881797</v>
      </c>
    </row>
    <row r="934" ht="15.0" hidden="1" customHeight="1">
      <c r="A934" s="7"/>
      <c r="B934" s="39">
        <v>927.0</v>
      </c>
      <c r="C934" s="40" t="s">
        <v>19</v>
      </c>
      <c r="D934" s="40" t="s">
        <v>260</v>
      </c>
      <c r="E934" s="40" t="s">
        <v>298</v>
      </c>
      <c r="F934" s="40" t="s">
        <v>300</v>
      </c>
      <c r="G934" s="41" t="s">
        <v>14</v>
      </c>
      <c r="H934" s="42">
        <v>9131.0</v>
      </c>
      <c r="I934" s="43">
        <v>33.1398532</v>
      </c>
      <c r="J934" s="42">
        <v>9151.0</v>
      </c>
      <c r="K934" s="43">
        <v>55.4802754</v>
      </c>
    </row>
    <row r="935" ht="15.0" customHeight="1">
      <c r="A935" s="7"/>
      <c r="B935" s="44">
        <v>928.0</v>
      </c>
      <c r="C935" s="45" t="s">
        <v>19</v>
      </c>
      <c r="D935" s="50" t="s">
        <v>260</v>
      </c>
      <c r="E935" s="50" t="s">
        <v>298</v>
      </c>
      <c r="F935" s="50" t="s">
        <v>301</v>
      </c>
      <c r="G935" s="51" t="s">
        <v>301</v>
      </c>
      <c r="H935" s="46">
        <v>15658.0</v>
      </c>
      <c r="I935" s="47">
        <v>12.0768936</v>
      </c>
      <c r="J935" s="46">
        <v>14258.0</v>
      </c>
      <c r="K935" s="47">
        <v>17.8636555</v>
      </c>
    </row>
    <row r="936" ht="15.0" hidden="1" customHeight="1">
      <c r="A936" s="7"/>
      <c r="B936" s="39">
        <v>929.0</v>
      </c>
      <c r="C936" s="40" t="s">
        <v>19</v>
      </c>
      <c r="D936" s="40" t="s">
        <v>260</v>
      </c>
      <c r="E936" s="40" t="s">
        <v>298</v>
      </c>
      <c r="F936" s="40" t="s">
        <v>301</v>
      </c>
      <c r="G936" s="41" t="s">
        <v>13</v>
      </c>
      <c r="H936" s="42"/>
      <c r="I936" s="43"/>
      <c r="J936" s="42"/>
      <c r="K936" s="43"/>
    </row>
    <row r="937" ht="15.0" hidden="1" customHeight="1">
      <c r="A937" s="7"/>
      <c r="B937" s="39">
        <v>930.0</v>
      </c>
      <c r="C937" s="40" t="s">
        <v>19</v>
      </c>
      <c r="D937" s="40" t="s">
        <v>260</v>
      </c>
      <c r="E937" s="40" t="s">
        <v>298</v>
      </c>
      <c r="F937" s="40" t="s">
        <v>301</v>
      </c>
      <c r="G937" s="41" t="s">
        <v>14</v>
      </c>
      <c r="H937" s="42">
        <v>15658.0</v>
      </c>
      <c r="I937" s="43">
        <v>12.0768936</v>
      </c>
      <c r="J937" s="42">
        <v>14258.0</v>
      </c>
      <c r="K937" s="43">
        <v>17.8636555</v>
      </c>
    </row>
    <row r="938" ht="15.0" hidden="1" customHeight="1">
      <c r="A938" s="7"/>
      <c r="B938" s="35">
        <v>931.0</v>
      </c>
      <c r="C938" s="36" t="s">
        <v>17</v>
      </c>
      <c r="D938" s="49" t="s">
        <v>260</v>
      </c>
      <c r="E938" s="49" t="s">
        <v>302</v>
      </c>
      <c r="F938" s="49"/>
      <c r="G938" s="36" t="s">
        <v>302</v>
      </c>
      <c r="H938" s="37">
        <v>53668.0</v>
      </c>
      <c r="I938" s="38">
        <v>65.8884251</v>
      </c>
      <c r="J938" s="37">
        <v>61399.0</v>
      </c>
      <c r="K938" s="38">
        <v>82.3042721</v>
      </c>
    </row>
    <row r="939" ht="15.0" hidden="1" customHeight="1">
      <c r="A939" s="7"/>
      <c r="B939" s="39">
        <v>932.0</v>
      </c>
      <c r="C939" s="40" t="s">
        <v>17</v>
      </c>
      <c r="D939" s="40" t="s">
        <v>260</v>
      </c>
      <c r="E939" s="40" t="s">
        <v>302</v>
      </c>
      <c r="F939" s="40"/>
      <c r="G939" s="41" t="s">
        <v>13</v>
      </c>
      <c r="H939" s="42">
        <v>25090.0</v>
      </c>
      <c r="I939" s="43">
        <v>99.8405739</v>
      </c>
      <c r="J939" s="42">
        <v>34878.0</v>
      </c>
      <c r="K939" s="43">
        <v>99.5641952</v>
      </c>
    </row>
    <row r="940" ht="15.0" hidden="1" customHeight="1">
      <c r="A940" s="7"/>
      <c r="B940" s="39">
        <v>933.0</v>
      </c>
      <c r="C940" s="40" t="s">
        <v>17</v>
      </c>
      <c r="D940" s="40" t="s">
        <v>260</v>
      </c>
      <c r="E940" s="40" t="s">
        <v>302</v>
      </c>
      <c r="F940" s="40"/>
      <c r="G940" s="41" t="s">
        <v>14</v>
      </c>
      <c r="H940" s="42">
        <v>28578.0</v>
      </c>
      <c r="I940" s="43">
        <v>36.0802016</v>
      </c>
      <c r="J940" s="42">
        <v>26521.0</v>
      </c>
      <c r="K940" s="43">
        <v>59.6055956</v>
      </c>
    </row>
    <row r="941" ht="15.0" customHeight="1">
      <c r="A941" s="7"/>
      <c r="B941" s="44">
        <v>934.0</v>
      </c>
      <c r="C941" s="45" t="s">
        <v>19</v>
      </c>
      <c r="D941" s="50" t="s">
        <v>260</v>
      </c>
      <c r="E941" s="50" t="s">
        <v>302</v>
      </c>
      <c r="F941" s="50" t="s">
        <v>303</v>
      </c>
      <c r="G941" s="51" t="s">
        <v>303</v>
      </c>
      <c r="H941" s="46">
        <v>28477.0</v>
      </c>
      <c r="I941" s="47">
        <v>78.6599712</v>
      </c>
      <c r="J941" s="46">
        <v>33598.0</v>
      </c>
      <c r="K941" s="47">
        <v>92.5471754</v>
      </c>
    </row>
    <row r="942" ht="15.0" hidden="1" customHeight="1">
      <c r="A942" s="7"/>
      <c r="B942" s="39">
        <v>935.0</v>
      </c>
      <c r="C942" s="40" t="s">
        <v>19</v>
      </c>
      <c r="D942" s="40" t="s">
        <v>260</v>
      </c>
      <c r="E942" s="40" t="s">
        <v>302</v>
      </c>
      <c r="F942" s="40" t="s">
        <v>303</v>
      </c>
      <c r="G942" s="41" t="s">
        <v>13</v>
      </c>
      <c r="H942" s="42">
        <v>17143.0</v>
      </c>
      <c r="I942" s="43">
        <v>99.7783352</v>
      </c>
      <c r="J942" s="42">
        <v>23464.0</v>
      </c>
      <c r="K942" s="43">
        <v>99.5311967</v>
      </c>
    </row>
    <row r="943" ht="15.0" hidden="1" customHeight="1">
      <c r="A943" s="7"/>
      <c r="B943" s="39">
        <v>936.0</v>
      </c>
      <c r="C943" s="40" t="s">
        <v>19</v>
      </c>
      <c r="D943" s="40" t="s">
        <v>260</v>
      </c>
      <c r="E943" s="40" t="s">
        <v>302</v>
      </c>
      <c r="F943" s="40" t="s">
        <v>303</v>
      </c>
      <c r="G943" s="41" t="s">
        <v>14</v>
      </c>
      <c r="H943" s="42">
        <v>11334.0</v>
      </c>
      <c r="I943" s="43">
        <v>46.7178401</v>
      </c>
      <c r="J943" s="42">
        <v>10134.0</v>
      </c>
      <c r="K943" s="43">
        <v>76.3765542</v>
      </c>
    </row>
    <row r="944" ht="15.0" customHeight="1">
      <c r="A944" s="7"/>
      <c r="B944" s="44">
        <v>937.0</v>
      </c>
      <c r="C944" s="45" t="s">
        <v>19</v>
      </c>
      <c r="D944" s="50" t="s">
        <v>260</v>
      </c>
      <c r="E944" s="50" t="s">
        <v>302</v>
      </c>
      <c r="F944" s="50" t="s">
        <v>304</v>
      </c>
      <c r="G944" s="51" t="s">
        <v>304</v>
      </c>
      <c r="H944" s="46">
        <v>8705.0</v>
      </c>
      <c r="I944" s="47">
        <v>30.3159104</v>
      </c>
      <c r="J944" s="46">
        <v>7759.0</v>
      </c>
      <c r="K944" s="47">
        <v>56.0381492</v>
      </c>
    </row>
    <row r="945" ht="15.0" hidden="1" customHeight="1">
      <c r="A945" s="7"/>
      <c r="B945" s="39">
        <v>938.0</v>
      </c>
      <c r="C945" s="40" t="s">
        <v>19</v>
      </c>
      <c r="D945" s="40" t="s">
        <v>260</v>
      </c>
      <c r="E945" s="40" t="s">
        <v>302</v>
      </c>
      <c r="F945" s="40" t="s">
        <v>304</v>
      </c>
      <c r="G945" s="41" t="s">
        <v>13</v>
      </c>
      <c r="H945" s="42"/>
      <c r="I945" s="43"/>
      <c r="J945" s="42"/>
      <c r="K945" s="43"/>
    </row>
    <row r="946" ht="15.0" hidden="1" customHeight="1">
      <c r="A946" s="7"/>
      <c r="B946" s="39">
        <v>939.0</v>
      </c>
      <c r="C946" s="40" t="s">
        <v>19</v>
      </c>
      <c r="D946" s="40" t="s">
        <v>260</v>
      </c>
      <c r="E946" s="40" t="s">
        <v>302</v>
      </c>
      <c r="F946" s="40" t="s">
        <v>304</v>
      </c>
      <c r="G946" s="41" t="s">
        <v>14</v>
      </c>
      <c r="H946" s="42">
        <v>8705.0</v>
      </c>
      <c r="I946" s="43">
        <v>30.3159104</v>
      </c>
      <c r="J946" s="42">
        <v>7759.0</v>
      </c>
      <c r="K946" s="43">
        <v>56.0381492</v>
      </c>
    </row>
    <row r="947" ht="15.0" customHeight="1">
      <c r="A947" s="7"/>
      <c r="B947" s="44">
        <v>940.0</v>
      </c>
      <c r="C947" s="45" t="s">
        <v>19</v>
      </c>
      <c r="D947" s="50" t="s">
        <v>260</v>
      </c>
      <c r="E947" s="50" t="s">
        <v>302</v>
      </c>
      <c r="F947" s="50" t="s">
        <v>305</v>
      </c>
      <c r="G947" s="51" t="s">
        <v>305</v>
      </c>
      <c r="H947" s="46">
        <v>10640.0</v>
      </c>
      <c r="I947" s="47">
        <v>79.1353383</v>
      </c>
      <c r="J947" s="46">
        <v>14321.0</v>
      </c>
      <c r="K947" s="47">
        <v>86.0065638</v>
      </c>
    </row>
    <row r="948" ht="15.0" hidden="1" customHeight="1">
      <c r="A948" s="7"/>
      <c r="B948" s="39">
        <v>941.0</v>
      </c>
      <c r="C948" s="40" t="s">
        <v>19</v>
      </c>
      <c r="D948" s="40" t="s">
        <v>260</v>
      </c>
      <c r="E948" s="40" t="s">
        <v>302</v>
      </c>
      <c r="F948" s="40" t="s">
        <v>305</v>
      </c>
      <c r="G948" s="41" t="s">
        <v>13</v>
      </c>
      <c r="H948" s="42">
        <v>7947.0</v>
      </c>
      <c r="I948" s="43">
        <v>99.9748333</v>
      </c>
      <c r="J948" s="42">
        <v>11414.0</v>
      </c>
      <c r="K948" s="43">
        <v>99.6320308</v>
      </c>
    </row>
    <row r="949" ht="15.0" hidden="1" customHeight="1">
      <c r="A949" s="7"/>
      <c r="B949" s="39">
        <v>942.0</v>
      </c>
      <c r="C949" s="40" t="s">
        <v>19</v>
      </c>
      <c r="D949" s="40" t="s">
        <v>260</v>
      </c>
      <c r="E949" s="40" t="s">
        <v>302</v>
      </c>
      <c r="F949" s="40" t="s">
        <v>305</v>
      </c>
      <c r="G949" s="41" t="s">
        <v>14</v>
      </c>
      <c r="H949" s="42">
        <v>2693.0</v>
      </c>
      <c r="I949" s="43">
        <v>17.6383216</v>
      </c>
      <c r="J949" s="42">
        <v>2907.0</v>
      </c>
      <c r="K949" s="43">
        <v>32.5077399</v>
      </c>
    </row>
    <row r="950" ht="15.0" customHeight="1">
      <c r="A950" s="7"/>
      <c r="B950" s="44">
        <v>943.0</v>
      </c>
      <c r="C950" s="45" t="s">
        <v>19</v>
      </c>
      <c r="D950" s="50" t="s">
        <v>260</v>
      </c>
      <c r="E950" s="50" t="s">
        <v>302</v>
      </c>
      <c r="F950" s="50" t="s">
        <v>306</v>
      </c>
      <c r="G950" s="51" t="s">
        <v>306</v>
      </c>
      <c r="H950" s="46">
        <v>5846.0</v>
      </c>
      <c r="I950" s="47">
        <v>32.5350667</v>
      </c>
      <c r="J950" s="46">
        <v>5721.0</v>
      </c>
      <c r="K950" s="47">
        <v>48.505506</v>
      </c>
    </row>
    <row r="951" ht="15.0" hidden="1" customHeight="1">
      <c r="A951" s="7"/>
      <c r="B951" s="39">
        <v>944.0</v>
      </c>
      <c r="C951" s="40" t="s">
        <v>19</v>
      </c>
      <c r="D951" s="40" t="s">
        <v>260</v>
      </c>
      <c r="E951" s="40" t="s">
        <v>302</v>
      </c>
      <c r="F951" s="40" t="s">
        <v>306</v>
      </c>
      <c r="G951" s="41" t="s">
        <v>13</v>
      </c>
      <c r="H951" s="42"/>
      <c r="I951" s="43"/>
      <c r="J951" s="42"/>
      <c r="K951" s="43"/>
    </row>
    <row r="952" ht="15.0" hidden="1" customHeight="1">
      <c r="A952" s="7"/>
      <c r="B952" s="39">
        <v>945.0</v>
      </c>
      <c r="C952" s="40" t="s">
        <v>19</v>
      </c>
      <c r="D952" s="40" t="s">
        <v>260</v>
      </c>
      <c r="E952" s="40" t="s">
        <v>302</v>
      </c>
      <c r="F952" s="40" t="s">
        <v>306</v>
      </c>
      <c r="G952" s="41" t="s">
        <v>14</v>
      </c>
      <c r="H952" s="42">
        <v>5846.0</v>
      </c>
      <c r="I952" s="43">
        <v>32.5350667</v>
      </c>
      <c r="J952" s="42">
        <v>5721.0</v>
      </c>
      <c r="K952" s="43">
        <v>48.505506</v>
      </c>
    </row>
    <row r="953" ht="15.0" hidden="1" customHeight="1">
      <c r="A953" s="7"/>
      <c r="B953" s="35">
        <v>946.0</v>
      </c>
      <c r="C953" s="36" t="s">
        <v>17</v>
      </c>
      <c r="D953" s="49" t="s">
        <v>260</v>
      </c>
      <c r="E953" s="49" t="s">
        <v>307</v>
      </c>
      <c r="F953" s="49"/>
      <c r="G953" s="36" t="s">
        <v>307</v>
      </c>
      <c r="H953" s="37">
        <v>10195.0</v>
      </c>
      <c r="I953" s="38">
        <v>15.3212359</v>
      </c>
      <c r="J953" s="37">
        <v>8037.0</v>
      </c>
      <c r="K953" s="38">
        <v>21.0153042</v>
      </c>
    </row>
    <row r="954" ht="15.0" hidden="1" customHeight="1">
      <c r="A954" s="7"/>
      <c r="B954" s="39">
        <v>947.0</v>
      </c>
      <c r="C954" s="40" t="s">
        <v>17</v>
      </c>
      <c r="D954" s="40" t="s">
        <v>260</v>
      </c>
      <c r="E954" s="40" t="s">
        <v>307</v>
      </c>
      <c r="F954" s="40"/>
      <c r="G954" s="41" t="s">
        <v>13</v>
      </c>
      <c r="H954" s="42"/>
      <c r="I954" s="43"/>
      <c r="J954" s="42"/>
      <c r="K954" s="43"/>
    </row>
    <row r="955" ht="15.0" hidden="1" customHeight="1">
      <c r="A955" s="7"/>
      <c r="B955" s="39">
        <v>948.0</v>
      </c>
      <c r="C955" s="40" t="s">
        <v>17</v>
      </c>
      <c r="D955" s="40" t="s">
        <v>260</v>
      </c>
      <c r="E955" s="40" t="s">
        <v>307</v>
      </c>
      <c r="F955" s="40"/>
      <c r="G955" s="41" t="s">
        <v>14</v>
      </c>
      <c r="H955" s="42">
        <v>10195.0</v>
      </c>
      <c r="I955" s="43">
        <v>15.3212359</v>
      </c>
      <c r="J955" s="42">
        <v>8037.0</v>
      </c>
      <c r="K955" s="43">
        <v>21.0153042</v>
      </c>
    </row>
    <row r="956" ht="15.0" customHeight="1">
      <c r="A956" s="7"/>
      <c r="B956" s="44">
        <v>949.0</v>
      </c>
      <c r="C956" s="45" t="s">
        <v>19</v>
      </c>
      <c r="D956" s="50" t="s">
        <v>260</v>
      </c>
      <c r="E956" s="50" t="s">
        <v>307</v>
      </c>
      <c r="F956" s="50" t="s">
        <v>308</v>
      </c>
      <c r="G956" s="51" t="s">
        <v>308</v>
      </c>
      <c r="H956" s="46">
        <v>4107.0</v>
      </c>
      <c r="I956" s="47">
        <v>11.468225</v>
      </c>
      <c r="J956" s="46">
        <v>3652.0</v>
      </c>
      <c r="K956" s="47">
        <v>16.7305586</v>
      </c>
    </row>
    <row r="957" ht="15.0" hidden="1" customHeight="1">
      <c r="A957" s="7"/>
      <c r="B957" s="39">
        <v>950.0</v>
      </c>
      <c r="C957" s="40" t="s">
        <v>19</v>
      </c>
      <c r="D957" s="40" t="s">
        <v>260</v>
      </c>
      <c r="E957" s="40" t="s">
        <v>307</v>
      </c>
      <c r="F957" s="40" t="s">
        <v>308</v>
      </c>
      <c r="G957" s="41" t="s">
        <v>13</v>
      </c>
      <c r="H957" s="42"/>
      <c r="I957" s="43"/>
      <c r="J957" s="42"/>
      <c r="K957" s="43"/>
    </row>
    <row r="958" ht="15.0" hidden="1" customHeight="1">
      <c r="A958" s="7"/>
      <c r="B958" s="39">
        <v>951.0</v>
      </c>
      <c r="C958" s="40" t="s">
        <v>19</v>
      </c>
      <c r="D958" s="40" t="s">
        <v>260</v>
      </c>
      <c r="E958" s="40" t="s">
        <v>307</v>
      </c>
      <c r="F958" s="40" t="s">
        <v>308</v>
      </c>
      <c r="G958" s="41" t="s">
        <v>14</v>
      </c>
      <c r="H958" s="42">
        <v>4107.0</v>
      </c>
      <c r="I958" s="43">
        <v>11.468225</v>
      </c>
      <c r="J958" s="42">
        <v>3652.0</v>
      </c>
      <c r="K958" s="43">
        <v>16.7305586</v>
      </c>
    </row>
    <row r="959" ht="15.0" customHeight="1">
      <c r="A959" s="7"/>
      <c r="B959" s="44">
        <v>952.0</v>
      </c>
      <c r="C959" s="45" t="s">
        <v>19</v>
      </c>
      <c r="D959" s="50" t="s">
        <v>260</v>
      </c>
      <c r="E959" s="50" t="s">
        <v>307</v>
      </c>
      <c r="F959" s="50" t="s">
        <v>309</v>
      </c>
      <c r="G959" s="51" t="s">
        <v>309</v>
      </c>
      <c r="H959" s="46">
        <v>6088.0</v>
      </c>
      <c r="I959" s="47">
        <v>17.9204993</v>
      </c>
      <c r="J959" s="46">
        <v>4385.0</v>
      </c>
      <c r="K959" s="47">
        <v>24.5838084</v>
      </c>
    </row>
    <row r="960" ht="15.0" hidden="1" customHeight="1">
      <c r="A960" s="7"/>
      <c r="B960" s="39">
        <v>953.0</v>
      </c>
      <c r="C960" s="40" t="s">
        <v>19</v>
      </c>
      <c r="D960" s="40" t="s">
        <v>260</v>
      </c>
      <c r="E960" s="40" t="s">
        <v>307</v>
      </c>
      <c r="F960" s="40" t="s">
        <v>309</v>
      </c>
      <c r="G960" s="41" t="s">
        <v>13</v>
      </c>
      <c r="H960" s="42"/>
      <c r="I960" s="43"/>
      <c r="J960" s="42"/>
      <c r="K960" s="43"/>
    </row>
    <row r="961" ht="15.0" hidden="1" customHeight="1">
      <c r="A961" s="7"/>
      <c r="B961" s="39">
        <v>954.0</v>
      </c>
      <c r="C961" s="40" t="s">
        <v>19</v>
      </c>
      <c r="D961" s="40" t="s">
        <v>260</v>
      </c>
      <c r="E961" s="40" t="s">
        <v>307</v>
      </c>
      <c r="F961" s="40" t="s">
        <v>309</v>
      </c>
      <c r="G961" s="41" t="s">
        <v>14</v>
      </c>
      <c r="H961" s="42">
        <v>6088.0</v>
      </c>
      <c r="I961" s="43">
        <v>17.9204993</v>
      </c>
      <c r="J961" s="42">
        <v>4385.0</v>
      </c>
      <c r="K961" s="43">
        <v>24.5838084</v>
      </c>
    </row>
    <row r="962" ht="15.0" hidden="1" customHeight="1">
      <c r="A962" s="7"/>
      <c r="B962" s="35">
        <v>955.0</v>
      </c>
      <c r="C962" s="36" t="s">
        <v>17</v>
      </c>
      <c r="D962" s="49" t="s">
        <v>260</v>
      </c>
      <c r="E962" s="49" t="s">
        <v>310</v>
      </c>
      <c r="F962" s="49"/>
      <c r="G962" s="36" t="s">
        <v>310</v>
      </c>
      <c r="H962" s="37">
        <v>5644.0</v>
      </c>
      <c r="I962" s="38">
        <v>38.1998583</v>
      </c>
      <c r="J962" s="37">
        <v>5565.0</v>
      </c>
      <c r="K962" s="38">
        <v>75.9568733</v>
      </c>
    </row>
    <row r="963" ht="15.0" hidden="1" customHeight="1">
      <c r="A963" s="7"/>
      <c r="B963" s="39">
        <v>956.0</v>
      </c>
      <c r="C963" s="40" t="s">
        <v>17</v>
      </c>
      <c r="D963" s="40" t="s">
        <v>260</v>
      </c>
      <c r="E963" s="40" t="s">
        <v>310</v>
      </c>
      <c r="F963" s="40"/>
      <c r="G963" s="41" t="s">
        <v>13</v>
      </c>
      <c r="H963" s="42"/>
      <c r="I963" s="43"/>
      <c r="J963" s="42"/>
      <c r="K963" s="43"/>
    </row>
    <row r="964" ht="15.0" hidden="1" customHeight="1">
      <c r="A964" s="7"/>
      <c r="B964" s="39">
        <v>957.0</v>
      </c>
      <c r="C964" s="40" t="s">
        <v>17</v>
      </c>
      <c r="D964" s="40" t="s">
        <v>260</v>
      </c>
      <c r="E964" s="40" t="s">
        <v>310</v>
      </c>
      <c r="F964" s="40"/>
      <c r="G964" s="41" t="s">
        <v>14</v>
      </c>
      <c r="H964" s="42">
        <v>5644.0</v>
      </c>
      <c r="I964" s="43">
        <v>38.1998583</v>
      </c>
      <c r="J964" s="42">
        <v>5565.0</v>
      </c>
      <c r="K964" s="43">
        <v>75.9568733</v>
      </c>
    </row>
    <row r="965" ht="15.0" customHeight="1">
      <c r="A965" s="7"/>
      <c r="B965" s="44">
        <v>958.0</v>
      </c>
      <c r="C965" s="45" t="s">
        <v>19</v>
      </c>
      <c r="D965" s="50" t="s">
        <v>260</v>
      </c>
      <c r="E965" s="50" t="s">
        <v>310</v>
      </c>
      <c r="F965" s="50" t="s">
        <v>311</v>
      </c>
      <c r="G965" s="51" t="s">
        <v>311</v>
      </c>
      <c r="H965" s="46">
        <v>3980.0</v>
      </c>
      <c r="I965" s="47">
        <v>34.0452261</v>
      </c>
      <c r="J965" s="46">
        <v>4036.0</v>
      </c>
      <c r="K965" s="47">
        <v>75.8919722</v>
      </c>
    </row>
    <row r="966" ht="15.0" hidden="1" customHeight="1">
      <c r="A966" s="7"/>
      <c r="B966" s="39">
        <v>959.0</v>
      </c>
      <c r="C966" s="40" t="s">
        <v>19</v>
      </c>
      <c r="D966" s="40" t="s">
        <v>260</v>
      </c>
      <c r="E966" s="40" t="s">
        <v>310</v>
      </c>
      <c r="F966" s="40" t="s">
        <v>311</v>
      </c>
      <c r="G966" s="41" t="s">
        <v>13</v>
      </c>
      <c r="H966" s="42"/>
      <c r="I966" s="43"/>
      <c r="J966" s="42"/>
      <c r="K966" s="43"/>
    </row>
    <row r="967" ht="15.0" hidden="1" customHeight="1">
      <c r="A967" s="7"/>
      <c r="B967" s="39">
        <v>960.0</v>
      </c>
      <c r="C967" s="40" t="s">
        <v>19</v>
      </c>
      <c r="D967" s="40" t="s">
        <v>260</v>
      </c>
      <c r="E967" s="40" t="s">
        <v>310</v>
      </c>
      <c r="F967" s="40" t="s">
        <v>311</v>
      </c>
      <c r="G967" s="41" t="s">
        <v>14</v>
      </c>
      <c r="H967" s="42">
        <v>3980.0</v>
      </c>
      <c r="I967" s="43">
        <v>34.0452261</v>
      </c>
      <c r="J967" s="42">
        <v>4036.0</v>
      </c>
      <c r="K967" s="43">
        <v>75.8919722</v>
      </c>
    </row>
    <row r="968" ht="15.0" customHeight="1">
      <c r="A968" s="7"/>
      <c r="B968" s="44">
        <v>961.0</v>
      </c>
      <c r="C968" s="45" t="s">
        <v>19</v>
      </c>
      <c r="D968" s="50" t="s">
        <v>260</v>
      </c>
      <c r="E968" s="50" t="s">
        <v>310</v>
      </c>
      <c r="F968" s="50" t="s">
        <v>312</v>
      </c>
      <c r="G968" s="51" t="s">
        <v>312</v>
      </c>
      <c r="H968" s="46">
        <v>1664.0</v>
      </c>
      <c r="I968" s="47">
        <v>48.1370192</v>
      </c>
      <c r="J968" s="46">
        <v>1529.0</v>
      </c>
      <c r="K968" s="47">
        <v>76.1281884</v>
      </c>
    </row>
    <row r="969" ht="15.0" hidden="1" customHeight="1">
      <c r="A969" s="7"/>
      <c r="B969" s="39">
        <v>962.0</v>
      </c>
      <c r="C969" s="40" t="s">
        <v>19</v>
      </c>
      <c r="D969" s="40" t="s">
        <v>260</v>
      </c>
      <c r="E969" s="40" t="s">
        <v>310</v>
      </c>
      <c r="F969" s="40" t="s">
        <v>312</v>
      </c>
      <c r="G969" s="41" t="s">
        <v>13</v>
      </c>
      <c r="H969" s="42"/>
      <c r="I969" s="43"/>
      <c r="J969" s="42"/>
      <c r="K969" s="43"/>
    </row>
    <row r="970" ht="15.0" hidden="1" customHeight="1">
      <c r="A970" s="7"/>
      <c r="B970" s="39">
        <v>963.0</v>
      </c>
      <c r="C970" s="40" t="s">
        <v>19</v>
      </c>
      <c r="D970" s="40" t="s">
        <v>260</v>
      </c>
      <c r="E970" s="40" t="s">
        <v>310</v>
      </c>
      <c r="F970" s="40" t="s">
        <v>312</v>
      </c>
      <c r="G970" s="41" t="s">
        <v>14</v>
      </c>
      <c r="H970" s="42">
        <v>1664.0</v>
      </c>
      <c r="I970" s="43">
        <v>48.1370192</v>
      </c>
      <c r="J970" s="42">
        <v>1529.0</v>
      </c>
      <c r="K970" s="43">
        <v>76.1281884</v>
      </c>
    </row>
    <row r="971" ht="15.0" hidden="1" customHeight="1">
      <c r="A971" s="7"/>
      <c r="B971" s="35">
        <v>964.0</v>
      </c>
      <c r="C971" s="36" t="s">
        <v>17</v>
      </c>
      <c r="D971" s="49" t="s">
        <v>260</v>
      </c>
      <c r="E971" s="49" t="s">
        <v>313</v>
      </c>
      <c r="F971" s="49"/>
      <c r="G971" s="36" t="s">
        <v>313</v>
      </c>
      <c r="H971" s="37">
        <v>43444.0</v>
      </c>
      <c r="I971" s="38">
        <v>83.6893472</v>
      </c>
      <c r="J971" s="37">
        <v>47942.0</v>
      </c>
      <c r="K971" s="38">
        <v>91.4396563</v>
      </c>
    </row>
    <row r="972" ht="15.0" hidden="1" customHeight="1">
      <c r="A972" s="7"/>
      <c r="B972" s="39">
        <v>965.0</v>
      </c>
      <c r="C972" s="40" t="s">
        <v>17</v>
      </c>
      <c r="D972" s="40" t="s">
        <v>260</v>
      </c>
      <c r="E972" s="40" t="s">
        <v>313</v>
      </c>
      <c r="F972" s="40"/>
      <c r="G972" s="41" t="s">
        <v>13</v>
      </c>
      <c r="H972" s="42">
        <v>34035.0</v>
      </c>
      <c r="I972" s="43">
        <v>99.5504628</v>
      </c>
      <c r="J972" s="42">
        <v>40257.0</v>
      </c>
      <c r="K972" s="43">
        <v>99.4932558</v>
      </c>
    </row>
    <row r="973" ht="15.0" hidden="1" customHeight="1">
      <c r="A973" s="7"/>
      <c r="B973" s="39">
        <v>966.0</v>
      </c>
      <c r="C973" s="40" t="s">
        <v>17</v>
      </c>
      <c r="D973" s="40" t="s">
        <v>260</v>
      </c>
      <c r="E973" s="40" t="s">
        <v>313</v>
      </c>
      <c r="F973" s="40"/>
      <c r="G973" s="41" t="s">
        <v>14</v>
      </c>
      <c r="H973" s="42">
        <v>9409.0</v>
      </c>
      <c r="I973" s="43">
        <v>26.3152301</v>
      </c>
      <c r="J973" s="42">
        <v>7685.0</v>
      </c>
      <c r="K973" s="43">
        <v>49.2517892</v>
      </c>
    </row>
    <row r="974" ht="15.0" customHeight="1">
      <c r="A974" s="7"/>
      <c r="B974" s="44">
        <v>967.0</v>
      </c>
      <c r="C974" s="45" t="s">
        <v>19</v>
      </c>
      <c r="D974" s="50" t="s">
        <v>260</v>
      </c>
      <c r="E974" s="50" t="s">
        <v>313</v>
      </c>
      <c r="F974" s="50" t="s">
        <v>314</v>
      </c>
      <c r="G974" s="51" t="s">
        <v>314</v>
      </c>
      <c r="H974" s="46">
        <v>43444.0</v>
      </c>
      <c r="I974" s="47">
        <v>83.6893472</v>
      </c>
      <c r="J974" s="46">
        <v>47942.0</v>
      </c>
      <c r="K974" s="47">
        <v>91.4396563</v>
      </c>
    </row>
    <row r="975" ht="15.0" hidden="1" customHeight="1">
      <c r="A975" s="7"/>
      <c r="B975" s="39">
        <v>968.0</v>
      </c>
      <c r="C975" s="40" t="s">
        <v>19</v>
      </c>
      <c r="D975" s="40" t="s">
        <v>260</v>
      </c>
      <c r="E975" s="40" t="s">
        <v>313</v>
      </c>
      <c r="F975" s="40" t="s">
        <v>314</v>
      </c>
      <c r="G975" s="41" t="s">
        <v>13</v>
      </c>
      <c r="H975" s="42">
        <v>34035.0</v>
      </c>
      <c r="I975" s="43">
        <v>99.5504628</v>
      </c>
      <c r="J975" s="42">
        <v>40257.0</v>
      </c>
      <c r="K975" s="43">
        <v>99.4932558</v>
      </c>
    </row>
    <row r="976" ht="15.0" hidden="1" customHeight="1">
      <c r="A976" s="7"/>
      <c r="B976" s="39">
        <v>969.0</v>
      </c>
      <c r="C976" s="40" t="s">
        <v>19</v>
      </c>
      <c r="D976" s="40" t="s">
        <v>260</v>
      </c>
      <c r="E976" s="40" t="s">
        <v>313</v>
      </c>
      <c r="F976" s="40" t="s">
        <v>314</v>
      </c>
      <c r="G976" s="41" t="s">
        <v>14</v>
      </c>
      <c r="H976" s="42">
        <v>9409.0</v>
      </c>
      <c r="I976" s="43">
        <v>26.3152301</v>
      </c>
      <c r="J976" s="42">
        <v>7685.0</v>
      </c>
      <c r="K976" s="43">
        <v>49.2517892</v>
      </c>
    </row>
    <row r="977" ht="15.0" hidden="1" customHeight="1">
      <c r="A977" s="7"/>
      <c r="B977" s="35">
        <v>970.0</v>
      </c>
      <c r="C977" s="36" t="s">
        <v>17</v>
      </c>
      <c r="D977" s="49" t="s">
        <v>260</v>
      </c>
      <c r="E977" s="49" t="s">
        <v>315</v>
      </c>
      <c r="F977" s="49"/>
      <c r="G977" s="36" t="s">
        <v>315</v>
      </c>
      <c r="H977" s="37">
        <v>1643.0</v>
      </c>
      <c r="I977" s="38">
        <v>11.4424833</v>
      </c>
      <c r="J977" s="37">
        <v>2032.0</v>
      </c>
      <c r="K977" s="38">
        <v>65.6003937</v>
      </c>
    </row>
    <row r="978" ht="15.0" hidden="1" customHeight="1">
      <c r="A978" s="7"/>
      <c r="B978" s="39">
        <v>971.0</v>
      </c>
      <c r="C978" s="40" t="s">
        <v>17</v>
      </c>
      <c r="D978" s="40" t="s">
        <v>260</v>
      </c>
      <c r="E978" s="40" t="s">
        <v>315</v>
      </c>
      <c r="F978" s="40"/>
      <c r="G978" s="41" t="s">
        <v>13</v>
      </c>
      <c r="H978" s="42"/>
      <c r="I978" s="43"/>
      <c r="J978" s="42"/>
      <c r="K978" s="43"/>
    </row>
    <row r="979" ht="15.0" hidden="1" customHeight="1">
      <c r="A979" s="7"/>
      <c r="B979" s="39">
        <v>972.0</v>
      </c>
      <c r="C979" s="40" t="s">
        <v>17</v>
      </c>
      <c r="D979" s="40" t="s">
        <v>260</v>
      </c>
      <c r="E979" s="40" t="s">
        <v>315</v>
      </c>
      <c r="F979" s="40"/>
      <c r="G979" s="41" t="s">
        <v>14</v>
      </c>
      <c r="H979" s="42">
        <v>1643.0</v>
      </c>
      <c r="I979" s="43">
        <v>11.4424833</v>
      </c>
      <c r="J979" s="42">
        <v>2032.0</v>
      </c>
      <c r="K979" s="43">
        <v>65.6003937</v>
      </c>
    </row>
    <row r="980" ht="15.0" customHeight="1">
      <c r="A980" s="7"/>
      <c r="B980" s="44">
        <v>973.0</v>
      </c>
      <c r="C980" s="45" t="s">
        <v>19</v>
      </c>
      <c r="D980" s="50" t="s">
        <v>260</v>
      </c>
      <c r="E980" s="50" t="s">
        <v>315</v>
      </c>
      <c r="F980" s="50" t="s">
        <v>316</v>
      </c>
      <c r="G980" s="51" t="s">
        <v>316</v>
      </c>
      <c r="H980" s="46">
        <v>1643.0</v>
      </c>
      <c r="I980" s="47">
        <v>11.4424833</v>
      </c>
      <c r="J980" s="46">
        <v>2032.0</v>
      </c>
      <c r="K980" s="47">
        <v>65.6003937</v>
      </c>
    </row>
    <row r="981" ht="15.0" hidden="1" customHeight="1">
      <c r="A981" s="7"/>
      <c r="B981" s="39">
        <v>974.0</v>
      </c>
      <c r="C981" s="40" t="s">
        <v>19</v>
      </c>
      <c r="D981" s="40" t="s">
        <v>260</v>
      </c>
      <c r="E981" s="40" t="s">
        <v>315</v>
      </c>
      <c r="F981" s="40" t="s">
        <v>316</v>
      </c>
      <c r="G981" s="41" t="s">
        <v>13</v>
      </c>
      <c r="H981" s="42"/>
      <c r="I981" s="43"/>
      <c r="J981" s="42"/>
      <c r="K981" s="43"/>
    </row>
    <row r="982" ht="15.0" hidden="1" customHeight="1">
      <c r="A982" s="7"/>
      <c r="B982" s="39">
        <v>975.0</v>
      </c>
      <c r="C982" s="40" t="s">
        <v>19</v>
      </c>
      <c r="D982" s="40" t="s">
        <v>260</v>
      </c>
      <c r="E982" s="40" t="s">
        <v>315</v>
      </c>
      <c r="F982" s="40" t="s">
        <v>316</v>
      </c>
      <c r="G982" s="41" t="s">
        <v>14</v>
      </c>
      <c r="H982" s="42">
        <v>1643.0</v>
      </c>
      <c r="I982" s="43">
        <v>11.4424833</v>
      </c>
      <c r="J982" s="42">
        <v>2032.0</v>
      </c>
      <c r="K982" s="43">
        <v>65.6003937</v>
      </c>
    </row>
    <row r="983" ht="15.0" hidden="1" customHeight="1">
      <c r="A983" s="7"/>
      <c r="B983" s="27">
        <v>976.0</v>
      </c>
      <c r="C983" s="28" t="s">
        <v>15</v>
      </c>
      <c r="D983" s="28" t="s">
        <v>317</v>
      </c>
      <c r="E983" s="28"/>
      <c r="F983" s="28"/>
      <c r="G983" s="28" t="s">
        <v>317</v>
      </c>
      <c r="H983" s="29">
        <v>458961.0</v>
      </c>
      <c r="I983" s="30">
        <v>77.9190389</v>
      </c>
      <c r="J983" s="29">
        <v>519512.0</v>
      </c>
      <c r="K983" s="30">
        <v>87.4911455</v>
      </c>
    </row>
    <row r="984" ht="15.0" hidden="1" customHeight="1">
      <c r="A984" s="7"/>
      <c r="B984" s="31">
        <v>977.0</v>
      </c>
      <c r="C984" s="32" t="s">
        <v>15</v>
      </c>
      <c r="D984" s="48" t="s">
        <v>317</v>
      </c>
      <c r="E984" s="48"/>
      <c r="F984" s="48"/>
      <c r="G984" s="32" t="s">
        <v>13</v>
      </c>
      <c r="H984" s="33">
        <v>298001.0</v>
      </c>
      <c r="I984" s="34">
        <v>97.585243</v>
      </c>
      <c r="J984" s="33">
        <v>358881.0</v>
      </c>
      <c r="K984" s="34">
        <v>98.8397268</v>
      </c>
    </row>
    <row r="985" ht="15.0" hidden="1" customHeight="1">
      <c r="A985" s="7"/>
      <c r="B985" s="31">
        <v>978.0</v>
      </c>
      <c r="C985" s="32" t="s">
        <v>15</v>
      </c>
      <c r="D985" s="48" t="s">
        <v>317</v>
      </c>
      <c r="E985" s="48"/>
      <c r="F985" s="48"/>
      <c r="G985" s="32" t="s">
        <v>14</v>
      </c>
      <c r="H985" s="33">
        <v>160960.0</v>
      </c>
      <c r="I985" s="34">
        <v>41.5090706</v>
      </c>
      <c r="J985" s="33">
        <v>160631.0</v>
      </c>
      <c r="K985" s="34">
        <v>62.1362004</v>
      </c>
    </row>
    <row r="986" ht="15.0" hidden="1" customHeight="1">
      <c r="A986" s="7"/>
      <c r="B986" s="35">
        <v>979.0</v>
      </c>
      <c r="C986" s="36" t="s">
        <v>17</v>
      </c>
      <c r="D986" s="49" t="s">
        <v>317</v>
      </c>
      <c r="E986" s="49" t="s">
        <v>161</v>
      </c>
      <c r="F986" s="49"/>
      <c r="G986" s="36" t="s">
        <v>161</v>
      </c>
      <c r="H986" s="37">
        <v>197097.0</v>
      </c>
      <c r="I986" s="38">
        <v>91.996834</v>
      </c>
      <c r="J986" s="37">
        <v>231979.0</v>
      </c>
      <c r="K986" s="38">
        <v>95.906526</v>
      </c>
    </row>
    <row r="987" ht="15.0" hidden="1" customHeight="1">
      <c r="A987" s="7"/>
      <c r="B987" s="39">
        <v>980.0</v>
      </c>
      <c r="C987" s="40" t="s">
        <v>17</v>
      </c>
      <c r="D987" s="40" t="s">
        <v>317</v>
      </c>
      <c r="E987" s="40" t="s">
        <v>161</v>
      </c>
      <c r="F987" s="40"/>
      <c r="G987" s="41" t="s">
        <v>13</v>
      </c>
      <c r="H987" s="42">
        <v>171746.0</v>
      </c>
      <c r="I987" s="43">
        <v>98.519325</v>
      </c>
      <c r="J987" s="42">
        <v>208943.0</v>
      </c>
      <c r="K987" s="43">
        <v>99.4371671</v>
      </c>
    </row>
    <row r="988" ht="15.0" hidden="1" customHeight="1">
      <c r="A988" s="7"/>
      <c r="B988" s="39">
        <v>981.0</v>
      </c>
      <c r="C988" s="40" t="s">
        <v>17</v>
      </c>
      <c r="D988" s="40" t="s">
        <v>317</v>
      </c>
      <c r="E988" s="40" t="s">
        <v>161</v>
      </c>
      <c r="F988" s="40"/>
      <c r="G988" s="41" t="s">
        <v>14</v>
      </c>
      <c r="H988" s="42">
        <v>25351.0</v>
      </c>
      <c r="I988" s="43">
        <v>47.8087649</v>
      </c>
      <c r="J988" s="42">
        <v>23036.0</v>
      </c>
      <c r="K988" s="43">
        <v>63.8826185</v>
      </c>
    </row>
    <row r="989" ht="15.0" customHeight="1">
      <c r="A989" s="7"/>
      <c r="B989" s="44">
        <v>982.0</v>
      </c>
      <c r="C989" s="45" t="s">
        <v>19</v>
      </c>
      <c r="D989" s="50" t="s">
        <v>317</v>
      </c>
      <c r="E989" s="50" t="s">
        <v>161</v>
      </c>
      <c r="F989" s="50" t="s">
        <v>317</v>
      </c>
      <c r="G989" s="51" t="s">
        <v>317</v>
      </c>
      <c r="H989" s="46">
        <v>197097.0</v>
      </c>
      <c r="I989" s="47">
        <v>91.996834</v>
      </c>
      <c r="J989" s="46">
        <v>231979.0</v>
      </c>
      <c r="K989" s="47">
        <v>95.906526</v>
      </c>
    </row>
    <row r="990" ht="15.0" hidden="1" customHeight="1">
      <c r="A990" s="7"/>
      <c r="B990" s="39">
        <v>983.0</v>
      </c>
      <c r="C990" s="40" t="s">
        <v>19</v>
      </c>
      <c r="D990" s="40" t="s">
        <v>317</v>
      </c>
      <c r="E990" s="40" t="s">
        <v>161</v>
      </c>
      <c r="F990" s="40" t="s">
        <v>317</v>
      </c>
      <c r="G990" s="41" t="s">
        <v>13</v>
      </c>
      <c r="H990" s="42">
        <v>171746.0</v>
      </c>
      <c r="I990" s="43">
        <v>98.519325</v>
      </c>
      <c r="J990" s="42">
        <v>208943.0</v>
      </c>
      <c r="K990" s="43">
        <v>99.4371671</v>
      </c>
    </row>
    <row r="991" ht="15.0" hidden="1" customHeight="1">
      <c r="A991" s="7"/>
      <c r="B991" s="39">
        <v>984.0</v>
      </c>
      <c r="C991" s="40" t="s">
        <v>19</v>
      </c>
      <c r="D991" s="40" t="s">
        <v>317</v>
      </c>
      <c r="E991" s="40" t="s">
        <v>161</v>
      </c>
      <c r="F991" s="40" t="s">
        <v>317</v>
      </c>
      <c r="G991" s="41" t="s">
        <v>14</v>
      </c>
      <c r="H991" s="42">
        <v>25351.0</v>
      </c>
      <c r="I991" s="43">
        <v>47.8087649</v>
      </c>
      <c r="J991" s="42">
        <v>23036.0</v>
      </c>
      <c r="K991" s="43">
        <v>63.8826185</v>
      </c>
    </row>
    <row r="992" ht="15.0" hidden="1" customHeight="1">
      <c r="A992" s="7"/>
      <c r="B992" s="35">
        <v>985.0</v>
      </c>
      <c r="C992" s="36" t="s">
        <v>17</v>
      </c>
      <c r="D992" s="49" t="s">
        <v>317</v>
      </c>
      <c r="E992" s="49" t="s">
        <v>318</v>
      </c>
      <c r="F992" s="49"/>
      <c r="G992" s="36" t="s">
        <v>318</v>
      </c>
      <c r="H992" s="37">
        <v>50762.0</v>
      </c>
      <c r="I992" s="38">
        <v>70.1607502</v>
      </c>
      <c r="J992" s="37">
        <v>53388.0</v>
      </c>
      <c r="K992" s="38">
        <v>83.4962913</v>
      </c>
    </row>
    <row r="993" ht="15.0" hidden="1" customHeight="1">
      <c r="A993" s="7"/>
      <c r="B993" s="39">
        <v>986.0</v>
      </c>
      <c r="C993" s="40" t="s">
        <v>17</v>
      </c>
      <c r="D993" s="40" t="s">
        <v>317</v>
      </c>
      <c r="E993" s="40" t="s">
        <v>318</v>
      </c>
      <c r="F993" s="40"/>
      <c r="G993" s="41" t="s">
        <v>13</v>
      </c>
      <c r="H993" s="42">
        <v>28038.0</v>
      </c>
      <c r="I993" s="43">
        <v>98.4271346</v>
      </c>
      <c r="J993" s="42">
        <v>31824.0</v>
      </c>
      <c r="K993" s="43">
        <v>99.2427099</v>
      </c>
    </row>
    <row r="994" ht="15.0" hidden="1" customHeight="1">
      <c r="A994" s="7"/>
      <c r="B994" s="39">
        <v>987.0</v>
      </c>
      <c r="C994" s="40" t="s">
        <v>17</v>
      </c>
      <c r="D994" s="40" t="s">
        <v>317</v>
      </c>
      <c r="E994" s="40" t="s">
        <v>318</v>
      </c>
      <c r="F994" s="40"/>
      <c r="G994" s="41" t="s">
        <v>14</v>
      </c>
      <c r="H994" s="42">
        <v>22724.0</v>
      </c>
      <c r="I994" s="43">
        <v>35.2842809</v>
      </c>
      <c r="J994" s="42">
        <v>21564.0</v>
      </c>
      <c r="K994" s="43">
        <v>60.2578371</v>
      </c>
    </row>
    <row r="995" ht="15.0" customHeight="1">
      <c r="A995" s="7"/>
      <c r="B995" s="44">
        <v>988.0</v>
      </c>
      <c r="C995" s="45" t="s">
        <v>19</v>
      </c>
      <c r="D995" s="50" t="s">
        <v>317</v>
      </c>
      <c r="E995" s="50" t="s">
        <v>318</v>
      </c>
      <c r="F995" s="50" t="s">
        <v>319</v>
      </c>
      <c r="G995" s="51" t="s">
        <v>319</v>
      </c>
      <c r="H995" s="46">
        <v>18152.0</v>
      </c>
      <c r="I995" s="47">
        <v>32.1066549</v>
      </c>
      <c r="J995" s="46">
        <v>17547.0</v>
      </c>
      <c r="K995" s="47">
        <v>55.6676355</v>
      </c>
    </row>
    <row r="996" ht="15.0" hidden="1" customHeight="1">
      <c r="A996" s="7"/>
      <c r="B996" s="39">
        <v>989.0</v>
      </c>
      <c r="C996" s="40" t="s">
        <v>19</v>
      </c>
      <c r="D996" s="40" t="s">
        <v>317</v>
      </c>
      <c r="E996" s="40" t="s">
        <v>318</v>
      </c>
      <c r="F996" s="40" t="s">
        <v>319</v>
      </c>
      <c r="G996" s="41" t="s">
        <v>13</v>
      </c>
      <c r="H996" s="42"/>
      <c r="I996" s="43"/>
      <c r="J996" s="42"/>
      <c r="K996" s="43"/>
    </row>
    <row r="997" ht="15.0" hidden="1" customHeight="1">
      <c r="A997" s="7"/>
      <c r="B997" s="39">
        <v>990.0</v>
      </c>
      <c r="C997" s="40" t="s">
        <v>19</v>
      </c>
      <c r="D997" s="40" t="s">
        <v>317</v>
      </c>
      <c r="E997" s="40" t="s">
        <v>318</v>
      </c>
      <c r="F997" s="40" t="s">
        <v>319</v>
      </c>
      <c r="G997" s="41" t="s">
        <v>14</v>
      </c>
      <c r="H997" s="42">
        <v>18152.0</v>
      </c>
      <c r="I997" s="43">
        <v>32.1066549</v>
      </c>
      <c r="J997" s="42">
        <v>17547.0</v>
      </c>
      <c r="K997" s="43">
        <v>55.6676355</v>
      </c>
    </row>
    <row r="998" ht="15.0" customHeight="1">
      <c r="A998" s="7"/>
      <c r="B998" s="44">
        <v>991.0</v>
      </c>
      <c r="C998" s="45" t="s">
        <v>19</v>
      </c>
      <c r="D998" s="50" t="s">
        <v>317</v>
      </c>
      <c r="E998" s="50" t="s">
        <v>318</v>
      </c>
      <c r="F998" s="50" t="s">
        <v>320</v>
      </c>
      <c r="G998" s="51" t="s">
        <v>320</v>
      </c>
      <c r="H998" s="46">
        <v>32610.0</v>
      </c>
      <c r="I998" s="47">
        <v>91.3431463</v>
      </c>
      <c r="J998" s="46">
        <v>35841.0</v>
      </c>
      <c r="K998" s="47">
        <v>97.1206161</v>
      </c>
    </row>
    <row r="999" ht="15.0" hidden="1" customHeight="1">
      <c r="A999" s="7"/>
      <c r="B999" s="39">
        <v>992.0</v>
      </c>
      <c r="C999" s="40" t="s">
        <v>19</v>
      </c>
      <c r="D999" s="40" t="s">
        <v>317</v>
      </c>
      <c r="E999" s="40" t="s">
        <v>318</v>
      </c>
      <c r="F999" s="40" t="s">
        <v>320</v>
      </c>
      <c r="G999" s="41" t="s">
        <v>13</v>
      </c>
      <c r="H999" s="42">
        <v>28038.0</v>
      </c>
      <c r="I999" s="43">
        <v>98.4271346</v>
      </c>
      <c r="J999" s="42">
        <v>31824.0</v>
      </c>
      <c r="K999" s="43">
        <v>99.2427099</v>
      </c>
    </row>
    <row r="1000" ht="15.0" hidden="1" customHeight="1">
      <c r="A1000" s="7"/>
      <c r="B1000" s="39">
        <v>993.0</v>
      </c>
      <c r="C1000" s="40" t="s">
        <v>19</v>
      </c>
      <c r="D1000" s="40" t="s">
        <v>317</v>
      </c>
      <c r="E1000" s="40" t="s">
        <v>318</v>
      </c>
      <c r="F1000" s="40" t="s">
        <v>320</v>
      </c>
      <c r="G1000" s="41" t="s">
        <v>14</v>
      </c>
      <c r="H1000" s="42">
        <v>4572.0</v>
      </c>
      <c r="I1000" s="43">
        <v>47.9002625</v>
      </c>
      <c r="J1000" s="42">
        <v>4017.0</v>
      </c>
      <c r="K1000" s="43">
        <v>80.3086881</v>
      </c>
    </row>
    <row r="1001" ht="15.0" hidden="1" customHeight="1">
      <c r="A1001" s="7"/>
      <c r="B1001" s="35">
        <v>994.0</v>
      </c>
      <c r="C1001" s="36" t="s">
        <v>17</v>
      </c>
      <c r="D1001" s="49" t="s">
        <v>317</v>
      </c>
      <c r="E1001" s="49" t="s">
        <v>321</v>
      </c>
      <c r="F1001" s="49"/>
      <c r="G1001" s="36" t="s">
        <v>321</v>
      </c>
      <c r="H1001" s="37">
        <v>137374.0</v>
      </c>
      <c r="I1001" s="38">
        <v>78.0904684</v>
      </c>
      <c r="J1001" s="37">
        <v>153712.0</v>
      </c>
      <c r="K1001" s="38">
        <v>86.7850265</v>
      </c>
    </row>
    <row r="1002" ht="15.0" hidden="1" customHeight="1">
      <c r="A1002" s="7"/>
      <c r="B1002" s="39">
        <v>995.0</v>
      </c>
      <c r="C1002" s="40" t="s">
        <v>17</v>
      </c>
      <c r="D1002" s="40" t="s">
        <v>317</v>
      </c>
      <c r="E1002" s="40" t="s">
        <v>321</v>
      </c>
      <c r="F1002" s="40"/>
      <c r="G1002" s="41" t="s">
        <v>13</v>
      </c>
      <c r="H1002" s="42">
        <v>91475.0</v>
      </c>
      <c r="I1002" s="43">
        <v>95.6217546</v>
      </c>
      <c r="J1002" s="42">
        <v>105653.0</v>
      </c>
      <c r="K1002" s="43">
        <v>97.6242984</v>
      </c>
    </row>
    <row r="1003" ht="15.0" hidden="1" customHeight="1">
      <c r="A1003" s="7"/>
      <c r="B1003" s="39">
        <v>996.0</v>
      </c>
      <c r="C1003" s="40" t="s">
        <v>17</v>
      </c>
      <c r="D1003" s="40" t="s">
        <v>317</v>
      </c>
      <c r="E1003" s="40" t="s">
        <v>321</v>
      </c>
      <c r="F1003" s="40"/>
      <c r="G1003" s="41" t="s">
        <v>14</v>
      </c>
      <c r="H1003" s="42">
        <v>45899.0</v>
      </c>
      <c r="I1003" s="43">
        <v>43.1512669</v>
      </c>
      <c r="J1003" s="42">
        <v>48059.0</v>
      </c>
      <c r="K1003" s="43">
        <v>62.95595</v>
      </c>
    </row>
    <row r="1004" ht="15.0" customHeight="1">
      <c r="A1004" s="7"/>
      <c r="B1004" s="44">
        <v>997.0</v>
      </c>
      <c r="C1004" s="45" t="s">
        <v>19</v>
      </c>
      <c r="D1004" s="50" t="s">
        <v>317</v>
      </c>
      <c r="E1004" s="50" t="s">
        <v>321</v>
      </c>
      <c r="F1004" s="50" t="s">
        <v>322</v>
      </c>
      <c r="G1004" s="51" t="s">
        <v>322</v>
      </c>
      <c r="H1004" s="46">
        <v>87069.0</v>
      </c>
      <c r="I1004" s="47">
        <v>83.5555709</v>
      </c>
      <c r="J1004" s="46">
        <v>94320.0</v>
      </c>
      <c r="K1004" s="47">
        <v>90.807888</v>
      </c>
    </row>
    <row r="1005" ht="15.0" hidden="1" customHeight="1">
      <c r="A1005" s="7"/>
      <c r="B1005" s="39">
        <v>998.0</v>
      </c>
      <c r="C1005" s="40" t="s">
        <v>19</v>
      </c>
      <c r="D1005" s="40" t="s">
        <v>317</v>
      </c>
      <c r="E1005" s="40" t="s">
        <v>321</v>
      </c>
      <c r="F1005" s="40" t="s">
        <v>322</v>
      </c>
      <c r="G1005" s="41" t="s">
        <v>13</v>
      </c>
      <c r="H1005" s="42">
        <v>60353.0</v>
      </c>
      <c r="I1005" s="43">
        <v>97.6239789</v>
      </c>
      <c r="J1005" s="42">
        <v>69536.0</v>
      </c>
      <c r="K1005" s="43">
        <v>98.9616889</v>
      </c>
    </row>
    <row r="1006" ht="15.0" hidden="1" customHeight="1">
      <c r="A1006" s="7"/>
      <c r="B1006" s="39">
        <v>999.0</v>
      </c>
      <c r="C1006" s="40" t="s">
        <v>19</v>
      </c>
      <c r="D1006" s="40" t="s">
        <v>317</v>
      </c>
      <c r="E1006" s="40" t="s">
        <v>321</v>
      </c>
      <c r="F1006" s="40" t="s">
        <v>322</v>
      </c>
      <c r="G1006" s="41" t="s">
        <v>14</v>
      </c>
      <c r="H1006" s="42">
        <v>26716.0</v>
      </c>
      <c r="I1006" s="43">
        <v>51.7742177</v>
      </c>
      <c r="J1006" s="42">
        <v>24784.0</v>
      </c>
      <c r="K1006" s="43">
        <v>67.9309232</v>
      </c>
    </row>
    <row r="1007" ht="15.0" customHeight="1">
      <c r="A1007" s="7"/>
      <c r="B1007" s="44">
        <v>1000.0</v>
      </c>
      <c r="C1007" s="45" t="s">
        <v>19</v>
      </c>
      <c r="D1007" s="50" t="s">
        <v>317</v>
      </c>
      <c r="E1007" s="50" t="s">
        <v>321</v>
      </c>
      <c r="F1007" s="50" t="s">
        <v>323</v>
      </c>
      <c r="G1007" s="51" t="s">
        <v>323</v>
      </c>
      <c r="H1007" s="46">
        <v>13014.0</v>
      </c>
      <c r="I1007" s="47">
        <v>47.5718457</v>
      </c>
      <c r="J1007" s="46">
        <v>15108.0</v>
      </c>
      <c r="K1007" s="47">
        <v>78.9912629</v>
      </c>
    </row>
    <row r="1008" ht="15.0" hidden="1" customHeight="1">
      <c r="A1008" s="7"/>
      <c r="B1008" s="39">
        <v>1001.0</v>
      </c>
      <c r="C1008" s="40" t="s">
        <v>19</v>
      </c>
      <c r="D1008" s="40" t="s">
        <v>317</v>
      </c>
      <c r="E1008" s="40" t="s">
        <v>321</v>
      </c>
      <c r="F1008" s="40" t="s">
        <v>323</v>
      </c>
      <c r="G1008" s="41" t="s">
        <v>13</v>
      </c>
      <c r="H1008" s="42">
        <v>2823.0</v>
      </c>
      <c r="I1008" s="43">
        <v>97.0244421</v>
      </c>
      <c r="J1008" s="42">
        <v>3861.0</v>
      </c>
      <c r="K1008" s="43">
        <v>98.4200984</v>
      </c>
    </row>
    <row r="1009" ht="15.0" hidden="1" customHeight="1">
      <c r="A1009" s="7"/>
      <c r="B1009" s="39">
        <v>1002.0</v>
      </c>
      <c r="C1009" s="40" t="s">
        <v>19</v>
      </c>
      <c r="D1009" s="40" t="s">
        <v>317</v>
      </c>
      <c r="E1009" s="40" t="s">
        <v>321</v>
      </c>
      <c r="F1009" s="40" t="s">
        <v>323</v>
      </c>
      <c r="G1009" s="41" t="s">
        <v>14</v>
      </c>
      <c r="H1009" s="42">
        <v>10191.0</v>
      </c>
      <c r="I1009" s="43">
        <v>33.8730252</v>
      </c>
      <c r="J1009" s="42">
        <v>11247.0</v>
      </c>
      <c r="K1009" s="43">
        <v>72.321508</v>
      </c>
    </row>
    <row r="1010" ht="15.0" customHeight="1">
      <c r="A1010" s="7"/>
      <c r="B1010" s="44">
        <v>1003.0</v>
      </c>
      <c r="C1010" s="45" t="s">
        <v>19</v>
      </c>
      <c r="D1010" s="50" t="s">
        <v>317</v>
      </c>
      <c r="E1010" s="50" t="s">
        <v>321</v>
      </c>
      <c r="F1010" s="50" t="s">
        <v>324</v>
      </c>
      <c r="G1010" s="51" t="s">
        <v>324</v>
      </c>
      <c r="H1010" s="46">
        <v>37291.0</v>
      </c>
      <c r="I1010" s="47">
        <v>75.9807997</v>
      </c>
      <c r="J1010" s="46">
        <v>44284.0</v>
      </c>
      <c r="K1010" s="47">
        <v>80.8757113</v>
      </c>
    </row>
    <row r="1011" ht="15.0" hidden="1" customHeight="1">
      <c r="A1011" s="7"/>
      <c r="B1011" s="39">
        <v>1004.0</v>
      </c>
      <c r="C1011" s="40" t="s">
        <v>19</v>
      </c>
      <c r="D1011" s="40" t="s">
        <v>317</v>
      </c>
      <c r="E1011" s="40" t="s">
        <v>321</v>
      </c>
      <c r="F1011" s="40" t="s">
        <v>324</v>
      </c>
      <c r="G1011" s="41" t="s">
        <v>13</v>
      </c>
      <c r="H1011" s="42">
        <v>28299.0</v>
      </c>
      <c r="I1011" s="43">
        <v>91.2117036</v>
      </c>
      <c r="J1011" s="42">
        <v>32256.0</v>
      </c>
      <c r="K1011" s="43">
        <v>94.6459573</v>
      </c>
    </row>
    <row r="1012" ht="15.0" hidden="1" customHeight="1">
      <c r="A1012" s="7"/>
      <c r="B1012" s="39">
        <v>1005.0</v>
      </c>
      <c r="C1012" s="40" t="s">
        <v>19</v>
      </c>
      <c r="D1012" s="40" t="s">
        <v>317</v>
      </c>
      <c r="E1012" s="40" t="s">
        <v>321</v>
      </c>
      <c r="F1012" s="40" t="s">
        <v>324</v>
      </c>
      <c r="G1012" s="41" t="s">
        <v>14</v>
      </c>
      <c r="H1012" s="42">
        <v>8992.0</v>
      </c>
      <c r="I1012" s="43">
        <v>28.047153</v>
      </c>
      <c r="J1012" s="42">
        <v>12028.0</v>
      </c>
      <c r="K1012" s="43">
        <v>43.9474559</v>
      </c>
    </row>
    <row r="1013" ht="15.0" hidden="1" customHeight="1">
      <c r="A1013" s="7"/>
      <c r="B1013" s="35">
        <v>1006.0</v>
      </c>
      <c r="C1013" s="36" t="s">
        <v>17</v>
      </c>
      <c r="D1013" s="49" t="s">
        <v>317</v>
      </c>
      <c r="E1013" s="49" t="s">
        <v>325</v>
      </c>
      <c r="F1013" s="49"/>
      <c r="G1013" s="36" t="s">
        <v>325</v>
      </c>
      <c r="H1013" s="37">
        <v>19661.0</v>
      </c>
      <c r="I1013" s="38">
        <v>40.6947765</v>
      </c>
      <c r="J1013" s="37">
        <v>20525.0</v>
      </c>
      <c r="K1013" s="38">
        <v>63.2009744</v>
      </c>
    </row>
    <row r="1014" ht="15.0" hidden="1" customHeight="1">
      <c r="A1014" s="7"/>
      <c r="B1014" s="39">
        <v>1007.0</v>
      </c>
      <c r="C1014" s="40" t="s">
        <v>17</v>
      </c>
      <c r="D1014" s="40" t="s">
        <v>317</v>
      </c>
      <c r="E1014" s="40" t="s">
        <v>325</v>
      </c>
      <c r="F1014" s="40"/>
      <c r="G1014" s="41" t="s">
        <v>13</v>
      </c>
      <c r="H1014" s="42"/>
      <c r="I1014" s="43"/>
      <c r="J1014" s="42">
        <v>2422.0</v>
      </c>
      <c r="K1014" s="43">
        <v>97.5639967</v>
      </c>
    </row>
    <row r="1015" ht="15.0" hidden="1" customHeight="1">
      <c r="A1015" s="7"/>
      <c r="B1015" s="39">
        <v>1008.0</v>
      </c>
      <c r="C1015" s="40" t="s">
        <v>17</v>
      </c>
      <c r="D1015" s="40" t="s">
        <v>317</v>
      </c>
      <c r="E1015" s="40" t="s">
        <v>325</v>
      </c>
      <c r="F1015" s="40"/>
      <c r="G1015" s="41" t="s">
        <v>14</v>
      </c>
      <c r="H1015" s="42">
        <v>19661.0</v>
      </c>
      <c r="I1015" s="43">
        <v>40.6947765</v>
      </c>
      <c r="J1015" s="42">
        <v>18103.0</v>
      </c>
      <c r="K1015" s="43">
        <v>58.6035464</v>
      </c>
    </row>
    <row r="1016" ht="15.0" customHeight="1">
      <c r="A1016" s="7"/>
      <c r="B1016" s="44">
        <v>1009.0</v>
      </c>
      <c r="C1016" s="45" t="s">
        <v>19</v>
      </c>
      <c r="D1016" s="50" t="s">
        <v>317</v>
      </c>
      <c r="E1016" s="50" t="s">
        <v>325</v>
      </c>
      <c r="F1016" s="50" t="s">
        <v>326</v>
      </c>
      <c r="G1016" s="51" t="s">
        <v>326</v>
      </c>
      <c r="H1016" s="46">
        <v>14475.0</v>
      </c>
      <c r="I1016" s="47">
        <v>47.2746114</v>
      </c>
      <c r="J1016" s="46">
        <v>15811.0</v>
      </c>
      <c r="K1016" s="47">
        <v>68.9709696</v>
      </c>
    </row>
    <row r="1017" ht="15.0" hidden="1" customHeight="1">
      <c r="A1017" s="7"/>
      <c r="B1017" s="39">
        <v>1010.0</v>
      </c>
      <c r="C1017" s="40" t="s">
        <v>19</v>
      </c>
      <c r="D1017" s="40" t="s">
        <v>317</v>
      </c>
      <c r="E1017" s="40" t="s">
        <v>325</v>
      </c>
      <c r="F1017" s="40" t="s">
        <v>326</v>
      </c>
      <c r="G1017" s="41" t="s">
        <v>13</v>
      </c>
      <c r="H1017" s="42"/>
      <c r="I1017" s="43"/>
      <c r="J1017" s="42">
        <v>2422.0</v>
      </c>
      <c r="K1017" s="43">
        <v>97.5639967</v>
      </c>
    </row>
    <row r="1018" ht="15.0" hidden="1" customHeight="1">
      <c r="A1018" s="7"/>
      <c r="B1018" s="39">
        <v>1011.0</v>
      </c>
      <c r="C1018" s="40" t="s">
        <v>19</v>
      </c>
      <c r="D1018" s="40" t="s">
        <v>317</v>
      </c>
      <c r="E1018" s="40" t="s">
        <v>325</v>
      </c>
      <c r="F1018" s="40" t="s">
        <v>326</v>
      </c>
      <c r="G1018" s="41" t="s">
        <v>14</v>
      </c>
      <c r="H1018" s="42">
        <v>14475.0</v>
      </c>
      <c r="I1018" s="43">
        <v>47.2746114</v>
      </c>
      <c r="J1018" s="42">
        <v>13389.0</v>
      </c>
      <c r="K1018" s="43">
        <v>63.7986407</v>
      </c>
    </row>
    <row r="1019" ht="15.0" customHeight="1">
      <c r="A1019" s="7"/>
      <c r="B1019" s="44">
        <v>1012.0</v>
      </c>
      <c r="C1019" s="45" t="s">
        <v>19</v>
      </c>
      <c r="D1019" s="50" t="s">
        <v>317</v>
      </c>
      <c r="E1019" s="50" t="s">
        <v>325</v>
      </c>
      <c r="F1019" s="50" t="s">
        <v>327</v>
      </c>
      <c r="G1019" s="51" t="s">
        <v>327</v>
      </c>
      <c r="H1019" s="46">
        <v>5186.0</v>
      </c>
      <c r="I1019" s="47">
        <v>22.3293482</v>
      </c>
      <c r="J1019" s="46">
        <v>4714.0</v>
      </c>
      <c r="K1019" s="47">
        <v>43.848112</v>
      </c>
    </row>
    <row r="1020" ht="15.0" hidden="1" customHeight="1">
      <c r="A1020" s="7"/>
      <c r="B1020" s="39">
        <v>1013.0</v>
      </c>
      <c r="C1020" s="40" t="s">
        <v>19</v>
      </c>
      <c r="D1020" s="40" t="s">
        <v>317</v>
      </c>
      <c r="E1020" s="40" t="s">
        <v>325</v>
      </c>
      <c r="F1020" s="40" t="s">
        <v>327</v>
      </c>
      <c r="G1020" s="41" t="s">
        <v>13</v>
      </c>
      <c r="H1020" s="42"/>
      <c r="I1020" s="43"/>
      <c r="J1020" s="42"/>
      <c r="K1020" s="43"/>
    </row>
    <row r="1021" ht="15.0" hidden="1" customHeight="1">
      <c r="A1021" s="7"/>
      <c r="B1021" s="39">
        <v>1014.0</v>
      </c>
      <c r="C1021" s="40" t="s">
        <v>19</v>
      </c>
      <c r="D1021" s="40" t="s">
        <v>317</v>
      </c>
      <c r="E1021" s="40" t="s">
        <v>325</v>
      </c>
      <c r="F1021" s="40" t="s">
        <v>327</v>
      </c>
      <c r="G1021" s="41" t="s">
        <v>14</v>
      </c>
      <c r="H1021" s="42">
        <v>5186.0</v>
      </c>
      <c r="I1021" s="43">
        <v>22.3293482</v>
      </c>
      <c r="J1021" s="42">
        <v>4714.0</v>
      </c>
      <c r="K1021" s="43">
        <v>43.848112</v>
      </c>
    </row>
    <row r="1022" ht="15.0" hidden="1" customHeight="1">
      <c r="A1022" s="7"/>
      <c r="B1022" s="35">
        <v>1015.0</v>
      </c>
      <c r="C1022" s="36" t="s">
        <v>17</v>
      </c>
      <c r="D1022" s="49" t="s">
        <v>317</v>
      </c>
      <c r="E1022" s="49" t="s">
        <v>328</v>
      </c>
      <c r="F1022" s="49"/>
      <c r="G1022" s="36" t="s">
        <v>328</v>
      </c>
      <c r="H1022" s="37">
        <v>34016.0</v>
      </c>
      <c r="I1022" s="38">
        <v>53.5336312</v>
      </c>
      <c r="J1022" s="37">
        <v>39505.0</v>
      </c>
      <c r="K1022" s="38">
        <v>78.4887989</v>
      </c>
    </row>
    <row r="1023" ht="15.0" hidden="1" customHeight="1">
      <c r="A1023" s="7"/>
      <c r="B1023" s="39">
        <v>1016.0</v>
      </c>
      <c r="C1023" s="40" t="s">
        <v>17</v>
      </c>
      <c r="D1023" s="40" t="s">
        <v>317</v>
      </c>
      <c r="E1023" s="40" t="s">
        <v>328</v>
      </c>
      <c r="F1023" s="40"/>
      <c r="G1023" s="41" t="s">
        <v>13</v>
      </c>
      <c r="H1023" s="42">
        <v>3026.0</v>
      </c>
      <c r="I1023" s="43">
        <v>96.4309319</v>
      </c>
      <c r="J1023" s="42">
        <v>5962.0</v>
      </c>
      <c r="K1023" s="43">
        <v>97.5679302</v>
      </c>
    </row>
    <row r="1024" ht="15.0" hidden="1" customHeight="1">
      <c r="A1024" s="7"/>
      <c r="B1024" s="39">
        <v>1017.0</v>
      </c>
      <c r="C1024" s="40" t="s">
        <v>17</v>
      </c>
      <c r="D1024" s="40" t="s">
        <v>317</v>
      </c>
      <c r="E1024" s="40" t="s">
        <v>328</v>
      </c>
      <c r="F1024" s="40"/>
      <c r="G1024" s="41" t="s">
        <v>14</v>
      </c>
      <c r="H1024" s="42">
        <v>30990.0</v>
      </c>
      <c r="I1024" s="43">
        <v>49.34495</v>
      </c>
      <c r="J1024" s="42">
        <v>33543.0</v>
      </c>
      <c r="K1024" s="43">
        <v>75.0976359</v>
      </c>
    </row>
    <row r="1025" ht="15.0" customHeight="1">
      <c r="A1025" s="7"/>
      <c r="B1025" s="44">
        <v>1018.0</v>
      </c>
      <c r="C1025" s="45" t="s">
        <v>19</v>
      </c>
      <c r="D1025" s="50" t="s">
        <v>317</v>
      </c>
      <c r="E1025" s="50" t="s">
        <v>328</v>
      </c>
      <c r="F1025" s="50" t="s">
        <v>329</v>
      </c>
      <c r="G1025" s="51" t="s">
        <v>329</v>
      </c>
      <c r="H1025" s="46">
        <v>23156.0</v>
      </c>
      <c r="I1025" s="47">
        <v>57.6913111</v>
      </c>
      <c r="J1025" s="46">
        <v>30113.0</v>
      </c>
      <c r="K1025" s="47">
        <v>81.5727427</v>
      </c>
    </row>
    <row r="1026" ht="15.0" hidden="1" customHeight="1">
      <c r="A1026" s="7"/>
      <c r="B1026" s="39">
        <v>1019.0</v>
      </c>
      <c r="C1026" s="40" t="s">
        <v>19</v>
      </c>
      <c r="D1026" s="40" t="s">
        <v>317</v>
      </c>
      <c r="E1026" s="40" t="s">
        <v>328</v>
      </c>
      <c r="F1026" s="40" t="s">
        <v>329</v>
      </c>
      <c r="G1026" s="41" t="s">
        <v>13</v>
      </c>
      <c r="H1026" s="42">
        <v>3026.0</v>
      </c>
      <c r="I1026" s="43">
        <v>96.4309319</v>
      </c>
      <c r="J1026" s="42">
        <v>5962.0</v>
      </c>
      <c r="K1026" s="43">
        <v>97.5679302</v>
      </c>
    </row>
    <row r="1027" ht="15.0" hidden="1" customHeight="1">
      <c r="A1027" s="7"/>
      <c r="B1027" s="39">
        <v>1020.0</v>
      </c>
      <c r="C1027" s="40" t="s">
        <v>19</v>
      </c>
      <c r="D1027" s="40" t="s">
        <v>317</v>
      </c>
      <c r="E1027" s="40" t="s">
        <v>328</v>
      </c>
      <c r="F1027" s="40" t="s">
        <v>329</v>
      </c>
      <c r="G1027" s="41" t="s">
        <v>14</v>
      </c>
      <c r="H1027" s="42">
        <v>20130.0</v>
      </c>
      <c r="I1027" s="43">
        <v>51.8678589</v>
      </c>
      <c r="J1027" s="42">
        <v>24151.0</v>
      </c>
      <c r="K1027" s="43">
        <v>77.6241149</v>
      </c>
    </row>
    <row r="1028" ht="15.0" customHeight="1">
      <c r="A1028" s="7"/>
      <c r="B1028" s="44">
        <v>1021.0</v>
      </c>
      <c r="C1028" s="45" t="s">
        <v>19</v>
      </c>
      <c r="D1028" s="50" t="s">
        <v>317</v>
      </c>
      <c r="E1028" s="50" t="s">
        <v>328</v>
      </c>
      <c r="F1028" s="50" t="s">
        <v>330</v>
      </c>
      <c r="G1028" s="51" t="s">
        <v>330</v>
      </c>
      <c r="H1028" s="46">
        <v>10860.0</v>
      </c>
      <c r="I1028" s="47">
        <v>44.6685083</v>
      </c>
      <c r="J1028" s="46">
        <v>9392.0</v>
      </c>
      <c r="K1028" s="47">
        <v>68.600937</v>
      </c>
    </row>
    <row r="1029" ht="15.0" hidden="1" customHeight="1">
      <c r="A1029" s="7"/>
      <c r="B1029" s="39">
        <v>1022.0</v>
      </c>
      <c r="C1029" s="40" t="s">
        <v>19</v>
      </c>
      <c r="D1029" s="40" t="s">
        <v>317</v>
      </c>
      <c r="E1029" s="40" t="s">
        <v>328</v>
      </c>
      <c r="F1029" s="40" t="s">
        <v>330</v>
      </c>
      <c r="G1029" s="41" t="s">
        <v>13</v>
      </c>
      <c r="H1029" s="42"/>
      <c r="I1029" s="43"/>
      <c r="J1029" s="42"/>
      <c r="K1029" s="43"/>
    </row>
    <row r="1030" ht="15.0" hidden="1" customHeight="1">
      <c r="A1030" s="7"/>
      <c r="B1030" s="39">
        <v>1023.0</v>
      </c>
      <c r="C1030" s="40" t="s">
        <v>19</v>
      </c>
      <c r="D1030" s="40" t="s">
        <v>317</v>
      </c>
      <c r="E1030" s="40" t="s">
        <v>328</v>
      </c>
      <c r="F1030" s="40" t="s">
        <v>330</v>
      </c>
      <c r="G1030" s="41" t="s">
        <v>14</v>
      </c>
      <c r="H1030" s="42">
        <v>10860.0</v>
      </c>
      <c r="I1030" s="43">
        <v>44.6685083</v>
      </c>
      <c r="J1030" s="42">
        <v>9392.0</v>
      </c>
      <c r="K1030" s="43">
        <v>68.600937</v>
      </c>
    </row>
    <row r="1031" ht="15.0" hidden="1" customHeight="1">
      <c r="A1031" s="7"/>
      <c r="B1031" s="35">
        <v>1024.0</v>
      </c>
      <c r="C1031" s="36" t="s">
        <v>17</v>
      </c>
      <c r="D1031" s="49" t="s">
        <v>317</v>
      </c>
      <c r="E1031" s="49" t="s">
        <v>331</v>
      </c>
      <c r="F1031" s="49"/>
      <c r="G1031" s="36" t="s">
        <v>331</v>
      </c>
      <c r="H1031" s="37">
        <v>20051.0</v>
      </c>
      <c r="I1031" s="38">
        <v>35.8735225</v>
      </c>
      <c r="J1031" s="37">
        <v>20403.0</v>
      </c>
      <c r="K1031" s="38">
        <v>49.4486105</v>
      </c>
    </row>
    <row r="1032" ht="15.0" hidden="1" customHeight="1">
      <c r="A1032" s="7"/>
      <c r="B1032" s="39">
        <v>1025.0</v>
      </c>
      <c r="C1032" s="40" t="s">
        <v>17</v>
      </c>
      <c r="D1032" s="40" t="s">
        <v>317</v>
      </c>
      <c r="E1032" s="40" t="s">
        <v>331</v>
      </c>
      <c r="F1032" s="40"/>
      <c r="G1032" s="41" t="s">
        <v>13</v>
      </c>
      <c r="H1032" s="42">
        <v>3716.0</v>
      </c>
      <c r="I1032" s="43">
        <v>97.335845</v>
      </c>
      <c r="J1032" s="42">
        <v>4077.0</v>
      </c>
      <c r="K1032" s="43">
        <v>99.1905813</v>
      </c>
    </row>
    <row r="1033" ht="15.0" hidden="1" customHeight="1">
      <c r="A1033" s="7"/>
      <c r="B1033" s="39">
        <v>1026.0</v>
      </c>
      <c r="C1033" s="40" t="s">
        <v>17</v>
      </c>
      <c r="D1033" s="40" t="s">
        <v>317</v>
      </c>
      <c r="E1033" s="40" t="s">
        <v>331</v>
      </c>
      <c r="F1033" s="40"/>
      <c r="G1033" s="41" t="s">
        <v>14</v>
      </c>
      <c r="H1033" s="42">
        <v>16335.0</v>
      </c>
      <c r="I1033" s="43">
        <v>21.8916437</v>
      </c>
      <c r="J1033" s="42">
        <v>16326.0</v>
      </c>
      <c r="K1033" s="43">
        <v>37.0268284</v>
      </c>
    </row>
    <row r="1034" ht="15.0" customHeight="1">
      <c r="A1034" s="7"/>
      <c r="B1034" s="44">
        <v>1027.0</v>
      </c>
      <c r="C1034" s="45" t="s">
        <v>19</v>
      </c>
      <c r="D1034" s="50" t="s">
        <v>317</v>
      </c>
      <c r="E1034" s="50" t="s">
        <v>331</v>
      </c>
      <c r="F1034" s="50" t="s">
        <v>201</v>
      </c>
      <c r="G1034" s="51" t="s">
        <v>201</v>
      </c>
      <c r="H1034" s="46">
        <v>20051.0</v>
      </c>
      <c r="I1034" s="47">
        <v>35.8735225</v>
      </c>
      <c r="J1034" s="46">
        <v>20403.0</v>
      </c>
      <c r="K1034" s="47">
        <v>49.4486105</v>
      </c>
    </row>
    <row r="1035" ht="15.0" hidden="1" customHeight="1">
      <c r="A1035" s="7"/>
      <c r="B1035" s="39">
        <v>1028.0</v>
      </c>
      <c r="C1035" s="40" t="s">
        <v>19</v>
      </c>
      <c r="D1035" s="40" t="s">
        <v>317</v>
      </c>
      <c r="E1035" s="40" t="s">
        <v>331</v>
      </c>
      <c r="F1035" s="40" t="s">
        <v>201</v>
      </c>
      <c r="G1035" s="41" t="s">
        <v>13</v>
      </c>
      <c r="H1035" s="42">
        <v>3716.0</v>
      </c>
      <c r="I1035" s="43">
        <v>97.335845</v>
      </c>
      <c r="J1035" s="42">
        <v>4077.0</v>
      </c>
      <c r="K1035" s="43">
        <v>99.1905813</v>
      </c>
    </row>
    <row r="1036" ht="15.0" hidden="1" customHeight="1">
      <c r="A1036" s="7"/>
      <c r="B1036" s="39">
        <v>1029.0</v>
      </c>
      <c r="C1036" s="40" t="s">
        <v>19</v>
      </c>
      <c r="D1036" s="40" t="s">
        <v>317</v>
      </c>
      <c r="E1036" s="40" t="s">
        <v>331</v>
      </c>
      <c r="F1036" s="40" t="s">
        <v>201</v>
      </c>
      <c r="G1036" s="41" t="s">
        <v>14</v>
      </c>
      <c r="H1036" s="42">
        <v>16335.0</v>
      </c>
      <c r="I1036" s="43">
        <v>21.8916437</v>
      </c>
      <c r="J1036" s="42">
        <v>16326.0</v>
      </c>
      <c r="K1036" s="43">
        <v>37.0268284</v>
      </c>
    </row>
    <row r="1037" ht="15.0" hidden="1" customHeight="1">
      <c r="A1037" s="7"/>
      <c r="B1037" s="27">
        <v>1030.0</v>
      </c>
      <c r="C1037" s="28" t="s">
        <v>15</v>
      </c>
      <c r="D1037" s="28" t="s">
        <v>332</v>
      </c>
      <c r="E1037" s="28"/>
      <c r="F1037" s="28"/>
      <c r="G1037" s="28" t="s">
        <v>332</v>
      </c>
      <c r="H1037" s="29">
        <v>2556717.0</v>
      </c>
      <c r="I1037" s="30">
        <v>86.7807035</v>
      </c>
      <c r="J1037" s="29">
        <v>3029443.0</v>
      </c>
      <c r="K1037" s="30">
        <v>92.3384266</v>
      </c>
    </row>
    <row r="1038" ht="15.0" hidden="1" customHeight="1">
      <c r="A1038" s="7"/>
      <c r="B1038" s="31">
        <v>1031.0</v>
      </c>
      <c r="C1038" s="32" t="s">
        <v>15</v>
      </c>
      <c r="D1038" s="48" t="s">
        <v>332</v>
      </c>
      <c r="E1038" s="48"/>
      <c r="F1038" s="48"/>
      <c r="G1038" s="32" t="s">
        <v>13</v>
      </c>
      <c r="H1038" s="33">
        <v>2086227.0</v>
      </c>
      <c r="I1038" s="34">
        <v>95.9025073</v>
      </c>
      <c r="J1038" s="33">
        <v>2513680.0</v>
      </c>
      <c r="K1038" s="34">
        <v>98.2099153</v>
      </c>
    </row>
    <row r="1039" ht="15.0" hidden="1" customHeight="1">
      <c r="A1039" s="7"/>
      <c r="B1039" s="31">
        <v>1032.0</v>
      </c>
      <c r="C1039" s="32" t="s">
        <v>15</v>
      </c>
      <c r="D1039" s="48" t="s">
        <v>332</v>
      </c>
      <c r="E1039" s="48"/>
      <c r="F1039" s="48"/>
      <c r="G1039" s="32" t="s">
        <v>14</v>
      </c>
      <c r="H1039" s="33">
        <v>470490.0</v>
      </c>
      <c r="I1039" s="34">
        <v>46.3331846</v>
      </c>
      <c r="J1039" s="33">
        <v>515763.0</v>
      </c>
      <c r="K1039" s="34">
        <v>63.7224849</v>
      </c>
    </row>
    <row r="1040" ht="15.0" hidden="1" customHeight="1">
      <c r="A1040" s="7"/>
      <c r="B1040" s="35">
        <v>1033.0</v>
      </c>
      <c r="C1040" s="36" t="s">
        <v>17</v>
      </c>
      <c r="D1040" s="49" t="s">
        <v>332</v>
      </c>
      <c r="E1040" s="49" t="s">
        <v>333</v>
      </c>
      <c r="F1040" s="49"/>
      <c r="G1040" s="36" t="s">
        <v>333</v>
      </c>
      <c r="H1040" s="37">
        <v>1598734.0</v>
      </c>
      <c r="I1040" s="38">
        <v>96.9358255</v>
      </c>
      <c r="J1040" s="37">
        <v>1891541.0</v>
      </c>
      <c r="K1040" s="38">
        <v>98.6285256</v>
      </c>
    </row>
    <row r="1041" ht="15.0" hidden="1" customHeight="1">
      <c r="A1041" s="7"/>
      <c r="B1041" s="39">
        <v>1034.0</v>
      </c>
      <c r="C1041" s="40" t="s">
        <v>17</v>
      </c>
      <c r="D1041" s="40" t="s">
        <v>332</v>
      </c>
      <c r="E1041" s="40" t="s">
        <v>333</v>
      </c>
      <c r="F1041" s="40"/>
      <c r="G1041" s="41" t="s">
        <v>13</v>
      </c>
      <c r="H1041" s="42">
        <v>1528315.0</v>
      </c>
      <c r="I1041" s="43">
        <v>98.6006811</v>
      </c>
      <c r="J1041" s="42">
        <v>1831773.0</v>
      </c>
      <c r="K1041" s="43">
        <v>99.2414453</v>
      </c>
    </row>
    <row r="1042" ht="15.0" hidden="1" customHeight="1">
      <c r="A1042" s="7"/>
      <c r="B1042" s="39">
        <v>1035.0</v>
      </c>
      <c r="C1042" s="40" t="s">
        <v>17</v>
      </c>
      <c r="D1042" s="40" t="s">
        <v>332</v>
      </c>
      <c r="E1042" s="40" t="s">
        <v>333</v>
      </c>
      <c r="F1042" s="40"/>
      <c r="G1042" s="41" t="s">
        <v>14</v>
      </c>
      <c r="H1042" s="42">
        <v>70419.0</v>
      </c>
      <c r="I1042" s="43">
        <v>60.8031923</v>
      </c>
      <c r="J1042" s="42">
        <v>59768.0</v>
      </c>
      <c r="K1042" s="43">
        <v>79.8437291</v>
      </c>
    </row>
    <row r="1043" ht="15.0" customHeight="1">
      <c r="A1043" s="7"/>
      <c r="B1043" s="44">
        <v>1036.0</v>
      </c>
      <c r="C1043" s="45" t="s">
        <v>19</v>
      </c>
      <c r="D1043" s="50" t="s">
        <v>332</v>
      </c>
      <c r="E1043" s="50" t="s">
        <v>333</v>
      </c>
      <c r="F1043" s="50" t="s">
        <v>334</v>
      </c>
      <c r="G1043" s="51" t="s">
        <v>334</v>
      </c>
      <c r="H1043" s="46">
        <v>1392727.0</v>
      </c>
      <c r="I1043" s="47">
        <v>98.7384462</v>
      </c>
      <c r="J1043" s="46">
        <v>1563479.0</v>
      </c>
      <c r="K1043" s="47">
        <v>99.380804</v>
      </c>
    </row>
    <row r="1044" ht="15.0" hidden="1" customHeight="1">
      <c r="A1044" s="7"/>
      <c r="B1044" s="39">
        <v>1037.0</v>
      </c>
      <c r="C1044" s="40" t="s">
        <v>19</v>
      </c>
      <c r="D1044" s="40" t="s">
        <v>332</v>
      </c>
      <c r="E1044" s="40" t="s">
        <v>333</v>
      </c>
      <c r="F1044" s="40" t="s">
        <v>334</v>
      </c>
      <c r="G1044" s="41" t="s">
        <v>13</v>
      </c>
      <c r="H1044" s="42">
        <v>1381805.0</v>
      </c>
      <c r="I1044" s="43">
        <v>98.9727205</v>
      </c>
      <c r="J1044" s="42">
        <v>1554378.0</v>
      </c>
      <c r="K1044" s="43">
        <v>99.4386179</v>
      </c>
    </row>
    <row r="1045" ht="15.0" hidden="1" customHeight="1">
      <c r="A1045" s="7"/>
      <c r="B1045" s="39">
        <v>1038.0</v>
      </c>
      <c r="C1045" s="40" t="s">
        <v>19</v>
      </c>
      <c r="D1045" s="40" t="s">
        <v>332</v>
      </c>
      <c r="E1045" s="40" t="s">
        <v>333</v>
      </c>
      <c r="F1045" s="40" t="s">
        <v>334</v>
      </c>
      <c r="G1045" s="41" t="s">
        <v>14</v>
      </c>
      <c r="H1045" s="42">
        <v>10922.0</v>
      </c>
      <c r="I1045" s="43">
        <v>69.0990661</v>
      </c>
      <c r="J1045" s="42">
        <v>9101.0</v>
      </c>
      <c r="K1045" s="43">
        <v>89.5066476</v>
      </c>
    </row>
    <row r="1046" ht="15.0" customHeight="1">
      <c r="A1046" s="7"/>
      <c r="B1046" s="44">
        <v>1039.0</v>
      </c>
      <c r="C1046" s="45" t="s">
        <v>19</v>
      </c>
      <c r="D1046" s="50" t="s">
        <v>332</v>
      </c>
      <c r="E1046" s="50" t="s">
        <v>333</v>
      </c>
      <c r="F1046" s="50" t="s">
        <v>335</v>
      </c>
      <c r="G1046" s="51" t="s">
        <v>335</v>
      </c>
      <c r="H1046" s="46">
        <v>54321.0</v>
      </c>
      <c r="I1046" s="47">
        <v>86.5024576</v>
      </c>
      <c r="J1046" s="46">
        <v>105028.0</v>
      </c>
      <c r="K1046" s="47">
        <v>95.9648856</v>
      </c>
    </row>
    <row r="1047" ht="15.0" hidden="1" customHeight="1">
      <c r="A1047" s="7"/>
      <c r="B1047" s="39">
        <v>1040.0</v>
      </c>
      <c r="C1047" s="40" t="s">
        <v>19</v>
      </c>
      <c r="D1047" s="40" t="s">
        <v>332</v>
      </c>
      <c r="E1047" s="40" t="s">
        <v>333</v>
      </c>
      <c r="F1047" s="40" t="s">
        <v>335</v>
      </c>
      <c r="G1047" s="41" t="s">
        <v>13</v>
      </c>
      <c r="H1047" s="42">
        <v>33557.0</v>
      </c>
      <c r="I1047" s="43">
        <v>94.8475728</v>
      </c>
      <c r="J1047" s="42">
        <v>88972.0</v>
      </c>
      <c r="K1047" s="43">
        <v>96.9372387</v>
      </c>
    </row>
    <row r="1048" ht="15.0" hidden="1" customHeight="1">
      <c r="A1048" s="7"/>
      <c r="B1048" s="39">
        <v>1041.0</v>
      </c>
      <c r="C1048" s="40" t="s">
        <v>19</v>
      </c>
      <c r="D1048" s="40" t="s">
        <v>332</v>
      </c>
      <c r="E1048" s="40" t="s">
        <v>333</v>
      </c>
      <c r="F1048" s="40" t="s">
        <v>335</v>
      </c>
      <c r="G1048" s="41" t="s">
        <v>14</v>
      </c>
      <c r="H1048" s="42">
        <v>20764.0</v>
      </c>
      <c r="I1048" s="43">
        <v>73.0157966</v>
      </c>
      <c r="J1048" s="42">
        <v>16056.0</v>
      </c>
      <c r="K1048" s="43">
        <v>90.5767314</v>
      </c>
    </row>
    <row r="1049" ht="15.0" customHeight="1">
      <c r="A1049" s="7"/>
      <c r="B1049" s="44">
        <v>1042.0</v>
      </c>
      <c r="C1049" s="45" t="s">
        <v>19</v>
      </c>
      <c r="D1049" s="50" t="s">
        <v>332</v>
      </c>
      <c r="E1049" s="50" t="s">
        <v>333</v>
      </c>
      <c r="F1049" s="50" t="s">
        <v>336</v>
      </c>
      <c r="G1049" s="51" t="s">
        <v>336</v>
      </c>
      <c r="H1049" s="46">
        <v>15190.0</v>
      </c>
      <c r="I1049" s="47">
        <v>56.3660303</v>
      </c>
      <c r="J1049" s="46">
        <v>22722.0</v>
      </c>
      <c r="K1049" s="47">
        <v>86.9113634</v>
      </c>
    </row>
    <row r="1050" ht="15.0" hidden="1" customHeight="1">
      <c r="A1050" s="7"/>
      <c r="B1050" s="39">
        <v>1043.0</v>
      </c>
      <c r="C1050" s="40" t="s">
        <v>19</v>
      </c>
      <c r="D1050" s="40" t="s">
        <v>332</v>
      </c>
      <c r="E1050" s="40" t="s">
        <v>333</v>
      </c>
      <c r="F1050" s="40" t="s">
        <v>336</v>
      </c>
      <c r="G1050" s="41" t="s">
        <v>13</v>
      </c>
      <c r="H1050" s="42">
        <v>4045.0</v>
      </c>
      <c r="I1050" s="43">
        <v>92.039555</v>
      </c>
      <c r="J1050" s="42">
        <v>11081.0</v>
      </c>
      <c r="K1050" s="43">
        <v>98.7456006</v>
      </c>
    </row>
    <row r="1051" ht="15.0" hidden="1" customHeight="1">
      <c r="A1051" s="7"/>
      <c r="B1051" s="39">
        <v>1044.0</v>
      </c>
      <c r="C1051" s="40" t="s">
        <v>19</v>
      </c>
      <c r="D1051" s="40" t="s">
        <v>332</v>
      </c>
      <c r="E1051" s="40" t="s">
        <v>333</v>
      </c>
      <c r="F1051" s="40" t="s">
        <v>336</v>
      </c>
      <c r="G1051" s="41" t="s">
        <v>14</v>
      </c>
      <c r="H1051" s="42">
        <v>11145.0</v>
      </c>
      <c r="I1051" s="43">
        <v>43.4185734</v>
      </c>
      <c r="J1051" s="42">
        <v>11641.0</v>
      </c>
      <c r="K1051" s="43">
        <v>75.6464221</v>
      </c>
    </row>
    <row r="1052" ht="15.0" customHeight="1">
      <c r="A1052" s="7"/>
      <c r="B1052" s="44">
        <v>1045.0</v>
      </c>
      <c r="C1052" s="45" t="s">
        <v>19</v>
      </c>
      <c r="D1052" s="50" t="s">
        <v>332</v>
      </c>
      <c r="E1052" s="50" t="s">
        <v>333</v>
      </c>
      <c r="F1052" s="50" t="s">
        <v>337</v>
      </c>
      <c r="G1052" s="51" t="s">
        <v>337</v>
      </c>
      <c r="H1052" s="46">
        <v>87737.0</v>
      </c>
      <c r="I1052" s="47">
        <v>94.5997698</v>
      </c>
      <c r="J1052" s="46">
        <v>145751.0</v>
      </c>
      <c r="K1052" s="47">
        <v>98.3849167</v>
      </c>
    </row>
    <row r="1053" ht="15.0" hidden="1" customHeight="1">
      <c r="A1053" s="7"/>
      <c r="B1053" s="39">
        <v>1046.0</v>
      </c>
      <c r="C1053" s="40" t="s">
        <v>19</v>
      </c>
      <c r="D1053" s="40" t="s">
        <v>332</v>
      </c>
      <c r="E1053" s="40" t="s">
        <v>333</v>
      </c>
      <c r="F1053" s="40" t="s">
        <v>337</v>
      </c>
      <c r="G1053" s="41" t="s">
        <v>13</v>
      </c>
      <c r="H1053" s="42">
        <v>77681.0</v>
      </c>
      <c r="I1053" s="43">
        <v>96.7688367</v>
      </c>
      <c r="J1053" s="42">
        <v>137977.0</v>
      </c>
      <c r="K1053" s="43">
        <v>98.9838886</v>
      </c>
    </row>
    <row r="1054" ht="15.0" hidden="1" customHeight="1">
      <c r="A1054" s="7"/>
      <c r="B1054" s="39">
        <v>1047.0</v>
      </c>
      <c r="C1054" s="40" t="s">
        <v>19</v>
      </c>
      <c r="D1054" s="40" t="s">
        <v>332</v>
      </c>
      <c r="E1054" s="40" t="s">
        <v>333</v>
      </c>
      <c r="F1054" s="40" t="s">
        <v>337</v>
      </c>
      <c r="G1054" s="41" t="s">
        <v>14</v>
      </c>
      <c r="H1054" s="42">
        <v>10056.0</v>
      </c>
      <c r="I1054" s="43">
        <v>77.8440732</v>
      </c>
      <c r="J1054" s="42">
        <v>7774.0</v>
      </c>
      <c r="K1054" s="43">
        <v>87.754052</v>
      </c>
    </row>
    <row r="1055" ht="15.0" customHeight="1">
      <c r="A1055" s="7"/>
      <c r="B1055" s="44">
        <v>1048.0</v>
      </c>
      <c r="C1055" s="45" t="s">
        <v>19</v>
      </c>
      <c r="D1055" s="50" t="s">
        <v>332</v>
      </c>
      <c r="E1055" s="50" t="s">
        <v>333</v>
      </c>
      <c r="F1055" s="50" t="s">
        <v>338</v>
      </c>
      <c r="G1055" s="51" t="s">
        <v>338</v>
      </c>
      <c r="H1055" s="46">
        <v>48759.0</v>
      </c>
      <c r="I1055" s="47">
        <v>73.9125085</v>
      </c>
      <c r="J1055" s="46">
        <v>54561.0</v>
      </c>
      <c r="K1055" s="47">
        <v>87.7293305</v>
      </c>
    </row>
    <row r="1056" ht="15.0" hidden="1" customHeight="1">
      <c r="A1056" s="7"/>
      <c r="B1056" s="39">
        <v>1049.0</v>
      </c>
      <c r="C1056" s="40" t="s">
        <v>19</v>
      </c>
      <c r="D1056" s="40" t="s">
        <v>332</v>
      </c>
      <c r="E1056" s="40" t="s">
        <v>333</v>
      </c>
      <c r="F1056" s="40" t="s">
        <v>338</v>
      </c>
      <c r="G1056" s="41" t="s">
        <v>13</v>
      </c>
      <c r="H1056" s="42">
        <v>31227.0</v>
      </c>
      <c r="I1056" s="43">
        <v>91.5778013</v>
      </c>
      <c r="J1056" s="42">
        <v>39365.0</v>
      </c>
      <c r="K1056" s="43">
        <v>97.7060841</v>
      </c>
    </row>
    <row r="1057" ht="15.0" hidden="1" customHeight="1">
      <c r="A1057" s="7"/>
      <c r="B1057" s="39">
        <v>1050.0</v>
      </c>
      <c r="C1057" s="40" t="s">
        <v>19</v>
      </c>
      <c r="D1057" s="40" t="s">
        <v>332</v>
      </c>
      <c r="E1057" s="40" t="s">
        <v>333</v>
      </c>
      <c r="F1057" s="40" t="s">
        <v>338</v>
      </c>
      <c r="G1057" s="41" t="s">
        <v>14</v>
      </c>
      <c r="H1057" s="42">
        <v>17532.0</v>
      </c>
      <c r="I1057" s="43">
        <v>42.4480949</v>
      </c>
      <c r="J1057" s="42">
        <v>15196.0</v>
      </c>
      <c r="K1057" s="43">
        <v>61.8847065</v>
      </c>
    </row>
    <row r="1058" ht="15.0" hidden="1" customHeight="1">
      <c r="A1058" s="7"/>
      <c r="B1058" s="35">
        <v>1051.0</v>
      </c>
      <c r="C1058" s="36" t="s">
        <v>17</v>
      </c>
      <c r="D1058" s="49" t="s">
        <v>332</v>
      </c>
      <c r="E1058" s="49" t="s">
        <v>339</v>
      </c>
      <c r="F1058" s="49"/>
      <c r="G1058" s="36" t="s">
        <v>339</v>
      </c>
      <c r="H1058" s="37">
        <v>106355.0</v>
      </c>
      <c r="I1058" s="38">
        <v>91.2462978</v>
      </c>
      <c r="J1058" s="37">
        <v>158552.0</v>
      </c>
      <c r="K1058" s="38">
        <v>97.287956</v>
      </c>
    </row>
    <row r="1059" ht="15.0" hidden="1" customHeight="1">
      <c r="A1059" s="7"/>
      <c r="B1059" s="39">
        <v>1052.0</v>
      </c>
      <c r="C1059" s="40" t="s">
        <v>17</v>
      </c>
      <c r="D1059" s="40" t="s">
        <v>332</v>
      </c>
      <c r="E1059" s="40" t="s">
        <v>339</v>
      </c>
      <c r="F1059" s="40"/>
      <c r="G1059" s="41" t="s">
        <v>13</v>
      </c>
      <c r="H1059" s="42">
        <v>85270.0</v>
      </c>
      <c r="I1059" s="43">
        <v>96.9238888</v>
      </c>
      <c r="J1059" s="42">
        <v>137462.0</v>
      </c>
      <c r="K1059" s="43">
        <v>98.4868545</v>
      </c>
    </row>
    <row r="1060" ht="15.0" hidden="1" customHeight="1">
      <c r="A1060" s="7"/>
      <c r="B1060" s="39">
        <v>1053.0</v>
      </c>
      <c r="C1060" s="40" t="s">
        <v>17</v>
      </c>
      <c r="D1060" s="40" t="s">
        <v>332</v>
      </c>
      <c r="E1060" s="40" t="s">
        <v>339</v>
      </c>
      <c r="F1060" s="40"/>
      <c r="G1060" s="41" t="s">
        <v>14</v>
      </c>
      <c r="H1060" s="42">
        <v>21085.0</v>
      </c>
      <c r="I1060" s="43">
        <v>68.285511</v>
      </c>
      <c r="J1060" s="42">
        <v>21090.0</v>
      </c>
      <c r="K1060" s="43">
        <v>89.4736842</v>
      </c>
    </row>
    <row r="1061" ht="15.0" customHeight="1">
      <c r="A1061" s="7"/>
      <c r="B1061" s="44">
        <v>1054.0</v>
      </c>
      <c r="C1061" s="45" t="s">
        <v>19</v>
      </c>
      <c r="D1061" s="50" t="s">
        <v>332</v>
      </c>
      <c r="E1061" s="50" t="s">
        <v>339</v>
      </c>
      <c r="F1061" s="50" t="s">
        <v>339</v>
      </c>
      <c r="G1061" s="51" t="s">
        <v>339</v>
      </c>
      <c r="H1061" s="46">
        <v>94286.0</v>
      </c>
      <c r="I1061" s="47">
        <v>92.2321448</v>
      </c>
      <c r="J1061" s="46">
        <v>148232.0</v>
      </c>
      <c r="K1061" s="47">
        <v>97.4816504</v>
      </c>
    </row>
    <row r="1062" ht="15.0" hidden="1" customHeight="1">
      <c r="A1062" s="7"/>
      <c r="B1062" s="39">
        <v>1055.0</v>
      </c>
      <c r="C1062" s="40" t="s">
        <v>19</v>
      </c>
      <c r="D1062" s="40" t="s">
        <v>332</v>
      </c>
      <c r="E1062" s="40" t="s">
        <v>339</v>
      </c>
      <c r="F1062" s="40" t="s">
        <v>339</v>
      </c>
      <c r="G1062" s="41" t="s">
        <v>13</v>
      </c>
      <c r="H1062" s="42">
        <v>79036.0</v>
      </c>
      <c r="I1062" s="43">
        <v>97.1013209</v>
      </c>
      <c r="J1062" s="42">
        <v>132377.0</v>
      </c>
      <c r="K1062" s="43">
        <v>98.4400613</v>
      </c>
    </row>
    <row r="1063" ht="15.0" hidden="1" customHeight="1">
      <c r="A1063" s="7"/>
      <c r="B1063" s="39">
        <v>1056.0</v>
      </c>
      <c r="C1063" s="40" t="s">
        <v>19</v>
      </c>
      <c r="D1063" s="40" t="s">
        <v>332</v>
      </c>
      <c r="E1063" s="40" t="s">
        <v>339</v>
      </c>
      <c r="F1063" s="40" t="s">
        <v>339</v>
      </c>
      <c r="G1063" s="41" t="s">
        <v>14</v>
      </c>
      <c r="H1063" s="42">
        <v>15250.0</v>
      </c>
      <c r="I1063" s="43">
        <v>66.9967213</v>
      </c>
      <c r="J1063" s="42">
        <v>15855.0</v>
      </c>
      <c r="K1063" s="43">
        <v>89.4796594</v>
      </c>
    </row>
    <row r="1064" ht="15.0" customHeight="1">
      <c r="A1064" s="7"/>
      <c r="B1064" s="44">
        <v>1057.0</v>
      </c>
      <c r="C1064" s="45" t="s">
        <v>19</v>
      </c>
      <c r="D1064" s="50" t="s">
        <v>332</v>
      </c>
      <c r="E1064" s="50" t="s">
        <v>339</v>
      </c>
      <c r="F1064" s="50" t="s">
        <v>340</v>
      </c>
      <c r="G1064" s="51" t="s">
        <v>340</v>
      </c>
      <c r="H1064" s="46">
        <v>12069.0</v>
      </c>
      <c r="I1064" s="47">
        <v>83.5446184</v>
      </c>
      <c r="J1064" s="46">
        <v>10320.0</v>
      </c>
      <c r="K1064" s="47">
        <v>94.505814</v>
      </c>
    </row>
    <row r="1065" ht="15.0" hidden="1" customHeight="1">
      <c r="A1065" s="7"/>
      <c r="B1065" s="39">
        <v>1058.0</v>
      </c>
      <c r="C1065" s="40" t="s">
        <v>19</v>
      </c>
      <c r="D1065" s="40" t="s">
        <v>332</v>
      </c>
      <c r="E1065" s="40" t="s">
        <v>339</v>
      </c>
      <c r="F1065" s="40" t="s">
        <v>340</v>
      </c>
      <c r="G1065" s="41" t="s">
        <v>13</v>
      </c>
      <c r="H1065" s="42">
        <v>6234.0</v>
      </c>
      <c r="I1065" s="43">
        <v>94.6743664</v>
      </c>
      <c r="J1065" s="42">
        <v>5085.0</v>
      </c>
      <c r="K1065" s="43">
        <v>99.7050147</v>
      </c>
    </row>
    <row r="1066" ht="15.0" hidden="1" customHeight="1">
      <c r="A1066" s="7"/>
      <c r="B1066" s="39">
        <v>1059.0</v>
      </c>
      <c r="C1066" s="40" t="s">
        <v>19</v>
      </c>
      <c r="D1066" s="40" t="s">
        <v>332</v>
      </c>
      <c r="E1066" s="40" t="s">
        <v>339</v>
      </c>
      <c r="F1066" s="40" t="s">
        <v>340</v>
      </c>
      <c r="G1066" s="41" t="s">
        <v>14</v>
      </c>
      <c r="H1066" s="42">
        <v>5835.0</v>
      </c>
      <c r="I1066" s="43">
        <v>71.6538132</v>
      </c>
      <c r="J1066" s="42">
        <v>5235.0</v>
      </c>
      <c r="K1066" s="43">
        <v>89.4555874</v>
      </c>
    </row>
    <row r="1067" ht="15.0" hidden="1" customHeight="1">
      <c r="A1067" s="7"/>
      <c r="B1067" s="35">
        <v>1060.0</v>
      </c>
      <c r="C1067" s="36" t="s">
        <v>17</v>
      </c>
      <c r="D1067" s="49" t="s">
        <v>332</v>
      </c>
      <c r="E1067" s="49" t="s">
        <v>341</v>
      </c>
      <c r="F1067" s="49"/>
      <c r="G1067" s="36" t="s">
        <v>341</v>
      </c>
      <c r="H1067" s="37">
        <v>67593.0</v>
      </c>
      <c r="I1067" s="38">
        <v>35.8321128</v>
      </c>
      <c r="J1067" s="37">
        <v>88688.0</v>
      </c>
      <c r="K1067" s="38">
        <v>57.7000271</v>
      </c>
    </row>
    <row r="1068" ht="15.0" hidden="1" customHeight="1">
      <c r="A1068" s="7"/>
      <c r="B1068" s="39">
        <v>1061.0</v>
      </c>
      <c r="C1068" s="40" t="s">
        <v>17</v>
      </c>
      <c r="D1068" s="40" t="s">
        <v>332</v>
      </c>
      <c r="E1068" s="40" t="s">
        <v>341</v>
      </c>
      <c r="F1068" s="40"/>
      <c r="G1068" s="41" t="s">
        <v>13</v>
      </c>
      <c r="H1068" s="42">
        <v>29561.0</v>
      </c>
      <c r="I1068" s="43">
        <v>66.0160346</v>
      </c>
      <c r="J1068" s="42">
        <v>38872.0</v>
      </c>
      <c r="K1068" s="43">
        <v>85.1332579</v>
      </c>
    </row>
    <row r="1069" ht="15.0" hidden="1" customHeight="1">
      <c r="A1069" s="7"/>
      <c r="B1069" s="39">
        <v>1062.0</v>
      </c>
      <c r="C1069" s="40" t="s">
        <v>17</v>
      </c>
      <c r="D1069" s="40" t="s">
        <v>332</v>
      </c>
      <c r="E1069" s="40" t="s">
        <v>341</v>
      </c>
      <c r="F1069" s="40"/>
      <c r="G1069" s="41" t="s">
        <v>14</v>
      </c>
      <c r="H1069" s="42">
        <v>38032.0</v>
      </c>
      <c r="I1069" s="43">
        <v>12.3711611</v>
      </c>
      <c r="J1069" s="42">
        <v>49816.0</v>
      </c>
      <c r="K1069" s="43">
        <v>36.2935603</v>
      </c>
    </row>
    <row r="1070" ht="15.0" customHeight="1">
      <c r="A1070" s="7"/>
      <c r="B1070" s="44">
        <v>1063.0</v>
      </c>
      <c r="C1070" s="45" t="s">
        <v>19</v>
      </c>
      <c r="D1070" s="50" t="s">
        <v>332</v>
      </c>
      <c r="E1070" s="50" t="s">
        <v>341</v>
      </c>
      <c r="F1070" s="50" t="s">
        <v>342</v>
      </c>
      <c r="G1070" s="51" t="s">
        <v>342</v>
      </c>
      <c r="H1070" s="46">
        <v>50813.0</v>
      </c>
      <c r="I1070" s="47">
        <v>37.716726</v>
      </c>
      <c r="J1070" s="46">
        <v>64993.0</v>
      </c>
      <c r="K1070" s="47">
        <v>61.2358254</v>
      </c>
    </row>
    <row r="1071" ht="15.0" hidden="1" customHeight="1">
      <c r="A1071" s="7"/>
      <c r="B1071" s="39">
        <v>1064.0</v>
      </c>
      <c r="C1071" s="40" t="s">
        <v>19</v>
      </c>
      <c r="D1071" s="40" t="s">
        <v>332</v>
      </c>
      <c r="E1071" s="40" t="s">
        <v>341</v>
      </c>
      <c r="F1071" s="40" t="s">
        <v>342</v>
      </c>
      <c r="G1071" s="41" t="s">
        <v>13</v>
      </c>
      <c r="H1071" s="42">
        <v>22282.0</v>
      </c>
      <c r="I1071" s="43">
        <v>67.386231</v>
      </c>
      <c r="J1071" s="42">
        <v>30844.0</v>
      </c>
      <c r="K1071" s="43">
        <v>85.8319284</v>
      </c>
    </row>
    <row r="1072" ht="15.0" hidden="1" customHeight="1">
      <c r="A1072" s="7"/>
      <c r="B1072" s="39">
        <v>1065.0</v>
      </c>
      <c r="C1072" s="40" t="s">
        <v>19</v>
      </c>
      <c r="D1072" s="40" t="s">
        <v>332</v>
      </c>
      <c r="E1072" s="40" t="s">
        <v>341</v>
      </c>
      <c r="F1072" s="40" t="s">
        <v>342</v>
      </c>
      <c r="G1072" s="41" t="s">
        <v>14</v>
      </c>
      <c r="H1072" s="42">
        <v>28531.0</v>
      </c>
      <c r="I1072" s="43">
        <v>14.545582</v>
      </c>
      <c r="J1072" s="42">
        <v>34149.0</v>
      </c>
      <c r="K1072" s="43">
        <v>39.0201763</v>
      </c>
    </row>
    <row r="1073" ht="15.0" customHeight="1">
      <c r="A1073" s="7"/>
      <c r="B1073" s="44">
        <v>1066.0</v>
      </c>
      <c r="C1073" s="45" t="s">
        <v>19</v>
      </c>
      <c r="D1073" s="50" t="s">
        <v>332</v>
      </c>
      <c r="E1073" s="50" t="s">
        <v>341</v>
      </c>
      <c r="F1073" s="50" t="s">
        <v>343</v>
      </c>
      <c r="G1073" s="51" t="s">
        <v>343</v>
      </c>
      <c r="H1073" s="46">
        <v>11174.0</v>
      </c>
      <c r="I1073" s="47">
        <v>26.0515482</v>
      </c>
      <c r="J1073" s="46">
        <v>15094.0</v>
      </c>
      <c r="K1073" s="47">
        <v>46.1706638</v>
      </c>
    </row>
    <row r="1074" ht="15.0" hidden="1" customHeight="1">
      <c r="A1074" s="7"/>
      <c r="B1074" s="39">
        <v>1067.0</v>
      </c>
      <c r="C1074" s="40" t="s">
        <v>19</v>
      </c>
      <c r="D1074" s="40" t="s">
        <v>332</v>
      </c>
      <c r="E1074" s="40" t="s">
        <v>341</v>
      </c>
      <c r="F1074" s="40" t="s">
        <v>343</v>
      </c>
      <c r="G1074" s="41" t="s">
        <v>13</v>
      </c>
      <c r="H1074" s="42">
        <v>4278.0</v>
      </c>
      <c r="I1074" s="43">
        <v>60.9864423</v>
      </c>
      <c r="J1074" s="42">
        <v>5263.0</v>
      </c>
      <c r="K1074" s="43">
        <v>79.9543986</v>
      </c>
    </row>
    <row r="1075" ht="15.0" hidden="1" customHeight="1">
      <c r="A1075" s="7"/>
      <c r="B1075" s="39">
        <v>1068.0</v>
      </c>
      <c r="C1075" s="40" t="s">
        <v>19</v>
      </c>
      <c r="D1075" s="40" t="s">
        <v>332</v>
      </c>
      <c r="E1075" s="40" t="s">
        <v>341</v>
      </c>
      <c r="F1075" s="40" t="s">
        <v>343</v>
      </c>
      <c r="G1075" s="41" t="s">
        <v>14</v>
      </c>
      <c r="H1075" s="42">
        <v>6896.0</v>
      </c>
      <c r="I1075" s="43">
        <v>4.3793503</v>
      </c>
      <c r="J1075" s="42">
        <v>9831.0</v>
      </c>
      <c r="K1075" s="43">
        <v>28.0846303</v>
      </c>
    </row>
    <row r="1076" ht="15.0" customHeight="1">
      <c r="A1076" s="7"/>
      <c r="B1076" s="44">
        <v>1069.0</v>
      </c>
      <c r="C1076" s="45" t="s">
        <v>19</v>
      </c>
      <c r="D1076" s="50" t="s">
        <v>332</v>
      </c>
      <c r="E1076" s="50" t="s">
        <v>341</v>
      </c>
      <c r="F1076" s="50" t="s">
        <v>344</v>
      </c>
      <c r="G1076" s="51" t="s">
        <v>344</v>
      </c>
      <c r="H1076" s="46">
        <v>5606.0</v>
      </c>
      <c r="I1076" s="47">
        <v>38.2447378</v>
      </c>
      <c r="J1076" s="46">
        <v>8601.0</v>
      </c>
      <c r="K1076" s="47">
        <v>51.214975</v>
      </c>
    </row>
    <row r="1077" ht="15.0" hidden="1" customHeight="1">
      <c r="A1077" s="7"/>
      <c r="B1077" s="39">
        <v>1070.0</v>
      </c>
      <c r="C1077" s="40" t="s">
        <v>19</v>
      </c>
      <c r="D1077" s="40" t="s">
        <v>332</v>
      </c>
      <c r="E1077" s="40" t="s">
        <v>341</v>
      </c>
      <c r="F1077" s="40" t="s">
        <v>344</v>
      </c>
      <c r="G1077" s="41" t="s">
        <v>13</v>
      </c>
      <c r="H1077" s="42">
        <v>3001.0</v>
      </c>
      <c r="I1077" s="43">
        <v>63.0123292</v>
      </c>
      <c r="J1077" s="42">
        <v>2765.0</v>
      </c>
      <c r="K1077" s="43">
        <v>87.1971067</v>
      </c>
    </row>
    <row r="1078" ht="15.0" hidden="1" customHeight="1">
      <c r="A1078" s="7"/>
      <c r="B1078" s="39">
        <v>1071.0</v>
      </c>
      <c r="C1078" s="40" t="s">
        <v>19</v>
      </c>
      <c r="D1078" s="40" t="s">
        <v>332</v>
      </c>
      <c r="E1078" s="40" t="s">
        <v>341</v>
      </c>
      <c r="F1078" s="40" t="s">
        <v>344</v>
      </c>
      <c r="G1078" s="41" t="s">
        <v>14</v>
      </c>
      <c r="H1078" s="42">
        <v>2605.0</v>
      </c>
      <c r="I1078" s="43">
        <v>9.7120921</v>
      </c>
      <c r="J1078" s="42">
        <v>5836.0</v>
      </c>
      <c r="K1078" s="43">
        <v>34.1672378</v>
      </c>
    </row>
    <row r="1079" ht="15.0" hidden="1" customHeight="1">
      <c r="A1079" s="7"/>
      <c r="B1079" s="35">
        <v>1072.0</v>
      </c>
      <c r="C1079" s="36" t="s">
        <v>17</v>
      </c>
      <c r="D1079" s="49" t="s">
        <v>332</v>
      </c>
      <c r="E1079" s="49" t="s">
        <v>345</v>
      </c>
      <c r="F1079" s="49"/>
      <c r="G1079" s="36" t="s">
        <v>345</v>
      </c>
      <c r="H1079" s="37">
        <v>89098.0</v>
      </c>
      <c r="I1079" s="38">
        <v>67.5660509</v>
      </c>
      <c r="J1079" s="37">
        <v>97794.0</v>
      </c>
      <c r="K1079" s="38">
        <v>83.4672884</v>
      </c>
    </row>
    <row r="1080" ht="15.0" hidden="1" customHeight="1">
      <c r="A1080" s="7"/>
      <c r="B1080" s="39">
        <v>1073.0</v>
      </c>
      <c r="C1080" s="40" t="s">
        <v>17</v>
      </c>
      <c r="D1080" s="40" t="s">
        <v>332</v>
      </c>
      <c r="E1080" s="40" t="s">
        <v>345</v>
      </c>
      <c r="F1080" s="40"/>
      <c r="G1080" s="41" t="s">
        <v>13</v>
      </c>
      <c r="H1080" s="42">
        <v>53547.0</v>
      </c>
      <c r="I1080" s="43">
        <v>88.4662073</v>
      </c>
      <c r="J1080" s="42">
        <v>58894.0</v>
      </c>
      <c r="K1080" s="43">
        <v>97.9997962</v>
      </c>
    </row>
    <row r="1081" ht="15.0" hidden="1" customHeight="1">
      <c r="A1081" s="7"/>
      <c r="B1081" s="39">
        <v>1074.0</v>
      </c>
      <c r="C1081" s="40" t="s">
        <v>17</v>
      </c>
      <c r="D1081" s="40" t="s">
        <v>332</v>
      </c>
      <c r="E1081" s="40" t="s">
        <v>345</v>
      </c>
      <c r="F1081" s="40"/>
      <c r="G1081" s="41" t="s">
        <v>14</v>
      </c>
      <c r="H1081" s="42">
        <v>35551.0</v>
      </c>
      <c r="I1081" s="43">
        <v>36.086186</v>
      </c>
      <c r="J1081" s="42">
        <v>38900.0</v>
      </c>
      <c r="K1081" s="43">
        <v>61.4652956</v>
      </c>
    </row>
    <row r="1082" ht="15.0" customHeight="1">
      <c r="A1082" s="7"/>
      <c r="B1082" s="44">
        <v>1075.0</v>
      </c>
      <c r="C1082" s="45" t="s">
        <v>19</v>
      </c>
      <c r="D1082" s="50" t="s">
        <v>332</v>
      </c>
      <c r="E1082" s="50" t="s">
        <v>345</v>
      </c>
      <c r="F1082" s="50" t="s">
        <v>346</v>
      </c>
      <c r="G1082" s="51" t="s">
        <v>346</v>
      </c>
      <c r="H1082" s="46">
        <v>12490.0</v>
      </c>
      <c r="I1082" s="47">
        <v>57.2457966</v>
      </c>
      <c r="J1082" s="46">
        <v>12934.0</v>
      </c>
      <c r="K1082" s="47">
        <v>80.2690583</v>
      </c>
    </row>
    <row r="1083" ht="15.0" hidden="1" customHeight="1">
      <c r="A1083" s="7"/>
      <c r="B1083" s="39">
        <v>1076.0</v>
      </c>
      <c r="C1083" s="40" t="s">
        <v>19</v>
      </c>
      <c r="D1083" s="40" t="s">
        <v>332</v>
      </c>
      <c r="E1083" s="40" t="s">
        <v>345</v>
      </c>
      <c r="F1083" s="40" t="s">
        <v>346</v>
      </c>
      <c r="G1083" s="41" t="s">
        <v>13</v>
      </c>
      <c r="H1083" s="42">
        <v>4123.0</v>
      </c>
      <c r="I1083" s="43">
        <v>87.1210284</v>
      </c>
      <c r="J1083" s="42">
        <v>5185.0</v>
      </c>
      <c r="K1083" s="43">
        <v>94.3105111</v>
      </c>
    </row>
    <row r="1084" ht="15.0" hidden="1" customHeight="1">
      <c r="A1084" s="7"/>
      <c r="B1084" s="39">
        <v>1077.0</v>
      </c>
      <c r="C1084" s="40" t="s">
        <v>19</v>
      </c>
      <c r="D1084" s="40" t="s">
        <v>332</v>
      </c>
      <c r="E1084" s="40" t="s">
        <v>345</v>
      </c>
      <c r="F1084" s="40" t="s">
        <v>346</v>
      </c>
      <c r="G1084" s="41" t="s">
        <v>14</v>
      </c>
      <c r="H1084" s="42">
        <v>8367.0</v>
      </c>
      <c r="I1084" s="43">
        <v>42.5242022</v>
      </c>
      <c r="J1084" s="42">
        <v>7749.0</v>
      </c>
      <c r="K1084" s="43">
        <v>70.8736611</v>
      </c>
    </row>
    <row r="1085" ht="15.0" customHeight="1">
      <c r="A1085" s="7"/>
      <c r="B1085" s="44">
        <v>1078.0</v>
      </c>
      <c r="C1085" s="45" t="s">
        <v>19</v>
      </c>
      <c r="D1085" s="50" t="s">
        <v>332</v>
      </c>
      <c r="E1085" s="50" t="s">
        <v>345</v>
      </c>
      <c r="F1085" s="50" t="s">
        <v>347</v>
      </c>
      <c r="G1085" s="51" t="s">
        <v>347</v>
      </c>
      <c r="H1085" s="46">
        <v>19588.0</v>
      </c>
      <c r="I1085" s="47">
        <v>72.2432101</v>
      </c>
      <c r="J1085" s="46">
        <v>18595.0</v>
      </c>
      <c r="K1085" s="47">
        <v>89.4810433</v>
      </c>
    </row>
    <row r="1086" ht="15.0" hidden="1" customHeight="1">
      <c r="A1086" s="7"/>
      <c r="B1086" s="39">
        <v>1079.0</v>
      </c>
      <c r="C1086" s="40" t="s">
        <v>19</v>
      </c>
      <c r="D1086" s="40" t="s">
        <v>332</v>
      </c>
      <c r="E1086" s="40" t="s">
        <v>345</v>
      </c>
      <c r="F1086" s="40" t="s">
        <v>347</v>
      </c>
      <c r="G1086" s="41" t="s">
        <v>13</v>
      </c>
      <c r="H1086" s="42">
        <v>12735.0</v>
      </c>
      <c r="I1086" s="43">
        <v>85.8264625</v>
      </c>
      <c r="J1086" s="42">
        <v>12484.0</v>
      </c>
      <c r="K1086" s="43">
        <v>96.9721243</v>
      </c>
    </row>
    <row r="1087" ht="15.0" hidden="1" customHeight="1">
      <c r="A1087" s="7"/>
      <c r="B1087" s="39">
        <v>1080.0</v>
      </c>
      <c r="C1087" s="40" t="s">
        <v>19</v>
      </c>
      <c r="D1087" s="40" t="s">
        <v>332</v>
      </c>
      <c r="E1087" s="40" t="s">
        <v>345</v>
      </c>
      <c r="F1087" s="40" t="s">
        <v>347</v>
      </c>
      <c r="G1087" s="41" t="s">
        <v>14</v>
      </c>
      <c r="H1087" s="42">
        <v>6853.0</v>
      </c>
      <c r="I1087" s="43">
        <v>47.0013133</v>
      </c>
      <c r="J1087" s="42">
        <v>6111.0</v>
      </c>
      <c r="K1087" s="43">
        <v>74.1777123</v>
      </c>
    </row>
    <row r="1088" ht="15.0" customHeight="1">
      <c r="A1088" s="7"/>
      <c r="B1088" s="44">
        <v>1081.0</v>
      </c>
      <c r="C1088" s="45" t="s">
        <v>19</v>
      </c>
      <c r="D1088" s="50" t="s">
        <v>332</v>
      </c>
      <c r="E1088" s="50" t="s">
        <v>345</v>
      </c>
      <c r="F1088" s="50" t="s">
        <v>348</v>
      </c>
      <c r="G1088" s="51" t="s">
        <v>348</v>
      </c>
      <c r="H1088" s="46">
        <v>48929.0</v>
      </c>
      <c r="I1088" s="47">
        <v>66.9112387</v>
      </c>
      <c r="J1088" s="46">
        <v>56178.0</v>
      </c>
      <c r="K1088" s="47">
        <v>81.2577877</v>
      </c>
    </row>
    <row r="1089" ht="15.0" hidden="1" customHeight="1">
      <c r="A1089" s="7"/>
      <c r="B1089" s="39">
        <v>1082.0</v>
      </c>
      <c r="C1089" s="40" t="s">
        <v>19</v>
      </c>
      <c r="D1089" s="40" t="s">
        <v>332</v>
      </c>
      <c r="E1089" s="40" t="s">
        <v>345</v>
      </c>
      <c r="F1089" s="40" t="s">
        <v>348</v>
      </c>
      <c r="G1089" s="41" t="s">
        <v>13</v>
      </c>
      <c r="H1089" s="42">
        <v>31953.0</v>
      </c>
      <c r="I1089" s="43">
        <v>88.3359935</v>
      </c>
      <c r="J1089" s="42">
        <v>35198.0</v>
      </c>
      <c r="K1089" s="43">
        <v>98.7698165</v>
      </c>
    </row>
    <row r="1090" ht="15.0" hidden="1" customHeight="1">
      <c r="A1090" s="7"/>
      <c r="B1090" s="39">
        <v>1083.0</v>
      </c>
      <c r="C1090" s="40" t="s">
        <v>19</v>
      </c>
      <c r="D1090" s="40" t="s">
        <v>332</v>
      </c>
      <c r="E1090" s="40" t="s">
        <v>345</v>
      </c>
      <c r="F1090" s="40" t="s">
        <v>348</v>
      </c>
      <c r="G1090" s="41" t="s">
        <v>14</v>
      </c>
      <c r="H1090" s="42">
        <v>16976.0</v>
      </c>
      <c r="I1090" s="43">
        <v>26.58459</v>
      </c>
      <c r="J1090" s="42">
        <v>20980.0</v>
      </c>
      <c r="K1090" s="43">
        <v>51.877979</v>
      </c>
    </row>
    <row r="1091" ht="15.0" customHeight="1">
      <c r="A1091" s="7"/>
      <c r="B1091" s="44">
        <v>1084.0</v>
      </c>
      <c r="C1091" s="45" t="s">
        <v>19</v>
      </c>
      <c r="D1091" s="50" t="s">
        <v>332</v>
      </c>
      <c r="E1091" s="50" t="s">
        <v>345</v>
      </c>
      <c r="F1091" s="50" t="s">
        <v>349</v>
      </c>
      <c r="G1091" s="51" t="s">
        <v>349</v>
      </c>
      <c r="H1091" s="46">
        <v>8091.0</v>
      </c>
      <c r="I1091" s="47">
        <v>76.133976</v>
      </c>
      <c r="J1091" s="46">
        <v>10087.0</v>
      </c>
      <c r="K1091" s="47">
        <v>88.7875483</v>
      </c>
    </row>
    <row r="1092" ht="15.0" hidden="1" customHeight="1">
      <c r="A1092" s="7"/>
      <c r="B1092" s="39">
        <v>1085.0</v>
      </c>
      <c r="C1092" s="40" t="s">
        <v>19</v>
      </c>
      <c r="D1092" s="40" t="s">
        <v>332</v>
      </c>
      <c r="E1092" s="40" t="s">
        <v>345</v>
      </c>
      <c r="F1092" s="40" t="s">
        <v>349</v>
      </c>
      <c r="G1092" s="41" t="s">
        <v>13</v>
      </c>
      <c r="H1092" s="42">
        <v>4736.0</v>
      </c>
      <c r="I1092" s="43">
        <v>97.6140203</v>
      </c>
      <c r="J1092" s="42">
        <v>6027.0</v>
      </c>
      <c r="K1092" s="43">
        <v>98.8053758</v>
      </c>
    </row>
    <row r="1093" ht="15.0" hidden="1" customHeight="1">
      <c r="A1093" s="7"/>
      <c r="B1093" s="39">
        <v>1086.0</v>
      </c>
      <c r="C1093" s="40" t="s">
        <v>19</v>
      </c>
      <c r="D1093" s="40" t="s">
        <v>332</v>
      </c>
      <c r="E1093" s="40" t="s">
        <v>345</v>
      </c>
      <c r="F1093" s="40" t="s">
        <v>349</v>
      </c>
      <c r="G1093" s="41" t="s">
        <v>14</v>
      </c>
      <c r="H1093" s="42">
        <v>3355.0</v>
      </c>
      <c r="I1093" s="43">
        <v>45.8122206</v>
      </c>
      <c r="J1093" s="42">
        <v>4060.0</v>
      </c>
      <c r="K1093" s="43">
        <v>73.9162562</v>
      </c>
    </row>
    <row r="1094" ht="15.0" hidden="1" customHeight="1">
      <c r="A1094" s="7"/>
      <c r="B1094" s="35">
        <v>1087.0</v>
      </c>
      <c r="C1094" s="36" t="s">
        <v>17</v>
      </c>
      <c r="D1094" s="49" t="s">
        <v>332</v>
      </c>
      <c r="E1094" s="49" t="s">
        <v>350</v>
      </c>
      <c r="F1094" s="49"/>
      <c r="G1094" s="36" t="s">
        <v>350</v>
      </c>
      <c r="H1094" s="37">
        <v>72524.0</v>
      </c>
      <c r="I1094" s="38">
        <v>79.9004467</v>
      </c>
      <c r="J1094" s="37">
        <v>110136.0</v>
      </c>
      <c r="K1094" s="38">
        <v>84.2640009</v>
      </c>
    </row>
    <row r="1095" ht="15.0" hidden="1" customHeight="1">
      <c r="A1095" s="7"/>
      <c r="B1095" s="39">
        <v>1088.0</v>
      </c>
      <c r="C1095" s="40" t="s">
        <v>17</v>
      </c>
      <c r="D1095" s="40" t="s">
        <v>332</v>
      </c>
      <c r="E1095" s="40" t="s">
        <v>350</v>
      </c>
      <c r="F1095" s="40"/>
      <c r="G1095" s="41" t="s">
        <v>13</v>
      </c>
      <c r="H1095" s="42">
        <v>31038.0</v>
      </c>
      <c r="I1095" s="43">
        <v>85.4565371</v>
      </c>
      <c r="J1095" s="42">
        <v>40213.0</v>
      </c>
      <c r="K1095" s="43">
        <v>95.2801333</v>
      </c>
    </row>
    <row r="1096" ht="15.0" hidden="1" customHeight="1">
      <c r="A1096" s="7"/>
      <c r="B1096" s="39">
        <v>1089.0</v>
      </c>
      <c r="C1096" s="40" t="s">
        <v>17</v>
      </c>
      <c r="D1096" s="40" t="s">
        <v>332</v>
      </c>
      <c r="E1096" s="40" t="s">
        <v>350</v>
      </c>
      <c r="F1096" s="40"/>
      <c r="G1096" s="41" t="s">
        <v>14</v>
      </c>
      <c r="H1096" s="42">
        <v>41486.0</v>
      </c>
      <c r="I1096" s="43">
        <v>75.7436244</v>
      </c>
      <c r="J1096" s="42">
        <v>69923.0</v>
      </c>
      <c r="K1096" s="43">
        <v>77.9285786</v>
      </c>
    </row>
    <row r="1097" ht="15.0" customHeight="1">
      <c r="A1097" s="7"/>
      <c r="B1097" s="44">
        <v>1090.0</v>
      </c>
      <c r="C1097" s="45" t="s">
        <v>19</v>
      </c>
      <c r="D1097" s="50" t="s">
        <v>332</v>
      </c>
      <c r="E1097" s="50" t="s">
        <v>350</v>
      </c>
      <c r="F1097" s="50" t="s">
        <v>351</v>
      </c>
      <c r="G1097" s="51" t="s">
        <v>351</v>
      </c>
      <c r="H1097" s="46">
        <v>21743.0</v>
      </c>
      <c r="I1097" s="47">
        <v>78.0389091</v>
      </c>
      <c r="J1097" s="46">
        <v>40128.0</v>
      </c>
      <c r="K1097" s="47">
        <v>77.6490231</v>
      </c>
    </row>
    <row r="1098" ht="15.0" hidden="1" customHeight="1">
      <c r="A1098" s="7"/>
      <c r="B1098" s="39">
        <v>1091.0</v>
      </c>
      <c r="C1098" s="40" t="s">
        <v>19</v>
      </c>
      <c r="D1098" s="40" t="s">
        <v>332</v>
      </c>
      <c r="E1098" s="40" t="s">
        <v>350</v>
      </c>
      <c r="F1098" s="40" t="s">
        <v>351</v>
      </c>
      <c r="G1098" s="41" t="s">
        <v>13</v>
      </c>
      <c r="H1098" s="42">
        <v>11794.0</v>
      </c>
      <c r="I1098" s="43">
        <v>87.9515008</v>
      </c>
      <c r="J1098" s="42">
        <v>12601.0</v>
      </c>
      <c r="K1098" s="43">
        <v>95.3813189</v>
      </c>
    </row>
    <row r="1099" ht="15.0" hidden="1" customHeight="1">
      <c r="A1099" s="7"/>
      <c r="B1099" s="39">
        <v>1092.0</v>
      </c>
      <c r="C1099" s="40" t="s">
        <v>19</v>
      </c>
      <c r="D1099" s="40" t="s">
        <v>332</v>
      </c>
      <c r="E1099" s="40" t="s">
        <v>350</v>
      </c>
      <c r="F1099" s="40" t="s">
        <v>351</v>
      </c>
      <c r="G1099" s="41" t="s">
        <v>14</v>
      </c>
      <c r="H1099" s="42">
        <v>9949.0</v>
      </c>
      <c r="I1099" s="43">
        <v>66.2880692</v>
      </c>
      <c r="J1099" s="42">
        <v>27527.0</v>
      </c>
      <c r="K1099" s="43">
        <v>69.5317325</v>
      </c>
    </row>
    <row r="1100" ht="15.0" customHeight="1">
      <c r="A1100" s="7"/>
      <c r="B1100" s="44">
        <v>1093.0</v>
      </c>
      <c r="C1100" s="45" t="s">
        <v>19</v>
      </c>
      <c r="D1100" s="50" t="s">
        <v>332</v>
      </c>
      <c r="E1100" s="50" t="s">
        <v>350</v>
      </c>
      <c r="F1100" s="50" t="s">
        <v>352</v>
      </c>
      <c r="G1100" s="51" t="s">
        <v>352</v>
      </c>
      <c r="H1100" s="46">
        <v>36157.0</v>
      </c>
      <c r="I1100" s="47">
        <v>89.2717869</v>
      </c>
      <c r="J1100" s="46">
        <v>52469.0</v>
      </c>
      <c r="K1100" s="47">
        <v>90.5067754</v>
      </c>
    </row>
    <row r="1101" ht="15.0" hidden="1" customHeight="1">
      <c r="A1101" s="7"/>
      <c r="B1101" s="39">
        <v>1094.0</v>
      </c>
      <c r="C1101" s="40" t="s">
        <v>19</v>
      </c>
      <c r="D1101" s="40" t="s">
        <v>332</v>
      </c>
      <c r="E1101" s="40" t="s">
        <v>350</v>
      </c>
      <c r="F1101" s="40" t="s">
        <v>352</v>
      </c>
      <c r="G1101" s="41" t="s">
        <v>13</v>
      </c>
      <c r="H1101" s="42">
        <v>9391.0</v>
      </c>
      <c r="I1101" s="43">
        <v>95.33596</v>
      </c>
      <c r="J1101" s="42">
        <v>16476.0</v>
      </c>
      <c r="K1101" s="43">
        <v>97.4083515</v>
      </c>
    </row>
    <row r="1102" ht="15.0" hidden="1" customHeight="1">
      <c r="A1102" s="7"/>
      <c r="B1102" s="39">
        <v>1095.0</v>
      </c>
      <c r="C1102" s="40" t="s">
        <v>19</v>
      </c>
      <c r="D1102" s="40" t="s">
        <v>332</v>
      </c>
      <c r="E1102" s="40" t="s">
        <v>350</v>
      </c>
      <c r="F1102" s="40" t="s">
        <v>352</v>
      </c>
      <c r="G1102" s="41" t="s">
        <v>14</v>
      </c>
      <c r="H1102" s="42">
        <v>26766.0</v>
      </c>
      <c r="I1102" s="43">
        <v>87.1441381</v>
      </c>
      <c r="J1102" s="42">
        <v>35993.0</v>
      </c>
      <c r="K1102" s="43">
        <v>87.3475398</v>
      </c>
    </row>
    <row r="1103" ht="15.0" customHeight="1">
      <c r="A1103" s="7"/>
      <c r="B1103" s="44">
        <v>1096.0</v>
      </c>
      <c r="C1103" s="45" t="s">
        <v>19</v>
      </c>
      <c r="D1103" s="50" t="s">
        <v>332</v>
      </c>
      <c r="E1103" s="50" t="s">
        <v>350</v>
      </c>
      <c r="F1103" s="50" t="s">
        <v>353</v>
      </c>
      <c r="G1103" s="51" t="s">
        <v>353</v>
      </c>
      <c r="H1103" s="46">
        <v>14624.0</v>
      </c>
      <c r="I1103" s="47">
        <v>59.4980853</v>
      </c>
      <c r="J1103" s="46">
        <v>17539.0</v>
      </c>
      <c r="K1103" s="47">
        <v>80.7229603</v>
      </c>
    </row>
    <row r="1104" ht="15.0" hidden="1" customHeight="1">
      <c r="A1104" s="7"/>
      <c r="B1104" s="39">
        <v>1097.0</v>
      </c>
      <c r="C1104" s="40" t="s">
        <v>19</v>
      </c>
      <c r="D1104" s="40" t="s">
        <v>332</v>
      </c>
      <c r="E1104" s="40" t="s">
        <v>350</v>
      </c>
      <c r="F1104" s="40" t="s">
        <v>353</v>
      </c>
      <c r="G1104" s="41" t="s">
        <v>13</v>
      </c>
      <c r="H1104" s="42">
        <v>9853.0</v>
      </c>
      <c r="I1104" s="43">
        <v>73.0538922</v>
      </c>
      <c r="J1104" s="42">
        <v>11136.0</v>
      </c>
      <c r="K1104" s="43">
        <v>92.0168822</v>
      </c>
    </row>
    <row r="1105" ht="15.0" hidden="1" customHeight="1">
      <c r="A1105" s="7"/>
      <c r="B1105" s="39">
        <v>1098.0</v>
      </c>
      <c r="C1105" s="40" t="s">
        <v>19</v>
      </c>
      <c r="D1105" s="40" t="s">
        <v>332</v>
      </c>
      <c r="E1105" s="40" t="s">
        <v>350</v>
      </c>
      <c r="F1105" s="40" t="s">
        <v>353</v>
      </c>
      <c r="G1105" s="41" t="s">
        <v>14</v>
      </c>
      <c r="H1105" s="42">
        <v>4771.0</v>
      </c>
      <c r="I1105" s="43">
        <v>31.5028296</v>
      </c>
      <c r="J1105" s="42">
        <v>6403.0</v>
      </c>
      <c r="K1105" s="43">
        <v>61.0807434</v>
      </c>
    </row>
    <row r="1106" ht="15.0" hidden="1" customHeight="1">
      <c r="A1106" s="7"/>
      <c r="B1106" s="35">
        <v>1099.0</v>
      </c>
      <c r="C1106" s="36" t="s">
        <v>17</v>
      </c>
      <c r="D1106" s="49" t="s">
        <v>332</v>
      </c>
      <c r="E1106" s="49" t="s">
        <v>354</v>
      </c>
      <c r="F1106" s="49"/>
      <c r="G1106" s="36" t="s">
        <v>354</v>
      </c>
      <c r="H1106" s="37">
        <v>42211.0</v>
      </c>
      <c r="I1106" s="38">
        <v>63.8814527</v>
      </c>
      <c r="J1106" s="37">
        <v>43843.0</v>
      </c>
      <c r="K1106" s="38">
        <v>86.2030427</v>
      </c>
    </row>
    <row r="1107" ht="15.0" hidden="1" customHeight="1">
      <c r="A1107" s="7"/>
      <c r="B1107" s="39">
        <v>1100.0</v>
      </c>
      <c r="C1107" s="40" t="s">
        <v>17</v>
      </c>
      <c r="D1107" s="40" t="s">
        <v>332</v>
      </c>
      <c r="E1107" s="40" t="s">
        <v>354</v>
      </c>
      <c r="F1107" s="40"/>
      <c r="G1107" s="41" t="s">
        <v>13</v>
      </c>
      <c r="H1107" s="42">
        <v>23401.0</v>
      </c>
      <c r="I1107" s="43">
        <v>85.3766933</v>
      </c>
      <c r="J1107" s="42">
        <v>25794.0</v>
      </c>
      <c r="K1107" s="43">
        <v>96.6116151</v>
      </c>
    </row>
    <row r="1108" ht="15.0" hidden="1" customHeight="1">
      <c r="A1108" s="7"/>
      <c r="B1108" s="39">
        <v>1101.0</v>
      </c>
      <c r="C1108" s="40" t="s">
        <v>17</v>
      </c>
      <c r="D1108" s="40" t="s">
        <v>332</v>
      </c>
      <c r="E1108" s="40" t="s">
        <v>354</v>
      </c>
      <c r="F1108" s="40"/>
      <c r="G1108" s="41" t="s">
        <v>14</v>
      </c>
      <c r="H1108" s="42">
        <v>18810.0</v>
      </c>
      <c r="I1108" s="43">
        <v>37.1398192</v>
      </c>
      <c r="J1108" s="42">
        <v>18049.0</v>
      </c>
      <c r="K1108" s="43">
        <v>71.3280514</v>
      </c>
    </row>
    <row r="1109" ht="15.0" customHeight="1">
      <c r="A1109" s="7"/>
      <c r="B1109" s="44">
        <v>1102.0</v>
      </c>
      <c r="C1109" s="45" t="s">
        <v>19</v>
      </c>
      <c r="D1109" s="50" t="s">
        <v>332</v>
      </c>
      <c r="E1109" s="50" t="s">
        <v>354</v>
      </c>
      <c r="F1109" s="50" t="s">
        <v>355</v>
      </c>
      <c r="G1109" s="51" t="s">
        <v>355</v>
      </c>
      <c r="H1109" s="46">
        <v>17370.0</v>
      </c>
      <c r="I1109" s="47">
        <v>82.7058146</v>
      </c>
      <c r="J1109" s="46">
        <v>20351.0</v>
      </c>
      <c r="K1109" s="47">
        <v>93.9413297</v>
      </c>
    </row>
    <row r="1110" ht="15.0" hidden="1" customHeight="1">
      <c r="A1110" s="7"/>
      <c r="B1110" s="39">
        <v>1103.0</v>
      </c>
      <c r="C1110" s="40" t="s">
        <v>19</v>
      </c>
      <c r="D1110" s="40" t="s">
        <v>332</v>
      </c>
      <c r="E1110" s="40" t="s">
        <v>354</v>
      </c>
      <c r="F1110" s="40" t="s">
        <v>355</v>
      </c>
      <c r="G1110" s="41" t="s">
        <v>13</v>
      </c>
      <c r="H1110" s="42">
        <v>13704.0</v>
      </c>
      <c r="I1110" s="43">
        <v>92.5277291</v>
      </c>
      <c r="J1110" s="42">
        <v>16230.0</v>
      </c>
      <c r="K1110" s="43">
        <v>98.5212569</v>
      </c>
    </row>
    <row r="1111" ht="15.0" hidden="1" customHeight="1">
      <c r="A1111" s="7"/>
      <c r="B1111" s="39">
        <v>1104.0</v>
      </c>
      <c r="C1111" s="40" t="s">
        <v>19</v>
      </c>
      <c r="D1111" s="40" t="s">
        <v>332</v>
      </c>
      <c r="E1111" s="40" t="s">
        <v>354</v>
      </c>
      <c r="F1111" s="40" t="s">
        <v>355</v>
      </c>
      <c r="G1111" s="41" t="s">
        <v>14</v>
      </c>
      <c r="H1111" s="42">
        <v>3666.0</v>
      </c>
      <c r="I1111" s="43">
        <v>45.99018</v>
      </c>
      <c r="J1111" s="42">
        <v>4121.0</v>
      </c>
      <c r="K1111" s="43">
        <v>75.9039068</v>
      </c>
    </row>
    <row r="1112" ht="15.0" customHeight="1">
      <c r="A1112" s="7"/>
      <c r="B1112" s="44">
        <v>1105.0</v>
      </c>
      <c r="C1112" s="45" t="s">
        <v>19</v>
      </c>
      <c r="D1112" s="50" t="s">
        <v>332</v>
      </c>
      <c r="E1112" s="50" t="s">
        <v>354</v>
      </c>
      <c r="F1112" s="50" t="s">
        <v>356</v>
      </c>
      <c r="G1112" s="51" t="s">
        <v>356</v>
      </c>
      <c r="H1112" s="46">
        <v>18886.0</v>
      </c>
      <c r="I1112" s="47">
        <v>40.0508313</v>
      </c>
      <c r="J1112" s="46">
        <v>17569.0</v>
      </c>
      <c r="K1112" s="47">
        <v>74.9672719</v>
      </c>
    </row>
    <row r="1113" ht="15.0" hidden="1" customHeight="1">
      <c r="A1113" s="7"/>
      <c r="B1113" s="39">
        <v>1106.0</v>
      </c>
      <c r="C1113" s="40" t="s">
        <v>19</v>
      </c>
      <c r="D1113" s="40" t="s">
        <v>332</v>
      </c>
      <c r="E1113" s="40" t="s">
        <v>354</v>
      </c>
      <c r="F1113" s="40" t="s">
        <v>356</v>
      </c>
      <c r="G1113" s="41" t="s">
        <v>13</v>
      </c>
      <c r="H1113" s="42">
        <v>5192.0</v>
      </c>
      <c r="I1113" s="43">
        <v>56.9530046</v>
      </c>
      <c r="J1113" s="42">
        <v>4627.0</v>
      </c>
      <c r="K1113" s="43">
        <v>89.0641885</v>
      </c>
    </row>
    <row r="1114" ht="15.0" hidden="1" customHeight="1">
      <c r="A1114" s="7"/>
      <c r="B1114" s="39">
        <v>1107.0</v>
      </c>
      <c r="C1114" s="40" t="s">
        <v>19</v>
      </c>
      <c r="D1114" s="40" t="s">
        <v>332</v>
      </c>
      <c r="E1114" s="40" t="s">
        <v>354</v>
      </c>
      <c r="F1114" s="40" t="s">
        <v>356</v>
      </c>
      <c r="G1114" s="41" t="s">
        <v>14</v>
      </c>
      <c r="H1114" s="42">
        <v>13694.0</v>
      </c>
      <c r="I1114" s="43">
        <v>33.6424712</v>
      </c>
      <c r="J1114" s="42">
        <v>12942.0</v>
      </c>
      <c r="K1114" s="43">
        <v>69.9273683</v>
      </c>
    </row>
    <row r="1115" ht="15.0" customHeight="1">
      <c r="A1115" s="7"/>
      <c r="B1115" s="44">
        <v>1108.0</v>
      </c>
      <c r="C1115" s="45" t="s">
        <v>19</v>
      </c>
      <c r="D1115" s="50" t="s">
        <v>332</v>
      </c>
      <c r="E1115" s="50" t="s">
        <v>354</v>
      </c>
      <c r="F1115" s="50" t="s">
        <v>357</v>
      </c>
      <c r="G1115" s="51" t="s">
        <v>357</v>
      </c>
      <c r="H1115" s="46">
        <v>5955.0</v>
      </c>
      <c r="I1115" s="47">
        <v>84.5507976</v>
      </c>
      <c r="J1115" s="46">
        <v>5923.0</v>
      </c>
      <c r="K1115" s="47">
        <v>92.9427655</v>
      </c>
    </row>
    <row r="1116" ht="15.0" hidden="1" customHeight="1">
      <c r="A1116" s="7"/>
      <c r="B1116" s="39">
        <v>1109.0</v>
      </c>
      <c r="C1116" s="40" t="s">
        <v>19</v>
      </c>
      <c r="D1116" s="40" t="s">
        <v>332</v>
      </c>
      <c r="E1116" s="40" t="s">
        <v>354</v>
      </c>
      <c r="F1116" s="40" t="s">
        <v>357</v>
      </c>
      <c r="G1116" s="41" t="s">
        <v>13</v>
      </c>
      <c r="H1116" s="42">
        <v>4505.0</v>
      </c>
      <c r="I1116" s="43">
        <v>96.381798</v>
      </c>
      <c r="J1116" s="42">
        <v>4937.0</v>
      </c>
      <c r="K1116" s="43">
        <v>97.4073324</v>
      </c>
    </row>
    <row r="1117" ht="15.0" hidden="1" customHeight="1">
      <c r="A1117" s="7"/>
      <c r="B1117" s="39">
        <v>1110.0</v>
      </c>
      <c r="C1117" s="40" t="s">
        <v>19</v>
      </c>
      <c r="D1117" s="40" t="s">
        <v>332</v>
      </c>
      <c r="E1117" s="40" t="s">
        <v>354</v>
      </c>
      <c r="F1117" s="40" t="s">
        <v>357</v>
      </c>
      <c r="G1117" s="41" t="s">
        <v>14</v>
      </c>
      <c r="H1117" s="42">
        <v>1450.0</v>
      </c>
      <c r="I1117" s="43">
        <v>47.7931034</v>
      </c>
      <c r="J1117" s="42">
        <v>986.0</v>
      </c>
      <c r="K1117" s="43">
        <v>70.5882353</v>
      </c>
    </row>
    <row r="1118" ht="15.0" hidden="1" customHeight="1">
      <c r="A1118" s="7"/>
      <c r="B1118" s="35">
        <v>1111.0</v>
      </c>
      <c r="C1118" s="36" t="s">
        <v>17</v>
      </c>
      <c r="D1118" s="49" t="s">
        <v>332</v>
      </c>
      <c r="E1118" s="49" t="s">
        <v>358</v>
      </c>
      <c r="F1118" s="49"/>
      <c r="G1118" s="36" t="s">
        <v>358</v>
      </c>
      <c r="H1118" s="37">
        <v>115014.0</v>
      </c>
      <c r="I1118" s="38">
        <v>57.2991114</v>
      </c>
      <c r="J1118" s="37">
        <v>130661.0</v>
      </c>
      <c r="K1118" s="38">
        <v>66.2944566</v>
      </c>
    </row>
    <row r="1119" ht="15.0" hidden="1" customHeight="1">
      <c r="A1119" s="7"/>
      <c r="B1119" s="39">
        <v>1112.0</v>
      </c>
      <c r="C1119" s="40" t="s">
        <v>17</v>
      </c>
      <c r="D1119" s="40" t="s">
        <v>332</v>
      </c>
      <c r="E1119" s="40" t="s">
        <v>358</v>
      </c>
      <c r="F1119" s="40"/>
      <c r="G1119" s="41" t="s">
        <v>13</v>
      </c>
      <c r="H1119" s="42">
        <v>40771.0</v>
      </c>
      <c r="I1119" s="43">
        <v>90.7679478</v>
      </c>
      <c r="J1119" s="42">
        <v>45256.0</v>
      </c>
      <c r="K1119" s="43">
        <v>95.5409228</v>
      </c>
    </row>
    <row r="1120" ht="15.0" hidden="1" customHeight="1">
      <c r="A1120" s="7"/>
      <c r="B1120" s="39">
        <v>1113.0</v>
      </c>
      <c r="C1120" s="40" t="s">
        <v>17</v>
      </c>
      <c r="D1120" s="40" t="s">
        <v>332</v>
      </c>
      <c r="E1120" s="40" t="s">
        <v>358</v>
      </c>
      <c r="F1120" s="40"/>
      <c r="G1120" s="41" t="s">
        <v>14</v>
      </c>
      <c r="H1120" s="42">
        <v>74243.0</v>
      </c>
      <c r="I1120" s="43">
        <v>38.9194941</v>
      </c>
      <c r="J1120" s="42">
        <v>85405.0</v>
      </c>
      <c r="K1120" s="43">
        <v>50.7967918</v>
      </c>
    </row>
    <row r="1121" ht="15.0" customHeight="1">
      <c r="A1121" s="7"/>
      <c r="B1121" s="44">
        <v>1114.0</v>
      </c>
      <c r="C1121" s="45" t="s">
        <v>19</v>
      </c>
      <c r="D1121" s="50" t="s">
        <v>332</v>
      </c>
      <c r="E1121" s="50" t="s">
        <v>358</v>
      </c>
      <c r="F1121" s="50" t="s">
        <v>359</v>
      </c>
      <c r="G1121" s="51" t="s">
        <v>359</v>
      </c>
      <c r="H1121" s="46">
        <v>5061.0</v>
      </c>
      <c r="I1121" s="47">
        <v>23.8885596</v>
      </c>
      <c r="J1121" s="46">
        <v>5728.0</v>
      </c>
      <c r="K1121" s="47">
        <v>41.9692737</v>
      </c>
    </row>
    <row r="1122" ht="15.0" hidden="1" customHeight="1">
      <c r="A1122" s="7"/>
      <c r="B1122" s="39">
        <v>1115.0</v>
      </c>
      <c r="C1122" s="40" t="s">
        <v>19</v>
      </c>
      <c r="D1122" s="40" t="s">
        <v>332</v>
      </c>
      <c r="E1122" s="40" t="s">
        <v>358</v>
      </c>
      <c r="F1122" s="40" t="s">
        <v>359</v>
      </c>
      <c r="G1122" s="41" t="s">
        <v>13</v>
      </c>
      <c r="H1122" s="42"/>
      <c r="I1122" s="43"/>
      <c r="J1122" s="42"/>
      <c r="K1122" s="43"/>
    </row>
    <row r="1123" ht="15.0" hidden="1" customHeight="1">
      <c r="A1123" s="7"/>
      <c r="B1123" s="39">
        <v>1116.0</v>
      </c>
      <c r="C1123" s="40" t="s">
        <v>19</v>
      </c>
      <c r="D1123" s="40" t="s">
        <v>332</v>
      </c>
      <c r="E1123" s="40" t="s">
        <v>358</v>
      </c>
      <c r="F1123" s="40" t="s">
        <v>359</v>
      </c>
      <c r="G1123" s="41" t="s">
        <v>14</v>
      </c>
      <c r="H1123" s="42">
        <v>5061.0</v>
      </c>
      <c r="I1123" s="43">
        <v>23.8885596</v>
      </c>
      <c r="J1123" s="42">
        <v>5728.0</v>
      </c>
      <c r="K1123" s="43">
        <v>41.9692737</v>
      </c>
    </row>
    <row r="1124" ht="15.0" customHeight="1">
      <c r="A1124" s="7"/>
      <c r="B1124" s="44">
        <v>1117.0</v>
      </c>
      <c r="C1124" s="45" t="s">
        <v>19</v>
      </c>
      <c r="D1124" s="50" t="s">
        <v>332</v>
      </c>
      <c r="E1124" s="50" t="s">
        <v>358</v>
      </c>
      <c r="F1124" s="50" t="s">
        <v>360</v>
      </c>
      <c r="G1124" s="51" t="s">
        <v>360</v>
      </c>
      <c r="H1124" s="46">
        <v>30923.0</v>
      </c>
      <c r="I1124" s="47">
        <v>42.7998577</v>
      </c>
      <c r="J1124" s="46">
        <v>37705.0</v>
      </c>
      <c r="K1124" s="47">
        <v>50.5238032</v>
      </c>
    </row>
    <row r="1125" ht="15.0" hidden="1" customHeight="1">
      <c r="A1125" s="7"/>
      <c r="B1125" s="39">
        <v>1118.0</v>
      </c>
      <c r="C1125" s="40" t="s">
        <v>19</v>
      </c>
      <c r="D1125" s="40" t="s">
        <v>332</v>
      </c>
      <c r="E1125" s="40" t="s">
        <v>358</v>
      </c>
      <c r="F1125" s="40" t="s">
        <v>360</v>
      </c>
      <c r="G1125" s="41" t="s">
        <v>13</v>
      </c>
      <c r="H1125" s="42">
        <v>3146.0</v>
      </c>
      <c r="I1125" s="43">
        <v>85.6325493</v>
      </c>
      <c r="J1125" s="42">
        <v>5304.0</v>
      </c>
      <c r="K1125" s="43">
        <v>90.4034691</v>
      </c>
    </row>
    <row r="1126" ht="15.0" hidden="1" customHeight="1">
      <c r="A1126" s="7"/>
      <c r="B1126" s="39">
        <v>1119.0</v>
      </c>
      <c r="C1126" s="40" t="s">
        <v>19</v>
      </c>
      <c r="D1126" s="40" t="s">
        <v>332</v>
      </c>
      <c r="E1126" s="40" t="s">
        <v>358</v>
      </c>
      <c r="F1126" s="40" t="s">
        <v>360</v>
      </c>
      <c r="G1126" s="41" t="s">
        <v>14</v>
      </c>
      <c r="H1126" s="42">
        <v>27777.0</v>
      </c>
      <c r="I1126" s="43">
        <v>37.9486626</v>
      </c>
      <c r="J1126" s="42">
        <v>32401.0</v>
      </c>
      <c r="K1126" s="43">
        <v>43.9955557</v>
      </c>
    </row>
    <row r="1127" ht="15.0" customHeight="1">
      <c r="A1127" s="7"/>
      <c r="B1127" s="44">
        <v>1120.0</v>
      </c>
      <c r="C1127" s="45" t="s">
        <v>19</v>
      </c>
      <c r="D1127" s="50" t="s">
        <v>332</v>
      </c>
      <c r="E1127" s="50" t="s">
        <v>358</v>
      </c>
      <c r="F1127" s="50" t="s">
        <v>361</v>
      </c>
      <c r="G1127" s="51" t="s">
        <v>361</v>
      </c>
      <c r="H1127" s="46">
        <v>24923.0</v>
      </c>
      <c r="I1127" s="47">
        <v>66.3202664</v>
      </c>
      <c r="J1127" s="46">
        <v>31529.0</v>
      </c>
      <c r="K1127" s="47">
        <v>82.4510768</v>
      </c>
    </row>
    <row r="1128" ht="15.0" hidden="1" customHeight="1">
      <c r="A1128" s="7"/>
      <c r="B1128" s="39">
        <v>1121.0</v>
      </c>
      <c r="C1128" s="40" t="s">
        <v>19</v>
      </c>
      <c r="D1128" s="40" t="s">
        <v>332</v>
      </c>
      <c r="E1128" s="40" t="s">
        <v>358</v>
      </c>
      <c r="F1128" s="40" t="s">
        <v>361</v>
      </c>
      <c r="G1128" s="41" t="s">
        <v>13</v>
      </c>
      <c r="H1128" s="42">
        <v>4373.0</v>
      </c>
      <c r="I1128" s="43">
        <v>67.9396295</v>
      </c>
      <c r="J1128" s="42">
        <v>8541.0</v>
      </c>
      <c r="K1128" s="43">
        <v>90.3407095</v>
      </c>
    </row>
    <row r="1129" ht="15.0" hidden="1" customHeight="1">
      <c r="A1129" s="7"/>
      <c r="B1129" s="39">
        <v>1122.0</v>
      </c>
      <c r="C1129" s="40" t="s">
        <v>19</v>
      </c>
      <c r="D1129" s="40" t="s">
        <v>332</v>
      </c>
      <c r="E1129" s="40" t="s">
        <v>358</v>
      </c>
      <c r="F1129" s="40" t="s">
        <v>361</v>
      </c>
      <c r="G1129" s="41" t="s">
        <v>14</v>
      </c>
      <c r="H1129" s="42">
        <v>20550.0</v>
      </c>
      <c r="I1129" s="43">
        <v>65.9756691</v>
      </c>
      <c r="J1129" s="42">
        <v>22988.0</v>
      </c>
      <c r="K1129" s="43">
        <v>79.5197494</v>
      </c>
    </row>
    <row r="1130" ht="15.0" customHeight="1">
      <c r="A1130" s="7"/>
      <c r="B1130" s="44">
        <v>1123.0</v>
      </c>
      <c r="C1130" s="45" t="s">
        <v>19</v>
      </c>
      <c r="D1130" s="50" t="s">
        <v>332</v>
      </c>
      <c r="E1130" s="50" t="s">
        <v>358</v>
      </c>
      <c r="F1130" s="50" t="s">
        <v>362</v>
      </c>
      <c r="G1130" s="51" t="s">
        <v>362</v>
      </c>
      <c r="H1130" s="46">
        <v>4763.0</v>
      </c>
      <c r="I1130" s="47">
        <v>44.2368255</v>
      </c>
      <c r="J1130" s="46">
        <v>4986.0</v>
      </c>
      <c r="K1130" s="47">
        <v>57.4408343</v>
      </c>
    </row>
    <row r="1131" ht="15.0" hidden="1" customHeight="1">
      <c r="A1131" s="7"/>
      <c r="B1131" s="39">
        <v>1124.0</v>
      </c>
      <c r="C1131" s="40" t="s">
        <v>19</v>
      </c>
      <c r="D1131" s="40" t="s">
        <v>332</v>
      </c>
      <c r="E1131" s="40" t="s">
        <v>358</v>
      </c>
      <c r="F1131" s="40" t="s">
        <v>362</v>
      </c>
      <c r="G1131" s="41" t="s">
        <v>13</v>
      </c>
      <c r="H1131" s="42">
        <v>2291.0</v>
      </c>
      <c r="I1131" s="43">
        <v>80.5325186</v>
      </c>
      <c r="J1131" s="42">
        <v>2621.0</v>
      </c>
      <c r="K1131" s="43">
        <v>94.0862266</v>
      </c>
    </row>
    <row r="1132" ht="15.0" hidden="1" customHeight="1">
      <c r="A1132" s="7"/>
      <c r="B1132" s="39">
        <v>1125.0</v>
      </c>
      <c r="C1132" s="40" t="s">
        <v>19</v>
      </c>
      <c r="D1132" s="40" t="s">
        <v>332</v>
      </c>
      <c r="E1132" s="40" t="s">
        <v>358</v>
      </c>
      <c r="F1132" s="40" t="s">
        <v>362</v>
      </c>
      <c r="G1132" s="41" t="s">
        <v>14</v>
      </c>
      <c r="H1132" s="42">
        <v>2472.0</v>
      </c>
      <c r="I1132" s="43">
        <v>10.5987055</v>
      </c>
      <c r="J1132" s="42">
        <v>2365.0</v>
      </c>
      <c r="K1132" s="43">
        <v>16.8287526</v>
      </c>
    </row>
    <row r="1133" ht="15.0" customHeight="1">
      <c r="A1133" s="7"/>
      <c r="B1133" s="44">
        <v>1126.0</v>
      </c>
      <c r="C1133" s="45" t="s">
        <v>19</v>
      </c>
      <c r="D1133" s="50" t="s">
        <v>332</v>
      </c>
      <c r="E1133" s="50" t="s">
        <v>358</v>
      </c>
      <c r="F1133" s="50" t="s">
        <v>363</v>
      </c>
      <c r="G1133" s="51" t="s">
        <v>363</v>
      </c>
      <c r="H1133" s="46">
        <v>11852.0</v>
      </c>
      <c r="I1133" s="47">
        <v>13.8288896</v>
      </c>
      <c r="J1133" s="46">
        <v>14167.0</v>
      </c>
      <c r="K1133" s="47">
        <v>30.1828192</v>
      </c>
    </row>
    <row r="1134" ht="15.0" hidden="1" customHeight="1">
      <c r="A1134" s="7"/>
      <c r="B1134" s="39">
        <v>1127.0</v>
      </c>
      <c r="C1134" s="40" t="s">
        <v>19</v>
      </c>
      <c r="D1134" s="40" t="s">
        <v>332</v>
      </c>
      <c r="E1134" s="40" t="s">
        <v>358</v>
      </c>
      <c r="F1134" s="40" t="s">
        <v>363</v>
      </c>
      <c r="G1134" s="41" t="s">
        <v>13</v>
      </c>
      <c r="H1134" s="42"/>
      <c r="I1134" s="43"/>
      <c r="J1134" s="42"/>
      <c r="K1134" s="43"/>
    </row>
    <row r="1135" ht="15.0" hidden="1" customHeight="1">
      <c r="A1135" s="7"/>
      <c r="B1135" s="39">
        <v>1128.0</v>
      </c>
      <c r="C1135" s="40" t="s">
        <v>19</v>
      </c>
      <c r="D1135" s="40" t="s">
        <v>332</v>
      </c>
      <c r="E1135" s="40" t="s">
        <v>358</v>
      </c>
      <c r="F1135" s="40" t="s">
        <v>363</v>
      </c>
      <c r="G1135" s="41" t="s">
        <v>14</v>
      </c>
      <c r="H1135" s="42">
        <v>11852.0</v>
      </c>
      <c r="I1135" s="43">
        <v>13.8288896</v>
      </c>
      <c r="J1135" s="42">
        <v>14167.0</v>
      </c>
      <c r="K1135" s="43">
        <v>30.1828192</v>
      </c>
    </row>
    <row r="1136" ht="15.0" customHeight="1">
      <c r="A1136" s="7"/>
      <c r="B1136" s="44">
        <v>1129.0</v>
      </c>
      <c r="C1136" s="45" t="s">
        <v>19</v>
      </c>
      <c r="D1136" s="50" t="s">
        <v>332</v>
      </c>
      <c r="E1136" s="50" t="s">
        <v>358</v>
      </c>
      <c r="F1136" s="50" t="s">
        <v>364</v>
      </c>
      <c r="G1136" s="51" t="s">
        <v>364</v>
      </c>
      <c r="H1136" s="46">
        <v>32607.0</v>
      </c>
      <c r="I1136" s="47">
        <v>88.3092587</v>
      </c>
      <c r="J1136" s="46">
        <v>31301.0</v>
      </c>
      <c r="K1136" s="47">
        <v>89.0610524</v>
      </c>
    </row>
    <row r="1137" ht="15.0" hidden="1" customHeight="1">
      <c r="A1137" s="7"/>
      <c r="B1137" s="39">
        <v>1130.0</v>
      </c>
      <c r="C1137" s="40" t="s">
        <v>19</v>
      </c>
      <c r="D1137" s="40" t="s">
        <v>332</v>
      </c>
      <c r="E1137" s="40" t="s">
        <v>358</v>
      </c>
      <c r="F1137" s="40" t="s">
        <v>364</v>
      </c>
      <c r="G1137" s="41" t="s">
        <v>13</v>
      </c>
      <c r="H1137" s="42">
        <v>27722.0</v>
      </c>
      <c r="I1137" s="43">
        <v>98.1242335</v>
      </c>
      <c r="J1137" s="42">
        <v>25254.0</v>
      </c>
      <c r="K1137" s="43">
        <v>98.887305</v>
      </c>
    </row>
    <row r="1138" ht="15.0" hidden="1" customHeight="1">
      <c r="A1138" s="7"/>
      <c r="B1138" s="39">
        <v>1131.0</v>
      </c>
      <c r="C1138" s="40" t="s">
        <v>19</v>
      </c>
      <c r="D1138" s="40" t="s">
        <v>332</v>
      </c>
      <c r="E1138" s="40" t="s">
        <v>358</v>
      </c>
      <c r="F1138" s="40" t="s">
        <v>364</v>
      </c>
      <c r="G1138" s="41" t="s">
        <v>14</v>
      </c>
      <c r="H1138" s="42">
        <v>4885.0</v>
      </c>
      <c r="I1138" s="43">
        <v>32.6100307</v>
      </c>
      <c r="J1138" s="42">
        <v>6047.0</v>
      </c>
      <c r="K1138" s="43">
        <v>48.0238135</v>
      </c>
    </row>
    <row r="1139" ht="15.0" customHeight="1">
      <c r="A1139" s="7"/>
      <c r="B1139" s="44">
        <v>1132.0</v>
      </c>
      <c r="C1139" s="45" t="s">
        <v>19</v>
      </c>
      <c r="D1139" s="50" t="s">
        <v>332</v>
      </c>
      <c r="E1139" s="50" t="s">
        <v>358</v>
      </c>
      <c r="F1139" s="50" t="s">
        <v>365</v>
      </c>
      <c r="G1139" s="51" t="s">
        <v>365</v>
      </c>
      <c r="H1139" s="46">
        <v>4885.0</v>
      </c>
      <c r="I1139" s="47">
        <v>48.8843398</v>
      </c>
      <c r="J1139" s="46">
        <v>5245.0</v>
      </c>
      <c r="K1139" s="47">
        <v>79.1992374</v>
      </c>
    </row>
    <row r="1140" ht="15.0" hidden="1" customHeight="1">
      <c r="A1140" s="7"/>
      <c r="B1140" s="39">
        <v>1133.0</v>
      </c>
      <c r="C1140" s="40" t="s">
        <v>19</v>
      </c>
      <c r="D1140" s="40" t="s">
        <v>332</v>
      </c>
      <c r="E1140" s="40" t="s">
        <v>358</v>
      </c>
      <c r="F1140" s="40" t="s">
        <v>365</v>
      </c>
      <c r="G1140" s="41" t="s">
        <v>13</v>
      </c>
      <c r="H1140" s="42">
        <v>3239.0</v>
      </c>
      <c r="I1140" s="43">
        <v>70.8552022</v>
      </c>
      <c r="J1140" s="42">
        <v>3536.0</v>
      </c>
      <c r="K1140" s="43">
        <v>92.9864253</v>
      </c>
    </row>
    <row r="1141" ht="15.0" hidden="1" customHeight="1">
      <c r="A1141" s="7"/>
      <c r="B1141" s="39">
        <v>1134.0</v>
      </c>
      <c r="C1141" s="40" t="s">
        <v>19</v>
      </c>
      <c r="D1141" s="40" t="s">
        <v>332</v>
      </c>
      <c r="E1141" s="40" t="s">
        <v>358</v>
      </c>
      <c r="F1141" s="40" t="s">
        <v>365</v>
      </c>
      <c r="G1141" s="41" t="s">
        <v>14</v>
      </c>
      <c r="H1141" s="42">
        <v>1646.0</v>
      </c>
      <c r="I1141" s="43">
        <v>5.6500608</v>
      </c>
      <c r="J1141" s="42">
        <v>1709.0</v>
      </c>
      <c r="K1141" s="43">
        <v>50.6729081</v>
      </c>
    </row>
    <row r="1142" ht="15.0" hidden="1" customHeight="1">
      <c r="A1142" s="7"/>
      <c r="B1142" s="35">
        <v>1135.0</v>
      </c>
      <c r="C1142" s="36" t="s">
        <v>17</v>
      </c>
      <c r="D1142" s="49" t="s">
        <v>332</v>
      </c>
      <c r="E1142" s="49" t="s">
        <v>366</v>
      </c>
      <c r="F1142" s="49"/>
      <c r="G1142" s="36" t="s">
        <v>366</v>
      </c>
      <c r="H1142" s="37">
        <v>25835.0</v>
      </c>
      <c r="I1142" s="38">
        <v>55.703503</v>
      </c>
      <c r="J1142" s="37">
        <v>25589.0</v>
      </c>
      <c r="K1142" s="38">
        <v>71.0148892</v>
      </c>
    </row>
    <row r="1143" ht="15.0" hidden="1" customHeight="1">
      <c r="A1143" s="7"/>
      <c r="B1143" s="39">
        <v>1136.0</v>
      </c>
      <c r="C1143" s="40" t="s">
        <v>17</v>
      </c>
      <c r="D1143" s="40" t="s">
        <v>332</v>
      </c>
      <c r="E1143" s="40" t="s">
        <v>366</v>
      </c>
      <c r="F1143" s="40"/>
      <c r="G1143" s="41" t="s">
        <v>13</v>
      </c>
      <c r="H1143" s="42">
        <v>9732.0</v>
      </c>
      <c r="I1143" s="43">
        <v>95.6843403</v>
      </c>
      <c r="J1143" s="42">
        <v>10291.0</v>
      </c>
      <c r="K1143" s="43">
        <v>98.8242153</v>
      </c>
    </row>
    <row r="1144" ht="15.0" hidden="1" customHeight="1">
      <c r="A1144" s="7"/>
      <c r="B1144" s="39">
        <v>1137.0</v>
      </c>
      <c r="C1144" s="40" t="s">
        <v>17</v>
      </c>
      <c r="D1144" s="40" t="s">
        <v>332</v>
      </c>
      <c r="E1144" s="40" t="s">
        <v>366</v>
      </c>
      <c r="F1144" s="40"/>
      <c r="G1144" s="41" t="s">
        <v>14</v>
      </c>
      <c r="H1144" s="42">
        <v>16103.0</v>
      </c>
      <c r="I1144" s="43">
        <v>31.5407067</v>
      </c>
      <c r="J1144" s="42">
        <v>15298.0</v>
      </c>
      <c r="K1144" s="43">
        <v>52.3074912</v>
      </c>
    </row>
    <row r="1145" ht="15.0" customHeight="1">
      <c r="A1145" s="7"/>
      <c r="B1145" s="44">
        <v>1138.0</v>
      </c>
      <c r="C1145" s="45" t="s">
        <v>19</v>
      </c>
      <c r="D1145" s="50" t="s">
        <v>332</v>
      </c>
      <c r="E1145" s="50" t="s">
        <v>366</v>
      </c>
      <c r="F1145" s="50" t="s">
        <v>367</v>
      </c>
      <c r="G1145" s="51" t="s">
        <v>367</v>
      </c>
      <c r="H1145" s="46">
        <v>16707.0</v>
      </c>
      <c r="I1145" s="47">
        <v>64.9069252</v>
      </c>
      <c r="J1145" s="46">
        <v>16728.0</v>
      </c>
      <c r="K1145" s="47">
        <v>75.8249641</v>
      </c>
    </row>
    <row r="1146" ht="15.0" hidden="1" customHeight="1">
      <c r="A1146" s="7"/>
      <c r="B1146" s="39">
        <v>1139.0</v>
      </c>
      <c r="C1146" s="40" t="s">
        <v>19</v>
      </c>
      <c r="D1146" s="40" t="s">
        <v>332</v>
      </c>
      <c r="E1146" s="40" t="s">
        <v>366</v>
      </c>
      <c r="F1146" s="40" t="s">
        <v>367</v>
      </c>
      <c r="G1146" s="41" t="s">
        <v>13</v>
      </c>
      <c r="H1146" s="42">
        <v>9732.0</v>
      </c>
      <c r="I1146" s="43">
        <v>95.6843403</v>
      </c>
      <c r="J1146" s="42">
        <v>10291.0</v>
      </c>
      <c r="K1146" s="43">
        <v>98.8242153</v>
      </c>
    </row>
    <row r="1147" ht="15.0" hidden="1" customHeight="1">
      <c r="A1147" s="7"/>
      <c r="B1147" s="39">
        <v>1140.0</v>
      </c>
      <c r="C1147" s="40" t="s">
        <v>19</v>
      </c>
      <c r="D1147" s="40" t="s">
        <v>332</v>
      </c>
      <c r="E1147" s="40" t="s">
        <v>366</v>
      </c>
      <c r="F1147" s="40" t="s">
        <v>367</v>
      </c>
      <c r="G1147" s="41" t="s">
        <v>14</v>
      </c>
      <c r="H1147" s="42">
        <v>6975.0</v>
      </c>
      <c r="I1147" s="43">
        <v>21.9641577</v>
      </c>
      <c r="J1147" s="42">
        <v>6437.0</v>
      </c>
      <c r="K1147" s="43">
        <v>39.0554606</v>
      </c>
    </row>
    <row r="1148" ht="15.0" customHeight="1">
      <c r="A1148" s="7"/>
      <c r="B1148" s="44">
        <v>1141.0</v>
      </c>
      <c r="C1148" s="45" t="s">
        <v>19</v>
      </c>
      <c r="D1148" s="50" t="s">
        <v>332</v>
      </c>
      <c r="E1148" s="50" t="s">
        <v>366</v>
      </c>
      <c r="F1148" s="50" t="s">
        <v>368</v>
      </c>
      <c r="G1148" s="51" t="s">
        <v>368</v>
      </c>
      <c r="H1148" s="46">
        <v>2067.0</v>
      </c>
      <c r="I1148" s="47">
        <v>47.7019836</v>
      </c>
      <c r="J1148" s="46">
        <v>2350.0</v>
      </c>
      <c r="K1148" s="47">
        <v>79.2765957</v>
      </c>
    </row>
    <row r="1149" ht="15.0" hidden="1" customHeight="1">
      <c r="A1149" s="7"/>
      <c r="B1149" s="39">
        <v>1142.0</v>
      </c>
      <c r="C1149" s="40" t="s">
        <v>19</v>
      </c>
      <c r="D1149" s="40" t="s">
        <v>332</v>
      </c>
      <c r="E1149" s="40" t="s">
        <v>366</v>
      </c>
      <c r="F1149" s="40" t="s">
        <v>368</v>
      </c>
      <c r="G1149" s="41" t="s">
        <v>13</v>
      </c>
      <c r="H1149" s="42"/>
      <c r="I1149" s="43"/>
      <c r="J1149" s="42"/>
      <c r="K1149" s="43"/>
    </row>
    <row r="1150" ht="15.0" hidden="1" customHeight="1">
      <c r="A1150" s="7"/>
      <c r="B1150" s="39">
        <v>1143.0</v>
      </c>
      <c r="C1150" s="40" t="s">
        <v>19</v>
      </c>
      <c r="D1150" s="40" t="s">
        <v>332</v>
      </c>
      <c r="E1150" s="40" t="s">
        <v>366</v>
      </c>
      <c r="F1150" s="40" t="s">
        <v>368</v>
      </c>
      <c r="G1150" s="41" t="s">
        <v>14</v>
      </c>
      <c r="H1150" s="42">
        <v>2067.0</v>
      </c>
      <c r="I1150" s="43">
        <v>47.7019836</v>
      </c>
      <c r="J1150" s="42">
        <v>2350.0</v>
      </c>
      <c r="K1150" s="43">
        <v>79.2765957</v>
      </c>
    </row>
    <row r="1151" ht="15.0" customHeight="1">
      <c r="A1151" s="7"/>
      <c r="B1151" s="44">
        <v>1144.0</v>
      </c>
      <c r="C1151" s="45" t="s">
        <v>19</v>
      </c>
      <c r="D1151" s="50" t="s">
        <v>332</v>
      </c>
      <c r="E1151" s="50" t="s">
        <v>366</v>
      </c>
      <c r="F1151" s="50" t="s">
        <v>369</v>
      </c>
      <c r="G1151" s="51" t="s">
        <v>369</v>
      </c>
      <c r="H1151" s="46">
        <v>2750.0</v>
      </c>
      <c r="I1151" s="47">
        <v>36.1454545</v>
      </c>
      <c r="J1151" s="46">
        <v>2746.0</v>
      </c>
      <c r="K1151" s="47">
        <v>61.0342316</v>
      </c>
    </row>
    <row r="1152" ht="15.0" hidden="1" customHeight="1">
      <c r="A1152" s="7"/>
      <c r="B1152" s="39">
        <v>1145.0</v>
      </c>
      <c r="C1152" s="40" t="s">
        <v>19</v>
      </c>
      <c r="D1152" s="40" t="s">
        <v>332</v>
      </c>
      <c r="E1152" s="40" t="s">
        <v>366</v>
      </c>
      <c r="F1152" s="40" t="s">
        <v>369</v>
      </c>
      <c r="G1152" s="41" t="s">
        <v>13</v>
      </c>
      <c r="H1152" s="42"/>
      <c r="I1152" s="43"/>
      <c r="J1152" s="42"/>
      <c r="K1152" s="43"/>
    </row>
    <row r="1153" ht="15.0" hidden="1" customHeight="1">
      <c r="A1153" s="7"/>
      <c r="B1153" s="39">
        <v>1146.0</v>
      </c>
      <c r="C1153" s="40" t="s">
        <v>19</v>
      </c>
      <c r="D1153" s="40" t="s">
        <v>332</v>
      </c>
      <c r="E1153" s="40" t="s">
        <v>366</v>
      </c>
      <c r="F1153" s="40" t="s">
        <v>369</v>
      </c>
      <c r="G1153" s="41" t="s">
        <v>14</v>
      </c>
      <c r="H1153" s="42">
        <v>2750.0</v>
      </c>
      <c r="I1153" s="43">
        <v>36.1454545</v>
      </c>
      <c r="J1153" s="42">
        <v>2746.0</v>
      </c>
      <c r="K1153" s="43">
        <v>61.0342316</v>
      </c>
    </row>
    <row r="1154" ht="15.0" customHeight="1">
      <c r="A1154" s="7"/>
      <c r="B1154" s="44">
        <v>1147.0</v>
      </c>
      <c r="C1154" s="45" t="s">
        <v>19</v>
      </c>
      <c r="D1154" s="50" t="s">
        <v>332</v>
      </c>
      <c r="E1154" s="50" t="s">
        <v>366</v>
      </c>
      <c r="F1154" s="50" t="s">
        <v>370</v>
      </c>
      <c r="G1154" s="51" t="s">
        <v>370</v>
      </c>
      <c r="H1154" s="46">
        <v>2263.0</v>
      </c>
      <c r="I1154" s="47">
        <v>40.6539991</v>
      </c>
      <c r="J1154" s="46">
        <v>1760.0</v>
      </c>
      <c r="K1154" s="47">
        <v>58.3522727</v>
      </c>
    </row>
    <row r="1155" ht="15.0" hidden="1" customHeight="1">
      <c r="A1155" s="7"/>
      <c r="B1155" s="39">
        <v>1148.0</v>
      </c>
      <c r="C1155" s="40" t="s">
        <v>19</v>
      </c>
      <c r="D1155" s="40" t="s">
        <v>332</v>
      </c>
      <c r="E1155" s="40" t="s">
        <v>366</v>
      </c>
      <c r="F1155" s="40" t="s">
        <v>370</v>
      </c>
      <c r="G1155" s="41" t="s">
        <v>13</v>
      </c>
      <c r="H1155" s="42"/>
      <c r="I1155" s="43"/>
      <c r="J1155" s="42"/>
      <c r="K1155" s="43"/>
    </row>
    <row r="1156" ht="15.0" hidden="1" customHeight="1">
      <c r="A1156" s="7"/>
      <c r="B1156" s="39">
        <v>1149.0</v>
      </c>
      <c r="C1156" s="40" t="s">
        <v>19</v>
      </c>
      <c r="D1156" s="40" t="s">
        <v>332</v>
      </c>
      <c r="E1156" s="40" t="s">
        <v>366</v>
      </c>
      <c r="F1156" s="40" t="s">
        <v>370</v>
      </c>
      <c r="G1156" s="41" t="s">
        <v>14</v>
      </c>
      <c r="H1156" s="42">
        <v>2263.0</v>
      </c>
      <c r="I1156" s="43">
        <v>40.6539991</v>
      </c>
      <c r="J1156" s="42">
        <v>1760.0</v>
      </c>
      <c r="K1156" s="43">
        <v>58.3522727</v>
      </c>
    </row>
    <row r="1157" ht="15.0" customHeight="1">
      <c r="A1157" s="7"/>
      <c r="B1157" s="44">
        <v>1150.0</v>
      </c>
      <c r="C1157" s="45" t="s">
        <v>19</v>
      </c>
      <c r="D1157" s="50" t="s">
        <v>332</v>
      </c>
      <c r="E1157" s="50" t="s">
        <v>366</v>
      </c>
      <c r="F1157" s="50" t="s">
        <v>371</v>
      </c>
      <c r="G1157" s="51" t="s">
        <v>371</v>
      </c>
      <c r="H1157" s="46">
        <v>2048.0</v>
      </c>
      <c r="I1157" s="47">
        <v>31.5917969</v>
      </c>
      <c r="J1157" s="46">
        <v>2005.0</v>
      </c>
      <c r="K1157" s="47">
        <v>45.9850374</v>
      </c>
    </row>
    <row r="1158" ht="15.0" hidden="1" customHeight="1">
      <c r="A1158" s="7"/>
      <c r="B1158" s="39">
        <v>1151.0</v>
      </c>
      <c r="C1158" s="40" t="s">
        <v>19</v>
      </c>
      <c r="D1158" s="40" t="s">
        <v>332</v>
      </c>
      <c r="E1158" s="40" t="s">
        <v>366</v>
      </c>
      <c r="F1158" s="40" t="s">
        <v>371</v>
      </c>
      <c r="G1158" s="41" t="s">
        <v>13</v>
      </c>
      <c r="H1158" s="42"/>
      <c r="I1158" s="43"/>
      <c r="J1158" s="42"/>
      <c r="K1158" s="43"/>
    </row>
    <row r="1159" ht="15.0" hidden="1" customHeight="1">
      <c r="A1159" s="7"/>
      <c r="B1159" s="39">
        <v>1152.0</v>
      </c>
      <c r="C1159" s="40" t="s">
        <v>19</v>
      </c>
      <c r="D1159" s="40" t="s">
        <v>332</v>
      </c>
      <c r="E1159" s="40" t="s">
        <v>366</v>
      </c>
      <c r="F1159" s="40" t="s">
        <v>371</v>
      </c>
      <c r="G1159" s="41" t="s">
        <v>14</v>
      </c>
      <c r="H1159" s="42">
        <v>2048.0</v>
      </c>
      <c r="I1159" s="43">
        <v>31.5917969</v>
      </c>
      <c r="J1159" s="42">
        <v>2005.0</v>
      </c>
      <c r="K1159" s="43">
        <v>45.9850374</v>
      </c>
    </row>
    <row r="1160" ht="15.0" hidden="1" customHeight="1">
      <c r="A1160" s="7"/>
      <c r="B1160" s="35">
        <v>1153.0</v>
      </c>
      <c r="C1160" s="36" t="s">
        <v>17</v>
      </c>
      <c r="D1160" s="49" t="s">
        <v>332</v>
      </c>
      <c r="E1160" s="49" t="s">
        <v>372</v>
      </c>
      <c r="F1160" s="49"/>
      <c r="G1160" s="36" t="s">
        <v>372</v>
      </c>
      <c r="H1160" s="37">
        <v>32055.0</v>
      </c>
      <c r="I1160" s="38">
        <v>75.3798159</v>
      </c>
      <c r="J1160" s="37">
        <v>36472.0</v>
      </c>
      <c r="K1160" s="38">
        <v>84.0014258</v>
      </c>
    </row>
    <row r="1161" ht="15.0" hidden="1" customHeight="1">
      <c r="A1161" s="7"/>
      <c r="B1161" s="39">
        <v>1154.0</v>
      </c>
      <c r="C1161" s="40" t="s">
        <v>17</v>
      </c>
      <c r="D1161" s="40" t="s">
        <v>332</v>
      </c>
      <c r="E1161" s="40" t="s">
        <v>372</v>
      </c>
      <c r="F1161" s="40"/>
      <c r="G1161" s="41" t="s">
        <v>13</v>
      </c>
      <c r="H1161" s="42">
        <v>14260.0</v>
      </c>
      <c r="I1161" s="43">
        <v>96.3043478</v>
      </c>
      <c r="J1161" s="42">
        <v>16453.0</v>
      </c>
      <c r="K1161" s="43">
        <v>97.9882088</v>
      </c>
    </row>
    <row r="1162" ht="15.0" hidden="1" customHeight="1">
      <c r="A1162" s="7"/>
      <c r="B1162" s="39">
        <v>1155.0</v>
      </c>
      <c r="C1162" s="40" t="s">
        <v>17</v>
      </c>
      <c r="D1162" s="40" t="s">
        <v>332</v>
      </c>
      <c r="E1162" s="40" t="s">
        <v>372</v>
      </c>
      <c r="F1162" s="40"/>
      <c r="G1162" s="41" t="s">
        <v>14</v>
      </c>
      <c r="H1162" s="42">
        <v>17795.0</v>
      </c>
      <c r="I1162" s="43">
        <v>58.6119697</v>
      </c>
      <c r="J1162" s="42">
        <v>20019.0</v>
      </c>
      <c r="K1162" s="43">
        <v>72.5061192</v>
      </c>
    </row>
    <row r="1163" ht="15.0" customHeight="1">
      <c r="A1163" s="7"/>
      <c r="B1163" s="44">
        <v>1156.0</v>
      </c>
      <c r="C1163" s="45" t="s">
        <v>19</v>
      </c>
      <c r="D1163" s="50" t="s">
        <v>332</v>
      </c>
      <c r="E1163" s="50" t="s">
        <v>372</v>
      </c>
      <c r="F1163" s="50" t="s">
        <v>373</v>
      </c>
      <c r="G1163" s="51" t="s">
        <v>373</v>
      </c>
      <c r="H1163" s="46">
        <v>10206.0</v>
      </c>
      <c r="I1163" s="47">
        <v>69.7138938</v>
      </c>
      <c r="J1163" s="46">
        <v>11390.0</v>
      </c>
      <c r="K1163" s="47">
        <v>83.3362599</v>
      </c>
    </row>
    <row r="1164" ht="15.0" hidden="1" customHeight="1">
      <c r="A1164" s="7"/>
      <c r="B1164" s="39">
        <v>1157.0</v>
      </c>
      <c r="C1164" s="40" t="s">
        <v>19</v>
      </c>
      <c r="D1164" s="40" t="s">
        <v>332</v>
      </c>
      <c r="E1164" s="40" t="s">
        <v>372</v>
      </c>
      <c r="F1164" s="40" t="s">
        <v>373</v>
      </c>
      <c r="G1164" s="41" t="s">
        <v>13</v>
      </c>
      <c r="H1164" s="42">
        <v>4206.0</v>
      </c>
      <c r="I1164" s="43">
        <v>95.1973371</v>
      </c>
      <c r="J1164" s="42">
        <v>5010.0</v>
      </c>
      <c r="K1164" s="43">
        <v>98.4630739</v>
      </c>
    </row>
    <row r="1165" ht="15.0" hidden="1" customHeight="1">
      <c r="A1165" s="7"/>
      <c r="B1165" s="39">
        <v>1158.0</v>
      </c>
      <c r="C1165" s="40" t="s">
        <v>19</v>
      </c>
      <c r="D1165" s="40" t="s">
        <v>332</v>
      </c>
      <c r="E1165" s="40" t="s">
        <v>372</v>
      </c>
      <c r="F1165" s="40" t="s">
        <v>373</v>
      </c>
      <c r="G1165" s="41" t="s">
        <v>14</v>
      </c>
      <c r="H1165" s="42">
        <v>6000.0</v>
      </c>
      <c r="I1165" s="43">
        <v>51.85</v>
      </c>
      <c r="J1165" s="42">
        <v>6380.0</v>
      </c>
      <c r="K1165" s="43">
        <v>71.4576803</v>
      </c>
    </row>
    <row r="1166" ht="15.0" customHeight="1">
      <c r="A1166" s="7"/>
      <c r="B1166" s="44">
        <v>1159.0</v>
      </c>
      <c r="C1166" s="45" t="s">
        <v>19</v>
      </c>
      <c r="D1166" s="50" t="s">
        <v>332</v>
      </c>
      <c r="E1166" s="50" t="s">
        <v>372</v>
      </c>
      <c r="F1166" s="50" t="s">
        <v>374</v>
      </c>
      <c r="G1166" s="51" t="s">
        <v>374</v>
      </c>
      <c r="H1166" s="46">
        <v>9011.0</v>
      </c>
      <c r="I1166" s="47">
        <v>73.8652758</v>
      </c>
      <c r="J1166" s="46">
        <v>9524.0</v>
      </c>
      <c r="K1166" s="47">
        <v>84.7333053</v>
      </c>
    </row>
    <row r="1167" ht="15.0" hidden="1" customHeight="1">
      <c r="A1167" s="7"/>
      <c r="B1167" s="39">
        <v>1160.0</v>
      </c>
      <c r="C1167" s="40" t="s">
        <v>19</v>
      </c>
      <c r="D1167" s="40" t="s">
        <v>332</v>
      </c>
      <c r="E1167" s="40" t="s">
        <v>372</v>
      </c>
      <c r="F1167" s="40" t="s">
        <v>374</v>
      </c>
      <c r="G1167" s="41" t="s">
        <v>13</v>
      </c>
      <c r="H1167" s="42">
        <v>3510.0</v>
      </c>
      <c r="I1167" s="43">
        <v>95.954416</v>
      </c>
      <c r="J1167" s="42">
        <v>3874.0</v>
      </c>
      <c r="K1167" s="43">
        <v>97.1347445</v>
      </c>
    </row>
    <row r="1168" ht="15.0" hidden="1" customHeight="1">
      <c r="A1168" s="7"/>
      <c r="B1168" s="39">
        <v>1161.0</v>
      </c>
      <c r="C1168" s="40" t="s">
        <v>19</v>
      </c>
      <c r="D1168" s="40" t="s">
        <v>332</v>
      </c>
      <c r="E1168" s="40" t="s">
        <v>372</v>
      </c>
      <c r="F1168" s="40" t="s">
        <v>374</v>
      </c>
      <c r="G1168" s="41" t="s">
        <v>14</v>
      </c>
      <c r="H1168" s="42">
        <v>5501.0</v>
      </c>
      <c r="I1168" s="43">
        <v>59.7709507</v>
      </c>
      <c r="J1168" s="42">
        <v>5650.0</v>
      </c>
      <c r="K1168" s="43">
        <v>76.2300885</v>
      </c>
    </row>
    <row r="1169" ht="15.0" customHeight="1">
      <c r="A1169" s="7"/>
      <c r="B1169" s="44">
        <v>1162.0</v>
      </c>
      <c r="C1169" s="45" t="s">
        <v>19</v>
      </c>
      <c r="D1169" s="50" t="s">
        <v>332</v>
      </c>
      <c r="E1169" s="50" t="s">
        <v>372</v>
      </c>
      <c r="F1169" s="50" t="s">
        <v>375</v>
      </c>
      <c r="G1169" s="51" t="s">
        <v>375</v>
      </c>
      <c r="H1169" s="46">
        <v>9938.0</v>
      </c>
      <c r="I1169" s="47">
        <v>87.1704568</v>
      </c>
      <c r="J1169" s="46">
        <v>12517.0</v>
      </c>
      <c r="K1169" s="47">
        <v>86.7140689</v>
      </c>
    </row>
    <row r="1170" ht="15.0" hidden="1" customHeight="1">
      <c r="A1170" s="7"/>
      <c r="B1170" s="39">
        <v>1163.0</v>
      </c>
      <c r="C1170" s="40" t="s">
        <v>19</v>
      </c>
      <c r="D1170" s="40" t="s">
        <v>332</v>
      </c>
      <c r="E1170" s="40" t="s">
        <v>372</v>
      </c>
      <c r="F1170" s="40" t="s">
        <v>375</v>
      </c>
      <c r="G1170" s="41" t="s">
        <v>13</v>
      </c>
      <c r="H1170" s="42">
        <v>6544.0</v>
      </c>
      <c r="I1170" s="43">
        <v>97.2035452</v>
      </c>
      <c r="J1170" s="42">
        <v>7569.0</v>
      </c>
      <c r="K1170" s="43">
        <v>98.1107148</v>
      </c>
    </row>
    <row r="1171" ht="15.0" hidden="1" customHeight="1">
      <c r="A1171" s="7"/>
      <c r="B1171" s="39">
        <v>1164.0</v>
      </c>
      <c r="C1171" s="40" t="s">
        <v>19</v>
      </c>
      <c r="D1171" s="40" t="s">
        <v>332</v>
      </c>
      <c r="E1171" s="40" t="s">
        <v>372</v>
      </c>
      <c r="F1171" s="40" t="s">
        <v>375</v>
      </c>
      <c r="G1171" s="41" t="s">
        <v>14</v>
      </c>
      <c r="H1171" s="42">
        <v>3394.0</v>
      </c>
      <c r="I1171" s="43">
        <v>67.8255745</v>
      </c>
      <c r="J1171" s="42">
        <v>4948.0</v>
      </c>
      <c r="K1171" s="43">
        <v>69.2805174</v>
      </c>
    </row>
    <row r="1172" ht="15.0" customHeight="1">
      <c r="A1172" s="7"/>
      <c r="B1172" s="44">
        <v>1165.0</v>
      </c>
      <c r="C1172" s="45" t="s">
        <v>19</v>
      </c>
      <c r="D1172" s="50" t="s">
        <v>332</v>
      </c>
      <c r="E1172" s="50" t="s">
        <v>372</v>
      </c>
      <c r="F1172" s="50" t="s">
        <v>376</v>
      </c>
      <c r="G1172" s="51" t="s">
        <v>376</v>
      </c>
      <c r="H1172" s="46">
        <v>2900.0</v>
      </c>
      <c r="I1172" s="47">
        <v>59.6206897</v>
      </c>
      <c r="J1172" s="46">
        <v>3041.0</v>
      </c>
      <c r="K1172" s="47">
        <v>73.0351858</v>
      </c>
    </row>
    <row r="1173" ht="15.0" hidden="1" customHeight="1">
      <c r="A1173" s="7"/>
      <c r="B1173" s="39">
        <v>1166.0</v>
      </c>
      <c r="C1173" s="40" t="s">
        <v>19</v>
      </c>
      <c r="D1173" s="40" t="s">
        <v>332</v>
      </c>
      <c r="E1173" s="40" t="s">
        <v>372</v>
      </c>
      <c r="F1173" s="40" t="s">
        <v>376</v>
      </c>
      <c r="G1173" s="41" t="s">
        <v>13</v>
      </c>
      <c r="H1173" s="42"/>
      <c r="I1173" s="43"/>
      <c r="J1173" s="42"/>
      <c r="K1173" s="43"/>
    </row>
    <row r="1174" ht="15.0" hidden="1" customHeight="1">
      <c r="A1174" s="7"/>
      <c r="B1174" s="39">
        <v>1167.0</v>
      </c>
      <c r="C1174" s="40" t="s">
        <v>19</v>
      </c>
      <c r="D1174" s="40" t="s">
        <v>332</v>
      </c>
      <c r="E1174" s="40" t="s">
        <v>372</v>
      </c>
      <c r="F1174" s="40" t="s">
        <v>376</v>
      </c>
      <c r="G1174" s="41" t="s">
        <v>14</v>
      </c>
      <c r="H1174" s="42">
        <v>2900.0</v>
      </c>
      <c r="I1174" s="43">
        <v>59.6206897</v>
      </c>
      <c r="J1174" s="42">
        <v>3041.0</v>
      </c>
      <c r="K1174" s="43">
        <v>73.0351858</v>
      </c>
    </row>
    <row r="1175" ht="15.0" hidden="1" customHeight="1">
      <c r="A1175" s="7"/>
      <c r="B1175" s="35">
        <v>1168.0</v>
      </c>
      <c r="C1175" s="36" t="s">
        <v>17</v>
      </c>
      <c r="D1175" s="49" t="s">
        <v>332</v>
      </c>
      <c r="E1175" s="49" t="s">
        <v>377</v>
      </c>
      <c r="F1175" s="49"/>
      <c r="G1175" s="36" t="s">
        <v>377</v>
      </c>
      <c r="H1175" s="37">
        <v>172186.0</v>
      </c>
      <c r="I1175" s="38">
        <v>90.5619504</v>
      </c>
      <c r="J1175" s="37">
        <v>186551.0</v>
      </c>
      <c r="K1175" s="38">
        <v>97.0072527</v>
      </c>
    </row>
    <row r="1176" ht="15.0" hidden="1" customHeight="1">
      <c r="A1176" s="7"/>
      <c r="B1176" s="39">
        <v>1169.0</v>
      </c>
      <c r="C1176" s="40" t="s">
        <v>17</v>
      </c>
      <c r="D1176" s="40" t="s">
        <v>332</v>
      </c>
      <c r="E1176" s="40" t="s">
        <v>377</v>
      </c>
      <c r="F1176" s="40"/>
      <c r="G1176" s="41" t="s">
        <v>13</v>
      </c>
      <c r="H1176" s="42">
        <v>142872.0</v>
      </c>
      <c r="I1176" s="43">
        <v>95.7584411</v>
      </c>
      <c r="J1176" s="42">
        <v>165810.0</v>
      </c>
      <c r="K1176" s="43">
        <v>98.3879139</v>
      </c>
    </row>
    <row r="1177" ht="15.0" hidden="1" customHeight="1">
      <c r="A1177" s="7"/>
      <c r="B1177" s="39">
        <v>1170.0</v>
      </c>
      <c r="C1177" s="40" t="s">
        <v>17</v>
      </c>
      <c r="D1177" s="40" t="s">
        <v>332</v>
      </c>
      <c r="E1177" s="40" t="s">
        <v>377</v>
      </c>
      <c r="F1177" s="40"/>
      <c r="G1177" s="41" t="s">
        <v>14</v>
      </c>
      <c r="H1177" s="42">
        <v>29314.0</v>
      </c>
      <c r="I1177" s="43">
        <v>65.2350413</v>
      </c>
      <c r="J1177" s="42">
        <v>20741.0</v>
      </c>
      <c r="K1177" s="43">
        <v>85.9698182</v>
      </c>
    </row>
    <row r="1178" ht="15.0" customHeight="1">
      <c r="A1178" s="7"/>
      <c r="B1178" s="44">
        <v>1171.0</v>
      </c>
      <c r="C1178" s="45" t="s">
        <v>19</v>
      </c>
      <c r="D1178" s="50" t="s">
        <v>332</v>
      </c>
      <c r="E1178" s="50" t="s">
        <v>377</v>
      </c>
      <c r="F1178" s="50" t="s">
        <v>378</v>
      </c>
      <c r="G1178" s="51" t="s">
        <v>378</v>
      </c>
      <c r="H1178" s="46">
        <v>106092.0</v>
      </c>
      <c r="I1178" s="47">
        <v>96.1872714</v>
      </c>
      <c r="J1178" s="46">
        <v>121655.0</v>
      </c>
      <c r="K1178" s="47">
        <v>98.8311208</v>
      </c>
    </row>
    <row r="1179" ht="15.0" hidden="1" customHeight="1">
      <c r="A1179" s="7"/>
      <c r="B1179" s="39">
        <v>1172.0</v>
      </c>
      <c r="C1179" s="40" t="s">
        <v>19</v>
      </c>
      <c r="D1179" s="40" t="s">
        <v>332</v>
      </c>
      <c r="E1179" s="40" t="s">
        <v>377</v>
      </c>
      <c r="F1179" s="40" t="s">
        <v>378</v>
      </c>
      <c r="G1179" s="41" t="s">
        <v>13</v>
      </c>
      <c r="H1179" s="42">
        <v>103920.0</v>
      </c>
      <c r="I1179" s="43">
        <v>96.8283295</v>
      </c>
      <c r="J1179" s="42">
        <v>120894.0</v>
      </c>
      <c r="K1179" s="43">
        <v>98.9197148</v>
      </c>
    </row>
    <row r="1180" ht="15.0" hidden="1" customHeight="1">
      <c r="A1180" s="7"/>
      <c r="B1180" s="39">
        <v>1173.0</v>
      </c>
      <c r="C1180" s="40" t="s">
        <v>19</v>
      </c>
      <c r="D1180" s="40" t="s">
        <v>332</v>
      </c>
      <c r="E1180" s="40" t="s">
        <v>377</v>
      </c>
      <c r="F1180" s="40" t="s">
        <v>378</v>
      </c>
      <c r="G1180" s="41" t="s">
        <v>14</v>
      </c>
      <c r="H1180" s="42">
        <v>2172.0</v>
      </c>
      <c r="I1180" s="43">
        <v>65.5156538</v>
      </c>
      <c r="J1180" s="42">
        <v>761.0</v>
      </c>
      <c r="K1180" s="43">
        <v>84.7568988</v>
      </c>
    </row>
    <row r="1181" ht="15.0" customHeight="1">
      <c r="A1181" s="7"/>
      <c r="B1181" s="44">
        <v>1174.0</v>
      </c>
      <c r="C1181" s="45" t="s">
        <v>19</v>
      </c>
      <c r="D1181" s="50" t="s">
        <v>332</v>
      </c>
      <c r="E1181" s="50" t="s">
        <v>377</v>
      </c>
      <c r="F1181" s="50" t="s">
        <v>379</v>
      </c>
      <c r="G1181" s="51" t="s">
        <v>379</v>
      </c>
      <c r="H1181" s="46">
        <v>13841.0</v>
      </c>
      <c r="I1181" s="47">
        <v>71.6855719</v>
      </c>
      <c r="J1181" s="46">
        <v>16359.0</v>
      </c>
      <c r="K1181" s="47">
        <v>88.8807384</v>
      </c>
    </row>
    <row r="1182" ht="15.0" hidden="1" customHeight="1">
      <c r="A1182" s="7"/>
      <c r="B1182" s="39">
        <v>1175.0</v>
      </c>
      <c r="C1182" s="40" t="s">
        <v>19</v>
      </c>
      <c r="D1182" s="40" t="s">
        <v>332</v>
      </c>
      <c r="E1182" s="40" t="s">
        <v>377</v>
      </c>
      <c r="F1182" s="40" t="s">
        <v>379</v>
      </c>
      <c r="G1182" s="41" t="s">
        <v>13</v>
      </c>
      <c r="H1182" s="42">
        <v>5152.0</v>
      </c>
      <c r="I1182" s="43">
        <v>89.382764</v>
      </c>
      <c r="J1182" s="42">
        <v>7742.0</v>
      </c>
      <c r="K1182" s="43">
        <v>94.7042108</v>
      </c>
    </row>
    <row r="1183" ht="15.0" hidden="1" customHeight="1">
      <c r="A1183" s="7"/>
      <c r="B1183" s="39">
        <v>1176.0</v>
      </c>
      <c r="C1183" s="40" t="s">
        <v>19</v>
      </c>
      <c r="D1183" s="40" t="s">
        <v>332</v>
      </c>
      <c r="E1183" s="40" t="s">
        <v>377</v>
      </c>
      <c r="F1183" s="40" t="s">
        <v>379</v>
      </c>
      <c r="G1183" s="41" t="s">
        <v>14</v>
      </c>
      <c r="H1183" s="42">
        <v>8689.0</v>
      </c>
      <c r="I1183" s="43">
        <v>61.1923121</v>
      </c>
      <c r="J1183" s="42">
        <v>8617.0</v>
      </c>
      <c r="K1183" s="43">
        <v>83.6486016</v>
      </c>
    </row>
    <row r="1184" ht="15.0" customHeight="1">
      <c r="A1184" s="7"/>
      <c r="B1184" s="44">
        <v>1177.0</v>
      </c>
      <c r="C1184" s="45" t="s">
        <v>19</v>
      </c>
      <c r="D1184" s="50" t="s">
        <v>332</v>
      </c>
      <c r="E1184" s="50" t="s">
        <v>377</v>
      </c>
      <c r="F1184" s="50" t="s">
        <v>380</v>
      </c>
      <c r="G1184" s="51" t="s">
        <v>380</v>
      </c>
      <c r="H1184" s="46">
        <v>22744.0</v>
      </c>
      <c r="I1184" s="47">
        <v>84.3387267</v>
      </c>
      <c r="J1184" s="46">
        <v>22767.0</v>
      </c>
      <c r="K1184" s="47">
        <v>94.4612817</v>
      </c>
    </row>
    <row r="1185" ht="15.0" hidden="1" customHeight="1">
      <c r="A1185" s="7"/>
      <c r="B1185" s="39">
        <v>1178.0</v>
      </c>
      <c r="C1185" s="40" t="s">
        <v>19</v>
      </c>
      <c r="D1185" s="40" t="s">
        <v>332</v>
      </c>
      <c r="E1185" s="40" t="s">
        <v>377</v>
      </c>
      <c r="F1185" s="40" t="s">
        <v>380</v>
      </c>
      <c r="G1185" s="41" t="s">
        <v>13</v>
      </c>
      <c r="H1185" s="42">
        <v>18001.0</v>
      </c>
      <c r="I1185" s="43">
        <v>95.0336092</v>
      </c>
      <c r="J1185" s="42">
        <v>18484.0</v>
      </c>
      <c r="K1185" s="43">
        <v>97.500541</v>
      </c>
    </row>
    <row r="1186" ht="15.0" hidden="1" customHeight="1">
      <c r="A1186" s="7"/>
      <c r="B1186" s="39">
        <v>1179.0</v>
      </c>
      <c r="C1186" s="40" t="s">
        <v>19</v>
      </c>
      <c r="D1186" s="40" t="s">
        <v>332</v>
      </c>
      <c r="E1186" s="40" t="s">
        <v>377</v>
      </c>
      <c r="F1186" s="40" t="s">
        <v>380</v>
      </c>
      <c r="G1186" s="41" t="s">
        <v>14</v>
      </c>
      <c r="H1186" s="42">
        <v>4743.0</v>
      </c>
      <c r="I1186" s="43">
        <v>43.7486823</v>
      </c>
      <c r="J1186" s="42">
        <v>4283.0</v>
      </c>
      <c r="K1186" s="43">
        <v>81.3448517</v>
      </c>
    </row>
    <row r="1187" ht="15.0" customHeight="1">
      <c r="A1187" s="7"/>
      <c r="B1187" s="44">
        <v>1180.0</v>
      </c>
      <c r="C1187" s="45" t="s">
        <v>19</v>
      </c>
      <c r="D1187" s="50" t="s">
        <v>332</v>
      </c>
      <c r="E1187" s="50" t="s">
        <v>377</v>
      </c>
      <c r="F1187" s="50" t="s">
        <v>381</v>
      </c>
      <c r="G1187" s="51" t="s">
        <v>381</v>
      </c>
      <c r="H1187" s="46">
        <v>13703.0</v>
      </c>
      <c r="I1187" s="47">
        <v>82.9599358</v>
      </c>
      <c r="J1187" s="46">
        <v>12614.0</v>
      </c>
      <c r="K1187" s="47">
        <v>95.4336452</v>
      </c>
    </row>
    <row r="1188" ht="15.0" hidden="1" customHeight="1">
      <c r="A1188" s="7"/>
      <c r="B1188" s="39">
        <v>1181.0</v>
      </c>
      <c r="C1188" s="40" t="s">
        <v>19</v>
      </c>
      <c r="D1188" s="40" t="s">
        <v>332</v>
      </c>
      <c r="E1188" s="40" t="s">
        <v>377</v>
      </c>
      <c r="F1188" s="40" t="s">
        <v>381</v>
      </c>
      <c r="G1188" s="41" t="s">
        <v>13</v>
      </c>
      <c r="H1188" s="42">
        <v>8753.0</v>
      </c>
      <c r="I1188" s="43">
        <v>92.0027419</v>
      </c>
      <c r="J1188" s="42">
        <v>10551.0</v>
      </c>
      <c r="K1188" s="43">
        <v>97.895934</v>
      </c>
    </row>
    <row r="1189" ht="15.0" hidden="1" customHeight="1">
      <c r="A1189" s="7"/>
      <c r="B1189" s="39">
        <v>1182.0</v>
      </c>
      <c r="C1189" s="40" t="s">
        <v>19</v>
      </c>
      <c r="D1189" s="40" t="s">
        <v>332</v>
      </c>
      <c r="E1189" s="40" t="s">
        <v>377</v>
      </c>
      <c r="F1189" s="40" t="s">
        <v>381</v>
      </c>
      <c r="G1189" s="41" t="s">
        <v>14</v>
      </c>
      <c r="H1189" s="42">
        <v>4950.0</v>
      </c>
      <c r="I1189" s="43">
        <v>66.969697</v>
      </c>
      <c r="J1189" s="42">
        <v>2063.0</v>
      </c>
      <c r="K1189" s="43">
        <v>82.8405235</v>
      </c>
    </row>
    <row r="1190" ht="15.0" customHeight="1">
      <c r="A1190" s="7"/>
      <c r="B1190" s="44">
        <v>1183.0</v>
      </c>
      <c r="C1190" s="45" t="s">
        <v>19</v>
      </c>
      <c r="D1190" s="50" t="s">
        <v>332</v>
      </c>
      <c r="E1190" s="50" t="s">
        <v>377</v>
      </c>
      <c r="F1190" s="50" t="s">
        <v>280</v>
      </c>
      <c r="G1190" s="51" t="s">
        <v>280</v>
      </c>
      <c r="H1190" s="46">
        <v>15806.0</v>
      </c>
      <c r="I1190" s="47">
        <v>84.8791598</v>
      </c>
      <c r="J1190" s="46">
        <v>13156.0</v>
      </c>
      <c r="K1190" s="47">
        <v>96.1614472</v>
      </c>
    </row>
    <row r="1191" ht="15.0" hidden="1" customHeight="1">
      <c r="A1191" s="7"/>
      <c r="B1191" s="39">
        <v>1184.0</v>
      </c>
      <c r="C1191" s="40" t="s">
        <v>19</v>
      </c>
      <c r="D1191" s="40" t="s">
        <v>332</v>
      </c>
      <c r="E1191" s="40" t="s">
        <v>377</v>
      </c>
      <c r="F1191" s="40" t="s">
        <v>280</v>
      </c>
      <c r="G1191" s="41" t="s">
        <v>13</v>
      </c>
      <c r="H1191" s="42">
        <v>7046.0</v>
      </c>
      <c r="I1191" s="43">
        <v>91.1581039</v>
      </c>
      <c r="J1191" s="42">
        <v>8139.0</v>
      </c>
      <c r="K1191" s="43">
        <v>96.6457796</v>
      </c>
    </row>
    <row r="1192" ht="15.0" hidden="1" customHeight="1">
      <c r="A1192" s="7"/>
      <c r="B1192" s="39">
        <v>1185.0</v>
      </c>
      <c r="C1192" s="40" t="s">
        <v>19</v>
      </c>
      <c r="D1192" s="40" t="s">
        <v>332</v>
      </c>
      <c r="E1192" s="40" t="s">
        <v>377</v>
      </c>
      <c r="F1192" s="40" t="s">
        <v>280</v>
      </c>
      <c r="G1192" s="41" t="s">
        <v>14</v>
      </c>
      <c r="H1192" s="42">
        <v>8760.0</v>
      </c>
      <c r="I1192" s="43">
        <v>79.8287671</v>
      </c>
      <c r="J1192" s="42">
        <v>5017.0</v>
      </c>
      <c r="K1192" s="43">
        <v>95.3757225</v>
      </c>
    </row>
    <row r="1193" ht="15.0" hidden="1" customHeight="1">
      <c r="A1193" s="7"/>
      <c r="B1193" s="35">
        <v>1186.0</v>
      </c>
      <c r="C1193" s="36" t="s">
        <v>17</v>
      </c>
      <c r="D1193" s="49" t="s">
        <v>332</v>
      </c>
      <c r="E1193" s="49" t="s">
        <v>382</v>
      </c>
      <c r="F1193" s="49"/>
      <c r="G1193" s="36" t="s">
        <v>382</v>
      </c>
      <c r="H1193" s="37">
        <v>112059.0</v>
      </c>
      <c r="I1193" s="38">
        <v>59.1652612</v>
      </c>
      <c r="J1193" s="37">
        <v>123978.0</v>
      </c>
      <c r="K1193" s="38">
        <v>76.5200277</v>
      </c>
    </row>
    <row r="1194" ht="15.0" hidden="1" customHeight="1">
      <c r="A1194" s="7"/>
      <c r="B1194" s="39">
        <v>1187.0</v>
      </c>
      <c r="C1194" s="40" t="s">
        <v>17</v>
      </c>
      <c r="D1194" s="40" t="s">
        <v>332</v>
      </c>
      <c r="E1194" s="40" t="s">
        <v>382</v>
      </c>
      <c r="F1194" s="40"/>
      <c r="G1194" s="41" t="s">
        <v>13</v>
      </c>
      <c r="H1194" s="42">
        <v>49462.0</v>
      </c>
      <c r="I1194" s="43">
        <v>82.3682827</v>
      </c>
      <c r="J1194" s="42">
        <v>63041.0</v>
      </c>
      <c r="K1194" s="43">
        <v>92.2066592</v>
      </c>
    </row>
    <row r="1195" ht="15.0" hidden="1" customHeight="1">
      <c r="A1195" s="7"/>
      <c r="B1195" s="39">
        <v>1188.0</v>
      </c>
      <c r="C1195" s="40" t="s">
        <v>17</v>
      </c>
      <c r="D1195" s="40" t="s">
        <v>332</v>
      </c>
      <c r="E1195" s="40" t="s">
        <v>382</v>
      </c>
      <c r="F1195" s="40"/>
      <c r="G1195" s="41" t="s">
        <v>14</v>
      </c>
      <c r="H1195" s="42">
        <v>62597.0</v>
      </c>
      <c r="I1195" s="43">
        <v>40.8310302</v>
      </c>
      <c r="J1195" s="42">
        <v>60937.0</v>
      </c>
      <c r="K1195" s="43">
        <v>60.2917768</v>
      </c>
    </row>
    <row r="1196" ht="15.0" customHeight="1">
      <c r="A1196" s="7"/>
      <c r="B1196" s="44">
        <v>1189.0</v>
      </c>
      <c r="C1196" s="45" t="s">
        <v>19</v>
      </c>
      <c r="D1196" s="50" t="s">
        <v>332</v>
      </c>
      <c r="E1196" s="50" t="s">
        <v>382</v>
      </c>
      <c r="F1196" s="50" t="s">
        <v>383</v>
      </c>
      <c r="G1196" s="51" t="s">
        <v>383</v>
      </c>
      <c r="H1196" s="46">
        <v>18331.0</v>
      </c>
      <c r="I1196" s="47">
        <v>38.2303202</v>
      </c>
      <c r="J1196" s="46">
        <v>29326.0</v>
      </c>
      <c r="K1196" s="47">
        <v>53.0484894</v>
      </c>
    </row>
    <row r="1197" ht="15.0" hidden="1" customHeight="1">
      <c r="A1197" s="7"/>
      <c r="B1197" s="39">
        <v>1190.0</v>
      </c>
      <c r="C1197" s="40" t="s">
        <v>19</v>
      </c>
      <c r="D1197" s="40" t="s">
        <v>332</v>
      </c>
      <c r="E1197" s="40" t="s">
        <v>382</v>
      </c>
      <c r="F1197" s="40" t="s">
        <v>383</v>
      </c>
      <c r="G1197" s="41" t="s">
        <v>13</v>
      </c>
      <c r="H1197" s="42">
        <v>9619.0</v>
      </c>
      <c r="I1197" s="43">
        <v>63.468136</v>
      </c>
      <c r="J1197" s="42">
        <v>14624.0</v>
      </c>
      <c r="K1197" s="43">
        <v>76.654814</v>
      </c>
    </row>
    <row r="1198" ht="15.0" hidden="1" customHeight="1">
      <c r="A1198" s="7"/>
      <c r="B1198" s="39">
        <v>1191.0</v>
      </c>
      <c r="C1198" s="40" t="s">
        <v>19</v>
      </c>
      <c r="D1198" s="40" t="s">
        <v>332</v>
      </c>
      <c r="E1198" s="40" t="s">
        <v>382</v>
      </c>
      <c r="F1198" s="40" t="s">
        <v>383</v>
      </c>
      <c r="G1198" s="41" t="s">
        <v>14</v>
      </c>
      <c r="H1198" s="42">
        <v>8712.0</v>
      </c>
      <c r="I1198" s="43">
        <v>10.3650138</v>
      </c>
      <c r="J1198" s="42">
        <v>14702.0</v>
      </c>
      <c r="K1198" s="43">
        <v>29.5674058</v>
      </c>
    </row>
    <row r="1199" ht="15.0" customHeight="1">
      <c r="A1199" s="7"/>
      <c r="B1199" s="44">
        <v>1192.0</v>
      </c>
      <c r="C1199" s="45" t="s">
        <v>19</v>
      </c>
      <c r="D1199" s="50" t="s">
        <v>332</v>
      </c>
      <c r="E1199" s="50" t="s">
        <v>382</v>
      </c>
      <c r="F1199" s="50" t="s">
        <v>384</v>
      </c>
      <c r="G1199" s="51" t="s">
        <v>384</v>
      </c>
      <c r="H1199" s="46">
        <v>13266.0</v>
      </c>
      <c r="I1199" s="47">
        <v>53.9122569</v>
      </c>
      <c r="J1199" s="46">
        <v>14205.0</v>
      </c>
      <c r="K1199" s="47">
        <v>74.4667371</v>
      </c>
    </row>
    <row r="1200" ht="15.0" hidden="1" customHeight="1">
      <c r="A1200" s="7"/>
      <c r="B1200" s="39">
        <v>1193.0</v>
      </c>
      <c r="C1200" s="40" t="s">
        <v>19</v>
      </c>
      <c r="D1200" s="40" t="s">
        <v>332</v>
      </c>
      <c r="E1200" s="40" t="s">
        <v>382</v>
      </c>
      <c r="F1200" s="40" t="s">
        <v>384</v>
      </c>
      <c r="G1200" s="41" t="s">
        <v>13</v>
      </c>
      <c r="H1200" s="42">
        <v>6974.0</v>
      </c>
      <c r="I1200" s="43">
        <v>82.5638084</v>
      </c>
      <c r="J1200" s="42">
        <v>7815.0</v>
      </c>
      <c r="K1200" s="43">
        <v>94.2034549</v>
      </c>
    </row>
    <row r="1201" ht="15.0" hidden="1" customHeight="1">
      <c r="A1201" s="7"/>
      <c r="B1201" s="39">
        <v>1194.0</v>
      </c>
      <c r="C1201" s="40" t="s">
        <v>19</v>
      </c>
      <c r="D1201" s="40" t="s">
        <v>332</v>
      </c>
      <c r="E1201" s="40" t="s">
        <v>382</v>
      </c>
      <c r="F1201" s="40" t="s">
        <v>384</v>
      </c>
      <c r="G1201" s="41" t="s">
        <v>14</v>
      </c>
      <c r="H1201" s="42">
        <v>6292.0</v>
      </c>
      <c r="I1201" s="43">
        <v>22.1551176</v>
      </c>
      <c r="J1201" s="42">
        <v>6390.0</v>
      </c>
      <c r="K1201" s="43">
        <v>50.3286385</v>
      </c>
    </row>
    <row r="1202" ht="15.0" customHeight="1">
      <c r="A1202" s="7"/>
      <c r="B1202" s="44">
        <v>1195.0</v>
      </c>
      <c r="C1202" s="45" t="s">
        <v>19</v>
      </c>
      <c r="D1202" s="50" t="s">
        <v>332</v>
      </c>
      <c r="E1202" s="50" t="s">
        <v>382</v>
      </c>
      <c r="F1202" s="50" t="s">
        <v>385</v>
      </c>
      <c r="G1202" s="51" t="s">
        <v>385</v>
      </c>
      <c r="H1202" s="46">
        <v>45889.0</v>
      </c>
      <c r="I1202" s="47">
        <v>60.2257622</v>
      </c>
      <c r="J1202" s="46">
        <v>42102.0</v>
      </c>
      <c r="K1202" s="47">
        <v>88.2095862</v>
      </c>
    </row>
    <row r="1203" ht="15.0" hidden="1" customHeight="1">
      <c r="A1203" s="7"/>
      <c r="B1203" s="39">
        <v>1196.0</v>
      </c>
      <c r="C1203" s="40" t="s">
        <v>19</v>
      </c>
      <c r="D1203" s="40" t="s">
        <v>332</v>
      </c>
      <c r="E1203" s="40" t="s">
        <v>382</v>
      </c>
      <c r="F1203" s="40" t="s">
        <v>385</v>
      </c>
      <c r="G1203" s="41" t="s">
        <v>13</v>
      </c>
      <c r="H1203" s="42">
        <v>18843.0</v>
      </c>
      <c r="I1203" s="43">
        <v>86.2070796</v>
      </c>
      <c r="J1203" s="42">
        <v>23007.0</v>
      </c>
      <c r="K1203" s="43">
        <v>97.6485417</v>
      </c>
    </row>
    <row r="1204" ht="15.0" hidden="1" customHeight="1">
      <c r="A1204" s="7"/>
      <c r="B1204" s="39">
        <v>1197.0</v>
      </c>
      <c r="C1204" s="40" t="s">
        <v>19</v>
      </c>
      <c r="D1204" s="40" t="s">
        <v>332</v>
      </c>
      <c r="E1204" s="40" t="s">
        <v>382</v>
      </c>
      <c r="F1204" s="40" t="s">
        <v>385</v>
      </c>
      <c r="G1204" s="41" t="s">
        <v>14</v>
      </c>
      <c r="H1204" s="42">
        <v>27046.0</v>
      </c>
      <c r="I1204" s="43">
        <v>42.1245286</v>
      </c>
      <c r="J1204" s="42">
        <v>19095.0</v>
      </c>
      <c r="K1204" s="43">
        <v>76.8368683</v>
      </c>
    </row>
    <row r="1205" ht="15.0" customHeight="1">
      <c r="A1205" s="7"/>
      <c r="B1205" s="44">
        <v>1198.0</v>
      </c>
      <c r="C1205" s="45" t="s">
        <v>19</v>
      </c>
      <c r="D1205" s="50" t="s">
        <v>332</v>
      </c>
      <c r="E1205" s="50" t="s">
        <v>382</v>
      </c>
      <c r="F1205" s="50" t="s">
        <v>386</v>
      </c>
      <c r="G1205" s="51" t="s">
        <v>386</v>
      </c>
      <c r="H1205" s="46">
        <v>6446.0</v>
      </c>
      <c r="I1205" s="47">
        <v>14.6447409</v>
      </c>
      <c r="J1205" s="46">
        <v>6265.0</v>
      </c>
      <c r="K1205" s="47">
        <v>26.7677574</v>
      </c>
    </row>
    <row r="1206" ht="15.0" hidden="1" customHeight="1">
      <c r="A1206" s="7"/>
      <c r="B1206" s="39">
        <v>1199.0</v>
      </c>
      <c r="C1206" s="40" t="s">
        <v>19</v>
      </c>
      <c r="D1206" s="40" t="s">
        <v>332</v>
      </c>
      <c r="E1206" s="40" t="s">
        <v>382</v>
      </c>
      <c r="F1206" s="40" t="s">
        <v>386</v>
      </c>
      <c r="G1206" s="41" t="s">
        <v>13</v>
      </c>
      <c r="H1206" s="42"/>
      <c r="I1206" s="43"/>
      <c r="J1206" s="42"/>
      <c r="K1206" s="43"/>
    </row>
    <row r="1207" ht="15.0" hidden="1" customHeight="1">
      <c r="A1207" s="7"/>
      <c r="B1207" s="39">
        <v>1200.0</v>
      </c>
      <c r="C1207" s="40" t="s">
        <v>19</v>
      </c>
      <c r="D1207" s="40" t="s">
        <v>332</v>
      </c>
      <c r="E1207" s="40" t="s">
        <v>382</v>
      </c>
      <c r="F1207" s="40" t="s">
        <v>386</v>
      </c>
      <c r="G1207" s="41" t="s">
        <v>14</v>
      </c>
      <c r="H1207" s="42">
        <v>6446.0</v>
      </c>
      <c r="I1207" s="43">
        <v>14.6447409</v>
      </c>
      <c r="J1207" s="42">
        <v>6265.0</v>
      </c>
      <c r="K1207" s="43">
        <v>26.7677574</v>
      </c>
    </row>
    <row r="1208" ht="15.0" customHeight="1">
      <c r="A1208" s="7"/>
      <c r="B1208" s="44">
        <v>1201.0</v>
      </c>
      <c r="C1208" s="45" t="s">
        <v>19</v>
      </c>
      <c r="D1208" s="50" t="s">
        <v>332</v>
      </c>
      <c r="E1208" s="50" t="s">
        <v>382</v>
      </c>
      <c r="F1208" s="50" t="s">
        <v>387</v>
      </c>
      <c r="G1208" s="51" t="s">
        <v>387</v>
      </c>
      <c r="H1208" s="46">
        <v>6887.0</v>
      </c>
      <c r="I1208" s="47">
        <v>76.6516626</v>
      </c>
      <c r="J1208" s="46">
        <v>8311.0</v>
      </c>
      <c r="K1208" s="47">
        <v>85.838046</v>
      </c>
    </row>
    <row r="1209" ht="15.0" hidden="1" customHeight="1">
      <c r="A1209" s="7"/>
      <c r="B1209" s="39">
        <v>1202.0</v>
      </c>
      <c r="C1209" s="40" t="s">
        <v>19</v>
      </c>
      <c r="D1209" s="40" t="s">
        <v>332</v>
      </c>
      <c r="E1209" s="40" t="s">
        <v>382</v>
      </c>
      <c r="F1209" s="40" t="s">
        <v>387</v>
      </c>
      <c r="G1209" s="41" t="s">
        <v>13</v>
      </c>
      <c r="H1209" s="42">
        <v>6032.0</v>
      </c>
      <c r="I1209" s="43">
        <v>83.1896552</v>
      </c>
      <c r="J1209" s="42">
        <v>7167.0</v>
      </c>
      <c r="K1209" s="43">
        <v>94.0839961</v>
      </c>
    </row>
    <row r="1210" ht="15.0" hidden="1" customHeight="1">
      <c r="A1210" s="7"/>
      <c r="B1210" s="39">
        <v>1203.0</v>
      </c>
      <c r="C1210" s="40" t="s">
        <v>19</v>
      </c>
      <c r="D1210" s="40" t="s">
        <v>332</v>
      </c>
      <c r="E1210" s="40" t="s">
        <v>382</v>
      </c>
      <c r="F1210" s="40" t="s">
        <v>387</v>
      </c>
      <c r="G1210" s="41" t="s">
        <v>14</v>
      </c>
      <c r="H1210" s="42">
        <v>855.0</v>
      </c>
      <c r="I1210" s="43">
        <v>30.5263158</v>
      </c>
      <c r="J1210" s="42">
        <v>1144.0</v>
      </c>
      <c r="K1210" s="43">
        <v>34.1783217</v>
      </c>
    </row>
    <row r="1211" ht="15.0" customHeight="1">
      <c r="A1211" s="7"/>
      <c r="B1211" s="44">
        <v>1204.0</v>
      </c>
      <c r="C1211" s="45" t="s">
        <v>19</v>
      </c>
      <c r="D1211" s="50" t="s">
        <v>332</v>
      </c>
      <c r="E1211" s="50" t="s">
        <v>382</v>
      </c>
      <c r="F1211" s="50" t="s">
        <v>388</v>
      </c>
      <c r="G1211" s="51" t="s">
        <v>388</v>
      </c>
      <c r="H1211" s="46">
        <v>21240.0</v>
      </c>
      <c r="I1211" s="47">
        <v>86.0640301</v>
      </c>
      <c r="J1211" s="46">
        <v>23769.0</v>
      </c>
      <c r="K1211" s="47">
        <v>95.8559468</v>
      </c>
    </row>
    <row r="1212" ht="15.0" hidden="1" customHeight="1">
      <c r="A1212" s="7"/>
      <c r="B1212" s="39">
        <v>1205.0</v>
      </c>
      <c r="C1212" s="40" t="s">
        <v>19</v>
      </c>
      <c r="D1212" s="40" t="s">
        <v>332</v>
      </c>
      <c r="E1212" s="40" t="s">
        <v>382</v>
      </c>
      <c r="F1212" s="40" t="s">
        <v>388</v>
      </c>
      <c r="G1212" s="41" t="s">
        <v>13</v>
      </c>
      <c r="H1212" s="42">
        <v>7994.0</v>
      </c>
      <c r="I1212" s="43">
        <v>95.2714536</v>
      </c>
      <c r="J1212" s="42">
        <v>10428.0</v>
      </c>
      <c r="K1212" s="43">
        <v>99.2232451</v>
      </c>
    </row>
    <row r="1213" ht="15.0" hidden="1" customHeight="1">
      <c r="A1213" s="7"/>
      <c r="B1213" s="39">
        <v>1206.0</v>
      </c>
      <c r="C1213" s="40" t="s">
        <v>19</v>
      </c>
      <c r="D1213" s="40" t="s">
        <v>332</v>
      </c>
      <c r="E1213" s="40" t="s">
        <v>382</v>
      </c>
      <c r="F1213" s="40" t="s">
        <v>388</v>
      </c>
      <c r="G1213" s="41" t="s">
        <v>14</v>
      </c>
      <c r="H1213" s="42">
        <v>13246.0</v>
      </c>
      <c r="I1213" s="43">
        <v>80.507323</v>
      </c>
      <c r="J1213" s="42">
        <v>13341.0</v>
      </c>
      <c r="K1213" s="43">
        <v>93.2238963</v>
      </c>
    </row>
    <row r="1214" ht="15.0" hidden="1" customHeight="1">
      <c r="A1214" s="7"/>
      <c r="B1214" s="35">
        <v>1207.0</v>
      </c>
      <c r="C1214" s="36" t="s">
        <v>17</v>
      </c>
      <c r="D1214" s="49" t="s">
        <v>332</v>
      </c>
      <c r="E1214" s="49" t="s">
        <v>389</v>
      </c>
      <c r="F1214" s="49"/>
      <c r="G1214" s="36" t="s">
        <v>389</v>
      </c>
      <c r="H1214" s="37">
        <v>14000.0</v>
      </c>
      <c r="I1214" s="38">
        <v>48.65</v>
      </c>
      <c r="J1214" s="37">
        <v>14782.0</v>
      </c>
      <c r="K1214" s="38">
        <v>69.8214044</v>
      </c>
    </row>
    <row r="1215" ht="15.0" hidden="1" customHeight="1">
      <c r="A1215" s="7"/>
      <c r="B1215" s="39">
        <v>1208.0</v>
      </c>
      <c r="C1215" s="40" t="s">
        <v>17</v>
      </c>
      <c r="D1215" s="40" t="s">
        <v>332</v>
      </c>
      <c r="E1215" s="40" t="s">
        <v>389</v>
      </c>
      <c r="F1215" s="40"/>
      <c r="G1215" s="41" t="s">
        <v>13</v>
      </c>
      <c r="H1215" s="42">
        <v>5987.0</v>
      </c>
      <c r="I1215" s="43">
        <v>84.8672123</v>
      </c>
      <c r="J1215" s="42">
        <v>7469.0</v>
      </c>
      <c r="K1215" s="43">
        <v>88.325077</v>
      </c>
    </row>
    <row r="1216" ht="15.0" hidden="1" customHeight="1">
      <c r="A1216" s="7"/>
      <c r="B1216" s="39">
        <v>1209.0</v>
      </c>
      <c r="C1216" s="40" t="s">
        <v>17</v>
      </c>
      <c r="D1216" s="40" t="s">
        <v>332</v>
      </c>
      <c r="E1216" s="40" t="s">
        <v>389</v>
      </c>
      <c r="F1216" s="40"/>
      <c r="G1216" s="41" t="s">
        <v>14</v>
      </c>
      <c r="H1216" s="42">
        <v>8013.0</v>
      </c>
      <c r="I1216" s="43">
        <v>21.5899164</v>
      </c>
      <c r="J1216" s="42">
        <v>7313.0</v>
      </c>
      <c r="K1216" s="43">
        <v>50.9230138</v>
      </c>
    </row>
    <row r="1217" ht="15.0" customHeight="1">
      <c r="A1217" s="7"/>
      <c r="B1217" s="44">
        <v>1210.0</v>
      </c>
      <c r="C1217" s="45" t="s">
        <v>19</v>
      </c>
      <c r="D1217" s="50" t="s">
        <v>332</v>
      </c>
      <c r="E1217" s="50" t="s">
        <v>389</v>
      </c>
      <c r="F1217" s="50" t="s">
        <v>390</v>
      </c>
      <c r="G1217" s="51" t="s">
        <v>390</v>
      </c>
      <c r="H1217" s="46">
        <v>14000.0</v>
      </c>
      <c r="I1217" s="47">
        <v>48.65</v>
      </c>
      <c r="J1217" s="46">
        <v>14782.0</v>
      </c>
      <c r="K1217" s="47">
        <v>69.8214044</v>
      </c>
    </row>
    <row r="1218" ht="15.0" hidden="1" customHeight="1">
      <c r="A1218" s="7"/>
      <c r="B1218" s="39">
        <v>1211.0</v>
      </c>
      <c r="C1218" s="40" t="s">
        <v>19</v>
      </c>
      <c r="D1218" s="40" t="s">
        <v>332</v>
      </c>
      <c r="E1218" s="40" t="s">
        <v>389</v>
      </c>
      <c r="F1218" s="40" t="s">
        <v>390</v>
      </c>
      <c r="G1218" s="41" t="s">
        <v>13</v>
      </c>
      <c r="H1218" s="42">
        <v>5987.0</v>
      </c>
      <c r="I1218" s="43">
        <v>84.8672123</v>
      </c>
      <c r="J1218" s="42">
        <v>7469.0</v>
      </c>
      <c r="K1218" s="43">
        <v>88.325077</v>
      </c>
    </row>
    <row r="1219" ht="15.0" hidden="1" customHeight="1">
      <c r="A1219" s="7"/>
      <c r="B1219" s="39">
        <v>1212.0</v>
      </c>
      <c r="C1219" s="40" t="s">
        <v>19</v>
      </c>
      <c r="D1219" s="40" t="s">
        <v>332</v>
      </c>
      <c r="E1219" s="40" t="s">
        <v>389</v>
      </c>
      <c r="F1219" s="40" t="s">
        <v>390</v>
      </c>
      <c r="G1219" s="41" t="s">
        <v>14</v>
      </c>
      <c r="H1219" s="42">
        <v>8013.0</v>
      </c>
      <c r="I1219" s="43">
        <v>21.5899164</v>
      </c>
      <c r="J1219" s="42">
        <v>7313.0</v>
      </c>
      <c r="K1219" s="43">
        <v>50.9230138</v>
      </c>
    </row>
    <row r="1220" ht="15.0" hidden="1" customHeight="1">
      <c r="A1220" s="7"/>
      <c r="B1220" s="35">
        <v>1213.0</v>
      </c>
      <c r="C1220" s="36" t="s">
        <v>17</v>
      </c>
      <c r="D1220" s="49" t="s">
        <v>332</v>
      </c>
      <c r="E1220" s="49" t="s">
        <v>391</v>
      </c>
      <c r="F1220" s="49"/>
      <c r="G1220" s="36" t="s">
        <v>391</v>
      </c>
      <c r="H1220" s="37">
        <v>22605.0</v>
      </c>
      <c r="I1220" s="38">
        <v>68.5821721</v>
      </c>
      <c r="J1220" s="37">
        <v>22760.0</v>
      </c>
      <c r="K1220" s="38">
        <v>84.4771529</v>
      </c>
    </row>
    <row r="1221" ht="15.0" hidden="1" customHeight="1">
      <c r="A1221" s="7"/>
      <c r="B1221" s="39">
        <v>1214.0</v>
      </c>
      <c r="C1221" s="40" t="s">
        <v>17</v>
      </c>
      <c r="D1221" s="40" t="s">
        <v>332</v>
      </c>
      <c r="E1221" s="40" t="s">
        <v>391</v>
      </c>
      <c r="F1221" s="40"/>
      <c r="G1221" s="41" t="s">
        <v>13</v>
      </c>
      <c r="H1221" s="42">
        <v>9065.0</v>
      </c>
      <c r="I1221" s="43">
        <v>96.9222284</v>
      </c>
      <c r="J1221" s="42">
        <v>9716.0</v>
      </c>
      <c r="K1221" s="43">
        <v>98.7546315</v>
      </c>
    </row>
    <row r="1222" ht="15.0" hidden="1" customHeight="1">
      <c r="A1222" s="7"/>
      <c r="B1222" s="39">
        <v>1215.0</v>
      </c>
      <c r="C1222" s="40" t="s">
        <v>17</v>
      </c>
      <c r="D1222" s="40" t="s">
        <v>332</v>
      </c>
      <c r="E1222" s="40" t="s">
        <v>391</v>
      </c>
      <c r="F1222" s="40"/>
      <c r="G1222" s="41" t="s">
        <v>14</v>
      </c>
      <c r="H1222" s="42">
        <v>13540.0</v>
      </c>
      <c r="I1222" s="43">
        <v>49.6085672</v>
      </c>
      <c r="J1222" s="42">
        <v>13044.0</v>
      </c>
      <c r="K1222" s="43">
        <v>73.8423796</v>
      </c>
    </row>
    <row r="1223" ht="15.0" customHeight="1">
      <c r="A1223" s="7"/>
      <c r="B1223" s="44">
        <v>1216.0</v>
      </c>
      <c r="C1223" s="45" t="s">
        <v>19</v>
      </c>
      <c r="D1223" s="50" t="s">
        <v>332</v>
      </c>
      <c r="E1223" s="50" t="s">
        <v>391</v>
      </c>
      <c r="F1223" s="50" t="s">
        <v>392</v>
      </c>
      <c r="G1223" s="51" t="s">
        <v>392</v>
      </c>
      <c r="H1223" s="46">
        <v>15641.0</v>
      </c>
      <c r="I1223" s="47">
        <v>64.7784668</v>
      </c>
      <c r="J1223" s="46">
        <v>16865.0</v>
      </c>
      <c r="K1223" s="47">
        <v>82.8817077</v>
      </c>
    </row>
    <row r="1224" ht="15.0" hidden="1" customHeight="1">
      <c r="A1224" s="7"/>
      <c r="B1224" s="39">
        <v>1217.0</v>
      </c>
      <c r="C1224" s="40" t="s">
        <v>19</v>
      </c>
      <c r="D1224" s="40" t="s">
        <v>332</v>
      </c>
      <c r="E1224" s="40" t="s">
        <v>391</v>
      </c>
      <c r="F1224" s="40" t="s">
        <v>392</v>
      </c>
      <c r="G1224" s="41" t="s">
        <v>13</v>
      </c>
      <c r="H1224" s="42">
        <v>5172.0</v>
      </c>
      <c r="I1224" s="43">
        <v>97.1964424</v>
      </c>
      <c r="J1224" s="42">
        <v>6111.0</v>
      </c>
      <c r="K1224" s="43">
        <v>99.4763541</v>
      </c>
    </row>
    <row r="1225" ht="15.0" hidden="1" customHeight="1">
      <c r="A1225" s="7"/>
      <c r="B1225" s="39">
        <v>1218.0</v>
      </c>
      <c r="C1225" s="40" t="s">
        <v>19</v>
      </c>
      <c r="D1225" s="40" t="s">
        <v>332</v>
      </c>
      <c r="E1225" s="40" t="s">
        <v>391</v>
      </c>
      <c r="F1225" s="40" t="s">
        <v>392</v>
      </c>
      <c r="G1225" s="41" t="s">
        <v>14</v>
      </c>
      <c r="H1225" s="42">
        <v>10469.0</v>
      </c>
      <c r="I1225" s="43">
        <v>48.7630146</v>
      </c>
      <c r="J1225" s="42">
        <v>10754.0</v>
      </c>
      <c r="K1225" s="43">
        <v>73.4517389</v>
      </c>
    </row>
    <row r="1226" ht="15.0" customHeight="1">
      <c r="A1226" s="7"/>
      <c r="B1226" s="44">
        <v>1219.0</v>
      </c>
      <c r="C1226" s="45" t="s">
        <v>19</v>
      </c>
      <c r="D1226" s="50" t="s">
        <v>332</v>
      </c>
      <c r="E1226" s="50" t="s">
        <v>391</v>
      </c>
      <c r="F1226" s="50" t="s">
        <v>393</v>
      </c>
      <c r="G1226" s="51" t="s">
        <v>393</v>
      </c>
      <c r="H1226" s="46">
        <v>6964.0</v>
      </c>
      <c r="I1226" s="47">
        <v>77.1252154</v>
      </c>
      <c r="J1226" s="46">
        <v>5895.0</v>
      </c>
      <c r="K1226" s="47">
        <v>89.0415606</v>
      </c>
    </row>
    <row r="1227" ht="15.0" hidden="1" customHeight="1">
      <c r="A1227" s="7"/>
      <c r="B1227" s="39">
        <v>1220.0</v>
      </c>
      <c r="C1227" s="40" t="s">
        <v>19</v>
      </c>
      <c r="D1227" s="40" t="s">
        <v>332</v>
      </c>
      <c r="E1227" s="40" t="s">
        <v>391</v>
      </c>
      <c r="F1227" s="40" t="s">
        <v>393</v>
      </c>
      <c r="G1227" s="41" t="s">
        <v>13</v>
      </c>
      <c r="H1227" s="42">
        <v>3893.0</v>
      </c>
      <c r="I1227" s="43">
        <v>96.5579245</v>
      </c>
      <c r="J1227" s="42">
        <v>3605.0</v>
      </c>
      <c r="K1227" s="43">
        <v>97.5312067</v>
      </c>
    </row>
    <row r="1228" ht="15.0" hidden="1" customHeight="1">
      <c r="A1228" s="7"/>
      <c r="B1228" s="39">
        <v>1221.0</v>
      </c>
      <c r="C1228" s="40" t="s">
        <v>19</v>
      </c>
      <c r="D1228" s="40" t="s">
        <v>332</v>
      </c>
      <c r="E1228" s="40" t="s">
        <v>391</v>
      </c>
      <c r="F1228" s="40" t="s">
        <v>393</v>
      </c>
      <c r="G1228" s="41" t="s">
        <v>14</v>
      </c>
      <c r="H1228" s="42">
        <v>3071.0</v>
      </c>
      <c r="I1228" s="43">
        <v>52.4910453</v>
      </c>
      <c r="J1228" s="42">
        <v>2290.0</v>
      </c>
      <c r="K1228" s="43">
        <v>75.6768559</v>
      </c>
    </row>
    <row r="1229" ht="15.0" hidden="1" customHeight="1">
      <c r="A1229" s="7"/>
      <c r="B1229" s="35">
        <v>1222.0</v>
      </c>
      <c r="C1229" s="36" t="s">
        <v>17</v>
      </c>
      <c r="D1229" s="49" t="s">
        <v>332</v>
      </c>
      <c r="E1229" s="49" t="s">
        <v>394</v>
      </c>
      <c r="F1229" s="49"/>
      <c r="G1229" s="36" t="s">
        <v>394</v>
      </c>
      <c r="H1229" s="37">
        <v>39896.0</v>
      </c>
      <c r="I1229" s="38">
        <v>74.8847002</v>
      </c>
      <c r="J1229" s="37">
        <v>41558.0</v>
      </c>
      <c r="K1229" s="38">
        <v>87.4873671</v>
      </c>
    </row>
    <row r="1230" ht="15.0" hidden="1" customHeight="1">
      <c r="A1230" s="7"/>
      <c r="B1230" s="39">
        <v>1223.0</v>
      </c>
      <c r="C1230" s="40" t="s">
        <v>17</v>
      </c>
      <c r="D1230" s="40" t="s">
        <v>332</v>
      </c>
      <c r="E1230" s="40" t="s">
        <v>394</v>
      </c>
      <c r="F1230" s="40"/>
      <c r="G1230" s="41" t="s">
        <v>13</v>
      </c>
      <c r="H1230" s="42">
        <v>33122.0</v>
      </c>
      <c r="I1230" s="43">
        <v>84.237063</v>
      </c>
      <c r="J1230" s="42">
        <v>31512.0</v>
      </c>
      <c r="K1230" s="43">
        <v>95.8238132</v>
      </c>
    </row>
    <row r="1231" ht="15.0" hidden="1" customHeight="1">
      <c r="A1231" s="7"/>
      <c r="B1231" s="39">
        <v>1224.0</v>
      </c>
      <c r="C1231" s="40" t="s">
        <v>17</v>
      </c>
      <c r="D1231" s="40" t="s">
        <v>332</v>
      </c>
      <c r="E1231" s="40" t="s">
        <v>394</v>
      </c>
      <c r="F1231" s="40"/>
      <c r="G1231" s="41" t="s">
        <v>14</v>
      </c>
      <c r="H1231" s="42">
        <v>6774.0</v>
      </c>
      <c r="I1231" s="43">
        <v>29.1555949</v>
      </c>
      <c r="J1231" s="42">
        <v>10046.0</v>
      </c>
      <c r="K1231" s="43">
        <v>61.3378459</v>
      </c>
    </row>
    <row r="1232" ht="15.0" customHeight="1">
      <c r="A1232" s="7"/>
      <c r="B1232" s="44">
        <v>1225.0</v>
      </c>
      <c r="C1232" s="45" t="s">
        <v>19</v>
      </c>
      <c r="D1232" s="50" t="s">
        <v>332</v>
      </c>
      <c r="E1232" s="50" t="s">
        <v>394</v>
      </c>
      <c r="F1232" s="50" t="s">
        <v>395</v>
      </c>
      <c r="G1232" s="51" t="s">
        <v>395</v>
      </c>
      <c r="H1232" s="46">
        <v>18305.0</v>
      </c>
      <c r="I1232" s="47">
        <v>78.9838842</v>
      </c>
      <c r="J1232" s="46">
        <v>16129.0</v>
      </c>
      <c r="K1232" s="47">
        <v>91.016182</v>
      </c>
    </row>
    <row r="1233" ht="15.0" hidden="1" customHeight="1">
      <c r="A1233" s="7"/>
      <c r="B1233" s="39">
        <v>1226.0</v>
      </c>
      <c r="C1233" s="40" t="s">
        <v>19</v>
      </c>
      <c r="D1233" s="40" t="s">
        <v>332</v>
      </c>
      <c r="E1233" s="40" t="s">
        <v>394</v>
      </c>
      <c r="F1233" s="40" t="s">
        <v>395</v>
      </c>
      <c r="G1233" s="41" t="s">
        <v>13</v>
      </c>
      <c r="H1233" s="42">
        <v>14997.0</v>
      </c>
      <c r="I1233" s="43">
        <v>85.4237514</v>
      </c>
      <c r="J1233" s="42">
        <v>11185.0</v>
      </c>
      <c r="K1233" s="43">
        <v>97.4072418</v>
      </c>
    </row>
    <row r="1234" ht="15.0" hidden="1" customHeight="1">
      <c r="A1234" s="7"/>
      <c r="B1234" s="39">
        <v>1227.0</v>
      </c>
      <c r="C1234" s="40" t="s">
        <v>19</v>
      </c>
      <c r="D1234" s="40" t="s">
        <v>332</v>
      </c>
      <c r="E1234" s="40" t="s">
        <v>394</v>
      </c>
      <c r="F1234" s="40" t="s">
        <v>395</v>
      </c>
      <c r="G1234" s="41" t="s">
        <v>14</v>
      </c>
      <c r="H1234" s="42">
        <v>3308.0</v>
      </c>
      <c r="I1234" s="43">
        <v>49.7883918</v>
      </c>
      <c r="J1234" s="42">
        <v>4944.0</v>
      </c>
      <c r="K1234" s="43">
        <v>76.5574434</v>
      </c>
    </row>
    <row r="1235" ht="15.0" customHeight="1">
      <c r="A1235" s="7"/>
      <c r="B1235" s="44">
        <v>1228.0</v>
      </c>
      <c r="C1235" s="45" t="s">
        <v>19</v>
      </c>
      <c r="D1235" s="50" t="s">
        <v>332</v>
      </c>
      <c r="E1235" s="50" t="s">
        <v>394</v>
      </c>
      <c r="F1235" s="50" t="s">
        <v>396</v>
      </c>
      <c r="G1235" s="51" t="s">
        <v>396</v>
      </c>
      <c r="H1235" s="46">
        <v>15537.0</v>
      </c>
      <c r="I1235" s="47">
        <v>91.4204801</v>
      </c>
      <c r="J1235" s="46">
        <v>16963.0</v>
      </c>
      <c r="K1235" s="47">
        <v>96.8401816</v>
      </c>
    </row>
    <row r="1236" ht="15.0" hidden="1" customHeight="1">
      <c r="A1236" s="7"/>
      <c r="B1236" s="39">
        <v>1229.0</v>
      </c>
      <c r="C1236" s="40" t="s">
        <v>19</v>
      </c>
      <c r="D1236" s="40" t="s">
        <v>332</v>
      </c>
      <c r="E1236" s="40" t="s">
        <v>394</v>
      </c>
      <c r="F1236" s="40" t="s">
        <v>396</v>
      </c>
      <c r="G1236" s="41" t="s">
        <v>13</v>
      </c>
      <c r="H1236" s="42">
        <v>15305.0</v>
      </c>
      <c r="I1236" s="43">
        <v>92.54492</v>
      </c>
      <c r="J1236" s="42">
        <v>16617.0</v>
      </c>
      <c r="K1236" s="43">
        <v>97.646988</v>
      </c>
    </row>
    <row r="1237" ht="15.0" hidden="1" customHeight="1">
      <c r="A1237" s="7"/>
      <c r="B1237" s="39">
        <v>1230.0</v>
      </c>
      <c r="C1237" s="40" t="s">
        <v>19</v>
      </c>
      <c r="D1237" s="40" t="s">
        <v>332</v>
      </c>
      <c r="E1237" s="40" t="s">
        <v>394</v>
      </c>
      <c r="F1237" s="40" t="s">
        <v>396</v>
      </c>
      <c r="G1237" s="41" t="s">
        <v>14</v>
      </c>
      <c r="H1237" s="42">
        <v>232.0</v>
      </c>
      <c r="I1237" s="43">
        <v>17.2413793</v>
      </c>
      <c r="J1237" s="42">
        <v>346.0</v>
      </c>
      <c r="K1237" s="43">
        <v>58.0924855</v>
      </c>
    </row>
    <row r="1238" ht="15.0" customHeight="1">
      <c r="A1238" s="7"/>
      <c r="B1238" s="44">
        <v>1231.0</v>
      </c>
      <c r="C1238" s="45" t="s">
        <v>19</v>
      </c>
      <c r="D1238" s="50" t="s">
        <v>332</v>
      </c>
      <c r="E1238" s="50" t="s">
        <v>394</v>
      </c>
      <c r="F1238" s="50" t="s">
        <v>397</v>
      </c>
      <c r="G1238" s="51" t="s">
        <v>397</v>
      </c>
      <c r="H1238" s="46">
        <v>6054.0</v>
      </c>
      <c r="I1238" s="47">
        <v>20.0528576</v>
      </c>
      <c r="J1238" s="46">
        <v>8466.0</v>
      </c>
      <c r="K1238" s="47">
        <v>62.0245689</v>
      </c>
    </row>
    <row r="1239" ht="15.0" hidden="1" customHeight="1">
      <c r="A1239" s="7"/>
      <c r="B1239" s="39">
        <v>1232.0</v>
      </c>
      <c r="C1239" s="40" t="s">
        <v>19</v>
      </c>
      <c r="D1239" s="40" t="s">
        <v>332</v>
      </c>
      <c r="E1239" s="40" t="s">
        <v>394</v>
      </c>
      <c r="F1239" s="40" t="s">
        <v>397</v>
      </c>
      <c r="G1239" s="41" t="s">
        <v>13</v>
      </c>
      <c r="H1239" s="42">
        <v>2820.0</v>
      </c>
      <c r="I1239" s="43">
        <v>32.8368794</v>
      </c>
      <c r="J1239" s="42">
        <v>3710.0</v>
      </c>
      <c r="K1239" s="43">
        <v>82.884097</v>
      </c>
    </row>
    <row r="1240" ht="15.0" hidden="1" customHeight="1">
      <c r="A1240" s="7"/>
      <c r="B1240" s="39">
        <v>1233.0</v>
      </c>
      <c r="C1240" s="40" t="s">
        <v>19</v>
      </c>
      <c r="D1240" s="40" t="s">
        <v>332</v>
      </c>
      <c r="E1240" s="40" t="s">
        <v>394</v>
      </c>
      <c r="F1240" s="40" t="s">
        <v>397</v>
      </c>
      <c r="G1240" s="41" t="s">
        <v>14</v>
      </c>
      <c r="H1240" s="42">
        <v>3234.0</v>
      </c>
      <c r="I1240" s="43">
        <v>8.9053803</v>
      </c>
      <c r="J1240" s="42">
        <v>4756.0</v>
      </c>
      <c r="K1240" s="43">
        <v>45.7527334</v>
      </c>
    </row>
    <row r="1241" ht="15.0" hidden="1" customHeight="1">
      <c r="A1241" s="7"/>
      <c r="B1241" s="35">
        <v>1234.0</v>
      </c>
      <c r="C1241" s="36" t="s">
        <v>17</v>
      </c>
      <c r="D1241" s="49" t="s">
        <v>332</v>
      </c>
      <c r="E1241" s="49" t="s">
        <v>398</v>
      </c>
      <c r="F1241" s="49"/>
      <c r="G1241" s="36" t="s">
        <v>398</v>
      </c>
      <c r="H1241" s="37">
        <v>46552.0</v>
      </c>
      <c r="I1241" s="38">
        <v>50.9816979</v>
      </c>
      <c r="J1241" s="37">
        <v>56538.0</v>
      </c>
      <c r="K1241" s="38">
        <v>65.2994446</v>
      </c>
    </row>
    <row r="1242" ht="15.0" hidden="1" customHeight="1">
      <c r="A1242" s="7"/>
      <c r="B1242" s="39">
        <v>1235.0</v>
      </c>
      <c r="C1242" s="40" t="s">
        <v>17</v>
      </c>
      <c r="D1242" s="40" t="s">
        <v>332</v>
      </c>
      <c r="E1242" s="40" t="s">
        <v>398</v>
      </c>
      <c r="F1242" s="40"/>
      <c r="G1242" s="41" t="s">
        <v>13</v>
      </c>
      <c r="H1242" s="42">
        <v>29824.0</v>
      </c>
      <c r="I1242" s="43">
        <v>61.715397</v>
      </c>
      <c r="J1242" s="42">
        <v>31124.0</v>
      </c>
      <c r="K1242" s="43">
        <v>77.7406503</v>
      </c>
    </row>
    <row r="1243" ht="15.0" hidden="1" customHeight="1">
      <c r="A1243" s="7"/>
      <c r="B1243" s="39">
        <v>1236.0</v>
      </c>
      <c r="C1243" s="40" t="s">
        <v>17</v>
      </c>
      <c r="D1243" s="40" t="s">
        <v>332</v>
      </c>
      <c r="E1243" s="40" t="s">
        <v>398</v>
      </c>
      <c r="F1243" s="40"/>
      <c r="G1243" s="41" t="s">
        <v>14</v>
      </c>
      <c r="H1243" s="42">
        <v>16728.0</v>
      </c>
      <c r="I1243" s="43">
        <v>31.8448111</v>
      </c>
      <c r="J1243" s="42">
        <v>25414.0</v>
      </c>
      <c r="K1243" s="43">
        <v>50.0629574</v>
      </c>
    </row>
    <row r="1244" ht="15.0" customHeight="1">
      <c r="A1244" s="7"/>
      <c r="B1244" s="44">
        <v>1237.0</v>
      </c>
      <c r="C1244" s="45" t="s">
        <v>19</v>
      </c>
      <c r="D1244" s="50" t="s">
        <v>332</v>
      </c>
      <c r="E1244" s="50" t="s">
        <v>398</v>
      </c>
      <c r="F1244" s="50" t="s">
        <v>399</v>
      </c>
      <c r="G1244" s="51" t="s">
        <v>399</v>
      </c>
      <c r="H1244" s="46">
        <v>25937.0</v>
      </c>
      <c r="I1244" s="47">
        <v>61.9423989</v>
      </c>
      <c r="J1244" s="46">
        <v>33430.0</v>
      </c>
      <c r="K1244" s="47">
        <v>70.8854322</v>
      </c>
    </row>
    <row r="1245" ht="15.0" hidden="1" customHeight="1">
      <c r="A1245" s="7"/>
      <c r="B1245" s="39">
        <v>1238.0</v>
      </c>
      <c r="C1245" s="40" t="s">
        <v>19</v>
      </c>
      <c r="D1245" s="40" t="s">
        <v>332</v>
      </c>
      <c r="E1245" s="40" t="s">
        <v>398</v>
      </c>
      <c r="F1245" s="40" t="s">
        <v>399</v>
      </c>
      <c r="G1245" s="41" t="s">
        <v>13</v>
      </c>
      <c r="H1245" s="42">
        <v>19411.0</v>
      </c>
      <c r="I1245" s="43">
        <v>69.682139</v>
      </c>
      <c r="J1245" s="42">
        <v>22993.0</v>
      </c>
      <c r="K1245" s="43">
        <v>80.9507241</v>
      </c>
    </row>
    <row r="1246" ht="15.0" hidden="1" customHeight="1">
      <c r="A1246" s="7"/>
      <c r="B1246" s="39">
        <v>1239.0</v>
      </c>
      <c r="C1246" s="40" t="s">
        <v>19</v>
      </c>
      <c r="D1246" s="40" t="s">
        <v>332</v>
      </c>
      <c r="E1246" s="40" t="s">
        <v>398</v>
      </c>
      <c r="F1246" s="40" t="s">
        <v>399</v>
      </c>
      <c r="G1246" s="41" t="s">
        <v>14</v>
      </c>
      <c r="H1246" s="42">
        <v>6526.0</v>
      </c>
      <c r="I1246" s="43">
        <v>38.9212381</v>
      </c>
      <c r="J1246" s="42">
        <v>10437.0</v>
      </c>
      <c r="K1246" s="43">
        <v>48.7113155</v>
      </c>
    </row>
    <row r="1247" ht="15.0" customHeight="1">
      <c r="A1247" s="7"/>
      <c r="B1247" s="44">
        <v>1240.0</v>
      </c>
      <c r="C1247" s="45" t="s">
        <v>19</v>
      </c>
      <c r="D1247" s="50" t="s">
        <v>332</v>
      </c>
      <c r="E1247" s="50" t="s">
        <v>398</v>
      </c>
      <c r="F1247" s="50" t="s">
        <v>400</v>
      </c>
      <c r="G1247" s="51" t="s">
        <v>400</v>
      </c>
      <c r="H1247" s="46">
        <v>6782.0</v>
      </c>
      <c r="I1247" s="47">
        <v>35.3435565</v>
      </c>
      <c r="J1247" s="46">
        <v>6369.0</v>
      </c>
      <c r="K1247" s="47">
        <v>51.1383263</v>
      </c>
    </row>
    <row r="1248" ht="15.0" hidden="1" customHeight="1">
      <c r="A1248" s="7"/>
      <c r="B1248" s="39">
        <v>1241.0</v>
      </c>
      <c r="C1248" s="40" t="s">
        <v>19</v>
      </c>
      <c r="D1248" s="40" t="s">
        <v>332</v>
      </c>
      <c r="E1248" s="40" t="s">
        <v>398</v>
      </c>
      <c r="F1248" s="40" t="s">
        <v>400</v>
      </c>
      <c r="G1248" s="41" t="s">
        <v>13</v>
      </c>
      <c r="H1248" s="42">
        <v>6164.0</v>
      </c>
      <c r="I1248" s="43">
        <v>37.4432187</v>
      </c>
      <c r="J1248" s="42">
        <v>5322.0</v>
      </c>
      <c r="K1248" s="43">
        <v>57.1589628</v>
      </c>
    </row>
    <row r="1249" ht="15.0" hidden="1" customHeight="1">
      <c r="A1249" s="7"/>
      <c r="B1249" s="39">
        <v>1242.0</v>
      </c>
      <c r="C1249" s="40" t="s">
        <v>19</v>
      </c>
      <c r="D1249" s="40" t="s">
        <v>332</v>
      </c>
      <c r="E1249" s="40" t="s">
        <v>398</v>
      </c>
      <c r="F1249" s="40" t="s">
        <v>400</v>
      </c>
      <c r="G1249" s="41" t="s">
        <v>14</v>
      </c>
      <c r="H1249" s="42">
        <v>618.0</v>
      </c>
      <c r="I1249" s="43">
        <v>14.4012945</v>
      </c>
      <c r="J1249" s="42">
        <v>1047.0</v>
      </c>
      <c r="K1249" s="43">
        <v>20.5348615</v>
      </c>
    </row>
    <row r="1250" ht="15.0" customHeight="1">
      <c r="A1250" s="7"/>
      <c r="B1250" s="44">
        <v>1243.0</v>
      </c>
      <c r="C1250" s="45" t="s">
        <v>19</v>
      </c>
      <c r="D1250" s="50" t="s">
        <v>332</v>
      </c>
      <c r="E1250" s="50" t="s">
        <v>398</v>
      </c>
      <c r="F1250" s="50" t="s">
        <v>330</v>
      </c>
      <c r="G1250" s="51" t="s">
        <v>330</v>
      </c>
      <c r="H1250" s="46">
        <v>13833.0</v>
      </c>
      <c r="I1250" s="47">
        <v>38.0973035</v>
      </c>
      <c r="J1250" s="46">
        <v>16739.0</v>
      </c>
      <c r="K1250" s="47">
        <v>59.5316327</v>
      </c>
    </row>
    <row r="1251" ht="15.0" hidden="1" customHeight="1">
      <c r="A1251" s="7"/>
      <c r="B1251" s="39">
        <v>1244.0</v>
      </c>
      <c r="C1251" s="40" t="s">
        <v>19</v>
      </c>
      <c r="D1251" s="40" t="s">
        <v>332</v>
      </c>
      <c r="E1251" s="40" t="s">
        <v>398</v>
      </c>
      <c r="F1251" s="40" t="s">
        <v>330</v>
      </c>
      <c r="G1251" s="41" t="s">
        <v>13</v>
      </c>
      <c r="H1251" s="42">
        <v>4249.0</v>
      </c>
      <c r="I1251" s="43">
        <v>60.5318899</v>
      </c>
      <c r="J1251" s="42">
        <v>2809.0</v>
      </c>
      <c r="K1251" s="43">
        <v>90.4592382</v>
      </c>
    </row>
    <row r="1252" ht="15.0" hidden="1" customHeight="1">
      <c r="A1252" s="7"/>
      <c r="B1252" s="39">
        <v>1245.0</v>
      </c>
      <c r="C1252" s="40" t="s">
        <v>19</v>
      </c>
      <c r="D1252" s="40" t="s">
        <v>332</v>
      </c>
      <c r="E1252" s="40" t="s">
        <v>398</v>
      </c>
      <c r="F1252" s="40" t="s">
        <v>330</v>
      </c>
      <c r="G1252" s="41" t="s">
        <v>14</v>
      </c>
      <c r="H1252" s="42">
        <v>9584.0</v>
      </c>
      <c r="I1252" s="43">
        <v>28.1510851</v>
      </c>
      <c r="J1252" s="42">
        <v>13930.0</v>
      </c>
      <c r="K1252" s="43">
        <v>53.2950467</v>
      </c>
    </row>
    <row r="1253" ht="15.0" hidden="1" customHeight="1">
      <c r="A1253" s="7"/>
      <c r="B1253" s="27">
        <v>1246.0</v>
      </c>
      <c r="C1253" s="28" t="s">
        <v>15</v>
      </c>
      <c r="D1253" s="28" t="s">
        <v>401</v>
      </c>
      <c r="E1253" s="28"/>
      <c r="F1253" s="28"/>
      <c r="G1253" s="28" t="s">
        <v>401</v>
      </c>
      <c r="H1253" s="29">
        <v>403141.0</v>
      </c>
      <c r="I1253" s="30">
        <v>64.5796384</v>
      </c>
      <c r="J1253" s="29">
        <v>469834.0</v>
      </c>
      <c r="K1253" s="30">
        <v>76.139445</v>
      </c>
    </row>
    <row r="1254" ht="15.0" hidden="1" customHeight="1">
      <c r="A1254" s="7"/>
      <c r="B1254" s="31">
        <v>1247.0</v>
      </c>
      <c r="C1254" s="32" t="s">
        <v>15</v>
      </c>
      <c r="D1254" s="48" t="s">
        <v>401</v>
      </c>
      <c r="E1254" s="48"/>
      <c r="F1254" s="48"/>
      <c r="G1254" s="32" t="s">
        <v>13</v>
      </c>
      <c r="H1254" s="33">
        <v>294749.0</v>
      </c>
      <c r="I1254" s="34">
        <v>83.3631327</v>
      </c>
      <c r="J1254" s="33">
        <v>341875.0</v>
      </c>
      <c r="K1254" s="34">
        <v>93.6040951</v>
      </c>
    </row>
    <row r="1255" ht="15.0" hidden="1" customHeight="1">
      <c r="A1255" s="7"/>
      <c r="B1255" s="31">
        <v>1248.0</v>
      </c>
      <c r="C1255" s="32" t="s">
        <v>15</v>
      </c>
      <c r="D1255" s="48" t="s">
        <v>401</v>
      </c>
      <c r="E1255" s="48"/>
      <c r="F1255" s="48"/>
      <c r="G1255" s="32" t="s">
        <v>14</v>
      </c>
      <c r="H1255" s="33">
        <v>108392.0</v>
      </c>
      <c r="I1255" s="34">
        <v>13.501919</v>
      </c>
      <c r="J1255" s="33">
        <v>127959.0</v>
      </c>
      <c r="K1255" s="34">
        <v>29.4781922</v>
      </c>
    </row>
    <row r="1256" ht="15.0" hidden="1" customHeight="1">
      <c r="A1256" s="7"/>
      <c r="B1256" s="35">
        <v>1249.0</v>
      </c>
      <c r="C1256" s="36" t="s">
        <v>17</v>
      </c>
      <c r="D1256" s="49" t="s">
        <v>401</v>
      </c>
      <c r="E1256" s="49" t="s">
        <v>161</v>
      </c>
      <c r="F1256" s="49"/>
      <c r="G1256" s="36" t="s">
        <v>161</v>
      </c>
      <c r="H1256" s="37">
        <v>105704.0</v>
      </c>
      <c r="I1256" s="38">
        <v>90.6777416</v>
      </c>
      <c r="J1256" s="37">
        <v>129818.0</v>
      </c>
      <c r="K1256" s="38">
        <v>94.3829053</v>
      </c>
    </row>
    <row r="1257" ht="15.0" hidden="1" customHeight="1">
      <c r="A1257" s="7"/>
      <c r="B1257" s="39">
        <v>1250.0</v>
      </c>
      <c r="C1257" s="40" t="s">
        <v>17</v>
      </c>
      <c r="D1257" s="40" t="s">
        <v>401</v>
      </c>
      <c r="E1257" s="40" t="s">
        <v>161</v>
      </c>
      <c r="F1257" s="40"/>
      <c r="G1257" s="41" t="s">
        <v>13</v>
      </c>
      <c r="H1257" s="42">
        <v>95899.0</v>
      </c>
      <c r="I1257" s="43">
        <v>96.1011064</v>
      </c>
      <c r="J1257" s="42">
        <v>116772.0</v>
      </c>
      <c r="K1257" s="43">
        <v>98.2059055</v>
      </c>
    </row>
    <row r="1258" ht="15.0" hidden="1" customHeight="1">
      <c r="A1258" s="7"/>
      <c r="B1258" s="39">
        <v>1251.0</v>
      </c>
      <c r="C1258" s="40" t="s">
        <v>17</v>
      </c>
      <c r="D1258" s="40" t="s">
        <v>401</v>
      </c>
      <c r="E1258" s="40" t="s">
        <v>161</v>
      </c>
      <c r="F1258" s="40"/>
      <c r="G1258" s="41" t="s">
        <v>14</v>
      </c>
      <c r="H1258" s="42">
        <v>9805.0</v>
      </c>
      <c r="I1258" s="43">
        <v>37.6338603</v>
      </c>
      <c r="J1258" s="42">
        <v>13046.0</v>
      </c>
      <c r="K1258" s="43">
        <v>60.164035</v>
      </c>
    </row>
    <row r="1259" ht="15.0" customHeight="1">
      <c r="A1259" s="7"/>
      <c r="B1259" s="44">
        <v>1252.0</v>
      </c>
      <c r="C1259" s="45" t="s">
        <v>19</v>
      </c>
      <c r="D1259" s="50" t="s">
        <v>401</v>
      </c>
      <c r="E1259" s="50" t="s">
        <v>161</v>
      </c>
      <c r="F1259" s="50" t="s">
        <v>402</v>
      </c>
      <c r="G1259" s="51" t="s">
        <v>402</v>
      </c>
      <c r="H1259" s="46">
        <v>100502.0</v>
      </c>
      <c r="I1259" s="47">
        <v>93.926489</v>
      </c>
      <c r="J1259" s="46">
        <v>122081.0</v>
      </c>
      <c r="K1259" s="47">
        <v>97.3951721</v>
      </c>
    </row>
    <row r="1260" ht="15.0" hidden="1" customHeight="1">
      <c r="A1260" s="7"/>
      <c r="B1260" s="39">
        <v>1253.0</v>
      </c>
      <c r="C1260" s="40" t="s">
        <v>19</v>
      </c>
      <c r="D1260" s="40" t="s">
        <v>401</v>
      </c>
      <c r="E1260" s="40" t="s">
        <v>161</v>
      </c>
      <c r="F1260" s="40" t="s">
        <v>402</v>
      </c>
      <c r="G1260" s="41" t="s">
        <v>13</v>
      </c>
      <c r="H1260" s="42">
        <v>95899.0</v>
      </c>
      <c r="I1260" s="43">
        <v>96.1011064</v>
      </c>
      <c r="J1260" s="42">
        <v>116772.0</v>
      </c>
      <c r="K1260" s="43">
        <v>98.2059055</v>
      </c>
    </row>
    <row r="1261" ht="15.0" hidden="1" customHeight="1">
      <c r="A1261" s="7"/>
      <c r="B1261" s="39">
        <v>1254.0</v>
      </c>
      <c r="C1261" s="40" t="s">
        <v>19</v>
      </c>
      <c r="D1261" s="40" t="s">
        <v>401</v>
      </c>
      <c r="E1261" s="40" t="s">
        <v>161</v>
      </c>
      <c r="F1261" s="40" t="s">
        <v>402</v>
      </c>
      <c r="G1261" s="41" t="s">
        <v>14</v>
      </c>
      <c r="H1261" s="42">
        <v>4603.0</v>
      </c>
      <c r="I1261" s="43">
        <v>48.6204649</v>
      </c>
      <c r="J1261" s="42">
        <v>5309.0</v>
      </c>
      <c r="K1261" s="43">
        <v>79.5630062</v>
      </c>
    </row>
    <row r="1262" ht="15.0" customHeight="1">
      <c r="A1262" s="7"/>
      <c r="B1262" s="44">
        <v>1255.0</v>
      </c>
      <c r="C1262" s="45" t="s">
        <v>19</v>
      </c>
      <c r="D1262" s="50" t="s">
        <v>401</v>
      </c>
      <c r="E1262" s="50" t="s">
        <v>161</v>
      </c>
      <c r="F1262" s="50" t="s">
        <v>384</v>
      </c>
      <c r="G1262" s="51" t="s">
        <v>384</v>
      </c>
      <c r="H1262" s="46">
        <v>5202.0</v>
      </c>
      <c r="I1262" s="47">
        <v>27.9123414</v>
      </c>
      <c r="J1262" s="46">
        <v>7737.0</v>
      </c>
      <c r="K1262" s="47">
        <v>46.8527853</v>
      </c>
    </row>
    <row r="1263" ht="15.0" hidden="1" customHeight="1">
      <c r="A1263" s="7"/>
      <c r="B1263" s="39">
        <v>1256.0</v>
      </c>
      <c r="C1263" s="40" t="s">
        <v>19</v>
      </c>
      <c r="D1263" s="40" t="s">
        <v>401</v>
      </c>
      <c r="E1263" s="40" t="s">
        <v>161</v>
      </c>
      <c r="F1263" s="40" t="s">
        <v>384</v>
      </c>
      <c r="G1263" s="41" t="s">
        <v>13</v>
      </c>
      <c r="H1263" s="42"/>
      <c r="I1263" s="43"/>
      <c r="J1263" s="42"/>
      <c r="K1263" s="43"/>
    </row>
    <row r="1264" ht="15.0" hidden="1" customHeight="1">
      <c r="A1264" s="7"/>
      <c r="B1264" s="39">
        <v>1257.0</v>
      </c>
      <c r="C1264" s="40" t="s">
        <v>19</v>
      </c>
      <c r="D1264" s="40" t="s">
        <v>401</v>
      </c>
      <c r="E1264" s="40" t="s">
        <v>161</v>
      </c>
      <c r="F1264" s="40" t="s">
        <v>384</v>
      </c>
      <c r="G1264" s="41" t="s">
        <v>14</v>
      </c>
      <c r="H1264" s="42">
        <v>5202.0</v>
      </c>
      <c r="I1264" s="43">
        <v>27.9123414</v>
      </c>
      <c r="J1264" s="42">
        <v>7737.0</v>
      </c>
      <c r="K1264" s="43">
        <v>46.8527853</v>
      </c>
    </row>
    <row r="1265" ht="15.0" hidden="1" customHeight="1">
      <c r="A1265" s="7"/>
      <c r="B1265" s="35">
        <v>1258.0</v>
      </c>
      <c r="C1265" s="36" t="s">
        <v>17</v>
      </c>
      <c r="D1265" s="49" t="s">
        <v>401</v>
      </c>
      <c r="E1265" s="49" t="s">
        <v>403</v>
      </c>
      <c r="F1265" s="49"/>
      <c r="G1265" s="36" t="s">
        <v>403</v>
      </c>
      <c r="H1265" s="37">
        <v>125885.0</v>
      </c>
      <c r="I1265" s="38">
        <v>72.4915598</v>
      </c>
      <c r="J1265" s="37">
        <v>146746.0</v>
      </c>
      <c r="K1265" s="38">
        <v>85.3433824</v>
      </c>
    </row>
    <row r="1266" ht="15.0" hidden="1" customHeight="1">
      <c r="A1266" s="7"/>
      <c r="B1266" s="39">
        <v>1259.0</v>
      </c>
      <c r="C1266" s="40" t="s">
        <v>17</v>
      </c>
      <c r="D1266" s="40" t="s">
        <v>401</v>
      </c>
      <c r="E1266" s="40" t="s">
        <v>403</v>
      </c>
      <c r="F1266" s="40"/>
      <c r="G1266" s="41" t="s">
        <v>13</v>
      </c>
      <c r="H1266" s="42">
        <v>110181.0</v>
      </c>
      <c r="I1266" s="43">
        <v>81.275356</v>
      </c>
      <c r="J1266" s="42">
        <v>129031.0</v>
      </c>
      <c r="K1266" s="43">
        <v>92.4343762</v>
      </c>
    </row>
    <row r="1267" ht="15.0" hidden="1" customHeight="1">
      <c r="A1267" s="7"/>
      <c r="B1267" s="39">
        <v>1260.0</v>
      </c>
      <c r="C1267" s="40" t="s">
        <v>17</v>
      </c>
      <c r="D1267" s="40" t="s">
        <v>401</v>
      </c>
      <c r="E1267" s="40" t="s">
        <v>403</v>
      </c>
      <c r="F1267" s="40"/>
      <c r="G1267" s="41" t="s">
        <v>14</v>
      </c>
      <c r="H1267" s="42">
        <v>15704.0</v>
      </c>
      <c r="I1267" s="43">
        <v>10.8634743</v>
      </c>
      <c r="J1267" s="42">
        <v>17715.0</v>
      </c>
      <c r="K1267" s="43">
        <v>33.6946091</v>
      </c>
    </row>
    <row r="1268" ht="15.0" customHeight="1">
      <c r="A1268" s="7"/>
      <c r="B1268" s="44">
        <v>1261.0</v>
      </c>
      <c r="C1268" s="45" t="s">
        <v>19</v>
      </c>
      <c r="D1268" s="50" t="s">
        <v>401</v>
      </c>
      <c r="E1268" s="50" t="s">
        <v>403</v>
      </c>
      <c r="F1268" s="50" t="s">
        <v>404</v>
      </c>
      <c r="G1268" s="51" t="s">
        <v>404</v>
      </c>
      <c r="H1268" s="46">
        <v>86123.0</v>
      </c>
      <c r="I1268" s="47">
        <v>69.2358603</v>
      </c>
      <c r="J1268" s="46">
        <v>106974.0</v>
      </c>
      <c r="K1268" s="47">
        <v>84.8365023</v>
      </c>
    </row>
    <row r="1269" ht="15.0" hidden="1" customHeight="1">
      <c r="A1269" s="7"/>
      <c r="B1269" s="39">
        <v>1262.0</v>
      </c>
      <c r="C1269" s="40" t="s">
        <v>19</v>
      </c>
      <c r="D1269" s="40" t="s">
        <v>401</v>
      </c>
      <c r="E1269" s="40" t="s">
        <v>403</v>
      </c>
      <c r="F1269" s="40" t="s">
        <v>404</v>
      </c>
      <c r="G1269" s="41" t="s">
        <v>13</v>
      </c>
      <c r="H1269" s="42">
        <v>76053.0</v>
      </c>
      <c r="I1269" s="43">
        <v>77.5906276</v>
      </c>
      <c r="J1269" s="42">
        <v>95392.0</v>
      </c>
      <c r="K1269" s="43">
        <v>91.6953204</v>
      </c>
    </row>
    <row r="1270" ht="15.0" hidden="1" customHeight="1">
      <c r="A1270" s="7"/>
      <c r="B1270" s="39">
        <v>1263.0</v>
      </c>
      <c r="C1270" s="40" t="s">
        <v>19</v>
      </c>
      <c r="D1270" s="40" t="s">
        <v>401</v>
      </c>
      <c r="E1270" s="40" t="s">
        <v>403</v>
      </c>
      <c r="F1270" s="40" t="s">
        <v>404</v>
      </c>
      <c r="G1270" s="41" t="s">
        <v>14</v>
      </c>
      <c r="H1270" s="42">
        <v>10070.0</v>
      </c>
      <c r="I1270" s="43">
        <v>6.1370407</v>
      </c>
      <c r="J1270" s="42">
        <v>11582.0</v>
      </c>
      <c r="K1270" s="43">
        <v>28.3457089</v>
      </c>
    </row>
    <row r="1271" ht="15.0" customHeight="1">
      <c r="A1271" s="7"/>
      <c r="B1271" s="44">
        <v>1264.0</v>
      </c>
      <c r="C1271" s="45" t="s">
        <v>19</v>
      </c>
      <c r="D1271" s="50" t="s">
        <v>401</v>
      </c>
      <c r="E1271" s="50" t="s">
        <v>403</v>
      </c>
      <c r="F1271" s="50" t="s">
        <v>405</v>
      </c>
      <c r="G1271" s="51" t="s">
        <v>405</v>
      </c>
      <c r="H1271" s="46">
        <v>39762.0</v>
      </c>
      <c r="I1271" s="47">
        <v>79.5432825</v>
      </c>
      <c r="J1271" s="46">
        <v>39772.0</v>
      </c>
      <c r="K1271" s="47">
        <v>86.7067284</v>
      </c>
    </row>
    <row r="1272" ht="15.0" hidden="1" customHeight="1">
      <c r="A1272" s="7"/>
      <c r="B1272" s="39">
        <v>1265.0</v>
      </c>
      <c r="C1272" s="40" t="s">
        <v>19</v>
      </c>
      <c r="D1272" s="40" t="s">
        <v>401</v>
      </c>
      <c r="E1272" s="40" t="s">
        <v>403</v>
      </c>
      <c r="F1272" s="40" t="s">
        <v>405</v>
      </c>
      <c r="G1272" s="41" t="s">
        <v>13</v>
      </c>
      <c r="H1272" s="42">
        <v>34128.0</v>
      </c>
      <c r="I1272" s="43">
        <v>89.4866385</v>
      </c>
      <c r="J1272" s="42">
        <v>33639.0</v>
      </c>
      <c r="K1272" s="43">
        <v>94.5301584</v>
      </c>
    </row>
    <row r="1273" ht="15.0" hidden="1" customHeight="1">
      <c r="A1273" s="7"/>
      <c r="B1273" s="39">
        <v>1266.0</v>
      </c>
      <c r="C1273" s="40" t="s">
        <v>19</v>
      </c>
      <c r="D1273" s="40" t="s">
        <v>401</v>
      </c>
      <c r="E1273" s="40" t="s">
        <v>403</v>
      </c>
      <c r="F1273" s="40" t="s">
        <v>405</v>
      </c>
      <c r="G1273" s="41" t="s">
        <v>14</v>
      </c>
      <c r="H1273" s="42">
        <v>5634.0</v>
      </c>
      <c r="I1273" s="43">
        <v>19.3113241</v>
      </c>
      <c r="J1273" s="42">
        <v>6133.0</v>
      </c>
      <c r="K1273" s="43">
        <v>43.7958585</v>
      </c>
    </row>
    <row r="1274" ht="15.0" hidden="1" customHeight="1">
      <c r="A1274" s="7"/>
      <c r="B1274" s="35">
        <v>1267.0</v>
      </c>
      <c r="C1274" s="36" t="s">
        <v>17</v>
      </c>
      <c r="D1274" s="49" t="s">
        <v>401</v>
      </c>
      <c r="E1274" s="49" t="s">
        <v>406</v>
      </c>
      <c r="F1274" s="49"/>
      <c r="G1274" s="36" t="s">
        <v>406</v>
      </c>
      <c r="H1274" s="37">
        <v>79628.0</v>
      </c>
      <c r="I1274" s="38">
        <v>48.3686643</v>
      </c>
      <c r="J1274" s="37">
        <v>87153.0</v>
      </c>
      <c r="K1274" s="38">
        <v>58.3594369</v>
      </c>
    </row>
    <row r="1275" ht="15.0" hidden="1" customHeight="1">
      <c r="A1275" s="7"/>
      <c r="B1275" s="39">
        <v>1268.0</v>
      </c>
      <c r="C1275" s="40" t="s">
        <v>17</v>
      </c>
      <c r="D1275" s="40" t="s">
        <v>401</v>
      </c>
      <c r="E1275" s="40" t="s">
        <v>406</v>
      </c>
      <c r="F1275" s="40"/>
      <c r="G1275" s="41" t="s">
        <v>13</v>
      </c>
      <c r="H1275" s="42">
        <v>45391.0</v>
      </c>
      <c r="I1275" s="43">
        <v>78.6918112</v>
      </c>
      <c r="J1275" s="42">
        <v>47009.0</v>
      </c>
      <c r="K1275" s="43">
        <v>92.4269821</v>
      </c>
    </row>
    <row r="1276" ht="15.0" hidden="1" customHeight="1">
      <c r="A1276" s="7"/>
      <c r="B1276" s="39">
        <v>1269.0</v>
      </c>
      <c r="C1276" s="40" t="s">
        <v>17</v>
      </c>
      <c r="D1276" s="40" t="s">
        <v>401</v>
      </c>
      <c r="E1276" s="40" t="s">
        <v>406</v>
      </c>
      <c r="F1276" s="40"/>
      <c r="G1276" s="41" t="s">
        <v>14</v>
      </c>
      <c r="H1276" s="42">
        <v>34237.0</v>
      </c>
      <c r="I1276" s="43">
        <v>8.1666034</v>
      </c>
      <c r="J1276" s="42">
        <v>40144.0</v>
      </c>
      <c r="K1276" s="43">
        <v>18.4660223</v>
      </c>
    </row>
    <row r="1277" ht="15.0" customHeight="1">
      <c r="A1277" s="7"/>
      <c r="B1277" s="44">
        <v>1270.0</v>
      </c>
      <c r="C1277" s="45" t="s">
        <v>19</v>
      </c>
      <c r="D1277" s="50" t="s">
        <v>401</v>
      </c>
      <c r="E1277" s="50" t="s">
        <v>406</v>
      </c>
      <c r="F1277" s="50" t="s">
        <v>407</v>
      </c>
      <c r="G1277" s="51" t="s">
        <v>407</v>
      </c>
      <c r="H1277" s="46">
        <v>12829.0</v>
      </c>
      <c r="I1277" s="47">
        <v>38.1167667</v>
      </c>
      <c r="J1277" s="46">
        <v>11171.0</v>
      </c>
      <c r="K1277" s="47">
        <v>56.7182884</v>
      </c>
    </row>
    <row r="1278" ht="15.0" hidden="1" customHeight="1">
      <c r="A1278" s="7"/>
      <c r="B1278" s="39">
        <v>1271.0</v>
      </c>
      <c r="C1278" s="40" t="s">
        <v>19</v>
      </c>
      <c r="D1278" s="40" t="s">
        <v>401</v>
      </c>
      <c r="E1278" s="40" t="s">
        <v>406</v>
      </c>
      <c r="F1278" s="40" t="s">
        <v>407</v>
      </c>
      <c r="G1278" s="41" t="s">
        <v>13</v>
      </c>
      <c r="H1278" s="42">
        <v>6932.0</v>
      </c>
      <c r="I1278" s="43">
        <v>67.6572418</v>
      </c>
      <c r="J1278" s="42">
        <v>6497.0</v>
      </c>
      <c r="K1278" s="43">
        <v>89.3335386</v>
      </c>
    </row>
    <row r="1279" ht="15.0" hidden="1" customHeight="1">
      <c r="A1279" s="7"/>
      <c r="B1279" s="39">
        <v>1272.0</v>
      </c>
      <c r="C1279" s="40" t="s">
        <v>19</v>
      </c>
      <c r="D1279" s="40" t="s">
        <v>401</v>
      </c>
      <c r="E1279" s="40" t="s">
        <v>406</v>
      </c>
      <c r="F1279" s="40" t="s">
        <v>407</v>
      </c>
      <c r="G1279" s="41" t="s">
        <v>14</v>
      </c>
      <c r="H1279" s="42">
        <v>5897.0</v>
      </c>
      <c r="I1279" s="43">
        <v>3.391555</v>
      </c>
      <c r="J1279" s="42">
        <v>4674.0</v>
      </c>
      <c r="K1279" s="43">
        <v>11.3821138</v>
      </c>
    </row>
    <row r="1280" ht="15.0" customHeight="1">
      <c r="A1280" s="7"/>
      <c r="B1280" s="44">
        <v>1273.0</v>
      </c>
      <c r="C1280" s="45" t="s">
        <v>19</v>
      </c>
      <c r="D1280" s="50" t="s">
        <v>401</v>
      </c>
      <c r="E1280" s="50" t="s">
        <v>406</v>
      </c>
      <c r="F1280" s="50" t="s">
        <v>408</v>
      </c>
      <c r="G1280" s="51" t="s">
        <v>408</v>
      </c>
      <c r="H1280" s="46">
        <v>39630.0</v>
      </c>
      <c r="I1280" s="47">
        <v>45.8188241</v>
      </c>
      <c r="J1280" s="46">
        <v>44951.0</v>
      </c>
      <c r="K1280" s="47">
        <v>50.3303597</v>
      </c>
    </row>
    <row r="1281" ht="15.0" hidden="1" customHeight="1">
      <c r="A1281" s="7"/>
      <c r="B1281" s="39">
        <v>1274.0</v>
      </c>
      <c r="C1281" s="40" t="s">
        <v>19</v>
      </c>
      <c r="D1281" s="40" t="s">
        <v>401</v>
      </c>
      <c r="E1281" s="40" t="s">
        <v>406</v>
      </c>
      <c r="F1281" s="40" t="s">
        <v>408</v>
      </c>
      <c r="G1281" s="41" t="s">
        <v>13</v>
      </c>
      <c r="H1281" s="42">
        <v>21423.0</v>
      </c>
      <c r="I1281" s="43">
        <v>78.9758671</v>
      </c>
      <c r="J1281" s="42">
        <v>21741.0</v>
      </c>
      <c r="K1281" s="43">
        <v>92.4428499</v>
      </c>
    </row>
    <row r="1282" ht="15.0" hidden="1" customHeight="1">
      <c r="A1282" s="7"/>
      <c r="B1282" s="39">
        <v>1275.0</v>
      </c>
      <c r="C1282" s="40" t="s">
        <v>19</v>
      </c>
      <c r="D1282" s="40" t="s">
        <v>401</v>
      </c>
      <c r="E1282" s="40" t="s">
        <v>406</v>
      </c>
      <c r="F1282" s="40" t="s">
        <v>408</v>
      </c>
      <c r="G1282" s="41" t="s">
        <v>14</v>
      </c>
      <c r="H1282" s="42">
        <v>18207.0</v>
      </c>
      <c r="I1282" s="43">
        <v>6.805075</v>
      </c>
      <c r="J1282" s="42">
        <v>23210.0</v>
      </c>
      <c r="K1282" s="43">
        <v>10.88324</v>
      </c>
    </row>
    <row r="1283" ht="15.0" customHeight="1">
      <c r="A1283" s="7"/>
      <c r="B1283" s="44">
        <v>1276.0</v>
      </c>
      <c r="C1283" s="45" t="s">
        <v>19</v>
      </c>
      <c r="D1283" s="50" t="s">
        <v>401</v>
      </c>
      <c r="E1283" s="50" t="s">
        <v>406</v>
      </c>
      <c r="F1283" s="50" t="s">
        <v>356</v>
      </c>
      <c r="G1283" s="51" t="s">
        <v>356</v>
      </c>
      <c r="H1283" s="46">
        <v>9200.0</v>
      </c>
      <c r="I1283" s="47">
        <v>42.9456522</v>
      </c>
      <c r="J1283" s="46">
        <v>10818.0</v>
      </c>
      <c r="K1283" s="47">
        <v>65.8532076</v>
      </c>
    </row>
    <row r="1284" ht="15.0" hidden="1" customHeight="1">
      <c r="A1284" s="7"/>
      <c r="B1284" s="39">
        <v>1277.0</v>
      </c>
      <c r="C1284" s="40" t="s">
        <v>19</v>
      </c>
      <c r="D1284" s="40" t="s">
        <v>401</v>
      </c>
      <c r="E1284" s="40" t="s">
        <v>406</v>
      </c>
      <c r="F1284" s="40" t="s">
        <v>356</v>
      </c>
      <c r="G1284" s="41" t="s">
        <v>13</v>
      </c>
      <c r="H1284" s="42">
        <v>4535.0</v>
      </c>
      <c r="I1284" s="43">
        <v>76.8467475</v>
      </c>
      <c r="J1284" s="42">
        <v>5358.0</v>
      </c>
      <c r="K1284" s="43">
        <v>93.9343038</v>
      </c>
    </row>
    <row r="1285" ht="15.0" hidden="1" customHeight="1">
      <c r="A1285" s="7"/>
      <c r="B1285" s="39">
        <v>1278.0</v>
      </c>
      <c r="C1285" s="40" t="s">
        <v>19</v>
      </c>
      <c r="D1285" s="40" t="s">
        <v>401</v>
      </c>
      <c r="E1285" s="40" t="s">
        <v>406</v>
      </c>
      <c r="F1285" s="40" t="s">
        <v>356</v>
      </c>
      <c r="G1285" s="41" t="s">
        <v>14</v>
      </c>
      <c r="H1285" s="42">
        <v>4665.0</v>
      </c>
      <c r="I1285" s="43">
        <v>9.9892819</v>
      </c>
      <c r="J1285" s="42">
        <v>5460.0</v>
      </c>
      <c r="K1285" s="43">
        <v>38.2967033</v>
      </c>
    </row>
    <row r="1286" ht="15.0" customHeight="1">
      <c r="A1286" s="7"/>
      <c r="B1286" s="44">
        <v>1279.0</v>
      </c>
      <c r="C1286" s="45" t="s">
        <v>19</v>
      </c>
      <c r="D1286" s="50" t="s">
        <v>401</v>
      </c>
      <c r="E1286" s="50" t="s">
        <v>406</v>
      </c>
      <c r="F1286" s="50" t="s">
        <v>409</v>
      </c>
      <c r="G1286" s="51" t="s">
        <v>409</v>
      </c>
      <c r="H1286" s="46">
        <v>17969.0</v>
      </c>
      <c r="I1286" s="47">
        <v>64.0881518</v>
      </c>
      <c r="J1286" s="46">
        <v>20213.0</v>
      </c>
      <c r="K1286" s="47">
        <v>73.111364</v>
      </c>
    </row>
    <row r="1287" ht="15.0" hidden="1" customHeight="1">
      <c r="A1287" s="7"/>
      <c r="B1287" s="39">
        <v>1280.0</v>
      </c>
      <c r="C1287" s="40" t="s">
        <v>19</v>
      </c>
      <c r="D1287" s="40" t="s">
        <v>401</v>
      </c>
      <c r="E1287" s="40" t="s">
        <v>406</v>
      </c>
      <c r="F1287" s="40" t="s">
        <v>409</v>
      </c>
      <c r="G1287" s="41" t="s">
        <v>13</v>
      </c>
      <c r="H1287" s="42">
        <v>12501.0</v>
      </c>
      <c r="I1287" s="43">
        <v>84.9932005</v>
      </c>
      <c r="J1287" s="42">
        <v>13413.0</v>
      </c>
      <c r="K1287" s="43">
        <v>93.2975472</v>
      </c>
    </row>
    <row r="1288" ht="15.0" hidden="1" customHeight="1">
      <c r="A1288" s="7"/>
      <c r="B1288" s="39">
        <v>1281.0</v>
      </c>
      <c r="C1288" s="40" t="s">
        <v>19</v>
      </c>
      <c r="D1288" s="40" t="s">
        <v>401</v>
      </c>
      <c r="E1288" s="40" t="s">
        <v>406</v>
      </c>
      <c r="F1288" s="40" t="s">
        <v>409</v>
      </c>
      <c r="G1288" s="41" t="s">
        <v>14</v>
      </c>
      <c r="H1288" s="42">
        <v>5468.0</v>
      </c>
      <c r="I1288" s="43">
        <v>16.2948061</v>
      </c>
      <c r="J1288" s="42">
        <v>6800.0</v>
      </c>
      <c r="K1288" s="43">
        <v>33.2941176</v>
      </c>
    </row>
    <row r="1289" ht="15.0" hidden="1" customHeight="1">
      <c r="A1289" s="7"/>
      <c r="B1289" s="35">
        <v>1282.0</v>
      </c>
      <c r="C1289" s="36" t="s">
        <v>17</v>
      </c>
      <c r="D1289" s="49" t="s">
        <v>401</v>
      </c>
      <c r="E1289" s="49" t="s">
        <v>410</v>
      </c>
      <c r="F1289" s="49"/>
      <c r="G1289" s="36" t="s">
        <v>410</v>
      </c>
      <c r="H1289" s="37">
        <v>22396.0</v>
      </c>
      <c r="I1289" s="38">
        <v>48.062154</v>
      </c>
      <c r="J1289" s="37">
        <v>25453.0</v>
      </c>
      <c r="K1289" s="38">
        <v>59.8122029</v>
      </c>
    </row>
    <row r="1290" ht="15.0" hidden="1" customHeight="1">
      <c r="A1290" s="7"/>
      <c r="B1290" s="39">
        <v>1283.0</v>
      </c>
      <c r="C1290" s="40" t="s">
        <v>17</v>
      </c>
      <c r="D1290" s="40" t="s">
        <v>401</v>
      </c>
      <c r="E1290" s="40" t="s">
        <v>410</v>
      </c>
      <c r="F1290" s="40"/>
      <c r="G1290" s="41" t="s">
        <v>13</v>
      </c>
      <c r="H1290" s="42">
        <v>11714.0</v>
      </c>
      <c r="I1290" s="43">
        <v>83.5069148</v>
      </c>
      <c r="J1290" s="42">
        <v>14640.0</v>
      </c>
      <c r="K1290" s="43">
        <v>93.1557377</v>
      </c>
    </row>
    <row r="1291" ht="15.0" hidden="1" customHeight="1">
      <c r="A1291" s="7"/>
      <c r="B1291" s="39">
        <v>1284.0</v>
      </c>
      <c r="C1291" s="40" t="s">
        <v>17</v>
      </c>
      <c r="D1291" s="40" t="s">
        <v>401</v>
      </c>
      <c r="E1291" s="40" t="s">
        <v>410</v>
      </c>
      <c r="F1291" s="40"/>
      <c r="G1291" s="41" t="s">
        <v>14</v>
      </c>
      <c r="H1291" s="42">
        <v>10682.0</v>
      </c>
      <c r="I1291" s="43">
        <v>9.193035</v>
      </c>
      <c r="J1291" s="42">
        <v>10813.0</v>
      </c>
      <c r="K1291" s="43">
        <v>14.6675298</v>
      </c>
    </row>
    <row r="1292" ht="15.0" customHeight="1">
      <c r="A1292" s="7"/>
      <c r="B1292" s="44">
        <v>1285.0</v>
      </c>
      <c r="C1292" s="45" t="s">
        <v>19</v>
      </c>
      <c r="D1292" s="50" t="s">
        <v>401</v>
      </c>
      <c r="E1292" s="50" t="s">
        <v>410</v>
      </c>
      <c r="F1292" s="50" t="s">
        <v>411</v>
      </c>
      <c r="G1292" s="51" t="s">
        <v>411</v>
      </c>
      <c r="H1292" s="46">
        <v>16415.0</v>
      </c>
      <c r="I1292" s="47">
        <v>62.1626561</v>
      </c>
      <c r="J1292" s="46">
        <v>17711.0</v>
      </c>
      <c r="K1292" s="47">
        <v>73.0450003</v>
      </c>
    </row>
    <row r="1293" ht="15.0" hidden="1" customHeight="1">
      <c r="A1293" s="7"/>
      <c r="B1293" s="39">
        <v>1286.0</v>
      </c>
      <c r="C1293" s="40" t="s">
        <v>19</v>
      </c>
      <c r="D1293" s="40" t="s">
        <v>401</v>
      </c>
      <c r="E1293" s="40" t="s">
        <v>410</v>
      </c>
      <c r="F1293" s="40" t="s">
        <v>411</v>
      </c>
      <c r="G1293" s="41" t="s">
        <v>13</v>
      </c>
      <c r="H1293" s="42">
        <v>11714.0</v>
      </c>
      <c r="I1293" s="43">
        <v>83.5069148</v>
      </c>
      <c r="J1293" s="42">
        <v>12682.0</v>
      </c>
      <c r="K1293" s="43">
        <v>94.9692478</v>
      </c>
    </row>
    <row r="1294" ht="15.0" hidden="1" customHeight="1">
      <c r="A1294" s="7"/>
      <c r="B1294" s="39">
        <v>1287.0</v>
      </c>
      <c r="C1294" s="40" t="s">
        <v>19</v>
      </c>
      <c r="D1294" s="40" t="s">
        <v>401</v>
      </c>
      <c r="E1294" s="40" t="s">
        <v>410</v>
      </c>
      <c r="F1294" s="40" t="s">
        <v>411</v>
      </c>
      <c r="G1294" s="41" t="s">
        <v>14</v>
      </c>
      <c r="H1294" s="42">
        <v>4701.0</v>
      </c>
      <c r="I1294" s="43">
        <v>8.9768134</v>
      </c>
      <c r="J1294" s="42">
        <v>5029.0</v>
      </c>
      <c r="K1294" s="43">
        <v>17.7570093</v>
      </c>
    </row>
    <row r="1295" ht="15.0" customHeight="1">
      <c r="A1295" s="7"/>
      <c r="B1295" s="44">
        <v>1288.0</v>
      </c>
      <c r="C1295" s="45" t="s">
        <v>19</v>
      </c>
      <c r="D1295" s="50" t="s">
        <v>401</v>
      </c>
      <c r="E1295" s="50" t="s">
        <v>410</v>
      </c>
      <c r="F1295" s="50" t="s">
        <v>412</v>
      </c>
      <c r="G1295" s="51" t="s">
        <v>412</v>
      </c>
      <c r="H1295" s="46">
        <v>5981.0</v>
      </c>
      <c r="I1295" s="47">
        <v>9.3629828</v>
      </c>
      <c r="J1295" s="46">
        <v>7742.0</v>
      </c>
      <c r="K1295" s="47">
        <v>29.5401705</v>
      </c>
    </row>
    <row r="1296" ht="15.0" hidden="1" customHeight="1">
      <c r="A1296" s="7"/>
      <c r="B1296" s="39">
        <v>1289.0</v>
      </c>
      <c r="C1296" s="40" t="s">
        <v>19</v>
      </c>
      <c r="D1296" s="40" t="s">
        <v>401</v>
      </c>
      <c r="E1296" s="40" t="s">
        <v>410</v>
      </c>
      <c r="F1296" s="40" t="s">
        <v>412</v>
      </c>
      <c r="G1296" s="41" t="s">
        <v>13</v>
      </c>
      <c r="H1296" s="42"/>
      <c r="I1296" s="43"/>
      <c r="J1296" s="42">
        <v>1958.0</v>
      </c>
      <c r="K1296" s="43">
        <v>81.4096016</v>
      </c>
    </row>
    <row r="1297" ht="15.0" hidden="1" customHeight="1">
      <c r="A1297" s="7"/>
      <c r="B1297" s="39">
        <v>1290.0</v>
      </c>
      <c r="C1297" s="40" t="s">
        <v>19</v>
      </c>
      <c r="D1297" s="40" t="s">
        <v>401</v>
      </c>
      <c r="E1297" s="40" t="s">
        <v>410</v>
      </c>
      <c r="F1297" s="40" t="s">
        <v>412</v>
      </c>
      <c r="G1297" s="41" t="s">
        <v>14</v>
      </c>
      <c r="H1297" s="42">
        <v>5981.0</v>
      </c>
      <c r="I1297" s="43">
        <v>9.3629828</v>
      </c>
      <c r="J1297" s="42">
        <v>5784.0</v>
      </c>
      <c r="K1297" s="43">
        <v>11.9813278</v>
      </c>
    </row>
    <row r="1298" ht="15.0" hidden="1" customHeight="1">
      <c r="A1298" s="7"/>
      <c r="B1298" s="35">
        <v>1291.0</v>
      </c>
      <c r="C1298" s="36" t="s">
        <v>17</v>
      </c>
      <c r="D1298" s="49" t="s">
        <v>401</v>
      </c>
      <c r="E1298" s="49" t="s">
        <v>413</v>
      </c>
      <c r="F1298" s="49"/>
      <c r="G1298" s="36" t="s">
        <v>413</v>
      </c>
      <c r="H1298" s="37">
        <v>18553.0</v>
      </c>
      <c r="I1298" s="38">
        <v>38.3064733</v>
      </c>
      <c r="J1298" s="37">
        <v>20956.0</v>
      </c>
      <c r="K1298" s="38">
        <v>55.1059362</v>
      </c>
    </row>
    <row r="1299" ht="15.0" hidden="1" customHeight="1">
      <c r="A1299" s="7"/>
      <c r="B1299" s="39">
        <v>1292.0</v>
      </c>
      <c r="C1299" s="40" t="s">
        <v>17</v>
      </c>
      <c r="D1299" s="40" t="s">
        <v>401</v>
      </c>
      <c r="E1299" s="40" t="s">
        <v>413</v>
      </c>
      <c r="F1299" s="40"/>
      <c r="G1299" s="41" t="s">
        <v>13</v>
      </c>
      <c r="H1299" s="42">
        <v>9772.0</v>
      </c>
      <c r="I1299" s="43">
        <v>64.019648</v>
      </c>
      <c r="J1299" s="42">
        <v>10027.0</v>
      </c>
      <c r="K1299" s="43">
        <v>89.0695123</v>
      </c>
    </row>
    <row r="1300" ht="15.0" hidden="1" customHeight="1">
      <c r="A1300" s="7"/>
      <c r="B1300" s="39">
        <v>1293.0</v>
      </c>
      <c r="C1300" s="40" t="s">
        <v>17</v>
      </c>
      <c r="D1300" s="40" t="s">
        <v>401</v>
      </c>
      <c r="E1300" s="40" t="s">
        <v>413</v>
      </c>
      <c r="F1300" s="40"/>
      <c r="G1300" s="41" t="s">
        <v>14</v>
      </c>
      <c r="H1300" s="42">
        <v>8781.0</v>
      </c>
      <c r="I1300" s="43">
        <v>9.6913791</v>
      </c>
      <c r="J1300" s="42">
        <v>10929.0</v>
      </c>
      <c r="K1300" s="43">
        <v>23.9454662</v>
      </c>
    </row>
    <row r="1301" ht="15.0" customHeight="1">
      <c r="A1301" s="7"/>
      <c r="B1301" s="44">
        <v>1294.0</v>
      </c>
      <c r="C1301" s="45" t="s">
        <v>19</v>
      </c>
      <c r="D1301" s="50" t="s">
        <v>401</v>
      </c>
      <c r="E1301" s="50" t="s">
        <v>413</v>
      </c>
      <c r="F1301" s="50" t="s">
        <v>342</v>
      </c>
      <c r="G1301" s="51" t="s">
        <v>342</v>
      </c>
      <c r="H1301" s="46">
        <v>18553.0</v>
      </c>
      <c r="I1301" s="47">
        <v>38.3064733</v>
      </c>
      <c r="J1301" s="46">
        <v>20956.0</v>
      </c>
      <c r="K1301" s="47">
        <v>55.1059362</v>
      </c>
    </row>
    <row r="1302" ht="15.0" hidden="1" customHeight="1">
      <c r="A1302" s="7"/>
      <c r="B1302" s="39">
        <v>1295.0</v>
      </c>
      <c r="C1302" s="40" t="s">
        <v>19</v>
      </c>
      <c r="D1302" s="40" t="s">
        <v>401</v>
      </c>
      <c r="E1302" s="40" t="s">
        <v>413</v>
      </c>
      <c r="F1302" s="40" t="s">
        <v>342</v>
      </c>
      <c r="G1302" s="41" t="s">
        <v>13</v>
      </c>
      <c r="H1302" s="42">
        <v>9772.0</v>
      </c>
      <c r="I1302" s="43">
        <v>64.019648</v>
      </c>
      <c r="J1302" s="42">
        <v>10027.0</v>
      </c>
      <c r="K1302" s="43">
        <v>89.0695123</v>
      </c>
    </row>
    <row r="1303" ht="15.0" hidden="1" customHeight="1">
      <c r="A1303" s="7"/>
      <c r="B1303" s="39">
        <v>1296.0</v>
      </c>
      <c r="C1303" s="40" t="s">
        <v>19</v>
      </c>
      <c r="D1303" s="40" t="s">
        <v>401</v>
      </c>
      <c r="E1303" s="40" t="s">
        <v>413</v>
      </c>
      <c r="F1303" s="40" t="s">
        <v>342</v>
      </c>
      <c r="G1303" s="41" t="s">
        <v>14</v>
      </c>
      <c r="H1303" s="42">
        <v>8781.0</v>
      </c>
      <c r="I1303" s="43">
        <v>9.6913791</v>
      </c>
      <c r="J1303" s="42">
        <v>10929.0</v>
      </c>
      <c r="K1303" s="43">
        <v>23.9454662</v>
      </c>
    </row>
    <row r="1304" ht="15.0" hidden="1" customHeight="1">
      <c r="A1304" s="7"/>
      <c r="B1304" s="35">
        <v>1297.0</v>
      </c>
      <c r="C1304" s="36" t="s">
        <v>17</v>
      </c>
      <c r="D1304" s="49" t="s">
        <v>401</v>
      </c>
      <c r="E1304" s="49" t="s">
        <v>414</v>
      </c>
      <c r="F1304" s="49"/>
      <c r="G1304" s="36" t="s">
        <v>414</v>
      </c>
      <c r="H1304" s="37">
        <v>15438.0</v>
      </c>
      <c r="I1304" s="38">
        <v>25.3335924</v>
      </c>
      <c r="J1304" s="37">
        <v>19081.0</v>
      </c>
      <c r="K1304" s="38">
        <v>45.1705885</v>
      </c>
    </row>
    <row r="1305" ht="15.0" hidden="1" customHeight="1">
      <c r="A1305" s="7"/>
      <c r="B1305" s="39">
        <v>1298.0</v>
      </c>
      <c r="C1305" s="40" t="s">
        <v>17</v>
      </c>
      <c r="D1305" s="40" t="s">
        <v>401</v>
      </c>
      <c r="E1305" s="40" t="s">
        <v>414</v>
      </c>
      <c r="F1305" s="40"/>
      <c r="G1305" s="41" t="s">
        <v>13</v>
      </c>
      <c r="H1305" s="42">
        <v>2264.0</v>
      </c>
      <c r="I1305" s="43">
        <v>64.1342756</v>
      </c>
      <c r="J1305" s="42">
        <v>2403.0</v>
      </c>
      <c r="K1305" s="43">
        <v>94.3820225</v>
      </c>
    </row>
    <row r="1306" ht="15.0" hidden="1" customHeight="1">
      <c r="A1306" s="7"/>
      <c r="B1306" s="39">
        <v>1299.0</v>
      </c>
      <c r="C1306" s="40" t="s">
        <v>17</v>
      </c>
      <c r="D1306" s="40" t="s">
        <v>401</v>
      </c>
      <c r="E1306" s="40" t="s">
        <v>414</v>
      </c>
      <c r="F1306" s="40"/>
      <c r="G1306" s="41" t="s">
        <v>14</v>
      </c>
      <c r="H1306" s="42">
        <v>13174.0</v>
      </c>
      <c r="I1306" s="43">
        <v>18.6655534</v>
      </c>
      <c r="J1306" s="42">
        <v>16678.0</v>
      </c>
      <c r="K1306" s="43">
        <v>38.0801055</v>
      </c>
    </row>
    <row r="1307" ht="15.0" customHeight="1">
      <c r="A1307" s="7"/>
      <c r="B1307" s="44">
        <v>1300.0</v>
      </c>
      <c r="C1307" s="45" t="s">
        <v>19</v>
      </c>
      <c r="D1307" s="50" t="s">
        <v>401</v>
      </c>
      <c r="E1307" s="50" t="s">
        <v>414</v>
      </c>
      <c r="F1307" s="50" t="s">
        <v>415</v>
      </c>
      <c r="G1307" s="51" t="s">
        <v>415</v>
      </c>
      <c r="H1307" s="46">
        <v>3706.0</v>
      </c>
      <c r="I1307" s="47">
        <v>14.2201835</v>
      </c>
      <c r="J1307" s="46">
        <v>4217.0</v>
      </c>
      <c r="K1307" s="47">
        <v>36.376571</v>
      </c>
    </row>
    <row r="1308" ht="15.0" hidden="1" customHeight="1">
      <c r="A1308" s="7"/>
      <c r="B1308" s="39">
        <v>1301.0</v>
      </c>
      <c r="C1308" s="40" t="s">
        <v>19</v>
      </c>
      <c r="D1308" s="40" t="s">
        <v>401</v>
      </c>
      <c r="E1308" s="40" t="s">
        <v>414</v>
      </c>
      <c r="F1308" s="40" t="s">
        <v>415</v>
      </c>
      <c r="G1308" s="41" t="s">
        <v>13</v>
      </c>
      <c r="H1308" s="42"/>
      <c r="I1308" s="43"/>
      <c r="J1308" s="42"/>
      <c r="K1308" s="43"/>
    </row>
    <row r="1309" ht="15.0" hidden="1" customHeight="1">
      <c r="A1309" s="7"/>
      <c r="B1309" s="39">
        <v>1302.0</v>
      </c>
      <c r="C1309" s="40" t="s">
        <v>19</v>
      </c>
      <c r="D1309" s="40" t="s">
        <v>401</v>
      </c>
      <c r="E1309" s="40" t="s">
        <v>414</v>
      </c>
      <c r="F1309" s="40" t="s">
        <v>415</v>
      </c>
      <c r="G1309" s="41" t="s">
        <v>14</v>
      </c>
      <c r="H1309" s="42">
        <v>3706.0</v>
      </c>
      <c r="I1309" s="43">
        <v>14.2201835</v>
      </c>
      <c r="J1309" s="42">
        <v>4217.0</v>
      </c>
      <c r="K1309" s="43">
        <v>36.376571</v>
      </c>
    </row>
    <row r="1310" ht="15.0" customHeight="1">
      <c r="A1310" s="7"/>
      <c r="B1310" s="44">
        <v>1303.0</v>
      </c>
      <c r="C1310" s="45" t="s">
        <v>19</v>
      </c>
      <c r="D1310" s="50" t="s">
        <v>401</v>
      </c>
      <c r="E1310" s="50" t="s">
        <v>414</v>
      </c>
      <c r="F1310" s="50" t="s">
        <v>416</v>
      </c>
      <c r="G1310" s="51" t="s">
        <v>416</v>
      </c>
      <c r="H1310" s="46">
        <v>11732.0</v>
      </c>
      <c r="I1310" s="47">
        <v>28.8441868</v>
      </c>
      <c r="J1310" s="46">
        <v>14864.0</v>
      </c>
      <c r="K1310" s="47">
        <v>47.6655005</v>
      </c>
    </row>
    <row r="1311" ht="15.0" hidden="1" customHeight="1">
      <c r="A1311" s="7"/>
      <c r="B1311" s="39">
        <v>1304.0</v>
      </c>
      <c r="C1311" s="40" t="s">
        <v>19</v>
      </c>
      <c r="D1311" s="40" t="s">
        <v>401</v>
      </c>
      <c r="E1311" s="40" t="s">
        <v>414</v>
      </c>
      <c r="F1311" s="40" t="s">
        <v>416</v>
      </c>
      <c r="G1311" s="41" t="s">
        <v>13</v>
      </c>
      <c r="H1311" s="42">
        <v>2264.0</v>
      </c>
      <c r="I1311" s="43">
        <v>64.1342756</v>
      </c>
      <c r="J1311" s="42">
        <v>2403.0</v>
      </c>
      <c r="K1311" s="43">
        <v>94.3820225</v>
      </c>
    </row>
    <row r="1312" ht="15.0" hidden="1" customHeight="1">
      <c r="A1312" s="7"/>
      <c r="B1312" s="39">
        <v>1305.0</v>
      </c>
      <c r="C1312" s="40" t="s">
        <v>19</v>
      </c>
      <c r="D1312" s="40" t="s">
        <v>401</v>
      </c>
      <c r="E1312" s="40" t="s">
        <v>414</v>
      </c>
      <c r="F1312" s="40" t="s">
        <v>416</v>
      </c>
      <c r="G1312" s="41" t="s">
        <v>14</v>
      </c>
      <c r="H1312" s="42">
        <v>9468.0</v>
      </c>
      <c r="I1312" s="43">
        <v>20.4055767</v>
      </c>
      <c r="J1312" s="42">
        <v>12461.0</v>
      </c>
      <c r="K1312" s="43">
        <v>38.6566086</v>
      </c>
    </row>
    <row r="1313" ht="15.0" hidden="1" customHeight="1">
      <c r="A1313" s="7"/>
      <c r="B1313" s="35">
        <v>1306.0</v>
      </c>
      <c r="C1313" s="36" t="s">
        <v>17</v>
      </c>
      <c r="D1313" s="49" t="s">
        <v>401</v>
      </c>
      <c r="E1313" s="49" t="s">
        <v>417</v>
      </c>
      <c r="F1313" s="49"/>
      <c r="G1313" s="36" t="s">
        <v>417</v>
      </c>
      <c r="H1313" s="37">
        <v>12026.0</v>
      </c>
      <c r="I1313" s="38">
        <v>42.2750707</v>
      </c>
      <c r="J1313" s="37">
        <v>12576.0</v>
      </c>
      <c r="K1313" s="38">
        <v>70.7379135</v>
      </c>
    </row>
    <row r="1314" ht="15.0" hidden="1" customHeight="1">
      <c r="A1314" s="7"/>
      <c r="B1314" s="39">
        <v>1307.0</v>
      </c>
      <c r="C1314" s="40" t="s">
        <v>17</v>
      </c>
      <c r="D1314" s="40" t="s">
        <v>401</v>
      </c>
      <c r="E1314" s="40" t="s">
        <v>417</v>
      </c>
      <c r="F1314" s="40"/>
      <c r="G1314" s="41" t="s">
        <v>13</v>
      </c>
      <c r="H1314" s="42">
        <v>7589.0</v>
      </c>
      <c r="I1314" s="43">
        <v>61.5627882</v>
      </c>
      <c r="J1314" s="42">
        <v>8110.0</v>
      </c>
      <c r="K1314" s="43">
        <v>88.9395808</v>
      </c>
    </row>
    <row r="1315" ht="15.0" hidden="1" customHeight="1">
      <c r="A1315" s="7"/>
      <c r="B1315" s="39">
        <v>1308.0</v>
      </c>
      <c r="C1315" s="40" t="s">
        <v>17</v>
      </c>
      <c r="D1315" s="40" t="s">
        <v>401</v>
      </c>
      <c r="E1315" s="40" t="s">
        <v>417</v>
      </c>
      <c r="F1315" s="40"/>
      <c r="G1315" s="41" t="s">
        <v>14</v>
      </c>
      <c r="H1315" s="42">
        <v>4437.0</v>
      </c>
      <c r="I1315" s="43">
        <v>9.2855533</v>
      </c>
      <c r="J1315" s="42">
        <v>4466.0</v>
      </c>
      <c r="K1315" s="43">
        <v>37.6847291</v>
      </c>
    </row>
    <row r="1316" ht="15.0" customHeight="1">
      <c r="A1316" s="7"/>
      <c r="B1316" s="44">
        <v>1309.0</v>
      </c>
      <c r="C1316" s="45" t="s">
        <v>19</v>
      </c>
      <c r="D1316" s="50" t="s">
        <v>401</v>
      </c>
      <c r="E1316" s="50" t="s">
        <v>417</v>
      </c>
      <c r="F1316" s="50" t="s">
        <v>418</v>
      </c>
      <c r="G1316" s="51" t="s">
        <v>418</v>
      </c>
      <c r="H1316" s="46">
        <v>6490.0</v>
      </c>
      <c r="I1316" s="47">
        <v>45.96302</v>
      </c>
      <c r="J1316" s="46">
        <v>6201.0</v>
      </c>
      <c r="K1316" s="47">
        <v>75.8748589</v>
      </c>
    </row>
    <row r="1317" ht="15.0" hidden="1" customHeight="1">
      <c r="A1317" s="7"/>
      <c r="B1317" s="39">
        <v>1310.0</v>
      </c>
      <c r="C1317" s="40" t="s">
        <v>19</v>
      </c>
      <c r="D1317" s="40" t="s">
        <v>401</v>
      </c>
      <c r="E1317" s="40" t="s">
        <v>417</v>
      </c>
      <c r="F1317" s="40" t="s">
        <v>418</v>
      </c>
      <c r="G1317" s="41" t="s">
        <v>13</v>
      </c>
      <c r="H1317" s="42">
        <v>4209.0</v>
      </c>
      <c r="I1317" s="43">
        <v>65.2649085</v>
      </c>
      <c r="J1317" s="42">
        <v>4353.0</v>
      </c>
      <c r="K1317" s="43">
        <v>91.1784976</v>
      </c>
    </row>
    <row r="1318" ht="15.0" hidden="1" customHeight="1">
      <c r="A1318" s="7"/>
      <c r="B1318" s="39">
        <v>1311.0</v>
      </c>
      <c r="C1318" s="40" t="s">
        <v>19</v>
      </c>
      <c r="D1318" s="40" t="s">
        <v>401</v>
      </c>
      <c r="E1318" s="40" t="s">
        <v>417</v>
      </c>
      <c r="F1318" s="40" t="s">
        <v>418</v>
      </c>
      <c r="G1318" s="41" t="s">
        <v>14</v>
      </c>
      <c r="H1318" s="42">
        <v>2281.0</v>
      </c>
      <c r="I1318" s="43">
        <v>10.3463393</v>
      </c>
      <c r="J1318" s="42">
        <v>1848.0</v>
      </c>
      <c r="K1318" s="43">
        <v>39.8268398</v>
      </c>
    </row>
    <row r="1319" ht="15.0" customHeight="1">
      <c r="A1319" s="7"/>
      <c r="B1319" s="44">
        <v>1312.0</v>
      </c>
      <c r="C1319" s="45" t="s">
        <v>19</v>
      </c>
      <c r="D1319" s="50" t="s">
        <v>401</v>
      </c>
      <c r="E1319" s="50" t="s">
        <v>417</v>
      </c>
      <c r="F1319" s="50" t="s">
        <v>387</v>
      </c>
      <c r="G1319" s="51" t="s">
        <v>387</v>
      </c>
      <c r="H1319" s="46">
        <v>4704.0</v>
      </c>
      <c r="I1319" s="47">
        <v>41.8792517</v>
      </c>
      <c r="J1319" s="46">
        <v>5324.0</v>
      </c>
      <c r="K1319" s="47">
        <v>65.5709992</v>
      </c>
    </row>
    <row r="1320" ht="15.0" hidden="1" customHeight="1">
      <c r="A1320" s="7"/>
      <c r="B1320" s="39">
        <v>1313.0</v>
      </c>
      <c r="C1320" s="40" t="s">
        <v>19</v>
      </c>
      <c r="D1320" s="40" t="s">
        <v>401</v>
      </c>
      <c r="E1320" s="40" t="s">
        <v>417</v>
      </c>
      <c r="F1320" s="40" t="s">
        <v>387</v>
      </c>
      <c r="G1320" s="41" t="s">
        <v>13</v>
      </c>
      <c r="H1320" s="42">
        <v>3380.0</v>
      </c>
      <c r="I1320" s="43">
        <v>56.9526627</v>
      </c>
      <c r="J1320" s="42">
        <v>3757.0</v>
      </c>
      <c r="K1320" s="43">
        <v>86.3454884</v>
      </c>
    </row>
    <row r="1321" ht="15.0" hidden="1" customHeight="1">
      <c r="A1321" s="7"/>
      <c r="B1321" s="39">
        <v>1314.0</v>
      </c>
      <c r="C1321" s="40" t="s">
        <v>19</v>
      </c>
      <c r="D1321" s="40" t="s">
        <v>401</v>
      </c>
      <c r="E1321" s="40" t="s">
        <v>417</v>
      </c>
      <c r="F1321" s="40" t="s">
        <v>387</v>
      </c>
      <c r="G1321" s="41" t="s">
        <v>14</v>
      </c>
      <c r="H1321" s="42">
        <v>1324.0</v>
      </c>
      <c r="I1321" s="43">
        <v>3.3987915</v>
      </c>
      <c r="J1321" s="42">
        <v>1567.0</v>
      </c>
      <c r="K1321" s="43">
        <v>15.7626037</v>
      </c>
    </row>
    <row r="1322" ht="15.0" customHeight="1">
      <c r="A1322" s="7"/>
      <c r="B1322" s="44">
        <v>1315.0</v>
      </c>
      <c r="C1322" s="45" t="s">
        <v>19</v>
      </c>
      <c r="D1322" s="50" t="s">
        <v>401</v>
      </c>
      <c r="E1322" s="50" t="s">
        <v>417</v>
      </c>
      <c r="F1322" s="50" t="s">
        <v>419</v>
      </c>
      <c r="G1322" s="51" t="s">
        <v>419</v>
      </c>
      <c r="H1322" s="46">
        <v>832.0</v>
      </c>
      <c r="I1322" s="47">
        <v>15.7451923</v>
      </c>
      <c r="J1322" s="46">
        <v>1051.0</v>
      </c>
      <c r="K1322" s="47">
        <v>66.603235</v>
      </c>
    </row>
    <row r="1323" ht="15.0" hidden="1" customHeight="1">
      <c r="A1323" s="7"/>
      <c r="B1323" s="39">
        <v>1316.0</v>
      </c>
      <c r="C1323" s="40" t="s">
        <v>19</v>
      </c>
      <c r="D1323" s="40" t="s">
        <v>401</v>
      </c>
      <c r="E1323" s="40" t="s">
        <v>417</v>
      </c>
      <c r="F1323" s="40" t="s">
        <v>419</v>
      </c>
      <c r="G1323" s="41" t="s">
        <v>13</v>
      </c>
      <c r="H1323" s="42"/>
      <c r="I1323" s="43"/>
      <c r="J1323" s="42"/>
      <c r="K1323" s="43"/>
    </row>
    <row r="1324" ht="15.0" hidden="1" customHeight="1">
      <c r="A1324" s="7"/>
      <c r="B1324" s="39">
        <v>1317.0</v>
      </c>
      <c r="C1324" s="40" t="s">
        <v>19</v>
      </c>
      <c r="D1324" s="40" t="s">
        <v>401</v>
      </c>
      <c r="E1324" s="40" t="s">
        <v>417</v>
      </c>
      <c r="F1324" s="40" t="s">
        <v>419</v>
      </c>
      <c r="G1324" s="41" t="s">
        <v>14</v>
      </c>
      <c r="H1324" s="42">
        <v>832.0</v>
      </c>
      <c r="I1324" s="43">
        <v>15.7451923</v>
      </c>
      <c r="J1324" s="42">
        <v>1051.0</v>
      </c>
      <c r="K1324" s="43">
        <v>66.603235</v>
      </c>
    </row>
    <row r="1325" ht="15.0" hidden="1" customHeight="1">
      <c r="A1325" s="7"/>
      <c r="B1325" s="35">
        <v>1318.0</v>
      </c>
      <c r="C1325" s="36" t="s">
        <v>17</v>
      </c>
      <c r="D1325" s="49" t="s">
        <v>401</v>
      </c>
      <c r="E1325" s="49" t="s">
        <v>420</v>
      </c>
      <c r="F1325" s="49"/>
      <c r="G1325" s="36" t="s">
        <v>420</v>
      </c>
      <c r="H1325" s="37">
        <v>20389.0</v>
      </c>
      <c r="I1325" s="38">
        <v>38.2853499</v>
      </c>
      <c r="J1325" s="37">
        <v>24112.0</v>
      </c>
      <c r="K1325" s="38">
        <v>59.9618447</v>
      </c>
    </row>
    <row r="1326" ht="15.0" hidden="1" customHeight="1">
      <c r="A1326" s="7"/>
      <c r="B1326" s="39">
        <v>1319.0</v>
      </c>
      <c r="C1326" s="40" t="s">
        <v>17</v>
      </c>
      <c r="D1326" s="40" t="s">
        <v>401</v>
      </c>
      <c r="E1326" s="40" t="s">
        <v>420</v>
      </c>
      <c r="F1326" s="40"/>
      <c r="G1326" s="41" t="s">
        <v>13</v>
      </c>
      <c r="H1326" s="42">
        <v>11939.0</v>
      </c>
      <c r="I1326" s="43">
        <v>51.2689505</v>
      </c>
      <c r="J1326" s="42">
        <v>13883.0</v>
      </c>
      <c r="K1326" s="43">
        <v>76.0930635</v>
      </c>
    </row>
    <row r="1327" ht="15.0" hidden="1" customHeight="1">
      <c r="A1327" s="7"/>
      <c r="B1327" s="39">
        <v>1320.0</v>
      </c>
      <c r="C1327" s="40" t="s">
        <v>17</v>
      </c>
      <c r="D1327" s="40" t="s">
        <v>401</v>
      </c>
      <c r="E1327" s="40" t="s">
        <v>420</v>
      </c>
      <c r="F1327" s="40"/>
      <c r="G1327" s="41" t="s">
        <v>14</v>
      </c>
      <c r="H1327" s="42">
        <v>8450.0</v>
      </c>
      <c r="I1327" s="43">
        <v>19.9408284</v>
      </c>
      <c r="J1327" s="42">
        <v>10229.0</v>
      </c>
      <c r="K1327" s="43">
        <v>38.0682374</v>
      </c>
    </row>
    <row r="1328" ht="15.0" customHeight="1">
      <c r="A1328" s="7"/>
      <c r="B1328" s="44">
        <v>1321.0</v>
      </c>
      <c r="C1328" s="45" t="s">
        <v>19</v>
      </c>
      <c r="D1328" s="50" t="s">
        <v>401</v>
      </c>
      <c r="E1328" s="50" t="s">
        <v>420</v>
      </c>
      <c r="F1328" s="50" t="s">
        <v>421</v>
      </c>
      <c r="G1328" s="51" t="s">
        <v>421</v>
      </c>
      <c r="H1328" s="46">
        <v>10967.0</v>
      </c>
      <c r="I1328" s="47">
        <v>43.5488283</v>
      </c>
      <c r="J1328" s="46">
        <v>12465.0</v>
      </c>
      <c r="K1328" s="47">
        <v>65.5274769</v>
      </c>
    </row>
    <row r="1329" ht="15.0" hidden="1" customHeight="1">
      <c r="A1329" s="7"/>
      <c r="B1329" s="39">
        <v>1322.0</v>
      </c>
      <c r="C1329" s="40" t="s">
        <v>19</v>
      </c>
      <c r="D1329" s="40" t="s">
        <v>401</v>
      </c>
      <c r="E1329" s="40" t="s">
        <v>420</v>
      </c>
      <c r="F1329" s="40" t="s">
        <v>421</v>
      </c>
      <c r="G1329" s="41" t="s">
        <v>13</v>
      </c>
      <c r="H1329" s="42">
        <v>7856.0</v>
      </c>
      <c r="I1329" s="43">
        <v>55.3971487</v>
      </c>
      <c r="J1329" s="42">
        <v>9587.0</v>
      </c>
      <c r="K1329" s="43">
        <v>76.5411495</v>
      </c>
    </row>
    <row r="1330" ht="15.0" hidden="1" customHeight="1">
      <c r="A1330" s="7"/>
      <c r="B1330" s="39">
        <v>1323.0</v>
      </c>
      <c r="C1330" s="40" t="s">
        <v>19</v>
      </c>
      <c r="D1330" s="40" t="s">
        <v>401</v>
      </c>
      <c r="E1330" s="40" t="s">
        <v>420</v>
      </c>
      <c r="F1330" s="40" t="s">
        <v>421</v>
      </c>
      <c r="G1330" s="41" t="s">
        <v>14</v>
      </c>
      <c r="H1330" s="42">
        <v>3111.0</v>
      </c>
      <c r="I1330" s="43">
        <v>13.6290582</v>
      </c>
      <c r="J1330" s="42">
        <v>2878.0</v>
      </c>
      <c r="K1330" s="43">
        <v>28.8394719</v>
      </c>
    </row>
    <row r="1331" ht="15.0" customHeight="1">
      <c r="A1331" s="7"/>
      <c r="B1331" s="44">
        <v>1324.0</v>
      </c>
      <c r="C1331" s="45" t="s">
        <v>19</v>
      </c>
      <c r="D1331" s="50" t="s">
        <v>401</v>
      </c>
      <c r="E1331" s="50" t="s">
        <v>420</v>
      </c>
      <c r="F1331" s="50" t="s">
        <v>422</v>
      </c>
      <c r="G1331" s="51" t="s">
        <v>422</v>
      </c>
      <c r="H1331" s="46">
        <v>5439.0</v>
      </c>
      <c r="I1331" s="47">
        <v>36.109579</v>
      </c>
      <c r="J1331" s="46">
        <v>7084.0</v>
      </c>
      <c r="K1331" s="47">
        <v>51.2987013</v>
      </c>
    </row>
    <row r="1332" ht="15.0" hidden="1" customHeight="1">
      <c r="A1332" s="7"/>
      <c r="B1332" s="39">
        <v>1325.0</v>
      </c>
      <c r="C1332" s="40" t="s">
        <v>19</v>
      </c>
      <c r="D1332" s="40" t="s">
        <v>401</v>
      </c>
      <c r="E1332" s="40" t="s">
        <v>420</v>
      </c>
      <c r="F1332" s="40" t="s">
        <v>422</v>
      </c>
      <c r="G1332" s="41" t="s">
        <v>13</v>
      </c>
      <c r="H1332" s="42">
        <v>2072.0</v>
      </c>
      <c r="I1332" s="43">
        <v>50.2895753</v>
      </c>
      <c r="J1332" s="42">
        <v>2097.0</v>
      </c>
      <c r="K1332" s="43">
        <v>76.72866</v>
      </c>
    </row>
    <row r="1333" ht="15.0" hidden="1" customHeight="1">
      <c r="A1333" s="7"/>
      <c r="B1333" s="39">
        <v>1326.0</v>
      </c>
      <c r="C1333" s="40" t="s">
        <v>19</v>
      </c>
      <c r="D1333" s="40" t="s">
        <v>401</v>
      </c>
      <c r="E1333" s="40" t="s">
        <v>420</v>
      </c>
      <c r="F1333" s="40" t="s">
        <v>422</v>
      </c>
      <c r="G1333" s="41" t="s">
        <v>14</v>
      </c>
      <c r="H1333" s="42">
        <v>3367.0</v>
      </c>
      <c r="I1333" s="43">
        <v>27.3834274</v>
      </c>
      <c r="J1333" s="42">
        <v>4987.0</v>
      </c>
      <c r="K1333" s="43">
        <v>40.6055745</v>
      </c>
    </row>
    <row r="1334" ht="15.0" customHeight="1">
      <c r="A1334" s="7"/>
      <c r="B1334" s="44">
        <v>1327.0</v>
      </c>
      <c r="C1334" s="45" t="s">
        <v>19</v>
      </c>
      <c r="D1334" s="50" t="s">
        <v>401</v>
      </c>
      <c r="E1334" s="50" t="s">
        <v>420</v>
      </c>
      <c r="F1334" s="50" t="s">
        <v>423</v>
      </c>
      <c r="G1334" s="51" t="s">
        <v>423</v>
      </c>
      <c r="H1334" s="46">
        <v>3983.0</v>
      </c>
      <c r="I1334" s="47">
        <v>26.7637459</v>
      </c>
      <c r="J1334" s="46">
        <v>4563.0</v>
      </c>
      <c r="K1334" s="47">
        <v>58.2073197</v>
      </c>
    </row>
    <row r="1335" ht="15.0" hidden="1" customHeight="1">
      <c r="A1335" s="7"/>
      <c r="B1335" s="39">
        <v>1328.0</v>
      </c>
      <c r="C1335" s="40" t="s">
        <v>19</v>
      </c>
      <c r="D1335" s="40" t="s">
        <v>401</v>
      </c>
      <c r="E1335" s="40" t="s">
        <v>420</v>
      </c>
      <c r="F1335" s="40" t="s">
        <v>423</v>
      </c>
      <c r="G1335" s="41" t="s">
        <v>13</v>
      </c>
      <c r="H1335" s="42">
        <v>2011.0</v>
      </c>
      <c r="I1335" s="43">
        <v>36.1511686</v>
      </c>
      <c r="J1335" s="42">
        <v>2199.0</v>
      </c>
      <c r="K1335" s="43">
        <v>73.5334243</v>
      </c>
    </row>
    <row r="1336" ht="15.0" hidden="1" customHeight="1">
      <c r="A1336" s="7"/>
      <c r="B1336" s="39">
        <v>1329.0</v>
      </c>
      <c r="C1336" s="40" t="s">
        <v>19</v>
      </c>
      <c r="D1336" s="40" t="s">
        <v>401</v>
      </c>
      <c r="E1336" s="40" t="s">
        <v>420</v>
      </c>
      <c r="F1336" s="40" t="s">
        <v>423</v>
      </c>
      <c r="G1336" s="41" t="s">
        <v>14</v>
      </c>
      <c r="H1336" s="42">
        <v>1972.0</v>
      </c>
      <c r="I1336" s="43">
        <v>17.1906694</v>
      </c>
      <c r="J1336" s="42">
        <v>2364.0</v>
      </c>
      <c r="K1336" s="43">
        <v>43.9509306</v>
      </c>
    </row>
    <row r="1337" ht="15.0" hidden="1" customHeight="1">
      <c r="A1337" s="7"/>
      <c r="B1337" s="35">
        <v>1330.0</v>
      </c>
      <c r="C1337" s="36" t="s">
        <v>17</v>
      </c>
      <c r="D1337" s="49" t="s">
        <v>401</v>
      </c>
      <c r="E1337" s="49" t="s">
        <v>424</v>
      </c>
      <c r="F1337" s="49"/>
      <c r="G1337" s="36" t="s">
        <v>424</v>
      </c>
      <c r="H1337" s="37">
        <v>3122.0</v>
      </c>
      <c r="I1337" s="38">
        <v>1.7296605</v>
      </c>
      <c r="J1337" s="37">
        <v>3939.0</v>
      </c>
      <c r="K1337" s="38">
        <v>9.0886012</v>
      </c>
    </row>
    <row r="1338" ht="15.0" hidden="1" customHeight="1">
      <c r="A1338" s="7"/>
      <c r="B1338" s="39">
        <v>1331.0</v>
      </c>
      <c r="C1338" s="40" t="s">
        <v>17</v>
      </c>
      <c r="D1338" s="40" t="s">
        <v>401</v>
      </c>
      <c r="E1338" s="40" t="s">
        <v>424</v>
      </c>
      <c r="F1338" s="40"/>
      <c r="G1338" s="41" t="s">
        <v>13</v>
      </c>
      <c r="H1338" s="42"/>
      <c r="I1338" s="43"/>
      <c r="J1338" s="42"/>
      <c r="K1338" s="43"/>
    </row>
    <row r="1339" ht="15.0" hidden="1" customHeight="1">
      <c r="A1339" s="7"/>
      <c r="B1339" s="39">
        <v>1332.0</v>
      </c>
      <c r="C1339" s="40" t="s">
        <v>17</v>
      </c>
      <c r="D1339" s="40" t="s">
        <v>401</v>
      </c>
      <c r="E1339" s="40" t="s">
        <v>424</v>
      </c>
      <c r="F1339" s="40"/>
      <c r="G1339" s="41" t="s">
        <v>14</v>
      </c>
      <c r="H1339" s="42">
        <v>3122.0</v>
      </c>
      <c r="I1339" s="43">
        <v>1.7296605</v>
      </c>
      <c r="J1339" s="42">
        <v>3939.0</v>
      </c>
      <c r="K1339" s="43">
        <v>9.0886012</v>
      </c>
    </row>
    <row r="1340" ht="15.0" customHeight="1">
      <c r="A1340" s="7"/>
      <c r="B1340" s="44">
        <v>1333.0</v>
      </c>
      <c r="C1340" s="45" t="s">
        <v>19</v>
      </c>
      <c r="D1340" s="50" t="s">
        <v>401</v>
      </c>
      <c r="E1340" s="50" t="s">
        <v>424</v>
      </c>
      <c r="F1340" s="50" t="s">
        <v>425</v>
      </c>
      <c r="G1340" s="51" t="s">
        <v>425</v>
      </c>
      <c r="H1340" s="46">
        <v>3122.0</v>
      </c>
      <c r="I1340" s="47">
        <v>1.7296605</v>
      </c>
      <c r="J1340" s="46">
        <v>3939.0</v>
      </c>
      <c r="K1340" s="47">
        <v>9.0886012</v>
      </c>
    </row>
    <row r="1341" ht="15.0" hidden="1" customHeight="1">
      <c r="A1341" s="7"/>
      <c r="B1341" s="39">
        <v>1334.0</v>
      </c>
      <c r="C1341" s="40" t="s">
        <v>19</v>
      </c>
      <c r="D1341" s="40" t="s">
        <v>401</v>
      </c>
      <c r="E1341" s="40" t="s">
        <v>424</v>
      </c>
      <c r="F1341" s="40" t="s">
        <v>425</v>
      </c>
      <c r="G1341" s="41" t="s">
        <v>13</v>
      </c>
      <c r="H1341" s="42"/>
      <c r="I1341" s="43"/>
      <c r="J1341" s="42"/>
      <c r="K1341" s="43"/>
    </row>
    <row r="1342" ht="15.0" hidden="1" customHeight="1">
      <c r="A1342" s="7"/>
      <c r="B1342" s="39">
        <v>1335.0</v>
      </c>
      <c r="C1342" s="40" t="s">
        <v>19</v>
      </c>
      <c r="D1342" s="40" t="s">
        <v>401</v>
      </c>
      <c r="E1342" s="40" t="s">
        <v>424</v>
      </c>
      <c r="F1342" s="40" t="s">
        <v>425</v>
      </c>
      <c r="G1342" s="41" t="s">
        <v>14</v>
      </c>
      <c r="H1342" s="42">
        <v>3122.0</v>
      </c>
      <c r="I1342" s="43">
        <v>1.7296605</v>
      </c>
      <c r="J1342" s="42">
        <v>3939.0</v>
      </c>
      <c r="K1342" s="43">
        <v>9.0886012</v>
      </c>
    </row>
    <row r="1343" ht="15.0" hidden="1" customHeight="1">
      <c r="A1343" s="7"/>
      <c r="B1343" s="27">
        <v>1336.0</v>
      </c>
      <c r="C1343" s="28" t="s">
        <v>15</v>
      </c>
      <c r="D1343" s="28" t="s">
        <v>426</v>
      </c>
      <c r="E1343" s="28"/>
      <c r="F1343" s="28"/>
      <c r="G1343" s="28" t="s">
        <v>426</v>
      </c>
      <c r="H1343" s="29">
        <v>102407.0</v>
      </c>
      <c r="I1343" s="30">
        <v>54.768717</v>
      </c>
      <c r="J1343" s="29">
        <v>126967.0</v>
      </c>
      <c r="K1343" s="30">
        <v>76.752227</v>
      </c>
    </row>
    <row r="1344" ht="15.0" hidden="1" customHeight="1">
      <c r="A1344" s="7"/>
      <c r="B1344" s="31">
        <v>1337.0</v>
      </c>
      <c r="C1344" s="32" t="s">
        <v>15</v>
      </c>
      <c r="D1344" s="48" t="s">
        <v>426</v>
      </c>
      <c r="E1344" s="48"/>
      <c r="F1344" s="48"/>
      <c r="G1344" s="32" t="s">
        <v>13</v>
      </c>
      <c r="H1344" s="33">
        <v>49420.0</v>
      </c>
      <c r="I1344" s="34">
        <v>91.9890732</v>
      </c>
      <c r="J1344" s="33">
        <v>65929.0</v>
      </c>
      <c r="K1344" s="34">
        <v>97.1438972</v>
      </c>
    </row>
    <row r="1345" ht="15.0" hidden="1" customHeight="1">
      <c r="A1345" s="7"/>
      <c r="B1345" s="31">
        <v>1338.0</v>
      </c>
      <c r="C1345" s="32" t="s">
        <v>15</v>
      </c>
      <c r="D1345" s="48" t="s">
        <v>426</v>
      </c>
      <c r="E1345" s="48"/>
      <c r="F1345" s="48"/>
      <c r="G1345" s="32" t="s">
        <v>14</v>
      </c>
      <c r="H1345" s="33">
        <v>52987.0</v>
      </c>
      <c r="I1345" s="34">
        <v>20.0539755</v>
      </c>
      <c r="J1345" s="33">
        <v>61038.0</v>
      </c>
      <c r="K1345" s="34">
        <v>54.7265638</v>
      </c>
    </row>
    <row r="1346" ht="15.0" hidden="1" customHeight="1">
      <c r="A1346" s="7"/>
      <c r="B1346" s="35">
        <v>1339.0</v>
      </c>
      <c r="C1346" s="36" t="s">
        <v>17</v>
      </c>
      <c r="D1346" s="49" t="s">
        <v>426</v>
      </c>
      <c r="E1346" s="49" t="s">
        <v>427</v>
      </c>
      <c r="F1346" s="49"/>
      <c r="G1346" s="36" t="s">
        <v>427</v>
      </c>
      <c r="H1346" s="37">
        <v>55444.0</v>
      </c>
      <c r="I1346" s="38">
        <v>85.1489792</v>
      </c>
      <c r="J1346" s="37">
        <v>65972.0</v>
      </c>
      <c r="K1346" s="38">
        <v>94.7159401</v>
      </c>
    </row>
    <row r="1347" ht="15.0" hidden="1" customHeight="1">
      <c r="A1347" s="7"/>
      <c r="B1347" s="39">
        <v>1340.0</v>
      </c>
      <c r="C1347" s="40" t="s">
        <v>17</v>
      </c>
      <c r="D1347" s="40" t="s">
        <v>426</v>
      </c>
      <c r="E1347" s="40" t="s">
        <v>427</v>
      </c>
      <c r="F1347" s="40"/>
      <c r="G1347" s="41" t="s">
        <v>13</v>
      </c>
      <c r="H1347" s="42">
        <v>44677.0</v>
      </c>
      <c r="I1347" s="43">
        <v>95.1809656</v>
      </c>
      <c r="J1347" s="42">
        <v>56749.0</v>
      </c>
      <c r="K1347" s="43">
        <v>98.5268463</v>
      </c>
    </row>
    <row r="1348" ht="15.0" hidden="1" customHeight="1">
      <c r="A1348" s="7"/>
      <c r="B1348" s="39">
        <v>1341.0</v>
      </c>
      <c r="C1348" s="40" t="s">
        <v>17</v>
      </c>
      <c r="D1348" s="40" t="s">
        <v>426</v>
      </c>
      <c r="E1348" s="40" t="s">
        <v>427</v>
      </c>
      <c r="F1348" s="40"/>
      <c r="G1348" s="41" t="s">
        <v>14</v>
      </c>
      <c r="H1348" s="42">
        <v>10767.0</v>
      </c>
      <c r="I1348" s="43">
        <v>43.5218724</v>
      </c>
      <c r="J1348" s="42">
        <v>9223.0</v>
      </c>
      <c r="K1348" s="43">
        <v>71.2674835</v>
      </c>
    </row>
    <row r="1349" ht="15.0" customHeight="1">
      <c r="A1349" s="7"/>
      <c r="B1349" s="44">
        <v>1342.0</v>
      </c>
      <c r="C1349" s="45" t="s">
        <v>19</v>
      </c>
      <c r="D1349" s="50" t="s">
        <v>426</v>
      </c>
      <c r="E1349" s="50" t="s">
        <v>427</v>
      </c>
      <c r="F1349" s="50" t="s">
        <v>428</v>
      </c>
      <c r="G1349" s="51" t="s">
        <v>428</v>
      </c>
      <c r="H1349" s="46">
        <v>42341.0</v>
      </c>
      <c r="I1349" s="47">
        <v>94.3648001</v>
      </c>
      <c r="J1349" s="46">
        <v>51248.0</v>
      </c>
      <c r="K1349" s="47">
        <v>98.3784733</v>
      </c>
    </row>
    <row r="1350" ht="15.0" hidden="1" customHeight="1">
      <c r="A1350" s="7"/>
      <c r="B1350" s="39">
        <v>1343.0</v>
      </c>
      <c r="C1350" s="40" t="s">
        <v>19</v>
      </c>
      <c r="D1350" s="40" t="s">
        <v>426</v>
      </c>
      <c r="E1350" s="40" t="s">
        <v>427</v>
      </c>
      <c r="F1350" s="40" t="s">
        <v>428</v>
      </c>
      <c r="G1350" s="41" t="s">
        <v>13</v>
      </c>
      <c r="H1350" s="42">
        <v>40516.0</v>
      </c>
      <c r="I1350" s="43">
        <v>95.762168</v>
      </c>
      <c r="J1350" s="42">
        <v>49688.0</v>
      </c>
      <c r="K1350" s="43">
        <v>98.9273064</v>
      </c>
    </row>
    <row r="1351" ht="15.0" hidden="1" customHeight="1">
      <c r="A1351" s="7"/>
      <c r="B1351" s="39">
        <v>1344.0</v>
      </c>
      <c r="C1351" s="40" t="s">
        <v>19</v>
      </c>
      <c r="D1351" s="40" t="s">
        <v>426</v>
      </c>
      <c r="E1351" s="40" t="s">
        <v>427</v>
      </c>
      <c r="F1351" s="40" t="s">
        <v>428</v>
      </c>
      <c r="G1351" s="41" t="s">
        <v>14</v>
      </c>
      <c r="H1351" s="42">
        <v>1825.0</v>
      </c>
      <c r="I1351" s="43">
        <v>63.3424658</v>
      </c>
      <c r="J1351" s="42">
        <v>1560.0</v>
      </c>
      <c r="K1351" s="43">
        <v>80.8974359</v>
      </c>
    </row>
    <row r="1352" ht="15.0" customHeight="1">
      <c r="A1352" s="7"/>
      <c r="B1352" s="44">
        <v>1345.0</v>
      </c>
      <c r="C1352" s="45" t="s">
        <v>19</v>
      </c>
      <c r="D1352" s="50" t="s">
        <v>426</v>
      </c>
      <c r="E1352" s="50" t="s">
        <v>427</v>
      </c>
      <c r="F1352" s="50" t="s">
        <v>429</v>
      </c>
      <c r="G1352" s="51" t="s">
        <v>429</v>
      </c>
      <c r="H1352" s="46">
        <v>7525.0</v>
      </c>
      <c r="I1352" s="47">
        <v>69.3820598</v>
      </c>
      <c r="J1352" s="46">
        <v>8998.0</v>
      </c>
      <c r="K1352" s="47">
        <v>90.6868193</v>
      </c>
    </row>
    <row r="1353" ht="15.0" hidden="1" customHeight="1">
      <c r="A1353" s="7"/>
      <c r="B1353" s="39">
        <v>1346.0</v>
      </c>
      <c r="C1353" s="40" t="s">
        <v>19</v>
      </c>
      <c r="D1353" s="40" t="s">
        <v>426</v>
      </c>
      <c r="E1353" s="40" t="s">
        <v>427</v>
      </c>
      <c r="F1353" s="40" t="s">
        <v>429</v>
      </c>
      <c r="G1353" s="41" t="s">
        <v>13</v>
      </c>
      <c r="H1353" s="42">
        <v>4161.0</v>
      </c>
      <c r="I1353" s="43">
        <v>89.5217496</v>
      </c>
      <c r="J1353" s="42">
        <v>7061.0</v>
      </c>
      <c r="K1353" s="43">
        <v>95.7088231</v>
      </c>
    </row>
    <row r="1354" ht="15.0" hidden="1" customHeight="1">
      <c r="A1354" s="7"/>
      <c r="B1354" s="39">
        <v>1347.0</v>
      </c>
      <c r="C1354" s="40" t="s">
        <v>19</v>
      </c>
      <c r="D1354" s="40" t="s">
        <v>426</v>
      </c>
      <c r="E1354" s="40" t="s">
        <v>427</v>
      </c>
      <c r="F1354" s="40" t="s">
        <v>429</v>
      </c>
      <c r="G1354" s="41" t="s">
        <v>14</v>
      </c>
      <c r="H1354" s="42">
        <v>3364.0</v>
      </c>
      <c r="I1354" s="43">
        <v>44.470868</v>
      </c>
      <c r="J1354" s="42">
        <v>1937.0</v>
      </c>
      <c r="K1354" s="43">
        <v>72.379969</v>
      </c>
    </row>
    <row r="1355" ht="15.0" customHeight="1">
      <c r="A1355" s="7"/>
      <c r="B1355" s="44">
        <v>1348.0</v>
      </c>
      <c r="C1355" s="45" t="s">
        <v>19</v>
      </c>
      <c r="D1355" s="50" t="s">
        <v>426</v>
      </c>
      <c r="E1355" s="50" t="s">
        <v>427</v>
      </c>
      <c r="F1355" s="50" t="s">
        <v>430</v>
      </c>
      <c r="G1355" s="51" t="s">
        <v>430</v>
      </c>
      <c r="H1355" s="46">
        <v>2055.0</v>
      </c>
      <c r="I1355" s="47">
        <v>22.4817518</v>
      </c>
      <c r="J1355" s="46">
        <v>2324.0</v>
      </c>
      <c r="K1355" s="47">
        <v>59.595525</v>
      </c>
    </row>
    <row r="1356" ht="15.0" hidden="1" customHeight="1">
      <c r="A1356" s="7"/>
      <c r="B1356" s="39">
        <v>1349.0</v>
      </c>
      <c r="C1356" s="40" t="s">
        <v>19</v>
      </c>
      <c r="D1356" s="40" t="s">
        <v>426</v>
      </c>
      <c r="E1356" s="40" t="s">
        <v>427</v>
      </c>
      <c r="F1356" s="40" t="s">
        <v>430</v>
      </c>
      <c r="G1356" s="41" t="s">
        <v>13</v>
      </c>
      <c r="H1356" s="42"/>
      <c r="I1356" s="43"/>
      <c r="J1356" s="42"/>
      <c r="K1356" s="43"/>
    </row>
    <row r="1357" ht="15.0" hidden="1" customHeight="1">
      <c r="A1357" s="7"/>
      <c r="B1357" s="39">
        <v>1350.0</v>
      </c>
      <c r="C1357" s="40" t="s">
        <v>19</v>
      </c>
      <c r="D1357" s="40" t="s">
        <v>426</v>
      </c>
      <c r="E1357" s="40" t="s">
        <v>427</v>
      </c>
      <c r="F1357" s="40" t="s">
        <v>430</v>
      </c>
      <c r="G1357" s="41" t="s">
        <v>14</v>
      </c>
      <c r="H1357" s="42">
        <v>2055.0</v>
      </c>
      <c r="I1357" s="43">
        <v>22.4817518</v>
      </c>
      <c r="J1357" s="42">
        <v>2324.0</v>
      </c>
      <c r="K1357" s="43">
        <v>59.595525</v>
      </c>
    </row>
    <row r="1358" ht="15.0" customHeight="1">
      <c r="A1358" s="7"/>
      <c r="B1358" s="44">
        <v>1351.0</v>
      </c>
      <c r="C1358" s="45" t="s">
        <v>19</v>
      </c>
      <c r="D1358" s="50" t="s">
        <v>426</v>
      </c>
      <c r="E1358" s="50" t="s">
        <v>427</v>
      </c>
      <c r="F1358" s="50" t="s">
        <v>431</v>
      </c>
      <c r="G1358" s="51" t="s">
        <v>431</v>
      </c>
      <c r="H1358" s="46">
        <v>3523.0</v>
      </c>
      <c r="I1358" s="47">
        <v>44.6210616</v>
      </c>
      <c r="J1358" s="46">
        <v>3402.0</v>
      </c>
      <c r="K1358" s="47">
        <v>74.191652</v>
      </c>
    </row>
    <row r="1359" ht="15.0" hidden="1" customHeight="1">
      <c r="A1359" s="7"/>
      <c r="B1359" s="39">
        <v>1352.0</v>
      </c>
      <c r="C1359" s="40" t="s">
        <v>19</v>
      </c>
      <c r="D1359" s="40" t="s">
        <v>426</v>
      </c>
      <c r="E1359" s="40" t="s">
        <v>427</v>
      </c>
      <c r="F1359" s="40" t="s">
        <v>431</v>
      </c>
      <c r="G1359" s="41" t="s">
        <v>13</v>
      </c>
      <c r="H1359" s="42"/>
      <c r="I1359" s="43"/>
      <c r="J1359" s="42"/>
      <c r="K1359" s="43"/>
    </row>
    <row r="1360" ht="15.0" hidden="1" customHeight="1">
      <c r="A1360" s="7"/>
      <c r="B1360" s="39">
        <v>1353.0</v>
      </c>
      <c r="C1360" s="40" t="s">
        <v>19</v>
      </c>
      <c r="D1360" s="40" t="s">
        <v>426</v>
      </c>
      <c r="E1360" s="40" t="s">
        <v>427</v>
      </c>
      <c r="F1360" s="40" t="s">
        <v>431</v>
      </c>
      <c r="G1360" s="41" t="s">
        <v>14</v>
      </c>
      <c r="H1360" s="42">
        <v>3523.0</v>
      </c>
      <c r="I1360" s="43">
        <v>44.6210616</v>
      </c>
      <c r="J1360" s="42">
        <v>3402.0</v>
      </c>
      <c r="K1360" s="43">
        <v>74.191652</v>
      </c>
    </row>
    <row r="1361" ht="15.0" hidden="1" customHeight="1">
      <c r="A1361" s="7"/>
      <c r="B1361" s="35">
        <v>1354.0</v>
      </c>
      <c r="C1361" s="36" t="s">
        <v>17</v>
      </c>
      <c r="D1361" s="49" t="s">
        <v>426</v>
      </c>
      <c r="E1361" s="49" t="s">
        <v>432</v>
      </c>
      <c r="F1361" s="49"/>
      <c r="G1361" s="36" t="s">
        <v>432</v>
      </c>
      <c r="H1361" s="37">
        <v>14050.0</v>
      </c>
      <c r="I1361" s="38">
        <v>28.4697509</v>
      </c>
      <c r="J1361" s="37">
        <v>17984.0</v>
      </c>
      <c r="K1361" s="38">
        <v>66.2255338</v>
      </c>
    </row>
    <row r="1362" ht="15.0" hidden="1" customHeight="1">
      <c r="A1362" s="7"/>
      <c r="B1362" s="39">
        <v>1355.0</v>
      </c>
      <c r="C1362" s="40" t="s">
        <v>17</v>
      </c>
      <c r="D1362" s="40" t="s">
        <v>426</v>
      </c>
      <c r="E1362" s="40" t="s">
        <v>432</v>
      </c>
      <c r="F1362" s="40"/>
      <c r="G1362" s="41" t="s">
        <v>13</v>
      </c>
      <c r="H1362" s="42">
        <v>2257.0</v>
      </c>
      <c r="I1362" s="43">
        <v>79.4860434</v>
      </c>
      <c r="J1362" s="42">
        <v>3098.0</v>
      </c>
      <c r="K1362" s="43">
        <v>94.448031</v>
      </c>
    </row>
    <row r="1363" ht="15.0" hidden="1" customHeight="1">
      <c r="A1363" s="7"/>
      <c r="B1363" s="39">
        <v>1356.0</v>
      </c>
      <c r="C1363" s="40" t="s">
        <v>17</v>
      </c>
      <c r="D1363" s="40" t="s">
        <v>426</v>
      </c>
      <c r="E1363" s="40" t="s">
        <v>432</v>
      </c>
      <c r="F1363" s="40"/>
      <c r="G1363" s="41" t="s">
        <v>14</v>
      </c>
      <c r="H1363" s="42">
        <v>11793.0</v>
      </c>
      <c r="I1363" s="43">
        <v>18.706012</v>
      </c>
      <c r="J1363" s="42">
        <v>14886.0</v>
      </c>
      <c r="K1363" s="43">
        <v>60.3520086</v>
      </c>
    </row>
    <row r="1364" ht="15.0" customHeight="1">
      <c r="A1364" s="7"/>
      <c r="B1364" s="44">
        <v>1357.0</v>
      </c>
      <c r="C1364" s="45" t="s">
        <v>19</v>
      </c>
      <c r="D1364" s="50" t="s">
        <v>426</v>
      </c>
      <c r="E1364" s="50" t="s">
        <v>432</v>
      </c>
      <c r="F1364" s="50" t="s">
        <v>433</v>
      </c>
      <c r="G1364" s="51" t="s">
        <v>433</v>
      </c>
      <c r="H1364" s="46">
        <v>5584.0</v>
      </c>
      <c r="I1364" s="47">
        <v>48.3345272</v>
      </c>
      <c r="J1364" s="46">
        <v>6803.0</v>
      </c>
      <c r="K1364" s="47">
        <v>78.2007938</v>
      </c>
    </row>
    <row r="1365" ht="15.0" hidden="1" customHeight="1">
      <c r="A1365" s="7"/>
      <c r="B1365" s="39">
        <v>1358.0</v>
      </c>
      <c r="C1365" s="40" t="s">
        <v>19</v>
      </c>
      <c r="D1365" s="40" t="s">
        <v>426</v>
      </c>
      <c r="E1365" s="40" t="s">
        <v>432</v>
      </c>
      <c r="F1365" s="40" t="s">
        <v>433</v>
      </c>
      <c r="G1365" s="41" t="s">
        <v>13</v>
      </c>
      <c r="H1365" s="42">
        <v>2257.0</v>
      </c>
      <c r="I1365" s="43">
        <v>79.4860434</v>
      </c>
      <c r="J1365" s="42">
        <v>3098.0</v>
      </c>
      <c r="K1365" s="43">
        <v>94.448031</v>
      </c>
    </row>
    <row r="1366" ht="15.0" hidden="1" customHeight="1">
      <c r="A1366" s="7"/>
      <c r="B1366" s="39">
        <v>1359.0</v>
      </c>
      <c r="C1366" s="40" t="s">
        <v>19</v>
      </c>
      <c r="D1366" s="40" t="s">
        <v>426</v>
      </c>
      <c r="E1366" s="40" t="s">
        <v>432</v>
      </c>
      <c r="F1366" s="40" t="s">
        <v>433</v>
      </c>
      <c r="G1366" s="41" t="s">
        <v>14</v>
      </c>
      <c r="H1366" s="42">
        <v>3327.0</v>
      </c>
      <c r="I1366" s="43">
        <v>27.2016832</v>
      </c>
      <c r="J1366" s="42">
        <v>3705.0</v>
      </c>
      <c r="K1366" s="43">
        <v>64.6153846</v>
      </c>
    </row>
    <row r="1367" ht="15.0" customHeight="1">
      <c r="A1367" s="7"/>
      <c r="B1367" s="44">
        <v>1360.0</v>
      </c>
      <c r="C1367" s="45" t="s">
        <v>19</v>
      </c>
      <c r="D1367" s="50" t="s">
        <v>426</v>
      </c>
      <c r="E1367" s="50" t="s">
        <v>432</v>
      </c>
      <c r="F1367" s="50" t="s">
        <v>280</v>
      </c>
      <c r="G1367" s="51" t="s">
        <v>280</v>
      </c>
      <c r="H1367" s="46">
        <v>2974.0</v>
      </c>
      <c r="I1367" s="47">
        <v>4.0685945</v>
      </c>
      <c r="J1367" s="46">
        <v>3245.0</v>
      </c>
      <c r="K1367" s="47">
        <v>11.0015408</v>
      </c>
    </row>
    <row r="1368" ht="15.0" hidden="1" customHeight="1">
      <c r="A1368" s="7"/>
      <c r="B1368" s="39">
        <v>1361.0</v>
      </c>
      <c r="C1368" s="40" t="s">
        <v>19</v>
      </c>
      <c r="D1368" s="40" t="s">
        <v>426</v>
      </c>
      <c r="E1368" s="40" t="s">
        <v>432</v>
      </c>
      <c r="F1368" s="40" t="s">
        <v>280</v>
      </c>
      <c r="G1368" s="41" t="s">
        <v>13</v>
      </c>
      <c r="H1368" s="42"/>
      <c r="I1368" s="43"/>
      <c r="J1368" s="42"/>
      <c r="K1368" s="43"/>
    </row>
    <row r="1369" ht="15.0" hidden="1" customHeight="1">
      <c r="A1369" s="7"/>
      <c r="B1369" s="39">
        <v>1362.0</v>
      </c>
      <c r="C1369" s="40" t="s">
        <v>19</v>
      </c>
      <c r="D1369" s="40" t="s">
        <v>426</v>
      </c>
      <c r="E1369" s="40" t="s">
        <v>432</v>
      </c>
      <c r="F1369" s="40" t="s">
        <v>280</v>
      </c>
      <c r="G1369" s="41" t="s">
        <v>14</v>
      </c>
      <c r="H1369" s="42">
        <v>2974.0</v>
      </c>
      <c r="I1369" s="43">
        <v>4.0685945</v>
      </c>
      <c r="J1369" s="42">
        <v>3245.0</v>
      </c>
      <c r="K1369" s="43">
        <v>11.0015408</v>
      </c>
    </row>
    <row r="1370" ht="15.0" customHeight="1">
      <c r="A1370" s="7"/>
      <c r="B1370" s="44">
        <v>1363.0</v>
      </c>
      <c r="C1370" s="45" t="s">
        <v>19</v>
      </c>
      <c r="D1370" s="50" t="s">
        <v>426</v>
      </c>
      <c r="E1370" s="50" t="s">
        <v>432</v>
      </c>
      <c r="F1370" s="50" t="s">
        <v>434</v>
      </c>
      <c r="G1370" s="51" t="s">
        <v>434</v>
      </c>
      <c r="H1370" s="46">
        <v>5492.0</v>
      </c>
      <c r="I1370" s="47">
        <v>21.4857975</v>
      </c>
      <c r="J1370" s="46">
        <v>7936.0</v>
      </c>
      <c r="K1370" s="47">
        <v>78.5408266</v>
      </c>
    </row>
    <row r="1371" ht="15.0" hidden="1" customHeight="1">
      <c r="A1371" s="7"/>
      <c r="B1371" s="39">
        <v>1364.0</v>
      </c>
      <c r="C1371" s="40" t="s">
        <v>19</v>
      </c>
      <c r="D1371" s="40" t="s">
        <v>426</v>
      </c>
      <c r="E1371" s="40" t="s">
        <v>432</v>
      </c>
      <c r="F1371" s="40" t="s">
        <v>434</v>
      </c>
      <c r="G1371" s="41" t="s">
        <v>13</v>
      </c>
      <c r="H1371" s="42"/>
      <c r="I1371" s="43"/>
      <c r="J1371" s="42"/>
      <c r="K1371" s="43"/>
    </row>
    <row r="1372" ht="15.0" hidden="1" customHeight="1">
      <c r="A1372" s="7"/>
      <c r="B1372" s="39">
        <v>1365.0</v>
      </c>
      <c r="C1372" s="40" t="s">
        <v>19</v>
      </c>
      <c r="D1372" s="40" t="s">
        <v>426</v>
      </c>
      <c r="E1372" s="40" t="s">
        <v>432</v>
      </c>
      <c r="F1372" s="40" t="s">
        <v>434</v>
      </c>
      <c r="G1372" s="41" t="s">
        <v>14</v>
      </c>
      <c r="H1372" s="42">
        <v>5492.0</v>
      </c>
      <c r="I1372" s="43">
        <v>21.4857975</v>
      </c>
      <c r="J1372" s="42">
        <v>7936.0</v>
      </c>
      <c r="K1372" s="43">
        <v>78.5408266</v>
      </c>
    </row>
    <row r="1373" ht="15.0" hidden="1" customHeight="1">
      <c r="A1373" s="7"/>
      <c r="B1373" s="35">
        <v>1366.0</v>
      </c>
      <c r="C1373" s="36" t="s">
        <v>17</v>
      </c>
      <c r="D1373" s="49" t="s">
        <v>426</v>
      </c>
      <c r="E1373" s="49" t="s">
        <v>435</v>
      </c>
      <c r="F1373" s="49"/>
      <c r="G1373" s="36" t="s">
        <v>435</v>
      </c>
      <c r="H1373" s="37">
        <v>22649.0</v>
      </c>
      <c r="I1373" s="38">
        <v>14.5966709</v>
      </c>
      <c r="J1373" s="37">
        <v>31338.0</v>
      </c>
      <c r="K1373" s="38">
        <v>53.4782054</v>
      </c>
    </row>
    <row r="1374" ht="15.0" hidden="1" customHeight="1">
      <c r="A1374" s="7"/>
      <c r="B1374" s="39">
        <v>1367.0</v>
      </c>
      <c r="C1374" s="40" t="s">
        <v>17</v>
      </c>
      <c r="D1374" s="40" t="s">
        <v>426</v>
      </c>
      <c r="E1374" s="40" t="s">
        <v>435</v>
      </c>
      <c r="F1374" s="40"/>
      <c r="G1374" s="41" t="s">
        <v>13</v>
      </c>
      <c r="H1374" s="42">
        <v>2486.0</v>
      </c>
      <c r="I1374" s="43">
        <v>45.9774739</v>
      </c>
      <c r="J1374" s="42">
        <v>6082.0</v>
      </c>
      <c r="K1374" s="43">
        <v>85.6132851</v>
      </c>
    </row>
    <row r="1375" ht="15.0" hidden="1" customHeight="1">
      <c r="A1375" s="7"/>
      <c r="B1375" s="39">
        <v>1368.0</v>
      </c>
      <c r="C1375" s="40" t="s">
        <v>17</v>
      </c>
      <c r="D1375" s="40" t="s">
        <v>426</v>
      </c>
      <c r="E1375" s="40" t="s">
        <v>435</v>
      </c>
      <c r="F1375" s="40"/>
      <c r="G1375" s="41" t="s">
        <v>14</v>
      </c>
      <c r="H1375" s="42">
        <v>20163.0</v>
      </c>
      <c r="I1375" s="43">
        <v>10.7275703</v>
      </c>
      <c r="J1375" s="42">
        <v>25256.0</v>
      </c>
      <c r="K1375" s="43">
        <v>45.7396262</v>
      </c>
    </row>
    <row r="1376" ht="15.0" customHeight="1">
      <c r="A1376" s="7"/>
      <c r="B1376" s="44">
        <v>1369.0</v>
      </c>
      <c r="C1376" s="45" t="s">
        <v>19</v>
      </c>
      <c r="D1376" s="50" t="s">
        <v>426</v>
      </c>
      <c r="E1376" s="50" t="s">
        <v>435</v>
      </c>
      <c r="F1376" s="50" t="s">
        <v>436</v>
      </c>
      <c r="G1376" s="51" t="s">
        <v>436</v>
      </c>
      <c r="H1376" s="46">
        <v>7516.0</v>
      </c>
      <c r="I1376" s="47">
        <v>14.3826503</v>
      </c>
      <c r="J1376" s="46">
        <v>11675.0</v>
      </c>
      <c r="K1376" s="47">
        <v>49.2933619</v>
      </c>
    </row>
    <row r="1377" ht="15.0" hidden="1" customHeight="1">
      <c r="A1377" s="7"/>
      <c r="B1377" s="39">
        <v>1370.0</v>
      </c>
      <c r="C1377" s="40" t="s">
        <v>19</v>
      </c>
      <c r="D1377" s="40" t="s">
        <v>426</v>
      </c>
      <c r="E1377" s="40" t="s">
        <v>435</v>
      </c>
      <c r="F1377" s="40" t="s">
        <v>436</v>
      </c>
      <c r="G1377" s="41" t="s">
        <v>13</v>
      </c>
      <c r="H1377" s="42"/>
      <c r="I1377" s="43"/>
      <c r="J1377" s="42">
        <v>1858.0</v>
      </c>
      <c r="K1377" s="43">
        <v>68.4068891</v>
      </c>
    </row>
    <row r="1378" ht="15.0" hidden="1" customHeight="1">
      <c r="A1378" s="7"/>
      <c r="B1378" s="39">
        <v>1371.0</v>
      </c>
      <c r="C1378" s="40" t="s">
        <v>19</v>
      </c>
      <c r="D1378" s="40" t="s">
        <v>426</v>
      </c>
      <c r="E1378" s="40" t="s">
        <v>435</v>
      </c>
      <c r="F1378" s="40" t="s">
        <v>436</v>
      </c>
      <c r="G1378" s="41" t="s">
        <v>14</v>
      </c>
      <c r="H1378" s="42">
        <v>7516.0</v>
      </c>
      <c r="I1378" s="43">
        <v>14.3826503</v>
      </c>
      <c r="J1378" s="42">
        <v>9817.0</v>
      </c>
      <c r="K1378" s="43">
        <v>45.6758684</v>
      </c>
    </row>
    <row r="1379" ht="15.0" customHeight="1">
      <c r="A1379" s="7"/>
      <c r="B1379" s="44">
        <v>1372.0</v>
      </c>
      <c r="C1379" s="45" t="s">
        <v>19</v>
      </c>
      <c r="D1379" s="50" t="s">
        <v>426</v>
      </c>
      <c r="E1379" s="50" t="s">
        <v>435</v>
      </c>
      <c r="F1379" s="50" t="s">
        <v>329</v>
      </c>
      <c r="G1379" s="51" t="s">
        <v>329</v>
      </c>
      <c r="H1379" s="46">
        <v>7030.0</v>
      </c>
      <c r="I1379" s="47">
        <v>13.3854908</v>
      </c>
      <c r="J1379" s="46">
        <v>9498.0</v>
      </c>
      <c r="K1379" s="47">
        <v>56.0960202</v>
      </c>
    </row>
    <row r="1380" ht="15.0" hidden="1" customHeight="1">
      <c r="A1380" s="7"/>
      <c r="B1380" s="39">
        <v>1373.0</v>
      </c>
      <c r="C1380" s="40" t="s">
        <v>19</v>
      </c>
      <c r="D1380" s="40" t="s">
        <v>426</v>
      </c>
      <c r="E1380" s="40" t="s">
        <v>435</v>
      </c>
      <c r="F1380" s="40" t="s">
        <v>329</v>
      </c>
      <c r="G1380" s="41" t="s">
        <v>13</v>
      </c>
      <c r="H1380" s="42"/>
      <c r="I1380" s="43"/>
      <c r="J1380" s="42"/>
      <c r="K1380" s="43"/>
    </row>
    <row r="1381" ht="15.0" hidden="1" customHeight="1">
      <c r="A1381" s="7"/>
      <c r="B1381" s="39">
        <v>1374.0</v>
      </c>
      <c r="C1381" s="40" t="s">
        <v>19</v>
      </c>
      <c r="D1381" s="40" t="s">
        <v>426</v>
      </c>
      <c r="E1381" s="40" t="s">
        <v>435</v>
      </c>
      <c r="F1381" s="40" t="s">
        <v>329</v>
      </c>
      <c r="G1381" s="41" t="s">
        <v>14</v>
      </c>
      <c r="H1381" s="42">
        <v>7030.0</v>
      </c>
      <c r="I1381" s="43">
        <v>13.3854908</v>
      </c>
      <c r="J1381" s="42">
        <v>9498.0</v>
      </c>
      <c r="K1381" s="43">
        <v>56.0960202</v>
      </c>
    </row>
    <row r="1382" ht="15.0" customHeight="1">
      <c r="A1382" s="7"/>
      <c r="B1382" s="44">
        <v>1375.0</v>
      </c>
      <c r="C1382" s="45" t="s">
        <v>19</v>
      </c>
      <c r="D1382" s="50" t="s">
        <v>426</v>
      </c>
      <c r="E1382" s="50" t="s">
        <v>435</v>
      </c>
      <c r="F1382" s="50" t="s">
        <v>437</v>
      </c>
      <c r="G1382" s="51" t="s">
        <v>437</v>
      </c>
      <c r="H1382" s="46">
        <v>8103.0</v>
      </c>
      <c r="I1382" s="47">
        <v>15.845983</v>
      </c>
      <c r="J1382" s="46">
        <v>10165.0</v>
      </c>
      <c r="K1382" s="47">
        <v>55.8386621</v>
      </c>
    </row>
    <row r="1383" ht="15.0" hidden="1" customHeight="1">
      <c r="A1383" s="7"/>
      <c r="B1383" s="39">
        <v>1376.0</v>
      </c>
      <c r="C1383" s="40" t="s">
        <v>19</v>
      </c>
      <c r="D1383" s="40" t="s">
        <v>426</v>
      </c>
      <c r="E1383" s="40" t="s">
        <v>435</v>
      </c>
      <c r="F1383" s="40" t="s">
        <v>437</v>
      </c>
      <c r="G1383" s="41" t="s">
        <v>13</v>
      </c>
      <c r="H1383" s="42">
        <v>2486.0</v>
      </c>
      <c r="I1383" s="43">
        <v>45.9774739</v>
      </c>
      <c r="J1383" s="42">
        <v>4224.0</v>
      </c>
      <c r="K1383" s="43">
        <v>93.1818182</v>
      </c>
    </row>
    <row r="1384" ht="15.0" hidden="1" customHeight="1">
      <c r="A1384" s="7"/>
      <c r="B1384" s="39">
        <v>1377.0</v>
      </c>
      <c r="C1384" s="40" t="s">
        <v>19</v>
      </c>
      <c r="D1384" s="40" t="s">
        <v>426</v>
      </c>
      <c r="E1384" s="40" t="s">
        <v>435</v>
      </c>
      <c r="F1384" s="40" t="s">
        <v>437</v>
      </c>
      <c r="G1384" s="41" t="s">
        <v>14</v>
      </c>
      <c r="H1384" s="42">
        <v>5617.0</v>
      </c>
      <c r="I1384" s="43">
        <v>2.5102368</v>
      </c>
      <c r="J1384" s="42">
        <v>5941.0</v>
      </c>
      <c r="K1384" s="43">
        <v>29.2879987</v>
      </c>
    </row>
    <row r="1385" ht="15.0" hidden="1" customHeight="1">
      <c r="A1385" s="7"/>
      <c r="B1385" s="35">
        <v>1378.0</v>
      </c>
      <c r="C1385" s="36" t="s">
        <v>17</v>
      </c>
      <c r="D1385" s="49" t="s">
        <v>426</v>
      </c>
      <c r="E1385" s="49" t="s">
        <v>438</v>
      </c>
      <c r="F1385" s="49"/>
      <c r="G1385" s="36" t="s">
        <v>438</v>
      </c>
      <c r="H1385" s="37">
        <v>3762.0</v>
      </c>
      <c r="I1385" s="38">
        <v>18.1020734</v>
      </c>
      <c r="J1385" s="37">
        <v>5355.0</v>
      </c>
      <c r="K1385" s="38">
        <v>62.0915033</v>
      </c>
    </row>
    <row r="1386" ht="15.0" hidden="1" customHeight="1">
      <c r="A1386" s="7"/>
      <c r="B1386" s="39">
        <v>1379.0</v>
      </c>
      <c r="C1386" s="40" t="s">
        <v>17</v>
      </c>
      <c r="D1386" s="40" t="s">
        <v>426</v>
      </c>
      <c r="E1386" s="40" t="s">
        <v>438</v>
      </c>
      <c r="F1386" s="40"/>
      <c r="G1386" s="41" t="s">
        <v>13</v>
      </c>
      <c r="H1386" s="42"/>
      <c r="I1386" s="43"/>
      <c r="J1386" s="42"/>
      <c r="K1386" s="43"/>
    </row>
    <row r="1387" ht="15.0" hidden="1" customHeight="1">
      <c r="A1387" s="7"/>
      <c r="B1387" s="39">
        <v>1380.0</v>
      </c>
      <c r="C1387" s="40" t="s">
        <v>17</v>
      </c>
      <c r="D1387" s="40" t="s">
        <v>426</v>
      </c>
      <c r="E1387" s="40" t="s">
        <v>438</v>
      </c>
      <c r="F1387" s="40"/>
      <c r="G1387" s="41" t="s">
        <v>14</v>
      </c>
      <c r="H1387" s="42">
        <v>3762.0</v>
      </c>
      <c r="I1387" s="43">
        <v>18.1020734</v>
      </c>
      <c r="J1387" s="42">
        <v>5355.0</v>
      </c>
      <c r="K1387" s="43">
        <v>62.0915033</v>
      </c>
    </row>
    <row r="1388" ht="15.0" customHeight="1">
      <c r="A1388" s="7"/>
      <c r="B1388" s="44">
        <v>1381.0</v>
      </c>
      <c r="C1388" s="45" t="s">
        <v>19</v>
      </c>
      <c r="D1388" s="50" t="s">
        <v>426</v>
      </c>
      <c r="E1388" s="50" t="s">
        <v>438</v>
      </c>
      <c r="F1388" s="50" t="s">
        <v>356</v>
      </c>
      <c r="G1388" s="51" t="s">
        <v>356</v>
      </c>
      <c r="H1388" s="46">
        <v>2168.0</v>
      </c>
      <c r="I1388" s="47">
        <v>23.9852399</v>
      </c>
      <c r="J1388" s="46">
        <v>2820.0</v>
      </c>
      <c r="K1388" s="47">
        <v>74.1489362</v>
      </c>
    </row>
    <row r="1389" ht="15.0" hidden="1" customHeight="1">
      <c r="A1389" s="7"/>
      <c r="B1389" s="39">
        <v>1382.0</v>
      </c>
      <c r="C1389" s="40" t="s">
        <v>19</v>
      </c>
      <c r="D1389" s="40" t="s">
        <v>426</v>
      </c>
      <c r="E1389" s="40" t="s">
        <v>438</v>
      </c>
      <c r="F1389" s="40" t="s">
        <v>356</v>
      </c>
      <c r="G1389" s="41" t="s">
        <v>13</v>
      </c>
      <c r="H1389" s="42"/>
      <c r="I1389" s="43"/>
      <c r="J1389" s="42"/>
      <c r="K1389" s="43"/>
    </row>
    <row r="1390" ht="15.0" hidden="1" customHeight="1">
      <c r="A1390" s="7"/>
      <c r="B1390" s="39">
        <v>1383.0</v>
      </c>
      <c r="C1390" s="40" t="s">
        <v>19</v>
      </c>
      <c r="D1390" s="40" t="s">
        <v>426</v>
      </c>
      <c r="E1390" s="40" t="s">
        <v>438</v>
      </c>
      <c r="F1390" s="40" t="s">
        <v>356</v>
      </c>
      <c r="G1390" s="41" t="s">
        <v>14</v>
      </c>
      <c r="H1390" s="42">
        <v>2168.0</v>
      </c>
      <c r="I1390" s="43">
        <v>23.9852399</v>
      </c>
      <c r="J1390" s="42">
        <v>2820.0</v>
      </c>
      <c r="K1390" s="43">
        <v>74.1489362</v>
      </c>
    </row>
    <row r="1391" ht="15.0" customHeight="1">
      <c r="A1391" s="7"/>
      <c r="B1391" s="44">
        <v>1384.0</v>
      </c>
      <c r="C1391" s="45" t="s">
        <v>19</v>
      </c>
      <c r="D1391" s="50" t="s">
        <v>426</v>
      </c>
      <c r="E1391" s="50" t="s">
        <v>438</v>
      </c>
      <c r="F1391" s="50" t="s">
        <v>99</v>
      </c>
      <c r="G1391" s="51" t="s">
        <v>99</v>
      </c>
      <c r="H1391" s="46">
        <v>1594.0</v>
      </c>
      <c r="I1391" s="47">
        <v>10.1003764</v>
      </c>
      <c r="J1391" s="46">
        <v>2535.0</v>
      </c>
      <c r="K1391" s="47">
        <v>48.678501</v>
      </c>
    </row>
    <row r="1392" ht="15.0" hidden="1" customHeight="1">
      <c r="A1392" s="7"/>
      <c r="B1392" s="39">
        <v>1385.0</v>
      </c>
      <c r="C1392" s="40" t="s">
        <v>19</v>
      </c>
      <c r="D1392" s="40" t="s">
        <v>426</v>
      </c>
      <c r="E1392" s="40" t="s">
        <v>438</v>
      </c>
      <c r="F1392" s="40" t="s">
        <v>99</v>
      </c>
      <c r="G1392" s="41" t="s">
        <v>13</v>
      </c>
      <c r="H1392" s="42"/>
      <c r="I1392" s="43"/>
      <c r="J1392" s="42"/>
      <c r="K1392" s="43"/>
    </row>
    <row r="1393" ht="15.0" hidden="1" customHeight="1">
      <c r="A1393" s="7"/>
      <c r="B1393" s="39">
        <v>1386.0</v>
      </c>
      <c r="C1393" s="40" t="s">
        <v>19</v>
      </c>
      <c r="D1393" s="40" t="s">
        <v>426</v>
      </c>
      <c r="E1393" s="40" t="s">
        <v>438</v>
      </c>
      <c r="F1393" s="40" t="s">
        <v>99</v>
      </c>
      <c r="G1393" s="41" t="s">
        <v>14</v>
      </c>
      <c r="H1393" s="42">
        <v>1594.0</v>
      </c>
      <c r="I1393" s="43">
        <v>10.1003764</v>
      </c>
      <c r="J1393" s="42">
        <v>2535.0</v>
      </c>
      <c r="K1393" s="43">
        <v>48.678501</v>
      </c>
    </row>
    <row r="1394" ht="15.0" hidden="1" customHeight="1">
      <c r="A1394" s="7"/>
      <c r="B1394" s="35">
        <v>1387.0</v>
      </c>
      <c r="C1394" s="36" t="s">
        <v>17</v>
      </c>
      <c r="D1394" s="49" t="s">
        <v>426</v>
      </c>
      <c r="E1394" s="49" t="s">
        <v>439</v>
      </c>
      <c r="F1394" s="49"/>
      <c r="G1394" s="36" t="s">
        <v>439</v>
      </c>
      <c r="H1394" s="37">
        <v>6502.0</v>
      </c>
      <c r="I1394" s="38">
        <v>13.688096</v>
      </c>
      <c r="J1394" s="37">
        <v>6318.0</v>
      </c>
      <c r="K1394" s="38">
        <v>47.008547</v>
      </c>
    </row>
    <row r="1395" ht="15.0" hidden="1" customHeight="1">
      <c r="A1395" s="7"/>
      <c r="B1395" s="39">
        <v>1388.0</v>
      </c>
      <c r="C1395" s="40" t="s">
        <v>17</v>
      </c>
      <c r="D1395" s="40" t="s">
        <v>426</v>
      </c>
      <c r="E1395" s="40" t="s">
        <v>439</v>
      </c>
      <c r="F1395" s="40"/>
      <c r="G1395" s="41" t="s">
        <v>13</v>
      </c>
      <c r="H1395" s="42"/>
      <c r="I1395" s="43"/>
      <c r="J1395" s="42"/>
      <c r="K1395" s="43"/>
    </row>
    <row r="1396" ht="15.0" hidden="1" customHeight="1">
      <c r="A1396" s="7"/>
      <c r="B1396" s="39">
        <v>1389.0</v>
      </c>
      <c r="C1396" s="40" t="s">
        <v>17</v>
      </c>
      <c r="D1396" s="40" t="s">
        <v>426</v>
      </c>
      <c r="E1396" s="40" t="s">
        <v>439</v>
      </c>
      <c r="F1396" s="40"/>
      <c r="G1396" s="41" t="s">
        <v>14</v>
      </c>
      <c r="H1396" s="42">
        <v>6502.0</v>
      </c>
      <c r="I1396" s="43">
        <v>13.688096</v>
      </c>
      <c r="J1396" s="42">
        <v>6318.0</v>
      </c>
      <c r="K1396" s="43">
        <v>47.008547</v>
      </c>
    </row>
    <row r="1397" ht="15.0" customHeight="1">
      <c r="A1397" s="7"/>
      <c r="B1397" s="44">
        <v>1390.0</v>
      </c>
      <c r="C1397" s="45" t="s">
        <v>19</v>
      </c>
      <c r="D1397" s="50" t="s">
        <v>426</v>
      </c>
      <c r="E1397" s="50" t="s">
        <v>439</v>
      </c>
      <c r="F1397" s="50" t="s">
        <v>440</v>
      </c>
      <c r="G1397" s="51" t="s">
        <v>440</v>
      </c>
      <c r="H1397" s="46">
        <v>1769.0</v>
      </c>
      <c r="I1397" s="47">
        <v>20.2939514</v>
      </c>
      <c r="J1397" s="46">
        <v>1571.0</v>
      </c>
      <c r="K1397" s="47">
        <v>59.3252705</v>
      </c>
    </row>
    <row r="1398" ht="15.0" hidden="1" customHeight="1">
      <c r="A1398" s="7"/>
      <c r="B1398" s="39">
        <v>1391.0</v>
      </c>
      <c r="C1398" s="40" t="s">
        <v>19</v>
      </c>
      <c r="D1398" s="40" t="s">
        <v>426</v>
      </c>
      <c r="E1398" s="40" t="s">
        <v>439</v>
      </c>
      <c r="F1398" s="40" t="s">
        <v>440</v>
      </c>
      <c r="G1398" s="41" t="s">
        <v>13</v>
      </c>
      <c r="H1398" s="42"/>
      <c r="I1398" s="43"/>
      <c r="J1398" s="42"/>
      <c r="K1398" s="43"/>
    </row>
    <row r="1399" ht="15.0" hidden="1" customHeight="1">
      <c r="A1399" s="7"/>
      <c r="B1399" s="39">
        <v>1392.0</v>
      </c>
      <c r="C1399" s="40" t="s">
        <v>19</v>
      </c>
      <c r="D1399" s="40" t="s">
        <v>426</v>
      </c>
      <c r="E1399" s="40" t="s">
        <v>439</v>
      </c>
      <c r="F1399" s="40" t="s">
        <v>440</v>
      </c>
      <c r="G1399" s="41" t="s">
        <v>14</v>
      </c>
      <c r="H1399" s="42">
        <v>1769.0</v>
      </c>
      <c r="I1399" s="43">
        <v>20.2939514</v>
      </c>
      <c r="J1399" s="42">
        <v>1571.0</v>
      </c>
      <c r="K1399" s="43">
        <v>59.3252705</v>
      </c>
    </row>
    <row r="1400" ht="15.0" customHeight="1">
      <c r="A1400" s="7"/>
      <c r="B1400" s="44">
        <v>1393.0</v>
      </c>
      <c r="C1400" s="45" t="s">
        <v>19</v>
      </c>
      <c r="D1400" s="50" t="s">
        <v>426</v>
      </c>
      <c r="E1400" s="50" t="s">
        <v>439</v>
      </c>
      <c r="F1400" s="50" t="s">
        <v>441</v>
      </c>
      <c r="G1400" s="51" t="s">
        <v>441</v>
      </c>
      <c r="H1400" s="46">
        <v>2777.0</v>
      </c>
      <c r="I1400" s="47">
        <v>15.4123154</v>
      </c>
      <c r="J1400" s="46">
        <v>2477.0</v>
      </c>
      <c r="K1400" s="47">
        <v>43.2377876</v>
      </c>
    </row>
    <row r="1401" ht="15.0" hidden="1" customHeight="1">
      <c r="A1401" s="7"/>
      <c r="B1401" s="39">
        <v>1394.0</v>
      </c>
      <c r="C1401" s="40" t="s">
        <v>19</v>
      </c>
      <c r="D1401" s="40" t="s">
        <v>426</v>
      </c>
      <c r="E1401" s="40" t="s">
        <v>439</v>
      </c>
      <c r="F1401" s="40" t="s">
        <v>441</v>
      </c>
      <c r="G1401" s="41" t="s">
        <v>13</v>
      </c>
      <c r="H1401" s="42"/>
      <c r="I1401" s="43"/>
      <c r="J1401" s="42"/>
      <c r="K1401" s="43"/>
    </row>
    <row r="1402" ht="15.0" hidden="1" customHeight="1">
      <c r="A1402" s="7"/>
      <c r="B1402" s="39">
        <v>1395.0</v>
      </c>
      <c r="C1402" s="40" t="s">
        <v>19</v>
      </c>
      <c r="D1402" s="40" t="s">
        <v>426</v>
      </c>
      <c r="E1402" s="40" t="s">
        <v>439</v>
      </c>
      <c r="F1402" s="40" t="s">
        <v>441</v>
      </c>
      <c r="G1402" s="41" t="s">
        <v>14</v>
      </c>
      <c r="H1402" s="42">
        <v>2777.0</v>
      </c>
      <c r="I1402" s="43">
        <v>15.4123154</v>
      </c>
      <c r="J1402" s="42">
        <v>2477.0</v>
      </c>
      <c r="K1402" s="43">
        <v>43.2377876</v>
      </c>
    </row>
    <row r="1403" ht="15.0" customHeight="1">
      <c r="A1403" s="7"/>
      <c r="B1403" s="44">
        <v>1396.0</v>
      </c>
      <c r="C1403" s="45" t="s">
        <v>19</v>
      </c>
      <c r="D1403" s="50" t="s">
        <v>426</v>
      </c>
      <c r="E1403" s="50" t="s">
        <v>439</v>
      </c>
      <c r="F1403" s="50" t="s">
        <v>442</v>
      </c>
      <c r="G1403" s="51" t="s">
        <v>442</v>
      </c>
      <c r="H1403" s="46">
        <v>1956.0</v>
      </c>
      <c r="I1403" s="47">
        <v>5.2658487</v>
      </c>
      <c r="J1403" s="46">
        <v>2270.0</v>
      </c>
      <c r="K1403" s="47">
        <v>42.5991189</v>
      </c>
    </row>
    <row r="1404" ht="15.0" hidden="1" customHeight="1">
      <c r="A1404" s="7"/>
      <c r="B1404" s="39">
        <v>1397.0</v>
      </c>
      <c r="C1404" s="40" t="s">
        <v>19</v>
      </c>
      <c r="D1404" s="40" t="s">
        <v>426</v>
      </c>
      <c r="E1404" s="40" t="s">
        <v>439</v>
      </c>
      <c r="F1404" s="40" t="s">
        <v>442</v>
      </c>
      <c r="G1404" s="41" t="s">
        <v>13</v>
      </c>
      <c r="H1404" s="42"/>
      <c r="I1404" s="43"/>
      <c r="J1404" s="42"/>
      <c r="K1404" s="43"/>
    </row>
    <row r="1405" ht="15.0" hidden="1" customHeight="1">
      <c r="A1405" s="7"/>
      <c r="B1405" s="52">
        <v>1398.0</v>
      </c>
      <c r="C1405" s="53" t="s">
        <v>19</v>
      </c>
      <c r="D1405" s="53" t="s">
        <v>426</v>
      </c>
      <c r="E1405" s="53" t="s">
        <v>439</v>
      </c>
      <c r="F1405" s="53" t="s">
        <v>442</v>
      </c>
      <c r="G1405" s="54" t="s">
        <v>14</v>
      </c>
      <c r="H1405" s="55">
        <v>1956.0</v>
      </c>
      <c r="I1405" s="56">
        <v>5.2658487</v>
      </c>
      <c r="J1405" s="55">
        <v>2270.0</v>
      </c>
      <c r="K1405" s="56">
        <v>42.5991189</v>
      </c>
    </row>
    <row r="1406" ht="15.0" hidden="1" customHeight="1">
      <c r="A1406" s="57"/>
      <c r="B1406" s="58" t="s">
        <v>443</v>
      </c>
      <c r="C1406" s="59"/>
      <c r="D1406" s="57"/>
      <c r="E1406" s="59"/>
      <c r="F1406" s="59"/>
      <c r="G1406" s="7"/>
      <c r="H1406" s="60"/>
      <c r="I1406" s="61"/>
      <c r="J1406" s="60"/>
      <c r="K1406" s="61"/>
    </row>
    <row r="1407" ht="15.0" hidden="1" customHeight="1">
      <c r="A1407" s="57"/>
      <c r="B1407" s="62" t="s">
        <v>444</v>
      </c>
      <c r="C1407" s="62"/>
      <c r="D1407" s="62"/>
      <c r="E1407" s="62"/>
      <c r="F1407" s="62"/>
      <c r="G1407" s="62"/>
      <c r="H1407" s="7"/>
      <c r="I1407" s="63"/>
      <c r="J1407" s="60"/>
      <c r="K1407" s="63"/>
    </row>
    <row r="1408" ht="15.0" hidden="1" customHeight="1">
      <c r="A1408" s="57"/>
      <c r="B1408" s="62" t="s">
        <v>445</v>
      </c>
      <c r="C1408" s="62"/>
      <c r="D1408" s="62"/>
      <c r="E1408" s="62"/>
      <c r="F1408" s="62"/>
      <c r="G1408" s="62"/>
      <c r="H1408" s="7"/>
      <c r="I1408" s="63"/>
      <c r="J1408" s="60"/>
      <c r="K1408" s="63"/>
    </row>
    <row r="1409" ht="15.0" hidden="1" customHeight="1">
      <c r="A1409" s="57"/>
      <c r="B1409" s="62" t="s">
        <v>446</v>
      </c>
      <c r="C1409" s="62"/>
      <c r="D1409" s="62"/>
      <c r="E1409" s="62"/>
      <c r="F1409" s="62"/>
      <c r="G1409" s="62"/>
      <c r="H1409" s="7"/>
      <c r="I1409" s="14"/>
      <c r="J1409" s="64"/>
      <c r="K1409" s="14"/>
    </row>
    <row r="1410" ht="15.0" hidden="1" customHeight="1">
      <c r="A1410" s="57"/>
      <c r="B1410" s="62" t="s">
        <v>447</v>
      </c>
      <c r="C1410" s="62"/>
      <c r="D1410" s="62"/>
      <c r="E1410" s="62"/>
      <c r="F1410" s="62"/>
      <c r="G1410" s="62"/>
      <c r="H1410" s="7"/>
      <c r="I1410" s="14"/>
      <c r="J1410" s="64"/>
      <c r="K1410" s="14"/>
    </row>
    <row r="1411" ht="15.0" hidden="1" customHeight="1">
      <c r="A1411" s="57"/>
      <c r="B1411" s="62" t="s">
        <v>448</v>
      </c>
      <c r="C1411" s="62"/>
      <c r="D1411" s="62"/>
      <c r="E1411" s="62"/>
      <c r="F1411" s="62"/>
      <c r="G1411" s="62"/>
      <c r="H1411" s="14"/>
      <c r="I1411" s="14"/>
      <c r="J1411" s="14"/>
      <c r="K1411" s="16"/>
    </row>
    <row r="1412" ht="15.75" customHeight="1">
      <c r="A1412" s="7"/>
      <c r="B1412" s="65"/>
      <c r="C1412" s="7"/>
      <c r="D1412" s="7"/>
      <c r="E1412" s="7"/>
      <c r="F1412" s="7"/>
      <c r="G1412" s="7"/>
      <c r="H1412" s="7"/>
      <c r="I1412" s="7"/>
      <c r="J1412" s="7"/>
      <c r="K1412" s="7"/>
    </row>
  </sheetData>
  <autoFilter ref="$A$7:$K$1411">
    <filterColumn colId="6">
      <filters blank="1">
        <filter val="Oruro"/>
        <filter val="Vallegrande"/>
        <filter val="Luribay"/>
        <filter val="Gutiérrez (Autonomía Indígena Kereimba Iyaambae)"/>
        <filter val="San Pedro de Totora"/>
        <filter val="Vitichi"/>
        <filter val="San Julián"/>
        <filter val="Puerto Mayor de Guaqui"/>
        <filter val="Tarata"/>
        <filter val="Icla"/>
        <filter val="Nor Lípez"/>
        <filter val="Pucará"/>
        <filter val="Loreto"/>
        <filter val="Tapacarí"/>
        <filter val="Villa Tunari"/>
        <filter val="Caracollo"/>
        <filter val="Colquiri"/>
        <filter val="General Bernardino Bilbao"/>
        <filter val="Arani"/>
        <filter val="Punata"/>
        <filter val="Cordillera"/>
        <filter val="Huacaya (Autonomía Guaraní Chaqueño de Huacaya)"/>
        <filter val="Calacoto"/>
        <filter val="Poopó"/>
        <filter val="Portachuelo"/>
        <filter val="San Agustín"/>
        <filter val="Moromoro"/>
        <filter val="Villa Vaca Guzmán"/>
        <filter val="Huacaraje"/>
        <filter val="Villa Gualberto Villarroel"/>
        <filter val="Puerto Rico"/>
        <filter val="Llallagua"/>
        <filter val="Colomi"/>
        <filter val="Apolo"/>
        <filter val="Ichilo"/>
        <filter val="Anzaldo"/>
        <filter val="Copacabana"/>
        <filter val="Toco"/>
        <filter val="Ladislao Cabrera"/>
        <filter val="La Paz"/>
        <filter val="Magdalena"/>
        <filter val="Arce"/>
        <filter val="Porongo"/>
        <filter val="Sur Yungas"/>
        <filter val="San Ignacio"/>
        <filter val="Cajuata"/>
        <filter val="Huatajata"/>
        <filter val="Batallas"/>
        <filter val="Carrasco"/>
        <filter val="Llica"/>
        <filter val="Collana"/>
        <filter val="Culpina"/>
        <filter val="Escoma"/>
        <filter val="Acasio"/>
        <filter val="San Miguel"/>
        <filter val="Trinidad"/>
        <filter val="Alcalá"/>
        <filter val="Escara"/>
        <filter val="Urubichá"/>
        <filter val="Achocalla"/>
        <filter val="Betanzos"/>
        <filter val="Yapacaní"/>
        <filter val="Colquencha"/>
        <filter val="Sur Lípez"/>
        <filter val="El Puente"/>
        <filter val="Calamarca"/>
        <filter val="Entre Ríos"/>
        <filter val="Trigal"/>
        <filter val="San Pedro de Macha"/>
        <filter val="Nor Yungas"/>
        <filter val="Germán Jordán"/>
        <filter val="Nor Chichas"/>
        <filter val="Iténez"/>
        <filter val="Sicaya"/>
        <filter val="Malla"/>
        <filter val="Bautista Saavedra"/>
        <filter val="Villa Montes"/>
        <filter val="Tomina"/>
        <filter val="Challapata"/>
        <filter val="Caiza &quot;D&quot;"/>
        <filter val="Antequera"/>
        <filter val="Colpa Bélgica"/>
        <filter val="Samaipata"/>
        <filter val="Comarapa"/>
        <filter val="Chuquisaca"/>
        <filter val="Santos Mercado"/>
        <filter val="Azurduy"/>
        <filter val="Arbieto"/>
        <filter val="Sucre"/>
        <filter val="Campero"/>
        <filter val="El Torno"/>
        <filter val="Madre de Dios"/>
        <filter val="El Choro"/>
        <filter val="Pocoata"/>
        <filter val="Chua Cocani"/>
        <filter val="Tinguipaya"/>
        <filter val="Puerto Villarroel"/>
        <filter val="Guanay"/>
        <filter val="Antonio Quijarro"/>
        <filter val="José María Linares"/>
        <filter val="Manuel María Caballero"/>
        <filter val="Ayata"/>
        <filter val="Tupiza"/>
        <filter val="Ingavi"/>
        <filter val="Mojinete"/>
        <filter val="Incahuasi"/>
        <filter val="Uriondo"/>
        <filter val="Yunchará"/>
        <filter val="Quirusillas"/>
        <filter val="Nicolás Suárez"/>
        <filter val="Concepción"/>
        <filter val="Huarina"/>
        <filter val="Pacajes"/>
        <filter val="Ascención de Guarayos"/>
        <filter val="Sud Cinti"/>
        <filter val="Villa Charcas"/>
        <filter val="TIOC-Jatun Ayllu Yura"/>
        <filter val="Cotagaita"/>
        <filter val="Atocha"/>
        <filter val="Chapare"/>
        <filter val="Monteagudo"/>
        <filter val="Puerto Siles"/>
        <filter val="Saucarí"/>
        <filter val="Okinawa Uno"/>
        <filter val="Florida"/>
        <filter val="Aucapata"/>
        <filter val="Alonso de Ibáñez"/>
        <filter val="Manco Kapac"/>
        <filter val="Mejillones"/>
        <filter val="Belén de Andamarca"/>
        <filter val="Ixiamas"/>
        <filter val="Sara"/>
        <filter val="Charaña"/>
        <filter val="Beni"/>
        <filter val="San Ramón"/>
        <filter val="Porco"/>
        <filter val="Yamparáez"/>
        <filter val="Méndez"/>
        <filter val="Mapiri"/>
        <filter val="Papel Pampa"/>
        <filter val="Viacha"/>
        <filter val="Tarija"/>
        <filter val="Tipuani"/>
        <filter val="Tiahuanacu"/>
        <filter val="San Lucas"/>
        <filter val="Pando"/>
        <filter val="Marbán"/>
        <filter val="Filadelfia"/>
        <filter val="Alalay"/>
        <filter val="Huanuni"/>
        <filter val="Sipesipe"/>
        <filter val="Machacamarca"/>
        <filter val="Chaquí"/>
        <filter val="Cairoma"/>
        <filter val="Toledo"/>
        <filter val="Coipasa"/>
        <filter val="Saipina"/>
        <filter val="Belisario Boeto"/>
        <filter val="San José"/>
        <filter val="Chayanta"/>
        <filter val="Achacachi"/>
        <filter val="Puerto Acosta"/>
        <filter val="Santa Ana"/>
        <filter val="Santa Cruz de la Sierra"/>
        <filter val="San Andrés"/>
        <filter val="Nueva Esperanza"/>
        <filter val="Uru Chipaya (Nación Originaria Uru Chipaya)"/>
        <filter val="Camiri"/>
        <filter val="Tiraque"/>
        <filter val="Ayo Ayo"/>
        <filter val="Roboré"/>
        <filter val="Ckochas"/>
        <filter val="Todos Santos"/>
        <filter val="Andrés Ibáñez"/>
        <filter val="Laja"/>
        <filter val="Tomás Frías"/>
        <filter val="Santiago de Huari"/>
        <filter val="Yacuiba"/>
        <filter val="Montero"/>
        <filter val="Fernández Alonso"/>
        <filter val="Santa Cruz"/>
        <filter val="Yaco"/>
        <filter val="Vacas"/>
        <filter val="Pailón"/>
        <filter val="Chuma"/>
        <filter val="Waldo Ballivián"/>
        <filter val="Yacuma"/>
        <filter val="San Pablo"/>
        <filter val="Paria"/>
        <filter val="San Javier"/>
        <filter val="Tomás Barrón"/>
        <filter val="Toro Toro"/>
        <filter val="Sabaya"/>
        <filter val="Curahuara de Carangas"/>
        <filter val="Tiquipaya"/>
        <filter val="Puerto Pérez"/>
        <filter val="Porvenir"/>
        <filter val="Daniel Campos"/>
        <filter val="San Juan"/>
        <filter val="La Asunta"/>
        <filter val="Poroma"/>
        <filter val="Santiago de Huata"/>
        <filter val="Eucaliptus"/>
        <filter val="Chimoré"/>
        <filter val="Ichoca"/>
        <filter val="Sur Chichas"/>
        <filter val="Mocomoco"/>
        <filter val="Padcaya"/>
        <filter val="Bella Flor"/>
        <filter val="Huacareta"/>
        <filter val="Charazani"/>
        <filter val="Tomave"/>
        <filter val="Obispo Santisteban"/>
        <filter val="Abaroa"/>
        <filter val="Pucarani"/>
        <filter val="Cotoca"/>
        <filter val="Coroico"/>
        <filter val="Taraco"/>
        <filter val="San Buenaventura"/>
        <filter val="Mairana"/>
        <filter val="San Pedro de Tiquina"/>
        <filter val="Cabezas"/>
        <filter val="Tolata"/>
        <filter val="Bolívar"/>
        <filter val="Macharetí"/>
        <filter val="Nuestra Señora de La Paz"/>
        <filter val="Pasorapa"/>
        <filter val="Boyuibe"/>
        <filter val="Patacamaya"/>
        <filter val="Coripata"/>
        <filter val="Caraparí"/>
        <filter val="Mineros"/>
        <filter val="Shinahota"/>
        <filter val="Presto"/>
        <filter val="Desaguadero"/>
        <filter val="La (Marka) San Andrés de Machaca"/>
        <filter val="Ravelo"/>
        <filter val="La Guardia"/>
        <filter val="Charagua (Autonomía Guaraní Charagua Iyambae)"/>
        <filter val="Villa Nueva"/>
        <filter val="Colcha &quot;K&quot;"/>
        <filter val="Abel Iturralde"/>
        <filter val="Abuná"/>
        <filter val="San Antonio de Lomerio"/>
        <filter val="Arampampa"/>
        <filter val="Zudáñez"/>
        <filter val="Gualberto Villarroel"/>
        <filter val="Quime"/>
        <filter val="Tarabuco"/>
        <filter val="Litoral"/>
        <filter val="Santiago de Huayllamarca"/>
        <filter val="San Carlos"/>
        <filter val="Chulumani"/>
        <filter val="Sicasica"/>
        <filter val="Corocoro"/>
        <filter val="Santuario de Quillacas"/>
        <filter val="Guayaramerín"/>
        <filter val="Federico Román"/>
        <filter val="Loayza"/>
        <filter val="Rafael Bustillo"/>
        <filter val="Tacobamba"/>
        <filter val="Humanata"/>
        <filter val="Riberalta"/>
        <filter val="San Joaquín"/>
        <filter val="Palca"/>
        <filter val="El Villar"/>
        <filter val="Salinas de Garci Mendoza (Autonomía Indígena Originario Campesina de Salinas)"/>
        <filter val="Nor Cinti"/>
        <filter val="Urmiri"/>
        <filter val="Cercado"/>
        <filter val="Santiago de Callapa"/>
        <filter val="Jesús de Machaka"/>
        <filter val="Muñecas"/>
        <filter val="Mizque"/>
        <filter val="San Pedro de Quemes"/>
        <filter val="Exaltación"/>
        <filter val="Sorata"/>
        <filter val="Totora"/>
        <filter val="Omasuyos"/>
        <filter val="Chiquitos"/>
        <filter val="Vaca Diez"/>
        <filter val="Ángel Sandoval"/>
        <filter val="Omereque"/>
        <filter val="Puna"/>
        <filter val="Tacacoma"/>
        <filter val="Ñuflo de Chávez"/>
        <filter val="Modesto Omiste"/>
        <filter val="Mojocoya"/>
        <filter val="San Antonio de Esmoruco"/>
        <filter val="San Matías"/>
        <filter val="Larecaja"/>
        <filter val="Alto Beni"/>
        <filter val="Baures"/>
        <filter val="Velasco"/>
        <filter val="Turco"/>
        <filter val="Lagunillas"/>
        <filter val="Sopachuy"/>
        <filter val="Gran Chaco"/>
        <filter val="Cobija"/>
        <filter val="San Borja"/>
        <filter val="Puerto Menor de Rurrenabaque"/>
        <filter val="Pampagrande"/>
        <filter val="Yotala"/>
        <filter val="Tarvita"/>
        <filter val="General José Manuel Pando"/>
        <filter val="Camargo"/>
        <filter val="Choquecota"/>
        <filter val="Guarayos"/>
        <filter val="Sapahaqui"/>
        <filter val="TIOC-Territorio Indígena Multiétnico"/>
        <filter val="Colcapirhua"/>
        <filter val="Reyes"/>
        <filter val="Ayopaya"/>
        <filter val="San Benito"/>
        <filter val="TIOC-Raqaypampa"/>
        <filter val="Colquechaca"/>
        <filter val="Arque"/>
        <filter val="Chuquihuta Ayllu Jucumani"/>
        <filter val="Buena Vista"/>
        <filter val="Capinota"/>
        <filter val="Morochata"/>
        <filter val="Catacora"/>
        <filter val="Enrique Baldivieso"/>
        <filter val="Las Carreras"/>
        <filter val="Santiago de Machaca"/>
        <filter val="Palos Blancos"/>
        <filter val="Postrervalle"/>
        <filter val="Pampa Aullagas"/>
        <filter val="Moxos"/>
        <filter val="Curva"/>
        <filter val="Quillacollo"/>
        <filter val="Camacho"/>
        <filter val="Nor Carangas"/>
        <filter val="San Lorenzo"/>
        <filter val="Puerto Quijarro"/>
        <filter val="Mecapaca"/>
        <filter val="Cocapata"/>
        <filter val="Andamarca"/>
        <filter val="Puerto Mayor de Carabuco"/>
        <filter val="Manuripi"/>
        <filter val="Bolpebra"/>
        <filter val="Corque"/>
        <filter val="Umala"/>
        <filter val="Territorio Indígena Multiétnico"/>
        <filter val="Caripuyo"/>
        <filter val="Santa Rosa"/>
        <filter val="Teoponte"/>
        <filter val="Uyuni"/>
        <filter val="Pazña"/>
        <filter val="Oropeza"/>
        <filter val="Luis Calvo"/>
        <filter val="Sajama"/>
        <filter val="Yocalla"/>
        <filter val="Esmeralda"/>
        <filter val="Vinto"/>
        <filter val="Pantaleón Dalence"/>
        <filter val="Inquisivi"/>
        <filter val="Yunguyo del Litoral"/>
        <filter val="Mamoré"/>
        <filter val="Cornelio Saavedra"/>
        <filter val="Puerto Suárez"/>
        <filter val="Irupana"/>
        <filter val="Carangas"/>
        <filter val="San Rafael"/>
        <filter val="Caranavi"/>
        <filter val="Villa Rivero"/>
        <filter val="Pocona"/>
        <filter val="Avilez"/>
        <filter val="Los Andes"/>
        <filter val="Pojo"/>
        <filter val="Sena"/>
        <filter val="El Alto"/>
        <filter val="Esteban Arze"/>
        <filter val="Tahua"/>
        <filter val="Sacaca"/>
        <filter val="Villa Serrano"/>
        <filter val="Tito Yupanqui"/>
        <filter val="Nazacara de Pacajes"/>
        <filter val="Villazón"/>
        <filter val="Caquiaviri"/>
        <filter val="Aroma"/>
        <filter val="Santiváñez"/>
        <filter val="Sacabamba"/>
        <filter val="Cochabamba"/>
        <filter val="Aiquile"/>
        <filter val="Franz Tamayo"/>
        <filter val="Puerto Gonzalo Moreno"/>
        <filter val="Tacachi"/>
        <filter val="Sacaba"/>
        <filter val="Tacopaya"/>
        <filter val="San Pedro"/>
        <filter val="San Pedro de Curahuara"/>
        <filter val="Villa Ancoraimes"/>
        <filter val="Combaya"/>
        <filter val="Villa Libertad Licoma"/>
        <filter val="La Rivera"/>
        <filter val="Yanacachi"/>
        <filter val="El Carmen Rivero Tórrez"/>
        <filter val="Uncía"/>
        <filter val="Hernando Siles"/>
        <filter val="Cliza"/>
        <filter val="Villa Abecia"/>
        <filter val="Quiabaya"/>
        <filter val="Vila Vila"/>
        <filter val="General Saavedra"/>
        <filter val="Bolivia"/>
        <filter val="Murillo"/>
        <filter val="Cruz de Machacamarca"/>
        <filter val="General José Ballivián"/>
        <filter val="O'Connor"/>
        <filter val="Sur Carangas"/>
        <filter val="Warnes"/>
        <filter val="Pelechuco"/>
        <filter val="Charcas"/>
        <filter val="Sebastián Pagador"/>
        <filter val="Comanche"/>
        <filter val="Padilla"/>
        <filter val="Potosí"/>
        <filter val="Bermejo"/>
        <filter val="Cuevo"/>
        <filter val="Germán Busch"/>
        <filter val="Chacarilla"/>
        <filter val="Huachacalla"/>
        <filter val="Ocurí"/>
        <filter val="Valle Grande"/>
        <filter val="Cuatro Cañadas"/>
      </filters>
    </filterColumn>
    <filterColumn colId="2">
      <filters>
        <filter val="Municipio/TIOC"/>
        <filter val="País"/>
      </filters>
    </filterColumn>
  </autoFilter>
  <mergeCells count="2">
    <mergeCell ref="H5:I5"/>
    <mergeCell ref="J5:K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3" max="8" width="25.57"/>
    <col customWidth="1" min="11" max="16" width="20.14"/>
  </cols>
  <sheetData>
    <row r="1">
      <c r="A1" s="66"/>
      <c r="B1" s="67"/>
      <c r="C1" s="67">
        <v>2012.0</v>
      </c>
      <c r="F1" s="67">
        <v>2024.0</v>
      </c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</row>
    <row r="2" ht="45.0" customHeight="1">
      <c r="A2" s="69" t="s">
        <v>449</v>
      </c>
      <c r="B2" s="70" t="s">
        <v>450</v>
      </c>
      <c r="C2" s="70" t="s">
        <v>451</v>
      </c>
      <c r="D2" s="70" t="s">
        <v>452</v>
      </c>
      <c r="E2" s="71" t="s">
        <v>453</v>
      </c>
      <c r="F2" s="70" t="s">
        <v>454</v>
      </c>
      <c r="G2" s="70" t="s">
        <v>455</v>
      </c>
      <c r="H2" s="71" t="s">
        <v>456</v>
      </c>
      <c r="I2" s="72"/>
      <c r="J2" s="70" t="s">
        <v>15</v>
      </c>
      <c r="K2" s="70" t="s">
        <v>451</v>
      </c>
      <c r="L2" s="70" t="s">
        <v>452</v>
      </c>
      <c r="M2" s="71" t="s">
        <v>453</v>
      </c>
      <c r="N2" s="70" t="s">
        <v>454</v>
      </c>
      <c r="O2" s="70" t="s">
        <v>455</v>
      </c>
      <c r="P2" s="71" t="s">
        <v>456</v>
      </c>
      <c r="Q2" s="72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</row>
    <row r="3">
      <c r="A3" s="73">
        <v>10101.0</v>
      </c>
      <c r="B3" s="74" t="s">
        <v>20</v>
      </c>
      <c r="C3" s="75">
        <v>252503.0</v>
      </c>
      <c r="D3" s="76">
        <v>92.192568</v>
      </c>
      <c r="E3" s="75">
        <f t="shared" ref="E3:E345" si="1">C3-(C3*(D3/100))</f>
        <v>19714.00002</v>
      </c>
      <c r="F3" s="75">
        <v>288058.0</v>
      </c>
      <c r="G3" s="76">
        <v>94.741684</v>
      </c>
      <c r="H3" s="75">
        <f t="shared" ref="H3:H345" si="2">F3-(F3*(G3/100))</f>
        <v>15146.9999</v>
      </c>
      <c r="J3" s="74" t="s">
        <v>16</v>
      </c>
      <c r="K3" s="75">
        <v>562160.0</v>
      </c>
      <c r="L3" s="76">
        <v>56.8404013</v>
      </c>
      <c r="M3" s="75">
        <f t="shared" ref="M3:M12" si="3">K3-(K3*(L3/100))</f>
        <v>242626.0001</v>
      </c>
      <c r="N3" s="75">
        <v>589329.0</v>
      </c>
      <c r="O3" s="76">
        <v>68.4312158</v>
      </c>
      <c r="P3" s="75">
        <f t="shared" ref="P3:P12" si="4">N3-(N3*(O3/100))</f>
        <v>186044.0002</v>
      </c>
      <c r="Q3" s="77"/>
    </row>
    <row r="4">
      <c r="A4" s="73">
        <v>10102.0</v>
      </c>
      <c r="B4" s="74" t="s">
        <v>21</v>
      </c>
      <c r="C4" s="75">
        <v>9025.0</v>
      </c>
      <c r="D4" s="76">
        <v>53.3185596</v>
      </c>
      <c r="E4" s="75">
        <f t="shared" si="1"/>
        <v>4212.999996</v>
      </c>
      <c r="F4" s="75">
        <v>8903.0</v>
      </c>
      <c r="G4" s="76">
        <v>74.3120297</v>
      </c>
      <c r="H4" s="75">
        <f t="shared" si="2"/>
        <v>2286.999996</v>
      </c>
      <c r="J4" s="74" t="s">
        <v>54</v>
      </c>
      <c r="K4" s="75">
        <v>2653413.0</v>
      </c>
      <c r="L4" s="76">
        <v>76.4584707</v>
      </c>
      <c r="M4" s="75">
        <f t="shared" si="3"/>
        <v>624653.9988</v>
      </c>
      <c r="N4" s="75">
        <v>2947200.0</v>
      </c>
      <c r="O4" s="76">
        <v>83.6404045</v>
      </c>
      <c r="P4" s="75">
        <f t="shared" si="4"/>
        <v>482149.9986</v>
      </c>
    </row>
    <row r="5">
      <c r="A5" s="73">
        <v>10103.0</v>
      </c>
      <c r="B5" s="74" t="s">
        <v>22</v>
      </c>
      <c r="C5" s="75">
        <v>16275.0</v>
      </c>
      <c r="D5" s="76">
        <v>3.9016897</v>
      </c>
      <c r="E5" s="75">
        <f t="shared" si="1"/>
        <v>15640</v>
      </c>
      <c r="F5" s="75">
        <v>13555.0</v>
      </c>
      <c r="G5" s="76">
        <v>8.8749539</v>
      </c>
      <c r="H5" s="75">
        <f t="shared" si="2"/>
        <v>12352</v>
      </c>
      <c r="J5" s="74" t="s">
        <v>160</v>
      </c>
      <c r="K5" s="75">
        <v>1720331.0</v>
      </c>
      <c r="L5" s="76">
        <v>77.1345747</v>
      </c>
      <c r="M5" s="75">
        <f t="shared" si="3"/>
        <v>393360.9997</v>
      </c>
      <c r="N5" s="75">
        <v>1968192.0</v>
      </c>
      <c r="O5" s="76">
        <v>85.5086292</v>
      </c>
      <c r="P5" s="75">
        <f t="shared" si="4"/>
        <v>285218.0008</v>
      </c>
    </row>
    <row r="6">
      <c r="A6" s="73">
        <v>10201.0</v>
      </c>
      <c r="B6" s="74" t="s">
        <v>23</v>
      </c>
      <c r="C6" s="75">
        <v>10335.0</v>
      </c>
      <c r="D6" s="76">
        <v>10.3338171</v>
      </c>
      <c r="E6" s="75">
        <f t="shared" si="1"/>
        <v>9267.000003</v>
      </c>
      <c r="F6" s="75">
        <v>7808.0</v>
      </c>
      <c r="G6" s="76">
        <v>19.8514344</v>
      </c>
      <c r="H6" s="75">
        <f t="shared" si="2"/>
        <v>6258.000002</v>
      </c>
      <c r="J6" s="74" t="s">
        <v>214</v>
      </c>
      <c r="K6" s="75">
        <v>483358.0</v>
      </c>
      <c r="L6" s="76">
        <v>74.1756628</v>
      </c>
      <c r="M6" s="75">
        <f t="shared" si="3"/>
        <v>124823.9998</v>
      </c>
      <c r="N6" s="75">
        <v>557463.0</v>
      </c>
      <c r="O6" s="76">
        <v>81.8355658</v>
      </c>
      <c r="P6" s="75">
        <f t="shared" si="4"/>
        <v>101259.9998</v>
      </c>
    </row>
    <row r="7">
      <c r="A7" s="73">
        <v>10202.0</v>
      </c>
      <c r="B7" s="74" t="s">
        <v>24</v>
      </c>
      <c r="C7" s="75">
        <v>14063.0</v>
      </c>
      <c r="D7" s="76">
        <v>12.6502169</v>
      </c>
      <c r="E7" s="75">
        <f t="shared" si="1"/>
        <v>12284</v>
      </c>
      <c r="F7" s="75">
        <v>16671.0</v>
      </c>
      <c r="G7" s="76">
        <v>31.7617419</v>
      </c>
      <c r="H7" s="75">
        <f t="shared" si="2"/>
        <v>11376.00001</v>
      </c>
      <c r="J7" s="74" t="s">
        <v>260</v>
      </c>
      <c r="K7" s="75">
        <v>810141.0</v>
      </c>
      <c r="L7" s="76">
        <v>53.3567614</v>
      </c>
      <c r="M7" s="75">
        <f t="shared" si="3"/>
        <v>377875.9996</v>
      </c>
      <c r="N7" s="75">
        <v>841628.0</v>
      </c>
      <c r="O7" s="76">
        <v>64.2048506</v>
      </c>
      <c r="P7" s="75">
        <f t="shared" si="4"/>
        <v>301262</v>
      </c>
    </row>
    <row r="8">
      <c r="A8" s="73">
        <v>10301.0</v>
      </c>
      <c r="B8" s="74" t="s">
        <v>25</v>
      </c>
      <c r="C8" s="75">
        <v>10894.0</v>
      </c>
      <c r="D8" s="76">
        <v>32.2746466</v>
      </c>
      <c r="E8" s="75">
        <f t="shared" si="1"/>
        <v>7377.999999</v>
      </c>
      <c r="F8" s="75">
        <v>13446.0</v>
      </c>
      <c r="G8" s="76">
        <v>36.5015618</v>
      </c>
      <c r="H8" s="75">
        <f t="shared" si="2"/>
        <v>8538</v>
      </c>
      <c r="J8" s="74" t="s">
        <v>317</v>
      </c>
      <c r="K8" s="75">
        <v>458961.0</v>
      </c>
      <c r="L8" s="76">
        <v>77.9190389</v>
      </c>
      <c r="M8" s="75">
        <f t="shared" si="3"/>
        <v>101342.9999</v>
      </c>
      <c r="N8" s="75">
        <v>519512.0</v>
      </c>
      <c r="O8" s="76">
        <v>87.4911455</v>
      </c>
      <c r="P8" s="75">
        <f t="shared" si="4"/>
        <v>64985.00019</v>
      </c>
    </row>
    <row r="9">
      <c r="A9" s="73">
        <v>10302.0</v>
      </c>
      <c r="B9" s="74" t="s">
        <v>26</v>
      </c>
      <c r="C9" s="75">
        <v>11791.0</v>
      </c>
      <c r="D9" s="76">
        <v>18.6074124</v>
      </c>
      <c r="E9" s="75">
        <f t="shared" si="1"/>
        <v>9597.000004</v>
      </c>
      <c r="F9" s="75">
        <v>12443.0</v>
      </c>
      <c r="G9" s="76">
        <v>31.8572691</v>
      </c>
      <c r="H9" s="75">
        <f t="shared" si="2"/>
        <v>8479.000006</v>
      </c>
      <c r="J9" s="74" t="s">
        <v>332</v>
      </c>
      <c r="K9" s="75">
        <v>2556717.0</v>
      </c>
      <c r="L9" s="76">
        <v>86.7807035</v>
      </c>
      <c r="M9" s="75">
        <f t="shared" si="3"/>
        <v>337980.0009</v>
      </c>
      <c r="N9" s="75">
        <v>3029443.0</v>
      </c>
      <c r="O9" s="76">
        <v>92.3384266</v>
      </c>
      <c r="P9" s="75">
        <f t="shared" si="4"/>
        <v>232102.9991</v>
      </c>
    </row>
    <row r="10">
      <c r="A10" s="73">
        <v>10303.0</v>
      </c>
      <c r="B10" s="74" t="s">
        <v>27</v>
      </c>
      <c r="C10" s="75">
        <v>7922.0</v>
      </c>
      <c r="D10" s="76">
        <v>31.305226</v>
      </c>
      <c r="E10" s="75">
        <f t="shared" si="1"/>
        <v>5441.999996</v>
      </c>
      <c r="F10" s="75">
        <v>8995.0</v>
      </c>
      <c r="G10" s="76">
        <v>49.9610895</v>
      </c>
      <c r="H10" s="75">
        <f t="shared" si="2"/>
        <v>4500.999999</v>
      </c>
      <c r="J10" s="74" t="s">
        <v>401</v>
      </c>
      <c r="K10" s="75">
        <v>403141.0</v>
      </c>
      <c r="L10" s="76">
        <v>64.5796384</v>
      </c>
      <c r="M10" s="75">
        <f t="shared" si="3"/>
        <v>142794</v>
      </c>
      <c r="N10" s="75">
        <v>469834.0</v>
      </c>
      <c r="O10" s="76">
        <v>76.139445</v>
      </c>
      <c r="P10" s="75">
        <f t="shared" si="4"/>
        <v>112105</v>
      </c>
    </row>
    <row r="11">
      <c r="A11" s="73">
        <v>10304.0</v>
      </c>
      <c r="B11" s="74" t="s">
        <v>28</v>
      </c>
      <c r="C11" s="75">
        <v>7580.0</v>
      </c>
      <c r="D11" s="76">
        <v>15.0395778</v>
      </c>
      <c r="E11" s="75">
        <f t="shared" si="1"/>
        <v>6440.000003</v>
      </c>
      <c r="F11" s="75">
        <v>9038.0</v>
      </c>
      <c r="G11" s="76">
        <v>26.3111308</v>
      </c>
      <c r="H11" s="75">
        <f t="shared" si="2"/>
        <v>6659.999998</v>
      </c>
      <c r="J11" s="74" t="s">
        <v>426</v>
      </c>
      <c r="K11" s="75">
        <v>102407.0</v>
      </c>
      <c r="L11" s="76">
        <v>54.768717</v>
      </c>
      <c r="M11" s="75">
        <f t="shared" si="3"/>
        <v>46319.99998</v>
      </c>
      <c r="N11" s="75">
        <v>126967.0</v>
      </c>
      <c r="O11" s="76">
        <v>76.752227</v>
      </c>
      <c r="P11" s="75">
        <f t="shared" si="4"/>
        <v>29516.99994</v>
      </c>
    </row>
    <row r="12">
      <c r="A12" s="73">
        <v>10401.0</v>
      </c>
      <c r="B12" s="74" t="s">
        <v>30</v>
      </c>
      <c r="C12" s="75">
        <v>10039.0</v>
      </c>
      <c r="D12" s="76">
        <v>32.8219942</v>
      </c>
      <c r="E12" s="75">
        <f t="shared" si="1"/>
        <v>6744.000002</v>
      </c>
      <c r="F12" s="75">
        <v>8989.0</v>
      </c>
      <c r="G12" s="76">
        <v>49.4048281</v>
      </c>
      <c r="H12" s="75">
        <f t="shared" si="2"/>
        <v>4548.000002</v>
      </c>
      <c r="J12" s="78" t="s">
        <v>12</v>
      </c>
      <c r="K12" s="79">
        <v>9750629.0</v>
      </c>
      <c r="L12" s="80">
        <v>75.4705261</v>
      </c>
      <c r="M12" s="79">
        <f t="shared" si="3"/>
        <v>2391777.996</v>
      </c>
      <c r="N12" s="79">
        <v>1.1049568E7</v>
      </c>
      <c r="O12" s="80">
        <v>83.7582429</v>
      </c>
      <c r="P12" s="79">
        <f t="shared" si="4"/>
        <v>1794643.995</v>
      </c>
    </row>
    <row r="13">
      <c r="A13" s="73">
        <v>10402.0</v>
      </c>
      <c r="B13" s="74" t="s">
        <v>29</v>
      </c>
      <c r="C13" s="75">
        <v>8273.0</v>
      </c>
      <c r="D13" s="76">
        <v>20.9718361</v>
      </c>
      <c r="E13" s="75">
        <f t="shared" si="1"/>
        <v>6537.999999</v>
      </c>
      <c r="F13" s="75">
        <v>8428.0</v>
      </c>
      <c r="G13" s="76">
        <v>33.0683436</v>
      </c>
      <c r="H13" s="75">
        <f t="shared" si="2"/>
        <v>5641.000001</v>
      </c>
      <c r="J13" s="74" t="s">
        <v>321</v>
      </c>
      <c r="K13" s="81">
        <f>SUM(C247:C249)</f>
        <v>137374</v>
      </c>
      <c r="L13" s="82">
        <f>100-((M13/K13)*100)</f>
        <v>78.09046839</v>
      </c>
      <c r="M13" s="81">
        <f t="shared" ref="M13:N13" si="5">SUM(E247:E249)</f>
        <v>30097.99996</v>
      </c>
      <c r="N13" s="81">
        <f t="shared" si="5"/>
        <v>153712</v>
      </c>
      <c r="O13" s="82">
        <f>100-((P13/N13)*100)</f>
        <v>86.78502651</v>
      </c>
      <c r="P13" s="81">
        <f>SUM(H247:H249)</f>
        <v>20313.00005</v>
      </c>
    </row>
    <row r="14">
      <c r="A14" s="73">
        <v>10403.0</v>
      </c>
      <c r="B14" s="74" t="s">
        <v>31</v>
      </c>
      <c r="C14" s="75">
        <v>7146.0</v>
      </c>
      <c r="D14" s="76">
        <v>23.4676742</v>
      </c>
      <c r="E14" s="75">
        <f t="shared" si="1"/>
        <v>5469.000002</v>
      </c>
      <c r="F14" s="75">
        <v>6872.0</v>
      </c>
      <c r="G14" s="76">
        <v>31.3882421</v>
      </c>
      <c r="H14" s="75">
        <f t="shared" si="2"/>
        <v>4715.000003</v>
      </c>
    </row>
    <row r="15">
      <c r="A15" s="73">
        <v>10404.0</v>
      </c>
      <c r="B15" s="74" t="s">
        <v>32</v>
      </c>
      <c r="C15" s="75">
        <v>4829.0</v>
      </c>
      <c r="D15" s="76">
        <v>30.2340029</v>
      </c>
      <c r="E15" s="75">
        <f t="shared" si="1"/>
        <v>3369</v>
      </c>
      <c r="F15" s="75">
        <v>3743.0</v>
      </c>
      <c r="G15" s="76">
        <v>43.5212396</v>
      </c>
      <c r="H15" s="75">
        <f t="shared" si="2"/>
        <v>2114.000002</v>
      </c>
    </row>
    <row r="16">
      <c r="A16" s="73">
        <v>10405.0</v>
      </c>
      <c r="B16" s="74" t="s">
        <v>33</v>
      </c>
      <c r="C16" s="75">
        <v>4283.0</v>
      </c>
      <c r="D16" s="76">
        <v>18.9586738</v>
      </c>
      <c r="E16" s="75">
        <f t="shared" si="1"/>
        <v>3471.000001</v>
      </c>
      <c r="F16" s="75">
        <v>5624.0</v>
      </c>
      <c r="G16" s="76">
        <v>23.2752489</v>
      </c>
      <c r="H16" s="75">
        <f t="shared" si="2"/>
        <v>4315.000002</v>
      </c>
    </row>
    <row r="17">
      <c r="A17" s="73">
        <v>10501.0</v>
      </c>
      <c r="B17" s="74" t="s">
        <v>35</v>
      </c>
      <c r="C17" s="75">
        <v>23158.0</v>
      </c>
      <c r="D17" s="76">
        <v>51.7877191</v>
      </c>
      <c r="E17" s="75">
        <f t="shared" si="1"/>
        <v>11165.00001</v>
      </c>
      <c r="F17" s="75">
        <v>24007.0</v>
      </c>
      <c r="G17" s="76">
        <v>67.5136419</v>
      </c>
      <c r="H17" s="75">
        <f t="shared" si="2"/>
        <v>7798.999989</v>
      </c>
    </row>
    <row r="18">
      <c r="A18" s="73">
        <v>10502.0</v>
      </c>
      <c r="B18" s="74" t="s">
        <v>36</v>
      </c>
      <c r="C18" s="75">
        <v>7965.0</v>
      </c>
      <c r="D18" s="76">
        <v>24.9843063</v>
      </c>
      <c r="E18" s="75">
        <f t="shared" si="1"/>
        <v>5975.000003</v>
      </c>
      <c r="F18" s="75">
        <v>7016.0</v>
      </c>
      <c r="G18" s="76">
        <v>37.7423033</v>
      </c>
      <c r="H18" s="75">
        <f t="shared" si="2"/>
        <v>4368</v>
      </c>
    </row>
    <row r="19">
      <c r="A19" s="73">
        <v>10601.0</v>
      </c>
      <c r="B19" s="74" t="s">
        <v>38</v>
      </c>
      <c r="C19" s="75">
        <v>16671.0</v>
      </c>
      <c r="D19" s="76">
        <v>27.3888789</v>
      </c>
      <c r="E19" s="75">
        <f t="shared" si="1"/>
        <v>12105</v>
      </c>
      <c r="F19" s="75">
        <v>13110.0</v>
      </c>
      <c r="G19" s="76">
        <v>45.5148741</v>
      </c>
      <c r="H19" s="75">
        <f t="shared" si="2"/>
        <v>7143.000005</v>
      </c>
    </row>
    <row r="20">
      <c r="A20" s="73">
        <v>10602.0</v>
      </c>
      <c r="B20" s="74" t="s">
        <v>37</v>
      </c>
      <c r="C20" s="75">
        <v>9838.0</v>
      </c>
      <c r="D20" s="76">
        <v>30.3516975</v>
      </c>
      <c r="E20" s="75">
        <f t="shared" si="1"/>
        <v>6852</v>
      </c>
      <c r="F20" s="75">
        <v>8359.0</v>
      </c>
      <c r="G20" s="76">
        <v>54.1930853</v>
      </c>
      <c r="H20" s="75">
        <f t="shared" si="2"/>
        <v>3829</v>
      </c>
    </row>
    <row r="21">
      <c r="A21" s="73">
        <v>10701.0</v>
      </c>
      <c r="B21" s="74" t="s">
        <v>40</v>
      </c>
      <c r="C21" s="75">
        <v>14936.0</v>
      </c>
      <c r="D21" s="76">
        <v>46.4113551</v>
      </c>
      <c r="E21" s="75">
        <f t="shared" si="1"/>
        <v>8004.000002</v>
      </c>
      <c r="F21" s="75">
        <v>14219.0</v>
      </c>
      <c r="G21" s="76">
        <v>60.2925663</v>
      </c>
      <c r="H21" s="75">
        <f t="shared" si="2"/>
        <v>5645.999998</v>
      </c>
    </row>
    <row r="22">
      <c r="A22" s="73">
        <v>10702.0</v>
      </c>
      <c r="B22" s="74" t="s">
        <v>41</v>
      </c>
      <c r="C22" s="75">
        <v>32142.0</v>
      </c>
      <c r="D22" s="76">
        <v>24.463319</v>
      </c>
      <c r="E22" s="75">
        <f t="shared" si="1"/>
        <v>24279.00001</v>
      </c>
      <c r="F22" s="75">
        <v>26515.0</v>
      </c>
      <c r="G22" s="76">
        <v>43.8091646</v>
      </c>
      <c r="H22" s="75">
        <f t="shared" si="2"/>
        <v>14899.00001</v>
      </c>
    </row>
    <row r="23">
      <c r="A23" s="73">
        <v>10703.0</v>
      </c>
      <c r="B23" s="74" t="s">
        <v>42</v>
      </c>
      <c r="C23" s="75">
        <v>12849.0</v>
      </c>
      <c r="D23" s="76">
        <v>20.281734</v>
      </c>
      <c r="E23" s="75">
        <f t="shared" si="1"/>
        <v>10243</v>
      </c>
      <c r="F23" s="75">
        <v>15967.0</v>
      </c>
      <c r="G23" s="76">
        <v>37.2205173</v>
      </c>
      <c r="H23" s="75">
        <f t="shared" si="2"/>
        <v>10024</v>
      </c>
    </row>
    <row r="24">
      <c r="A24" s="73">
        <v>10704.0</v>
      </c>
      <c r="B24" s="74" t="s">
        <v>43</v>
      </c>
      <c r="C24" s="75">
        <v>15656.0</v>
      </c>
      <c r="D24" s="76">
        <v>31.4320388</v>
      </c>
      <c r="E24" s="75">
        <f t="shared" si="1"/>
        <v>10735.00001</v>
      </c>
      <c r="F24" s="75">
        <v>14145.0</v>
      </c>
      <c r="G24" s="76">
        <v>49.8480028</v>
      </c>
      <c r="H24" s="75">
        <f t="shared" si="2"/>
        <v>7094.000004</v>
      </c>
    </row>
    <row r="25">
      <c r="A25" s="73">
        <v>10801.0</v>
      </c>
      <c r="B25" s="74" t="s">
        <v>45</v>
      </c>
      <c r="C25" s="75">
        <v>10876.0</v>
      </c>
      <c r="D25" s="76">
        <v>31.4637734</v>
      </c>
      <c r="E25" s="75">
        <f t="shared" si="1"/>
        <v>7454.000005</v>
      </c>
      <c r="F25" s="75">
        <v>8941.0</v>
      </c>
      <c r="G25" s="76">
        <v>44.838385</v>
      </c>
      <c r="H25" s="75">
        <f t="shared" si="2"/>
        <v>4931.999997</v>
      </c>
    </row>
    <row r="26">
      <c r="A26" s="73">
        <v>10901.0</v>
      </c>
      <c r="B26" s="74" t="s">
        <v>47</v>
      </c>
      <c r="C26" s="75">
        <v>3359.0</v>
      </c>
      <c r="D26" s="76">
        <v>27.2402501</v>
      </c>
      <c r="E26" s="75">
        <f t="shared" si="1"/>
        <v>2443.999999</v>
      </c>
      <c r="F26" s="75">
        <v>5260.0</v>
      </c>
      <c r="G26" s="76">
        <v>50.3041825</v>
      </c>
      <c r="H26" s="75">
        <f t="shared" si="2"/>
        <v>2614.000001</v>
      </c>
    </row>
    <row r="27">
      <c r="A27" s="73">
        <v>10902.0</v>
      </c>
      <c r="B27" s="74" t="s">
        <v>48</v>
      </c>
      <c r="C27" s="75">
        <v>17511.0</v>
      </c>
      <c r="D27" s="76">
        <v>29.8783622</v>
      </c>
      <c r="E27" s="75">
        <f t="shared" si="1"/>
        <v>12279</v>
      </c>
      <c r="F27" s="75">
        <v>14775.0</v>
      </c>
      <c r="G27" s="76">
        <v>49.143824</v>
      </c>
      <c r="H27" s="75">
        <f t="shared" si="2"/>
        <v>7514.000004</v>
      </c>
    </row>
    <row r="28">
      <c r="A28" s="73">
        <v>10903.0</v>
      </c>
      <c r="B28" s="74" t="s">
        <v>49</v>
      </c>
      <c r="C28" s="75">
        <v>3925.0</v>
      </c>
      <c r="D28" s="76">
        <v>25.0191083</v>
      </c>
      <c r="E28" s="75">
        <f t="shared" si="1"/>
        <v>2942.999999</v>
      </c>
      <c r="F28" s="75">
        <v>4931.0</v>
      </c>
      <c r="G28" s="76">
        <v>40.7219631</v>
      </c>
      <c r="H28" s="75">
        <f t="shared" si="2"/>
        <v>2923</v>
      </c>
    </row>
    <row r="29">
      <c r="A29" s="73">
        <v>11001.0</v>
      </c>
      <c r="B29" s="74" t="s">
        <v>51</v>
      </c>
      <c r="C29" s="75">
        <v>9204.0</v>
      </c>
      <c r="D29" s="76">
        <v>36.6905693</v>
      </c>
      <c r="E29" s="75">
        <f t="shared" si="1"/>
        <v>5827.000002</v>
      </c>
      <c r="F29" s="75">
        <v>10494.0</v>
      </c>
      <c r="G29" s="76">
        <v>47.1602821</v>
      </c>
      <c r="H29" s="75">
        <f t="shared" si="2"/>
        <v>5544.999996</v>
      </c>
    </row>
    <row r="30">
      <c r="A30" s="73">
        <v>11002.0</v>
      </c>
      <c r="B30" s="74" t="s">
        <v>52</v>
      </c>
      <c r="C30" s="75">
        <v>2414.0</v>
      </c>
      <c r="D30" s="76">
        <v>10.8947804</v>
      </c>
      <c r="E30" s="75">
        <f t="shared" si="1"/>
        <v>2151.000001</v>
      </c>
      <c r="F30" s="75">
        <v>2529.0</v>
      </c>
      <c r="G30" s="76">
        <v>33.4914986</v>
      </c>
      <c r="H30" s="75">
        <f t="shared" si="2"/>
        <v>1682</v>
      </c>
    </row>
    <row r="31">
      <c r="A31" s="73">
        <v>11003.0</v>
      </c>
      <c r="B31" s="74" t="s">
        <v>53</v>
      </c>
      <c r="C31" s="75">
        <v>6698.0</v>
      </c>
      <c r="D31" s="76">
        <v>31.2630636</v>
      </c>
      <c r="E31" s="75">
        <f t="shared" si="1"/>
        <v>4604</v>
      </c>
      <c r="F31" s="75">
        <v>6488.0</v>
      </c>
      <c r="G31" s="76">
        <v>52.2040691</v>
      </c>
      <c r="H31" s="75">
        <f t="shared" si="2"/>
        <v>3100.999997</v>
      </c>
    </row>
    <row r="32">
      <c r="A32" s="73">
        <v>20101.0</v>
      </c>
      <c r="B32" s="74" t="s">
        <v>56</v>
      </c>
      <c r="C32" s="75">
        <v>743707.0</v>
      </c>
      <c r="D32" s="76">
        <v>99.1745405</v>
      </c>
      <c r="E32" s="75">
        <f t="shared" si="1"/>
        <v>6139.000084</v>
      </c>
      <c r="F32" s="75">
        <v>727154.0</v>
      </c>
      <c r="G32" s="76">
        <v>99.3298531</v>
      </c>
      <c r="H32" s="75">
        <f t="shared" si="2"/>
        <v>4872.999989</v>
      </c>
    </row>
    <row r="33">
      <c r="A33" s="73">
        <v>20102.0</v>
      </c>
      <c r="B33" s="83" t="s">
        <v>57</v>
      </c>
      <c r="C33" s="75">
        <v>16449.0</v>
      </c>
      <c r="D33" s="76">
        <v>34.9504529</v>
      </c>
      <c r="E33" s="75">
        <f t="shared" si="1"/>
        <v>10700</v>
      </c>
      <c r="F33" s="75">
        <v>21481.0</v>
      </c>
      <c r="G33" s="76">
        <v>67.6691029</v>
      </c>
      <c r="H33" s="75">
        <f t="shared" si="2"/>
        <v>6945.000006</v>
      </c>
    </row>
    <row r="34">
      <c r="A34" s="73">
        <v>20103.0</v>
      </c>
      <c r="B34" s="83" t="s">
        <v>58</v>
      </c>
      <c r="C34" s="75">
        <v>15692.0</v>
      </c>
      <c r="D34" s="76">
        <v>67.416518</v>
      </c>
      <c r="E34" s="75">
        <f t="shared" si="1"/>
        <v>5112.999995</v>
      </c>
      <c r="F34" s="75">
        <v>20230.0</v>
      </c>
      <c r="G34" s="76">
        <v>80.0988631</v>
      </c>
      <c r="H34" s="75">
        <f t="shared" si="2"/>
        <v>4025.999995</v>
      </c>
    </row>
    <row r="35">
      <c r="A35" s="73">
        <v>20104.0</v>
      </c>
      <c r="B35" s="83" t="s">
        <v>59</v>
      </c>
      <c r="C35" s="75">
        <v>21947.0</v>
      </c>
      <c r="D35" s="76">
        <v>85.688249</v>
      </c>
      <c r="E35" s="75">
        <f t="shared" si="1"/>
        <v>3140.999992</v>
      </c>
      <c r="F35" s="75">
        <v>43701.0</v>
      </c>
      <c r="G35" s="76">
        <v>94.5790714</v>
      </c>
      <c r="H35" s="75">
        <f t="shared" si="2"/>
        <v>2369.000007</v>
      </c>
    </row>
    <row r="36">
      <c r="A36" s="73">
        <v>20105.0</v>
      </c>
      <c r="B36" s="83" t="s">
        <v>60</v>
      </c>
      <c r="C36" s="75">
        <v>832655.0</v>
      </c>
      <c r="D36" s="76">
        <v>99.2380998</v>
      </c>
      <c r="E36" s="75">
        <f t="shared" si="1"/>
        <v>6344.00011</v>
      </c>
      <c r="F36" s="75">
        <v>873006.0</v>
      </c>
      <c r="G36" s="76">
        <v>99.6508615</v>
      </c>
      <c r="H36" s="75">
        <f t="shared" si="2"/>
        <v>3048.000053</v>
      </c>
    </row>
    <row r="37">
      <c r="A37" s="73">
        <v>20201.0</v>
      </c>
      <c r="B37" s="83" t="s">
        <v>62</v>
      </c>
      <c r="C37" s="75">
        <v>45272.0</v>
      </c>
      <c r="D37" s="76">
        <v>55.7077222</v>
      </c>
      <c r="E37" s="75">
        <f t="shared" si="1"/>
        <v>20052.00001</v>
      </c>
      <c r="F37" s="75">
        <v>46202.0</v>
      </c>
      <c r="G37" s="76">
        <v>79.9683996</v>
      </c>
      <c r="H37" s="75">
        <f t="shared" si="2"/>
        <v>9255.000017</v>
      </c>
    </row>
    <row r="38">
      <c r="A38" s="73">
        <v>20202.0</v>
      </c>
      <c r="B38" s="83" t="s">
        <v>63</v>
      </c>
      <c r="C38" s="75">
        <v>13012.0</v>
      </c>
      <c r="D38" s="76">
        <v>17.2917307</v>
      </c>
      <c r="E38" s="75">
        <f t="shared" si="1"/>
        <v>10762</v>
      </c>
      <c r="F38" s="75">
        <v>16632.0</v>
      </c>
      <c r="G38" s="76">
        <v>42.989418</v>
      </c>
      <c r="H38" s="75">
        <f t="shared" si="2"/>
        <v>9481.999998</v>
      </c>
    </row>
    <row r="39">
      <c r="A39" s="73">
        <v>20203.0</v>
      </c>
      <c r="B39" s="83" t="s">
        <v>67</v>
      </c>
      <c r="C39" s="75">
        <v>4826.0</v>
      </c>
      <c r="D39" s="76">
        <v>52.6523</v>
      </c>
      <c r="E39" s="75">
        <f t="shared" si="1"/>
        <v>2285.000002</v>
      </c>
      <c r="F39" s="75">
        <v>6785.0</v>
      </c>
      <c r="G39" s="76">
        <v>71.8644068</v>
      </c>
      <c r="H39" s="75">
        <f t="shared" si="2"/>
        <v>1908.999999</v>
      </c>
    </row>
    <row r="40">
      <c r="A40" s="73">
        <v>20204.0</v>
      </c>
      <c r="B40" s="83" t="s">
        <v>64</v>
      </c>
      <c r="C40" s="75">
        <v>7859.0</v>
      </c>
      <c r="D40" s="76">
        <v>50.1590533</v>
      </c>
      <c r="E40" s="75">
        <f t="shared" si="1"/>
        <v>3917.000001</v>
      </c>
      <c r="F40" s="75">
        <v>8467.0</v>
      </c>
      <c r="G40" s="76">
        <v>78.0677926</v>
      </c>
      <c r="H40" s="75">
        <f t="shared" si="2"/>
        <v>1857.000001</v>
      </c>
    </row>
    <row r="41">
      <c r="A41" s="73">
        <v>20205.0</v>
      </c>
      <c r="B41" s="83" t="s">
        <v>65</v>
      </c>
      <c r="C41" s="75">
        <v>8452.0</v>
      </c>
      <c r="D41" s="76">
        <v>21.1784193</v>
      </c>
      <c r="E41" s="75">
        <f t="shared" si="1"/>
        <v>6662.000001</v>
      </c>
      <c r="F41" s="75">
        <v>9125.0</v>
      </c>
      <c r="G41" s="76">
        <v>49.490411</v>
      </c>
      <c r="H41" s="75">
        <f t="shared" si="2"/>
        <v>4608.999996</v>
      </c>
    </row>
    <row r="42">
      <c r="A42" s="73">
        <v>20206.0</v>
      </c>
      <c r="B42" s="83" t="s">
        <v>66</v>
      </c>
      <c r="C42" s="75">
        <v>3856.0</v>
      </c>
      <c r="D42" s="76">
        <v>76.1151452</v>
      </c>
      <c r="E42" s="75">
        <f t="shared" si="1"/>
        <v>921.0000011</v>
      </c>
      <c r="F42" s="75">
        <v>4922.0</v>
      </c>
      <c r="G42" s="76">
        <v>84.3762698</v>
      </c>
      <c r="H42" s="75">
        <f t="shared" si="2"/>
        <v>769.0000004</v>
      </c>
    </row>
    <row r="43">
      <c r="A43" s="73">
        <v>20301.0</v>
      </c>
      <c r="B43" s="83" t="s">
        <v>69</v>
      </c>
      <c r="C43" s="75">
        <v>10288.0</v>
      </c>
      <c r="D43" s="76">
        <v>30.0349922</v>
      </c>
      <c r="E43" s="75">
        <f t="shared" si="1"/>
        <v>7198.000002</v>
      </c>
      <c r="F43" s="75">
        <v>13051.0</v>
      </c>
      <c r="G43" s="76">
        <v>49.0077389</v>
      </c>
      <c r="H43" s="75">
        <f t="shared" si="2"/>
        <v>6654.999996</v>
      </c>
    </row>
    <row r="44">
      <c r="A44" s="73">
        <v>20302.0</v>
      </c>
      <c r="B44" s="83" t="s">
        <v>70</v>
      </c>
      <c r="C44" s="75">
        <v>14570.0</v>
      </c>
      <c r="D44" s="76">
        <v>12.9581332</v>
      </c>
      <c r="E44" s="75">
        <f t="shared" si="1"/>
        <v>12681.99999</v>
      </c>
      <c r="F44" s="75">
        <v>15340.0</v>
      </c>
      <c r="G44" s="76">
        <v>33.8591917</v>
      </c>
      <c r="H44" s="75">
        <f t="shared" si="2"/>
        <v>10145.99999</v>
      </c>
    </row>
    <row r="45">
      <c r="A45" s="73">
        <v>20303.0</v>
      </c>
      <c r="B45" s="83" t="s">
        <v>71</v>
      </c>
      <c r="C45" s="75">
        <v>9788.0</v>
      </c>
      <c r="D45" s="76">
        <v>4.6587658</v>
      </c>
      <c r="E45" s="75">
        <f t="shared" si="1"/>
        <v>9332.000003</v>
      </c>
      <c r="F45" s="75">
        <v>12156.0</v>
      </c>
      <c r="G45" s="76">
        <v>16.9710431</v>
      </c>
      <c r="H45" s="75">
        <f t="shared" si="2"/>
        <v>10093</v>
      </c>
    </row>
    <row r="46">
      <c r="A46" s="73">
        <v>20304.0</v>
      </c>
      <c r="B46" s="83" t="s">
        <v>72</v>
      </c>
      <c r="C46" s="75">
        <v>3822.0</v>
      </c>
      <c r="D46" s="76">
        <v>15.3846154</v>
      </c>
      <c r="E46" s="75">
        <f t="shared" si="1"/>
        <v>3233.999999</v>
      </c>
      <c r="F46" s="75">
        <v>5144.0</v>
      </c>
      <c r="G46" s="76">
        <v>41.6601866</v>
      </c>
      <c r="H46" s="75">
        <f t="shared" si="2"/>
        <v>3001.000001</v>
      </c>
    </row>
    <row r="47">
      <c r="A47" s="73">
        <v>20305.0</v>
      </c>
      <c r="B47" s="83" t="s">
        <v>73</v>
      </c>
      <c r="C47" s="75">
        <v>3017.0</v>
      </c>
      <c r="D47" s="76">
        <v>24.8591316</v>
      </c>
      <c r="E47" s="75">
        <f t="shared" si="1"/>
        <v>2267</v>
      </c>
      <c r="F47" s="75">
        <v>4113.0</v>
      </c>
      <c r="G47" s="76">
        <v>37.0532458</v>
      </c>
      <c r="H47" s="75">
        <f t="shared" si="2"/>
        <v>2589</v>
      </c>
    </row>
    <row r="48">
      <c r="A48" s="73">
        <v>20306.0</v>
      </c>
      <c r="B48" s="83" t="s">
        <v>74</v>
      </c>
      <c r="C48" s="75">
        <v>4982.0</v>
      </c>
      <c r="D48" s="76">
        <v>33.8619029</v>
      </c>
      <c r="E48" s="75">
        <f t="shared" si="1"/>
        <v>3294.999998</v>
      </c>
      <c r="F48" s="75">
        <v>6018.0</v>
      </c>
      <c r="G48" s="76">
        <v>80.2592223</v>
      </c>
      <c r="H48" s="75">
        <f t="shared" si="2"/>
        <v>1188.000002</v>
      </c>
    </row>
    <row r="49">
      <c r="A49" s="73">
        <v>20307.0</v>
      </c>
      <c r="B49" s="83" t="s">
        <v>75</v>
      </c>
      <c r="C49" s="75">
        <v>596.0</v>
      </c>
      <c r="D49" s="76">
        <v>38.7583893</v>
      </c>
      <c r="E49" s="75">
        <f t="shared" si="1"/>
        <v>364.9999998</v>
      </c>
      <c r="F49" s="75">
        <v>3914.0</v>
      </c>
      <c r="G49" s="76">
        <v>42.7695452</v>
      </c>
      <c r="H49" s="75">
        <f t="shared" si="2"/>
        <v>2240.000001</v>
      </c>
    </row>
    <row r="50">
      <c r="A50" s="73">
        <v>20308.0</v>
      </c>
      <c r="B50" s="83" t="s">
        <v>76</v>
      </c>
      <c r="C50" s="75">
        <v>7227.0</v>
      </c>
      <c r="D50" s="76">
        <v>5.2303861</v>
      </c>
      <c r="E50" s="75">
        <f t="shared" si="1"/>
        <v>6848.999997</v>
      </c>
      <c r="F50" s="75">
        <v>7981.0</v>
      </c>
      <c r="G50" s="76">
        <v>16.1759178</v>
      </c>
      <c r="H50" s="75">
        <f t="shared" si="2"/>
        <v>6690</v>
      </c>
    </row>
    <row r="51">
      <c r="A51" s="73">
        <v>20401.0</v>
      </c>
      <c r="B51" s="83" t="s">
        <v>78</v>
      </c>
      <c r="C51" s="75">
        <v>11171.0</v>
      </c>
      <c r="D51" s="76">
        <v>22.3793752</v>
      </c>
      <c r="E51" s="75">
        <f t="shared" si="1"/>
        <v>8670.999996</v>
      </c>
      <c r="F51" s="75">
        <v>13773.0</v>
      </c>
      <c r="G51" s="76">
        <v>33.6382778</v>
      </c>
      <c r="H51" s="75">
        <f t="shared" si="2"/>
        <v>9139.999999</v>
      </c>
    </row>
    <row r="52">
      <c r="A52" s="73">
        <v>20402.0</v>
      </c>
      <c r="B52" s="83" t="s">
        <v>79</v>
      </c>
      <c r="C52" s="75">
        <v>15504.0</v>
      </c>
      <c r="D52" s="76">
        <v>12.7063983</v>
      </c>
      <c r="E52" s="75">
        <f t="shared" si="1"/>
        <v>13534.00001</v>
      </c>
      <c r="F52" s="75">
        <v>17575.0</v>
      </c>
      <c r="G52" s="76">
        <v>26.3726885</v>
      </c>
      <c r="H52" s="75">
        <f t="shared" si="2"/>
        <v>12940</v>
      </c>
    </row>
    <row r="53">
      <c r="A53" s="73">
        <v>20403.0</v>
      </c>
      <c r="B53" s="83" t="s">
        <v>80</v>
      </c>
      <c r="C53" s="75">
        <v>14247.0</v>
      </c>
      <c r="D53" s="76">
        <v>16.9649751</v>
      </c>
      <c r="E53" s="75">
        <f t="shared" si="1"/>
        <v>11830</v>
      </c>
      <c r="F53" s="75">
        <v>16879.0</v>
      </c>
      <c r="G53" s="76">
        <v>34.4984892</v>
      </c>
      <c r="H53" s="75">
        <f t="shared" si="2"/>
        <v>11056.00001</v>
      </c>
    </row>
    <row r="54">
      <c r="A54" s="73">
        <v>20404.0</v>
      </c>
      <c r="B54" s="83" t="s">
        <v>81</v>
      </c>
      <c r="C54" s="75">
        <v>5285.0</v>
      </c>
      <c r="D54" s="76">
        <v>11.8448439</v>
      </c>
      <c r="E54" s="75">
        <f t="shared" si="1"/>
        <v>4659</v>
      </c>
      <c r="F54" s="75">
        <v>5584.0</v>
      </c>
      <c r="G54" s="76">
        <v>33.7034384</v>
      </c>
      <c r="H54" s="75">
        <f t="shared" si="2"/>
        <v>3702</v>
      </c>
    </row>
    <row r="55">
      <c r="A55" s="73">
        <v>20405.0</v>
      </c>
      <c r="B55" s="83" t="s">
        <v>82</v>
      </c>
      <c r="C55" s="75">
        <v>7104.0</v>
      </c>
      <c r="D55" s="76">
        <v>25.5912162</v>
      </c>
      <c r="E55" s="75">
        <f t="shared" si="1"/>
        <v>5286.000001</v>
      </c>
      <c r="F55" s="75">
        <v>8603.0</v>
      </c>
      <c r="G55" s="76">
        <v>49.0642799</v>
      </c>
      <c r="H55" s="75">
        <f t="shared" si="2"/>
        <v>4382</v>
      </c>
    </row>
    <row r="56">
      <c r="A56" s="73">
        <v>20501.0</v>
      </c>
      <c r="B56" s="83" t="s">
        <v>84</v>
      </c>
      <c r="C56" s="75">
        <v>11399.0</v>
      </c>
      <c r="D56" s="76">
        <v>7.614703</v>
      </c>
      <c r="E56" s="75">
        <f t="shared" si="1"/>
        <v>10531.00001</v>
      </c>
      <c r="F56" s="75">
        <v>17594.0</v>
      </c>
      <c r="G56" s="76">
        <v>19.8249403</v>
      </c>
      <c r="H56" s="75">
        <f t="shared" si="2"/>
        <v>14106</v>
      </c>
    </row>
    <row r="57">
      <c r="A57" s="73">
        <v>20502.0</v>
      </c>
      <c r="B57" s="83" t="s">
        <v>85</v>
      </c>
      <c r="C57" s="75">
        <v>8223.0</v>
      </c>
      <c r="D57" s="76">
        <v>6.3115651</v>
      </c>
      <c r="E57" s="75">
        <f t="shared" si="1"/>
        <v>7704.000002</v>
      </c>
      <c r="F57" s="75">
        <v>8939.0</v>
      </c>
      <c r="G57" s="76">
        <v>19.3086475</v>
      </c>
      <c r="H57" s="75">
        <f t="shared" si="2"/>
        <v>7213</v>
      </c>
    </row>
    <row r="58">
      <c r="A58" s="73">
        <v>20503.0</v>
      </c>
      <c r="B58" s="83" t="s">
        <v>86</v>
      </c>
      <c r="C58" s="75">
        <v>5398.0</v>
      </c>
      <c r="D58" s="76">
        <v>19.3034457</v>
      </c>
      <c r="E58" s="75">
        <f t="shared" si="1"/>
        <v>4356.000001</v>
      </c>
      <c r="F58" s="75">
        <v>6379.0</v>
      </c>
      <c r="G58" s="76">
        <v>43.0004703</v>
      </c>
      <c r="H58" s="75">
        <f t="shared" si="2"/>
        <v>3636</v>
      </c>
    </row>
    <row r="59">
      <c r="A59" s="73">
        <v>20601.0</v>
      </c>
      <c r="B59" s="83" t="s">
        <v>88</v>
      </c>
      <c r="C59" s="75">
        <v>23130.0</v>
      </c>
      <c r="D59" s="76">
        <v>32.5205361</v>
      </c>
      <c r="E59" s="75">
        <f t="shared" si="1"/>
        <v>15608</v>
      </c>
      <c r="F59" s="75">
        <v>29483.0</v>
      </c>
      <c r="G59" s="76">
        <v>46.8134179</v>
      </c>
      <c r="H59" s="75">
        <f t="shared" si="2"/>
        <v>15681</v>
      </c>
    </row>
    <row r="60">
      <c r="A60" s="73">
        <v>20602.0</v>
      </c>
      <c r="B60" s="83" t="s">
        <v>89</v>
      </c>
      <c r="C60" s="75">
        <v>14263.0</v>
      </c>
      <c r="D60" s="76">
        <v>60.9058403</v>
      </c>
      <c r="E60" s="75">
        <f t="shared" si="1"/>
        <v>5575.999998</v>
      </c>
      <c r="F60" s="75">
        <v>15828.0</v>
      </c>
      <c r="G60" s="76">
        <v>81.1157443</v>
      </c>
      <c r="H60" s="75">
        <f t="shared" si="2"/>
        <v>2988.999992</v>
      </c>
    </row>
    <row r="61">
      <c r="A61" s="73">
        <v>20603.0</v>
      </c>
      <c r="B61" s="83" t="s">
        <v>90</v>
      </c>
      <c r="C61" s="75">
        <v>7822.0</v>
      </c>
      <c r="D61" s="76">
        <v>37.5479417</v>
      </c>
      <c r="E61" s="75">
        <f t="shared" si="1"/>
        <v>4885</v>
      </c>
      <c r="F61" s="75">
        <v>9428.0</v>
      </c>
      <c r="G61" s="76">
        <v>47.6771319</v>
      </c>
      <c r="H61" s="75">
        <f t="shared" si="2"/>
        <v>4933.000004</v>
      </c>
    </row>
    <row r="62">
      <c r="A62" s="73">
        <v>20604.0</v>
      </c>
      <c r="B62" s="83" t="s">
        <v>91</v>
      </c>
      <c r="C62" s="75">
        <v>2580.0</v>
      </c>
      <c r="D62" s="76">
        <v>18.1007752</v>
      </c>
      <c r="E62" s="75">
        <f t="shared" si="1"/>
        <v>2113</v>
      </c>
      <c r="F62" s="75">
        <v>4071.0</v>
      </c>
      <c r="G62" s="76">
        <v>19.5038074</v>
      </c>
      <c r="H62" s="75">
        <f t="shared" si="2"/>
        <v>3277.000001</v>
      </c>
    </row>
    <row r="63">
      <c r="A63" s="73">
        <v>20605.0</v>
      </c>
      <c r="B63" s="83" t="s">
        <v>92</v>
      </c>
      <c r="C63" s="75">
        <v>3673.0</v>
      </c>
      <c r="D63" s="76">
        <v>13.2589164</v>
      </c>
      <c r="E63" s="75">
        <f t="shared" si="1"/>
        <v>3186.000001</v>
      </c>
      <c r="F63" s="75">
        <v>3476.0</v>
      </c>
      <c r="G63" s="76">
        <v>28.9700806</v>
      </c>
      <c r="H63" s="75">
        <f t="shared" si="2"/>
        <v>2468.999998</v>
      </c>
    </row>
    <row r="64">
      <c r="A64" s="73">
        <v>20606.0</v>
      </c>
      <c r="B64" s="83" t="s">
        <v>93</v>
      </c>
      <c r="C64" s="75">
        <v>9477.0</v>
      </c>
      <c r="D64" s="76">
        <v>92.2232774</v>
      </c>
      <c r="E64" s="75">
        <f t="shared" si="1"/>
        <v>737.0000008</v>
      </c>
      <c r="F64" s="75">
        <v>7369.0</v>
      </c>
      <c r="G64" s="76">
        <v>95.1960917</v>
      </c>
      <c r="H64" s="75">
        <f t="shared" si="2"/>
        <v>354.0000026</v>
      </c>
    </row>
    <row r="65">
      <c r="A65" s="73">
        <v>20607.0</v>
      </c>
      <c r="B65" s="83" t="s">
        <v>94</v>
      </c>
      <c r="C65" s="75">
        <v>12928.0</v>
      </c>
      <c r="D65" s="76">
        <v>83.2456683</v>
      </c>
      <c r="E65" s="75">
        <f t="shared" si="1"/>
        <v>2166.000002</v>
      </c>
      <c r="F65" s="75">
        <v>19688.0</v>
      </c>
      <c r="G65" s="76">
        <v>93.9658675</v>
      </c>
      <c r="H65" s="75">
        <f t="shared" si="2"/>
        <v>1188.000007</v>
      </c>
    </row>
    <row r="66">
      <c r="A66" s="73">
        <v>20608.0</v>
      </c>
      <c r="B66" s="83" t="s">
        <v>95</v>
      </c>
      <c r="C66" s="75">
        <v>8976.0</v>
      </c>
      <c r="D66" s="76">
        <v>43.5494652</v>
      </c>
      <c r="E66" s="75">
        <f t="shared" si="1"/>
        <v>5067.000004</v>
      </c>
      <c r="F66" s="75">
        <v>12850.0</v>
      </c>
      <c r="G66" s="76">
        <v>61.9066148</v>
      </c>
      <c r="H66" s="75">
        <f t="shared" si="2"/>
        <v>4894.999998</v>
      </c>
    </row>
    <row r="67">
      <c r="A67" s="73">
        <v>20701.0</v>
      </c>
      <c r="B67" s="83" t="s">
        <v>97</v>
      </c>
      <c r="C67" s="75">
        <v>18386.0</v>
      </c>
      <c r="D67" s="76">
        <v>34.6024149</v>
      </c>
      <c r="E67" s="75">
        <f t="shared" si="1"/>
        <v>12024</v>
      </c>
      <c r="F67" s="75">
        <v>18369.0</v>
      </c>
      <c r="G67" s="76">
        <v>44.8418531</v>
      </c>
      <c r="H67" s="75">
        <f t="shared" si="2"/>
        <v>10132</v>
      </c>
    </row>
    <row r="68">
      <c r="A68" s="73">
        <v>20702.0</v>
      </c>
      <c r="B68" s="83" t="s">
        <v>98</v>
      </c>
      <c r="C68" s="75">
        <v>5976.0</v>
      </c>
      <c r="D68" s="76">
        <v>49.2637216</v>
      </c>
      <c r="E68" s="75">
        <f t="shared" si="1"/>
        <v>3031.999997</v>
      </c>
      <c r="F68" s="75">
        <v>8424.0</v>
      </c>
      <c r="G68" s="76">
        <v>85.1733143</v>
      </c>
      <c r="H68" s="75">
        <f t="shared" si="2"/>
        <v>1249.000003</v>
      </c>
    </row>
    <row r="69">
      <c r="A69" s="73">
        <v>20801.0</v>
      </c>
      <c r="B69" s="83" t="s">
        <v>100</v>
      </c>
      <c r="C69" s="75">
        <v>77736.0</v>
      </c>
      <c r="D69" s="76">
        <v>86.1171143</v>
      </c>
      <c r="E69" s="75">
        <f t="shared" si="1"/>
        <v>10792.00003</v>
      </c>
      <c r="F69" s="75">
        <v>109219.0</v>
      </c>
      <c r="G69" s="76">
        <v>95.0301687</v>
      </c>
      <c r="H69" s="75">
        <f t="shared" si="2"/>
        <v>5428.000048</v>
      </c>
    </row>
    <row r="70">
      <c r="A70" s="73">
        <v>20802.0</v>
      </c>
      <c r="B70" s="83" t="s">
        <v>101</v>
      </c>
      <c r="C70" s="75">
        <v>6970.0</v>
      </c>
      <c r="D70" s="76">
        <v>52.9124821</v>
      </c>
      <c r="E70" s="75">
        <f t="shared" si="1"/>
        <v>3281.999998</v>
      </c>
      <c r="F70" s="75">
        <v>8070.0</v>
      </c>
      <c r="G70" s="76">
        <v>86.5055762</v>
      </c>
      <c r="H70" s="75">
        <f t="shared" si="2"/>
        <v>1089.000001</v>
      </c>
    </row>
    <row r="71">
      <c r="A71" s="73">
        <v>20803.0</v>
      </c>
      <c r="B71" s="83" t="s">
        <v>102</v>
      </c>
      <c r="C71" s="75">
        <v>12059.0</v>
      </c>
      <c r="D71" s="76">
        <v>32.6726926</v>
      </c>
      <c r="E71" s="75">
        <f t="shared" si="1"/>
        <v>8118.999999</v>
      </c>
      <c r="F71" s="75">
        <v>13339.0</v>
      </c>
      <c r="G71" s="76">
        <v>68.2434965</v>
      </c>
      <c r="H71" s="75">
        <f t="shared" si="2"/>
        <v>4236.000002</v>
      </c>
    </row>
    <row r="72">
      <c r="A72" s="73">
        <v>20804.0</v>
      </c>
      <c r="B72" s="83" t="s">
        <v>103</v>
      </c>
      <c r="C72" s="75">
        <v>6690.0</v>
      </c>
      <c r="D72" s="76">
        <v>75.4110613</v>
      </c>
      <c r="E72" s="75">
        <f t="shared" si="1"/>
        <v>1644.999999</v>
      </c>
      <c r="F72" s="75">
        <v>7684.0</v>
      </c>
      <c r="G72" s="76">
        <v>91.3196252</v>
      </c>
      <c r="H72" s="75">
        <f t="shared" si="2"/>
        <v>666.9999996</v>
      </c>
    </row>
    <row r="73">
      <c r="A73" s="73">
        <v>20805.0</v>
      </c>
      <c r="B73" s="83" t="s">
        <v>104</v>
      </c>
      <c r="C73" s="75">
        <v>6066.0</v>
      </c>
      <c r="D73" s="76">
        <v>14.7543686</v>
      </c>
      <c r="E73" s="75">
        <f t="shared" si="1"/>
        <v>5171.000001</v>
      </c>
      <c r="F73" s="75">
        <v>7824.0</v>
      </c>
      <c r="G73" s="76">
        <v>40.4652352</v>
      </c>
      <c r="H73" s="75">
        <f t="shared" si="2"/>
        <v>4657.999998</v>
      </c>
    </row>
    <row r="74">
      <c r="A74" s="73">
        <v>20806.0</v>
      </c>
      <c r="B74" s="83" t="s">
        <v>105</v>
      </c>
      <c r="C74" s="75">
        <v>14938.0</v>
      </c>
      <c r="D74" s="76">
        <v>20.464587</v>
      </c>
      <c r="E74" s="75">
        <f t="shared" si="1"/>
        <v>11880.99999</v>
      </c>
      <c r="F74" s="75">
        <v>16750.0</v>
      </c>
      <c r="G74" s="76">
        <v>48.9731343</v>
      </c>
      <c r="H74" s="75">
        <f t="shared" si="2"/>
        <v>8547.000005</v>
      </c>
    </row>
    <row r="75">
      <c r="A75" s="73">
        <v>20807.0</v>
      </c>
      <c r="B75" s="83" t="s">
        <v>106</v>
      </c>
      <c r="C75" s="75">
        <v>6546.0</v>
      </c>
      <c r="D75" s="76">
        <v>59.8838986</v>
      </c>
      <c r="E75" s="75">
        <f t="shared" si="1"/>
        <v>2625.999998</v>
      </c>
      <c r="F75" s="75">
        <v>7420.0</v>
      </c>
      <c r="G75" s="76">
        <v>90.754717</v>
      </c>
      <c r="H75" s="75">
        <f t="shared" si="2"/>
        <v>685.9999986</v>
      </c>
    </row>
    <row r="76">
      <c r="A76" s="73">
        <v>20901.0</v>
      </c>
      <c r="B76" s="83" t="s">
        <v>108</v>
      </c>
      <c r="C76" s="75">
        <v>11018.0</v>
      </c>
      <c r="D76" s="76">
        <v>27.7001271</v>
      </c>
      <c r="E76" s="75">
        <f t="shared" si="1"/>
        <v>7965.999996</v>
      </c>
      <c r="F76" s="75">
        <v>10553.0</v>
      </c>
      <c r="G76" s="76">
        <v>52.4969203</v>
      </c>
      <c r="H76" s="75">
        <f t="shared" si="2"/>
        <v>5013.000001</v>
      </c>
    </row>
    <row r="77">
      <c r="A77" s="73">
        <v>20902.0</v>
      </c>
      <c r="B77" s="83" t="s">
        <v>109</v>
      </c>
      <c r="C77" s="75">
        <v>12368.0</v>
      </c>
      <c r="D77" s="76">
        <v>18.2729625</v>
      </c>
      <c r="E77" s="75">
        <f t="shared" si="1"/>
        <v>10108</v>
      </c>
      <c r="F77" s="75">
        <v>16377.0</v>
      </c>
      <c r="G77" s="76">
        <v>48.3910362</v>
      </c>
      <c r="H77" s="75">
        <f t="shared" si="2"/>
        <v>8452.000002</v>
      </c>
    </row>
    <row r="78">
      <c r="A78" s="73">
        <v>20903.0</v>
      </c>
      <c r="B78" s="83" t="s">
        <v>110</v>
      </c>
      <c r="C78" s="75">
        <v>7189.0</v>
      </c>
      <c r="D78" s="76">
        <v>23.8837112</v>
      </c>
      <c r="E78" s="75">
        <f t="shared" si="1"/>
        <v>5472.000002</v>
      </c>
      <c r="F78" s="75">
        <v>12082.0</v>
      </c>
      <c r="G78" s="76">
        <v>50.9021685</v>
      </c>
      <c r="H78" s="75">
        <f t="shared" si="2"/>
        <v>5932.000002</v>
      </c>
    </row>
    <row r="79">
      <c r="A79" s="73">
        <v>20904.0</v>
      </c>
      <c r="B79" s="83" t="s">
        <v>111</v>
      </c>
      <c r="C79" s="75">
        <v>4963.0</v>
      </c>
      <c r="D79" s="76">
        <v>48.4585936</v>
      </c>
      <c r="E79" s="75">
        <f t="shared" si="1"/>
        <v>2558</v>
      </c>
      <c r="F79" s="75">
        <v>5156.0</v>
      </c>
      <c r="G79" s="76">
        <v>60.4150504</v>
      </c>
      <c r="H79" s="75">
        <f t="shared" si="2"/>
        <v>2041.000001</v>
      </c>
    </row>
    <row r="80">
      <c r="A80" s="73">
        <v>20905.0</v>
      </c>
      <c r="B80" s="83" t="s">
        <v>112</v>
      </c>
      <c r="C80" s="75">
        <v>11219.0</v>
      </c>
      <c r="D80" s="76">
        <v>37.9623852</v>
      </c>
      <c r="E80" s="75">
        <f t="shared" si="1"/>
        <v>6960.000004</v>
      </c>
      <c r="F80" s="75">
        <v>13498.0</v>
      </c>
      <c r="G80" s="76">
        <v>63.1278708</v>
      </c>
      <c r="H80" s="75">
        <f t="shared" si="2"/>
        <v>4976.999999</v>
      </c>
    </row>
    <row r="81">
      <c r="A81" s="73">
        <v>21001.0</v>
      </c>
      <c r="B81" s="83" t="s">
        <v>113</v>
      </c>
      <c r="C81" s="75">
        <v>14582.0</v>
      </c>
      <c r="D81" s="76">
        <v>8.4213414</v>
      </c>
      <c r="E81" s="75">
        <f t="shared" si="1"/>
        <v>13354</v>
      </c>
      <c r="F81" s="75">
        <v>18522.0</v>
      </c>
      <c r="G81" s="76">
        <v>23.1346507</v>
      </c>
      <c r="H81" s="75">
        <f t="shared" si="2"/>
        <v>14237</v>
      </c>
    </row>
    <row r="82">
      <c r="A82" s="73">
        <v>21002.0</v>
      </c>
      <c r="B82" s="83" t="s">
        <v>114</v>
      </c>
      <c r="C82" s="75">
        <v>8026.0</v>
      </c>
      <c r="D82" s="76">
        <v>61.6247197</v>
      </c>
      <c r="E82" s="75">
        <f t="shared" si="1"/>
        <v>3079.999997</v>
      </c>
      <c r="F82" s="75">
        <v>9970.0</v>
      </c>
      <c r="G82" s="76">
        <v>69.4282849</v>
      </c>
      <c r="H82" s="75">
        <f t="shared" si="2"/>
        <v>3047.999995</v>
      </c>
    </row>
    <row r="83">
      <c r="A83" s="73">
        <v>21003.0</v>
      </c>
      <c r="B83" s="83" t="s">
        <v>115</v>
      </c>
      <c r="C83" s="75">
        <v>10184.0</v>
      </c>
      <c r="D83" s="76">
        <v>48.3110762</v>
      </c>
      <c r="E83" s="75">
        <f t="shared" si="1"/>
        <v>5264</v>
      </c>
      <c r="F83" s="75">
        <v>15304.0</v>
      </c>
      <c r="G83" s="76">
        <v>81.0703084</v>
      </c>
      <c r="H83" s="75">
        <f t="shared" si="2"/>
        <v>2897.000002</v>
      </c>
    </row>
    <row r="84">
      <c r="A84" s="73">
        <v>21004.0</v>
      </c>
      <c r="B84" s="83" t="s">
        <v>116</v>
      </c>
      <c r="C84" s="75">
        <v>19255.0</v>
      </c>
      <c r="D84" s="76">
        <v>36.8319917</v>
      </c>
      <c r="E84" s="75">
        <f t="shared" si="1"/>
        <v>12163</v>
      </c>
      <c r="F84" s="75">
        <v>22958.0</v>
      </c>
      <c r="G84" s="76">
        <v>44.751285</v>
      </c>
      <c r="H84" s="75">
        <f t="shared" si="2"/>
        <v>12683.99999</v>
      </c>
    </row>
    <row r="85">
      <c r="A85" s="73">
        <v>21005.0</v>
      </c>
      <c r="B85" s="83" t="s">
        <v>117</v>
      </c>
      <c r="C85" s="75">
        <v>7728.0</v>
      </c>
      <c r="D85" s="76">
        <v>18.0900621</v>
      </c>
      <c r="E85" s="75">
        <f t="shared" si="1"/>
        <v>6330.000001</v>
      </c>
      <c r="F85" s="75">
        <v>9430.0</v>
      </c>
      <c r="G85" s="76">
        <v>34.2948038</v>
      </c>
      <c r="H85" s="75">
        <f t="shared" si="2"/>
        <v>6196.000002</v>
      </c>
    </row>
    <row r="86">
      <c r="A86" s="73">
        <v>21006.0</v>
      </c>
      <c r="B86" s="83" t="s">
        <v>118</v>
      </c>
      <c r="C86" s="75">
        <v>5456.0</v>
      </c>
      <c r="D86" s="76">
        <v>34.1092375</v>
      </c>
      <c r="E86" s="75">
        <f t="shared" si="1"/>
        <v>3595.000002</v>
      </c>
      <c r="F86" s="75">
        <v>7780.0</v>
      </c>
      <c r="G86" s="76">
        <v>55.9897172</v>
      </c>
      <c r="H86" s="75">
        <f t="shared" si="2"/>
        <v>3424.000002</v>
      </c>
    </row>
    <row r="87">
      <c r="A87" s="73">
        <v>21101.0</v>
      </c>
      <c r="B87" s="83" t="s">
        <v>120</v>
      </c>
      <c r="C87" s="75">
        <v>17400.0</v>
      </c>
      <c r="D87" s="76">
        <v>59.6034483</v>
      </c>
      <c r="E87" s="75">
        <f t="shared" si="1"/>
        <v>7028.999996</v>
      </c>
      <c r="F87" s="75">
        <v>17959.0</v>
      </c>
      <c r="G87" s="76">
        <v>80.8953728</v>
      </c>
      <c r="H87" s="75">
        <f t="shared" si="2"/>
        <v>3430.999999</v>
      </c>
    </row>
    <row r="88">
      <c r="A88" s="73">
        <v>21102.0</v>
      </c>
      <c r="B88" s="83" t="s">
        <v>121</v>
      </c>
      <c r="C88" s="75">
        <v>16614.0</v>
      </c>
      <c r="D88" s="76">
        <v>41.4830866</v>
      </c>
      <c r="E88" s="75">
        <f t="shared" si="1"/>
        <v>9721.999992</v>
      </c>
      <c r="F88" s="75">
        <v>21869.0</v>
      </c>
      <c r="G88" s="76">
        <v>64.8772235</v>
      </c>
      <c r="H88" s="75">
        <f t="shared" si="2"/>
        <v>7680.999993</v>
      </c>
    </row>
    <row r="89">
      <c r="A89" s="73">
        <v>21103.0</v>
      </c>
      <c r="B89" s="83" t="s">
        <v>122</v>
      </c>
      <c r="C89" s="75">
        <v>6131.0</v>
      </c>
      <c r="D89" s="76">
        <v>55.3743272</v>
      </c>
      <c r="E89" s="75">
        <f t="shared" si="1"/>
        <v>2735.999999</v>
      </c>
      <c r="F89" s="75">
        <v>7339.0</v>
      </c>
      <c r="G89" s="76">
        <v>72.1215424</v>
      </c>
      <c r="H89" s="75">
        <f t="shared" si="2"/>
        <v>2046.000003</v>
      </c>
    </row>
    <row r="90">
      <c r="A90" s="73">
        <v>21104.0</v>
      </c>
      <c r="B90" s="83" t="s">
        <v>123</v>
      </c>
      <c r="C90" s="75">
        <v>23766.0</v>
      </c>
      <c r="D90" s="76">
        <v>39.95624</v>
      </c>
      <c r="E90" s="75">
        <f t="shared" si="1"/>
        <v>14270</v>
      </c>
      <c r="F90" s="75">
        <v>26542.0</v>
      </c>
      <c r="G90" s="76">
        <v>63.51443</v>
      </c>
      <c r="H90" s="75">
        <f t="shared" si="2"/>
        <v>9683.999989</v>
      </c>
    </row>
    <row r="91">
      <c r="A91" s="73">
        <v>21105.0</v>
      </c>
      <c r="B91" s="83" t="s">
        <v>124</v>
      </c>
      <c r="C91" s="75">
        <v>39402.0</v>
      </c>
      <c r="D91" s="76">
        <v>31.6963606</v>
      </c>
      <c r="E91" s="75">
        <f t="shared" si="1"/>
        <v>26913</v>
      </c>
      <c r="F91" s="75">
        <v>44890.0</v>
      </c>
      <c r="G91" s="76">
        <v>59.7237692</v>
      </c>
      <c r="H91" s="75">
        <f t="shared" si="2"/>
        <v>18080.00001</v>
      </c>
    </row>
    <row r="92">
      <c r="A92" s="73">
        <v>21201.0</v>
      </c>
      <c r="B92" s="83" t="s">
        <v>126</v>
      </c>
      <c r="C92" s="75">
        <v>29595.0</v>
      </c>
      <c r="D92" s="76">
        <v>47.8594357</v>
      </c>
      <c r="E92" s="75">
        <f t="shared" si="1"/>
        <v>15431</v>
      </c>
      <c r="F92" s="75">
        <v>48648.0</v>
      </c>
      <c r="G92" s="76">
        <v>85.5862523</v>
      </c>
      <c r="H92" s="75">
        <f t="shared" si="2"/>
        <v>7011.999981</v>
      </c>
    </row>
    <row r="93">
      <c r="A93" s="73">
        <v>21202.0</v>
      </c>
      <c r="B93" s="83" t="s">
        <v>127</v>
      </c>
      <c r="C93" s="75">
        <v>24283.0</v>
      </c>
      <c r="D93" s="76">
        <v>40.4109871</v>
      </c>
      <c r="E93" s="75">
        <f t="shared" si="1"/>
        <v>14470</v>
      </c>
      <c r="F93" s="75">
        <v>37896.0</v>
      </c>
      <c r="G93" s="76">
        <v>73.0921469</v>
      </c>
      <c r="H93" s="75">
        <f t="shared" si="2"/>
        <v>10197.00001</v>
      </c>
    </row>
    <row r="94">
      <c r="A94" s="73">
        <v>21203.0</v>
      </c>
      <c r="B94" s="83" t="s">
        <v>128</v>
      </c>
      <c r="C94" s="75">
        <v>17281.0</v>
      </c>
      <c r="D94" s="76">
        <v>50.4484694</v>
      </c>
      <c r="E94" s="75">
        <f t="shared" si="1"/>
        <v>8563.000003</v>
      </c>
      <c r="F94" s="75">
        <v>20218.0</v>
      </c>
      <c r="G94" s="76">
        <v>83.0448116</v>
      </c>
      <c r="H94" s="75">
        <f t="shared" si="2"/>
        <v>3427.999991</v>
      </c>
    </row>
    <row r="95">
      <c r="A95" s="73">
        <v>21204.0</v>
      </c>
      <c r="B95" s="83" t="s">
        <v>129</v>
      </c>
      <c r="C95" s="75">
        <v>6415.0</v>
      </c>
      <c r="D95" s="76">
        <v>52.1434139</v>
      </c>
      <c r="E95" s="75">
        <f t="shared" si="1"/>
        <v>3069.999998</v>
      </c>
      <c r="F95" s="75">
        <v>7692.0</v>
      </c>
      <c r="G95" s="76">
        <v>79.4071763</v>
      </c>
      <c r="H95" s="75">
        <f t="shared" si="2"/>
        <v>1583.999999</v>
      </c>
    </row>
    <row r="96">
      <c r="A96" s="73">
        <v>21301.0</v>
      </c>
      <c r="B96" s="83" t="s">
        <v>131</v>
      </c>
      <c r="C96" s="75">
        <v>31030.0</v>
      </c>
      <c r="D96" s="76">
        <v>48.5884628</v>
      </c>
      <c r="E96" s="75">
        <f t="shared" si="1"/>
        <v>15952.99999</v>
      </c>
      <c r="F96" s="75">
        <v>33365.0</v>
      </c>
      <c r="G96" s="76">
        <v>70.813727</v>
      </c>
      <c r="H96" s="75">
        <f t="shared" si="2"/>
        <v>9737.999986</v>
      </c>
    </row>
    <row r="97">
      <c r="A97" s="73">
        <v>21302.0</v>
      </c>
      <c r="B97" s="83" t="s">
        <v>132</v>
      </c>
      <c r="C97" s="75">
        <v>8854.0</v>
      </c>
      <c r="D97" s="76">
        <v>35.1366614</v>
      </c>
      <c r="E97" s="75">
        <f t="shared" si="1"/>
        <v>5743</v>
      </c>
      <c r="F97" s="75">
        <v>9041.0</v>
      </c>
      <c r="G97" s="76">
        <v>65.1919036</v>
      </c>
      <c r="H97" s="75">
        <f t="shared" si="2"/>
        <v>3146.999996</v>
      </c>
    </row>
    <row r="98">
      <c r="A98" s="73">
        <v>21303.0</v>
      </c>
      <c r="B98" s="83" t="s">
        <v>133</v>
      </c>
      <c r="C98" s="75">
        <v>7757.0</v>
      </c>
      <c r="D98" s="76">
        <v>42.1296893</v>
      </c>
      <c r="E98" s="75">
        <f t="shared" si="1"/>
        <v>4489.000001</v>
      </c>
      <c r="F98" s="75">
        <v>10903.0</v>
      </c>
      <c r="G98" s="76">
        <v>71.9893607</v>
      </c>
      <c r="H98" s="75">
        <f t="shared" si="2"/>
        <v>3054.000003</v>
      </c>
    </row>
    <row r="99">
      <c r="A99" s="73">
        <v>21304.0</v>
      </c>
      <c r="B99" s="83" t="s">
        <v>134</v>
      </c>
      <c r="C99" s="75">
        <v>12251.0</v>
      </c>
      <c r="D99" s="76">
        <v>50.8203412</v>
      </c>
      <c r="E99" s="75">
        <f t="shared" si="1"/>
        <v>6025</v>
      </c>
      <c r="F99" s="75">
        <v>15087.0</v>
      </c>
      <c r="G99" s="76">
        <v>82.0110029</v>
      </c>
      <c r="H99" s="75">
        <f t="shared" si="2"/>
        <v>2713.999992</v>
      </c>
    </row>
    <row r="100">
      <c r="A100" s="73">
        <v>21305.0</v>
      </c>
      <c r="B100" s="83" t="s">
        <v>135</v>
      </c>
      <c r="C100" s="75">
        <v>22156.0</v>
      </c>
      <c r="D100" s="76">
        <v>75.9884456</v>
      </c>
      <c r="E100" s="75">
        <f t="shared" si="1"/>
        <v>5319.999993</v>
      </c>
      <c r="F100" s="75">
        <v>24167.0</v>
      </c>
      <c r="G100" s="76">
        <v>87.5987917</v>
      </c>
      <c r="H100" s="75">
        <f t="shared" si="2"/>
        <v>2997.00001</v>
      </c>
    </row>
    <row r="101">
      <c r="A101" s="73">
        <v>21306.0</v>
      </c>
      <c r="B101" s="83" t="s">
        <v>136</v>
      </c>
      <c r="C101" s="75">
        <v>9790.0</v>
      </c>
      <c r="D101" s="76">
        <v>58.3656793</v>
      </c>
      <c r="E101" s="75">
        <f t="shared" si="1"/>
        <v>4075.999997</v>
      </c>
      <c r="F101" s="75">
        <v>12375.0</v>
      </c>
      <c r="G101" s="76">
        <v>87.6525253</v>
      </c>
      <c r="H101" s="75">
        <f t="shared" si="2"/>
        <v>1527.999994</v>
      </c>
    </row>
    <row r="102">
      <c r="A102" s="73">
        <v>21307.0</v>
      </c>
      <c r="B102" s="83" t="s">
        <v>137</v>
      </c>
      <c r="C102" s="75">
        <v>4961.0</v>
      </c>
      <c r="D102" s="76">
        <v>72.3644427</v>
      </c>
      <c r="E102" s="75">
        <f t="shared" si="1"/>
        <v>1370.999998</v>
      </c>
      <c r="F102" s="75">
        <v>5450.0</v>
      </c>
      <c r="G102" s="76">
        <v>90.440367</v>
      </c>
      <c r="H102" s="75">
        <f t="shared" si="2"/>
        <v>520.9999985</v>
      </c>
    </row>
    <row r="103">
      <c r="A103" s="73">
        <v>21401.0</v>
      </c>
      <c r="B103" s="83" t="s">
        <v>139</v>
      </c>
      <c r="C103" s="75">
        <v>18614.0</v>
      </c>
      <c r="D103" s="76">
        <v>45.8740733</v>
      </c>
      <c r="E103" s="75">
        <f t="shared" si="1"/>
        <v>10075</v>
      </c>
      <c r="F103" s="75">
        <v>26339.0</v>
      </c>
      <c r="G103" s="76">
        <v>67.1323892</v>
      </c>
      <c r="H103" s="75">
        <f t="shared" si="2"/>
        <v>8657.000009</v>
      </c>
    </row>
    <row r="104">
      <c r="A104" s="73">
        <v>21402.0</v>
      </c>
      <c r="B104" s="83" t="s">
        <v>140</v>
      </c>
      <c r="C104" s="75">
        <v>16685.0</v>
      </c>
      <c r="D104" s="76">
        <v>64.3991609</v>
      </c>
      <c r="E104" s="75">
        <f t="shared" si="1"/>
        <v>5940.000004</v>
      </c>
      <c r="F104" s="75">
        <v>22780.0</v>
      </c>
      <c r="G104" s="76">
        <v>84.7717296</v>
      </c>
      <c r="H104" s="75">
        <f t="shared" si="2"/>
        <v>3468.999997</v>
      </c>
    </row>
    <row r="105">
      <c r="A105" s="73">
        <v>21501.0</v>
      </c>
      <c r="B105" s="83" t="s">
        <v>142</v>
      </c>
      <c r="C105" s="75">
        <v>8275.0</v>
      </c>
      <c r="D105" s="76">
        <v>33.9335347</v>
      </c>
      <c r="E105" s="75">
        <f t="shared" si="1"/>
        <v>5467.000004</v>
      </c>
      <c r="F105" s="75">
        <v>11181.0</v>
      </c>
      <c r="G105" s="76">
        <v>51.7842769</v>
      </c>
      <c r="H105" s="75">
        <f t="shared" si="2"/>
        <v>5391</v>
      </c>
    </row>
    <row r="106">
      <c r="A106" s="73">
        <v>21502.0</v>
      </c>
      <c r="B106" s="83" t="s">
        <v>143</v>
      </c>
      <c r="C106" s="75">
        <v>8164.0</v>
      </c>
      <c r="D106" s="76">
        <v>42.0872122</v>
      </c>
      <c r="E106" s="75">
        <f t="shared" si="1"/>
        <v>4727.999996</v>
      </c>
      <c r="F106" s="75">
        <v>9539.0</v>
      </c>
      <c r="G106" s="76">
        <v>71.4959639</v>
      </c>
      <c r="H106" s="75">
        <f t="shared" si="2"/>
        <v>2719.000004</v>
      </c>
    </row>
    <row r="107">
      <c r="A107" s="73">
        <v>21601.0</v>
      </c>
      <c r="B107" s="83" t="s">
        <v>145</v>
      </c>
      <c r="C107" s="75">
        <v>12893.0</v>
      </c>
      <c r="D107" s="76">
        <v>10.2148453</v>
      </c>
      <c r="E107" s="75">
        <f t="shared" si="1"/>
        <v>11576</v>
      </c>
      <c r="F107" s="75">
        <v>15535.0</v>
      </c>
      <c r="G107" s="76">
        <v>30.3636949</v>
      </c>
      <c r="H107" s="75">
        <f t="shared" si="2"/>
        <v>10818</v>
      </c>
    </row>
    <row r="108">
      <c r="A108" s="73">
        <v>21602.0</v>
      </c>
      <c r="B108" s="83" t="s">
        <v>146</v>
      </c>
      <c r="C108" s="75">
        <v>3249.0</v>
      </c>
      <c r="D108" s="76">
        <v>7.8793475</v>
      </c>
      <c r="E108" s="75">
        <f t="shared" si="1"/>
        <v>2993</v>
      </c>
      <c r="F108" s="75">
        <v>6526.0</v>
      </c>
      <c r="G108" s="76">
        <v>45.0658903</v>
      </c>
      <c r="H108" s="75">
        <f t="shared" si="2"/>
        <v>3584.999999</v>
      </c>
    </row>
    <row r="109">
      <c r="A109" s="73">
        <v>21701.0</v>
      </c>
      <c r="B109" s="83" t="s">
        <v>148</v>
      </c>
      <c r="C109" s="75">
        <v>14385.0</v>
      </c>
      <c r="D109" s="76">
        <v>57.56691</v>
      </c>
      <c r="E109" s="75">
        <f t="shared" si="1"/>
        <v>6103.999997</v>
      </c>
      <c r="F109" s="75">
        <v>16894.0</v>
      </c>
      <c r="G109" s="76">
        <v>65.4196756</v>
      </c>
      <c r="H109" s="75">
        <f t="shared" si="2"/>
        <v>5842.000004</v>
      </c>
    </row>
    <row r="110">
      <c r="A110" s="73">
        <v>21702.0</v>
      </c>
      <c r="B110" s="83" t="s">
        <v>149</v>
      </c>
      <c r="C110" s="75">
        <v>5912.0</v>
      </c>
      <c r="D110" s="76">
        <v>37.2124493</v>
      </c>
      <c r="E110" s="75">
        <f t="shared" si="1"/>
        <v>3711.999997</v>
      </c>
      <c r="F110" s="75">
        <v>8735.0</v>
      </c>
      <c r="G110" s="76">
        <v>59.4275902</v>
      </c>
      <c r="H110" s="75">
        <f t="shared" si="2"/>
        <v>3543.999996</v>
      </c>
    </row>
    <row r="111">
      <c r="A111" s="73">
        <v>21703.0</v>
      </c>
      <c r="B111" s="83" t="s">
        <v>150</v>
      </c>
      <c r="C111" s="75">
        <v>6233.0</v>
      </c>
      <c r="D111" s="76">
        <v>30.2101717</v>
      </c>
      <c r="E111" s="75">
        <f t="shared" si="1"/>
        <v>4349.999998</v>
      </c>
      <c r="F111" s="75">
        <v>7166.0</v>
      </c>
      <c r="G111" s="76">
        <v>48.6045214</v>
      </c>
      <c r="H111" s="75">
        <f t="shared" si="2"/>
        <v>3682.999996</v>
      </c>
    </row>
    <row r="112">
      <c r="A112" s="73">
        <v>21801.0</v>
      </c>
      <c r="B112" s="83" t="s">
        <v>152</v>
      </c>
      <c r="C112" s="75">
        <v>8766.0</v>
      </c>
      <c r="D112" s="76">
        <v>20.8304814</v>
      </c>
      <c r="E112" s="75">
        <f t="shared" si="1"/>
        <v>6940</v>
      </c>
      <c r="F112" s="75">
        <v>9192.0</v>
      </c>
      <c r="G112" s="76">
        <v>45.267624</v>
      </c>
      <c r="H112" s="75">
        <f t="shared" si="2"/>
        <v>5031.000002</v>
      </c>
    </row>
    <row r="113">
      <c r="A113" s="73">
        <v>21802.0</v>
      </c>
      <c r="B113" s="83" t="s">
        <v>153</v>
      </c>
      <c r="C113" s="75">
        <v>6978.0</v>
      </c>
      <c r="D113" s="76">
        <v>16.6093437</v>
      </c>
      <c r="E113" s="75">
        <f t="shared" si="1"/>
        <v>5818.999997</v>
      </c>
      <c r="F113" s="75">
        <v>6627.0</v>
      </c>
      <c r="G113" s="76">
        <v>43.5038479</v>
      </c>
      <c r="H113" s="75">
        <f t="shared" si="2"/>
        <v>3744</v>
      </c>
    </row>
    <row r="114">
      <c r="A114" s="73">
        <v>21803.0</v>
      </c>
      <c r="B114" s="83" t="s">
        <v>154</v>
      </c>
      <c r="C114" s="75">
        <v>2000.0</v>
      </c>
      <c r="D114" s="76">
        <v>9.9</v>
      </c>
      <c r="E114" s="75">
        <f t="shared" si="1"/>
        <v>1802</v>
      </c>
      <c r="F114" s="75">
        <v>2040.0</v>
      </c>
      <c r="G114" s="76">
        <v>32.1078431</v>
      </c>
      <c r="H114" s="75">
        <f t="shared" si="2"/>
        <v>1385.000001</v>
      </c>
    </row>
    <row r="115">
      <c r="A115" s="73">
        <v>21901.0</v>
      </c>
      <c r="B115" s="83" t="s">
        <v>156</v>
      </c>
      <c r="C115" s="75">
        <v>4531.0</v>
      </c>
      <c r="D115" s="76">
        <v>14.4338998</v>
      </c>
      <c r="E115" s="75">
        <f t="shared" si="1"/>
        <v>3877</v>
      </c>
      <c r="F115" s="75">
        <v>6719.0</v>
      </c>
      <c r="G115" s="76">
        <v>35.5112368</v>
      </c>
      <c r="H115" s="75">
        <f t="shared" si="2"/>
        <v>4332.999999</v>
      </c>
    </row>
    <row r="116">
      <c r="A116" s="73">
        <v>21902.0</v>
      </c>
      <c r="B116" s="83" t="s">
        <v>157</v>
      </c>
      <c r="C116" s="75">
        <v>2852.0</v>
      </c>
      <c r="D116" s="76">
        <v>24.7896213</v>
      </c>
      <c r="E116" s="75">
        <f t="shared" si="1"/>
        <v>2145.000001</v>
      </c>
      <c r="F116" s="75">
        <v>5317.0</v>
      </c>
      <c r="G116" s="76">
        <v>63.6825277</v>
      </c>
      <c r="H116" s="75">
        <f t="shared" si="2"/>
        <v>1931.000002</v>
      </c>
    </row>
    <row r="117">
      <c r="A117" s="73">
        <v>22001.0</v>
      </c>
      <c r="B117" s="83" t="s">
        <v>158</v>
      </c>
      <c r="C117" s="75">
        <v>48811.0</v>
      </c>
      <c r="D117" s="76">
        <v>31.2839319</v>
      </c>
      <c r="E117" s="75">
        <f t="shared" si="1"/>
        <v>33541</v>
      </c>
      <c r="F117" s="75">
        <v>57197.0</v>
      </c>
      <c r="G117" s="76">
        <v>53.0867004</v>
      </c>
      <c r="H117" s="75">
        <f t="shared" si="2"/>
        <v>26832.99997</v>
      </c>
    </row>
    <row r="118">
      <c r="A118" s="73">
        <v>22002.0</v>
      </c>
      <c r="B118" s="83" t="s">
        <v>159</v>
      </c>
      <c r="C118" s="75">
        <v>10827.0</v>
      </c>
      <c r="D118" s="76">
        <v>27.8193405</v>
      </c>
      <c r="E118" s="75">
        <f t="shared" si="1"/>
        <v>7815.000004</v>
      </c>
      <c r="F118" s="75">
        <v>10302.0</v>
      </c>
      <c r="G118" s="76">
        <v>51.0289264</v>
      </c>
      <c r="H118" s="75">
        <f t="shared" si="2"/>
        <v>5045.000002</v>
      </c>
    </row>
    <row r="119">
      <c r="A119" s="73">
        <v>30101.0</v>
      </c>
      <c r="B119" s="83" t="s">
        <v>160</v>
      </c>
      <c r="C119" s="75">
        <v>616249.0</v>
      </c>
      <c r="D119" s="76">
        <v>98.0882728</v>
      </c>
      <c r="E119" s="75">
        <f t="shared" si="1"/>
        <v>11780.99975</v>
      </c>
      <c r="F119" s="75">
        <v>647988.0</v>
      </c>
      <c r="G119" s="76">
        <v>99.2529183</v>
      </c>
      <c r="H119" s="75">
        <f t="shared" si="2"/>
        <v>4840.999766</v>
      </c>
    </row>
    <row r="120">
      <c r="A120" s="73">
        <v>30201.0</v>
      </c>
      <c r="B120" s="83" t="s">
        <v>163</v>
      </c>
      <c r="C120" s="75">
        <v>22949.0</v>
      </c>
      <c r="D120" s="76">
        <v>38.3197525</v>
      </c>
      <c r="E120" s="75">
        <f t="shared" si="1"/>
        <v>14155</v>
      </c>
      <c r="F120" s="75">
        <v>22777.0</v>
      </c>
      <c r="G120" s="76">
        <v>56.0828906</v>
      </c>
      <c r="H120" s="75">
        <f t="shared" si="2"/>
        <v>10003.00001</v>
      </c>
    </row>
    <row r="121">
      <c r="A121" s="73">
        <v>30202.0</v>
      </c>
      <c r="B121" s="83" t="s">
        <v>164</v>
      </c>
      <c r="C121" s="75">
        <v>6759.0</v>
      </c>
      <c r="D121" s="76">
        <v>35.3454653</v>
      </c>
      <c r="E121" s="75">
        <f t="shared" si="1"/>
        <v>4370</v>
      </c>
      <c r="F121" s="75">
        <v>6387.0</v>
      </c>
      <c r="G121" s="76">
        <v>42.2263974</v>
      </c>
      <c r="H121" s="75">
        <f t="shared" si="2"/>
        <v>3689.999998</v>
      </c>
    </row>
    <row r="122">
      <c r="A122" s="73">
        <v>30203.0</v>
      </c>
      <c r="B122" s="83" t="s">
        <v>165</v>
      </c>
      <c r="C122" s="75">
        <v>5559.0</v>
      </c>
      <c r="D122" s="76">
        <v>42.5616118</v>
      </c>
      <c r="E122" s="75">
        <f t="shared" si="1"/>
        <v>3193</v>
      </c>
      <c r="F122" s="75">
        <v>6654.0</v>
      </c>
      <c r="G122" s="76">
        <v>65.9603246</v>
      </c>
      <c r="H122" s="75">
        <f t="shared" si="2"/>
        <v>2265.000001</v>
      </c>
    </row>
    <row r="123">
      <c r="A123" s="73">
        <v>30301.0</v>
      </c>
      <c r="B123" s="83" t="s">
        <v>166</v>
      </c>
      <c r="C123" s="75">
        <v>23344.0</v>
      </c>
      <c r="D123" s="76">
        <v>24.4088417</v>
      </c>
      <c r="E123" s="75">
        <f t="shared" si="1"/>
        <v>17645.99999</v>
      </c>
      <c r="F123" s="75">
        <v>21587.0</v>
      </c>
      <c r="G123" s="76">
        <v>31.3614675</v>
      </c>
      <c r="H123" s="75">
        <f t="shared" si="2"/>
        <v>14817.00001</v>
      </c>
    </row>
    <row r="124">
      <c r="A124" s="73">
        <v>30302.0</v>
      </c>
      <c r="B124" s="83" t="s">
        <v>167</v>
      </c>
      <c r="C124" s="75">
        <v>12683.0</v>
      </c>
      <c r="D124" s="76">
        <v>14.3735709</v>
      </c>
      <c r="E124" s="75">
        <f t="shared" si="1"/>
        <v>10860</v>
      </c>
      <c r="F124" s="75">
        <v>14614.0</v>
      </c>
      <c r="G124" s="76">
        <v>22.0062953</v>
      </c>
      <c r="H124" s="75">
        <f t="shared" si="2"/>
        <v>11398</v>
      </c>
    </row>
    <row r="125">
      <c r="A125" s="73">
        <v>30303.0</v>
      </c>
      <c r="B125" s="83" t="s">
        <v>168</v>
      </c>
      <c r="C125" s="75">
        <v>17532.0</v>
      </c>
      <c r="D125" s="76">
        <v>9.7421857</v>
      </c>
      <c r="E125" s="75">
        <f t="shared" si="1"/>
        <v>15824</v>
      </c>
      <c r="F125" s="75">
        <v>19478.0</v>
      </c>
      <c r="G125" s="76">
        <v>29.9876784</v>
      </c>
      <c r="H125" s="75">
        <f t="shared" si="2"/>
        <v>13637</v>
      </c>
    </row>
    <row r="126">
      <c r="A126" s="73">
        <v>30401.0</v>
      </c>
      <c r="B126" s="83" t="s">
        <v>170</v>
      </c>
      <c r="C126" s="75">
        <v>7758.0</v>
      </c>
      <c r="D126" s="76">
        <v>56.8445476</v>
      </c>
      <c r="E126" s="75">
        <f t="shared" si="1"/>
        <v>3347.999997</v>
      </c>
      <c r="F126" s="75">
        <v>10686.0</v>
      </c>
      <c r="G126" s="76">
        <v>67.1532847</v>
      </c>
      <c r="H126" s="75">
        <f t="shared" si="2"/>
        <v>3509.999997</v>
      </c>
    </row>
    <row r="127">
      <c r="A127" s="73">
        <v>30402.0</v>
      </c>
      <c r="B127" s="83" t="s">
        <v>171</v>
      </c>
      <c r="C127" s="75">
        <v>7127.0</v>
      </c>
      <c r="D127" s="76">
        <v>20.0785744</v>
      </c>
      <c r="E127" s="75">
        <f t="shared" si="1"/>
        <v>5696.000003</v>
      </c>
      <c r="F127" s="75">
        <v>7248.0</v>
      </c>
      <c r="G127" s="76">
        <v>29.5253863</v>
      </c>
      <c r="H127" s="75">
        <f t="shared" si="2"/>
        <v>5108.000001</v>
      </c>
    </row>
    <row r="128">
      <c r="A128" s="73">
        <v>30403.0</v>
      </c>
      <c r="B128" s="83" t="s">
        <v>172</v>
      </c>
      <c r="C128" s="75">
        <v>16919.0</v>
      </c>
      <c r="D128" s="76">
        <v>69.9095691</v>
      </c>
      <c r="E128" s="75">
        <f t="shared" si="1"/>
        <v>5091.000004</v>
      </c>
      <c r="F128" s="75">
        <v>28695.0</v>
      </c>
      <c r="G128" s="76">
        <v>81.6901899</v>
      </c>
      <c r="H128" s="75">
        <f t="shared" si="2"/>
        <v>5254.000008</v>
      </c>
    </row>
    <row r="129">
      <c r="A129" s="73">
        <v>30404.0</v>
      </c>
      <c r="B129" s="83" t="s">
        <v>173</v>
      </c>
      <c r="C129" s="75">
        <v>4295.0</v>
      </c>
      <c r="D129" s="76">
        <v>15.4132712</v>
      </c>
      <c r="E129" s="75">
        <f t="shared" si="1"/>
        <v>3633.000002</v>
      </c>
      <c r="F129" s="75">
        <v>4919.0</v>
      </c>
      <c r="G129" s="76">
        <v>30.5753202</v>
      </c>
      <c r="H129" s="75">
        <f t="shared" si="2"/>
        <v>3414.999999</v>
      </c>
    </row>
    <row r="130">
      <c r="A130" s="73">
        <v>30501.0</v>
      </c>
      <c r="B130" s="83" t="s">
        <v>174</v>
      </c>
      <c r="C130" s="75">
        <v>9303.0</v>
      </c>
      <c r="D130" s="76">
        <v>68.9347522</v>
      </c>
      <c r="E130" s="75">
        <f t="shared" si="1"/>
        <v>2890.000003</v>
      </c>
      <c r="F130" s="75">
        <v>10952.0</v>
      </c>
      <c r="G130" s="76">
        <v>85.1260044</v>
      </c>
      <c r="H130" s="75">
        <f t="shared" si="2"/>
        <v>1628.999998</v>
      </c>
    </row>
    <row r="131">
      <c r="A131" s="73">
        <v>30502.0</v>
      </c>
      <c r="B131" s="83" t="s">
        <v>175</v>
      </c>
      <c r="C131" s="75">
        <v>8875.0</v>
      </c>
      <c r="D131" s="76">
        <v>22.4901408</v>
      </c>
      <c r="E131" s="75">
        <f t="shared" si="1"/>
        <v>6879.000004</v>
      </c>
      <c r="F131" s="75">
        <v>8177.0</v>
      </c>
      <c r="G131" s="76">
        <v>39.1096979</v>
      </c>
      <c r="H131" s="75">
        <f t="shared" si="2"/>
        <v>4979.000003</v>
      </c>
    </row>
    <row r="132">
      <c r="A132" s="73">
        <v>30601.0</v>
      </c>
      <c r="B132" s="83" t="s">
        <v>176</v>
      </c>
      <c r="C132" s="75">
        <v>10440.0</v>
      </c>
      <c r="D132" s="76">
        <v>9.2911877</v>
      </c>
      <c r="E132" s="75">
        <f t="shared" si="1"/>
        <v>9470.000004</v>
      </c>
      <c r="F132" s="75">
        <v>10562.0</v>
      </c>
      <c r="G132" s="76">
        <v>16.7960614</v>
      </c>
      <c r="H132" s="75">
        <f t="shared" si="2"/>
        <v>8787.999995</v>
      </c>
    </row>
    <row r="133">
      <c r="A133" s="73">
        <v>30602.0</v>
      </c>
      <c r="B133" s="83" t="s">
        <v>177</v>
      </c>
      <c r="C133" s="75">
        <v>10094.0</v>
      </c>
      <c r="D133" s="76">
        <v>5.0921339</v>
      </c>
      <c r="E133" s="75">
        <f t="shared" si="1"/>
        <v>9580.000004</v>
      </c>
      <c r="F133" s="75">
        <v>10651.0</v>
      </c>
      <c r="G133" s="76">
        <v>12.9565299</v>
      </c>
      <c r="H133" s="75">
        <f t="shared" si="2"/>
        <v>9271</v>
      </c>
    </row>
    <row r="134">
      <c r="A134" s="73">
        <v>30701.0</v>
      </c>
      <c r="B134" s="83" t="s">
        <v>178</v>
      </c>
      <c r="C134" s="75">
        <v>19112.0</v>
      </c>
      <c r="D134" s="76">
        <v>64.9748849</v>
      </c>
      <c r="E134" s="75">
        <f t="shared" si="1"/>
        <v>6693.999998</v>
      </c>
      <c r="F134" s="75">
        <v>19217.0</v>
      </c>
      <c r="G134" s="76">
        <v>78.0402768</v>
      </c>
      <c r="H134" s="75">
        <f t="shared" si="2"/>
        <v>4220.000007</v>
      </c>
    </row>
    <row r="135">
      <c r="A135" s="73">
        <v>30702.0</v>
      </c>
      <c r="B135" s="83" t="s">
        <v>179</v>
      </c>
      <c r="C135" s="75">
        <v>6317.0</v>
      </c>
      <c r="D135" s="76">
        <v>41.1271173</v>
      </c>
      <c r="E135" s="75">
        <f t="shared" si="1"/>
        <v>3719</v>
      </c>
      <c r="F135" s="75">
        <v>7617.0</v>
      </c>
      <c r="G135" s="76">
        <v>76.8937902</v>
      </c>
      <c r="H135" s="75">
        <f t="shared" si="2"/>
        <v>1760</v>
      </c>
    </row>
    <row r="136">
      <c r="A136" s="73">
        <v>30703.0</v>
      </c>
      <c r="B136" s="83" t="s">
        <v>180</v>
      </c>
      <c r="C136" s="75">
        <v>3710.0</v>
      </c>
      <c r="D136" s="76">
        <v>21.4016173</v>
      </c>
      <c r="E136" s="75">
        <f t="shared" si="1"/>
        <v>2915.999998</v>
      </c>
      <c r="F136" s="75">
        <v>3911.0</v>
      </c>
      <c r="G136" s="76">
        <v>56.4561493</v>
      </c>
      <c r="H136" s="75">
        <f t="shared" si="2"/>
        <v>1703.000001</v>
      </c>
    </row>
    <row r="137">
      <c r="A137" s="73">
        <v>30801.0</v>
      </c>
      <c r="B137" s="83" t="s">
        <v>182</v>
      </c>
      <c r="C137" s="75">
        <v>21663.0</v>
      </c>
      <c r="D137" s="76">
        <v>86.9408669</v>
      </c>
      <c r="E137" s="75">
        <f t="shared" si="1"/>
        <v>2829.000003</v>
      </c>
      <c r="F137" s="75">
        <v>20953.0</v>
      </c>
      <c r="G137" s="76">
        <v>97.4371212</v>
      </c>
      <c r="H137" s="75">
        <f t="shared" si="2"/>
        <v>536.999995</v>
      </c>
    </row>
    <row r="138">
      <c r="A138" s="73">
        <v>30802.0</v>
      </c>
      <c r="B138" s="83" t="s">
        <v>183</v>
      </c>
      <c r="C138" s="75">
        <v>7010.0</v>
      </c>
      <c r="D138" s="76">
        <v>48.2596291</v>
      </c>
      <c r="E138" s="75">
        <f t="shared" si="1"/>
        <v>3627</v>
      </c>
      <c r="F138" s="75">
        <v>7308.0</v>
      </c>
      <c r="G138" s="76">
        <v>73.8232074</v>
      </c>
      <c r="H138" s="75">
        <f t="shared" si="2"/>
        <v>1913.000003</v>
      </c>
    </row>
    <row r="139">
      <c r="A139" s="73">
        <v>30803.0</v>
      </c>
      <c r="B139" s="83" t="s">
        <v>184</v>
      </c>
      <c r="C139" s="75">
        <v>5110.0</v>
      </c>
      <c r="D139" s="76">
        <v>86.0469667</v>
      </c>
      <c r="E139" s="75">
        <f t="shared" si="1"/>
        <v>713.0000016</v>
      </c>
      <c r="F139" s="75">
        <v>7502.0</v>
      </c>
      <c r="G139" s="76">
        <v>85.057318</v>
      </c>
      <c r="H139" s="75">
        <f t="shared" si="2"/>
        <v>1121.000004</v>
      </c>
    </row>
    <row r="140">
      <c r="A140" s="73">
        <v>30901.0</v>
      </c>
      <c r="B140" s="83" t="s">
        <v>185</v>
      </c>
      <c r="C140" s="75">
        <v>134281.0</v>
      </c>
      <c r="D140" s="76">
        <v>94.8421594</v>
      </c>
      <c r="E140" s="75">
        <f t="shared" si="1"/>
        <v>6925.999936</v>
      </c>
      <c r="F140" s="75">
        <v>163818.0</v>
      </c>
      <c r="G140" s="76">
        <v>98.176635</v>
      </c>
      <c r="H140" s="75">
        <f t="shared" si="2"/>
        <v>2987.000076</v>
      </c>
    </row>
    <row r="141">
      <c r="A141" s="73">
        <v>30902.0</v>
      </c>
      <c r="B141" s="83" t="s">
        <v>186</v>
      </c>
      <c r="C141" s="75">
        <v>40761.0</v>
      </c>
      <c r="D141" s="76">
        <v>80.9916342</v>
      </c>
      <c r="E141" s="75">
        <f t="shared" si="1"/>
        <v>7747.999984</v>
      </c>
      <c r="F141" s="75">
        <v>55440.0</v>
      </c>
      <c r="G141" s="76">
        <v>92.4332612</v>
      </c>
      <c r="H141" s="75">
        <f t="shared" si="2"/>
        <v>4194.999991</v>
      </c>
    </row>
    <row r="142">
      <c r="A142" s="73">
        <v>30903.0</v>
      </c>
      <c r="B142" s="83" t="s">
        <v>187</v>
      </c>
      <c r="C142" s="75">
        <v>52595.0</v>
      </c>
      <c r="D142" s="76">
        <v>88.8031182</v>
      </c>
      <c r="E142" s="75">
        <f t="shared" si="1"/>
        <v>5888.999983</v>
      </c>
      <c r="F142" s="75">
        <v>60789.0</v>
      </c>
      <c r="G142" s="76">
        <v>94.8329468</v>
      </c>
      <c r="H142" s="75">
        <f t="shared" si="2"/>
        <v>3140.99997</v>
      </c>
    </row>
    <row r="143">
      <c r="A143" s="73">
        <v>30904.0</v>
      </c>
      <c r="B143" s="83" t="s">
        <v>188</v>
      </c>
      <c r="C143" s="75">
        <v>51162.0</v>
      </c>
      <c r="D143" s="76">
        <v>89.0817404</v>
      </c>
      <c r="E143" s="75">
        <f t="shared" si="1"/>
        <v>5585.999977</v>
      </c>
      <c r="F143" s="75">
        <v>55047.0</v>
      </c>
      <c r="G143" s="76">
        <v>96.6047196</v>
      </c>
      <c r="H143" s="75">
        <f t="shared" si="2"/>
        <v>1869.000002</v>
      </c>
    </row>
    <row r="144">
      <c r="A144" s="73">
        <v>30905.0</v>
      </c>
      <c r="B144" s="83" t="s">
        <v>189</v>
      </c>
      <c r="C144" s="75">
        <v>51107.0</v>
      </c>
      <c r="D144" s="76">
        <v>97.9278768</v>
      </c>
      <c r="E144" s="75">
        <f t="shared" si="1"/>
        <v>1059.000004</v>
      </c>
      <c r="F144" s="75">
        <v>65584.0</v>
      </c>
      <c r="G144" s="76">
        <v>99.4876799</v>
      </c>
      <c r="H144" s="75">
        <f t="shared" si="2"/>
        <v>336.0000144</v>
      </c>
    </row>
    <row r="145">
      <c r="A145" s="73">
        <v>31001.0</v>
      </c>
      <c r="B145" s="83" t="s">
        <v>191</v>
      </c>
      <c r="C145" s="75">
        <v>168840.0</v>
      </c>
      <c r="D145" s="76">
        <v>88.8971808</v>
      </c>
      <c r="E145" s="75">
        <f t="shared" si="1"/>
        <v>18745.99994</v>
      </c>
      <c r="F145" s="75">
        <v>213855.0</v>
      </c>
      <c r="G145" s="76">
        <v>94.5565921</v>
      </c>
      <c r="H145" s="75">
        <f t="shared" si="2"/>
        <v>11640.99996</v>
      </c>
    </row>
    <row r="146">
      <c r="A146" s="73">
        <v>31002.0</v>
      </c>
      <c r="B146" s="83" t="s">
        <v>192</v>
      </c>
      <c r="C146" s="75">
        <v>18675.0</v>
      </c>
      <c r="D146" s="76">
        <v>46.4257028</v>
      </c>
      <c r="E146" s="75">
        <f t="shared" si="1"/>
        <v>10005</v>
      </c>
      <c r="F146" s="75">
        <v>21248.0</v>
      </c>
      <c r="G146" s="76">
        <v>67.6863705</v>
      </c>
      <c r="H146" s="75">
        <f t="shared" si="2"/>
        <v>6865.999996</v>
      </c>
    </row>
    <row r="147">
      <c r="A147" s="73">
        <v>31003.0</v>
      </c>
      <c r="B147" s="83" t="s">
        <v>193</v>
      </c>
      <c r="C147" s="75">
        <v>68727.0</v>
      </c>
      <c r="D147" s="76">
        <v>45.7040173</v>
      </c>
      <c r="E147" s="75">
        <f t="shared" si="1"/>
        <v>37316.00003</v>
      </c>
      <c r="F147" s="75">
        <v>90928.0</v>
      </c>
      <c r="G147" s="76">
        <v>68.9732536</v>
      </c>
      <c r="H147" s="75">
        <f t="shared" si="2"/>
        <v>28211.99997</v>
      </c>
    </row>
    <row r="148">
      <c r="A148" s="73">
        <v>31101.0</v>
      </c>
      <c r="B148" s="83" t="s">
        <v>194</v>
      </c>
      <c r="C148" s="75">
        <v>24344.0</v>
      </c>
      <c r="D148" s="76">
        <v>11.4771607</v>
      </c>
      <c r="E148" s="75">
        <f t="shared" si="1"/>
        <v>21550</v>
      </c>
      <c r="F148" s="75">
        <v>24518.0</v>
      </c>
      <c r="G148" s="76">
        <v>23.1462599</v>
      </c>
      <c r="H148" s="75">
        <f t="shared" si="2"/>
        <v>18843</v>
      </c>
    </row>
    <row r="149">
      <c r="A149" s="73">
        <v>31201.0</v>
      </c>
      <c r="B149" s="83" t="s">
        <v>196</v>
      </c>
      <c r="C149" s="75">
        <v>14481.0</v>
      </c>
      <c r="D149" s="76">
        <v>22.8437263</v>
      </c>
      <c r="E149" s="75">
        <f t="shared" si="1"/>
        <v>11172.99999</v>
      </c>
      <c r="F149" s="75">
        <v>14431.0</v>
      </c>
      <c r="G149" s="76">
        <v>44.1272261</v>
      </c>
      <c r="H149" s="75">
        <f t="shared" si="2"/>
        <v>8063.000002</v>
      </c>
    </row>
    <row r="150">
      <c r="A150" s="73">
        <v>31202.0</v>
      </c>
      <c r="B150" s="83" t="s">
        <v>197</v>
      </c>
      <c r="C150" s="75">
        <v>10047.0</v>
      </c>
      <c r="D150" s="76">
        <v>20.9216682</v>
      </c>
      <c r="E150" s="75">
        <f t="shared" si="1"/>
        <v>7944.999996</v>
      </c>
      <c r="F150" s="75">
        <v>11593.0</v>
      </c>
      <c r="G150" s="76">
        <v>56.8273958</v>
      </c>
      <c r="H150" s="75">
        <f t="shared" si="2"/>
        <v>5005.000005</v>
      </c>
    </row>
    <row r="151">
      <c r="A151" s="73">
        <v>31203.0</v>
      </c>
      <c r="B151" s="83" t="s">
        <v>198</v>
      </c>
      <c r="C151" s="75">
        <v>10514.0</v>
      </c>
      <c r="D151" s="76">
        <v>22.3701731</v>
      </c>
      <c r="E151" s="75">
        <f t="shared" si="1"/>
        <v>8162</v>
      </c>
      <c r="F151" s="75">
        <v>11973.0</v>
      </c>
      <c r="G151" s="76">
        <v>53.9630836</v>
      </c>
      <c r="H151" s="75">
        <f t="shared" si="2"/>
        <v>5512.000001</v>
      </c>
    </row>
    <row r="152">
      <c r="A152" s="73">
        <v>31204.0</v>
      </c>
      <c r="B152" s="83" t="s">
        <v>199</v>
      </c>
      <c r="C152" s="75">
        <v>20344.0</v>
      </c>
      <c r="D152" s="76">
        <v>59.8063311</v>
      </c>
      <c r="E152" s="75">
        <f t="shared" si="1"/>
        <v>8177.000001</v>
      </c>
      <c r="F152" s="75">
        <v>25823.0</v>
      </c>
      <c r="G152" s="76">
        <v>76.1646594</v>
      </c>
      <c r="H152" s="75">
        <f t="shared" si="2"/>
        <v>6155.000003</v>
      </c>
    </row>
    <row r="153">
      <c r="A153" s="73">
        <v>31205.0</v>
      </c>
      <c r="B153" s="83" t="s">
        <v>200</v>
      </c>
      <c r="C153" s="75">
        <v>44974.0</v>
      </c>
      <c r="D153" s="76">
        <v>54.7961044</v>
      </c>
      <c r="E153" s="75">
        <f t="shared" si="1"/>
        <v>20330.00001</v>
      </c>
      <c r="F153" s="75">
        <v>62262.0</v>
      </c>
      <c r="G153" s="76">
        <v>78.8956346</v>
      </c>
      <c r="H153" s="75">
        <f t="shared" si="2"/>
        <v>13139.99999</v>
      </c>
    </row>
    <row r="154">
      <c r="A154" s="73">
        <v>31206.0</v>
      </c>
      <c r="B154" s="83" t="s">
        <v>201</v>
      </c>
      <c r="C154" s="75">
        <v>29114.0</v>
      </c>
      <c r="D154" s="76">
        <v>59.5830185</v>
      </c>
      <c r="E154" s="75">
        <f t="shared" si="1"/>
        <v>11766.99999</v>
      </c>
      <c r="F154" s="75">
        <v>43375.0</v>
      </c>
      <c r="G154" s="76">
        <v>78.9740634</v>
      </c>
      <c r="H154" s="75">
        <f t="shared" si="2"/>
        <v>9120</v>
      </c>
    </row>
    <row r="155">
      <c r="A155" s="73">
        <v>31301.0</v>
      </c>
      <c r="B155" s="83" t="s">
        <v>202</v>
      </c>
      <c r="C155" s="75">
        <v>19466.0</v>
      </c>
      <c r="D155" s="76">
        <v>39.7564985</v>
      </c>
      <c r="E155" s="75">
        <f t="shared" si="1"/>
        <v>11727</v>
      </c>
      <c r="F155" s="75">
        <v>19421.0</v>
      </c>
      <c r="G155" s="76">
        <v>61.4077545</v>
      </c>
      <c r="H155" s="75">
        <f t="shared" si="2"/>
        <v>7494.999999</v>
      </c>
    </row>
    <row r="156">
      <c r="A156" s="73">
        <v>31302.0</v>
      </c>
      <c r="B156" s="83" t="s">
        <v>203</v>
      </c>
      <c r="C156" s="75">
        <v>5399.0</v>
      </c>
      <c r="D156" s="76">
        <v>7.9644379</v>
      </c>
      <c r="E156" s="75">
        <f t="shared" si="1"/>
        <v>4968.999998</v>
      </c>
      <c r="F156" s="75">
        <v>5169.0</v>
      </c>
      <c r="G156" s="76">
        <v>16.734378</v>
      </c>
      <c r="H156" s="75">
        <f t="shared" si="2"/>
        <v>4304.000001</v>
      </c>
    </row>
    <row r="157">
      <c r="A157" s="73">
        <v>31303.0</v>
      </c>
      <c r="B157" s="83" t="s">
        <v>204</v>
      </c>
      <c r="C157" s="75">
        <v>3415.0</v>
      </c>
      <c r="D157" s="76">
        <v>4.1288433</v>
      </c>
      <c r="E157" s="75">
        <f t="shared" si="1"/>
        <v>3274.000001</v>
      </c>
      <c r="F157" s="75">
        <v>3473.0</v>
      </c>
      <c r="G157" s="76">
        <v>14.1376332</v>
      </c>
      <c r="H157" s="75">
        <f t="shared" si="2"/>
        <v>2981.999999</v>
      </c>
    </row>
    <row r="158">
      <c r="A158" s="73">
        <v>31304.0</v>
      </c>
      <c r="B158" s="83" t="s">
        <v>205</v>
      </c>
      <c r="C158" s="75">
        <v>7011.0</v>
      </c>
      <c r="D158" s="76">
        <v>4.9493653</v>
      </c>
      <c r="E158" s="75">
        <f t="shared" si="1"/>
        <v>6663.999999</v>
      </c>
      <c r="F158" s="75">
        <v>7992.0</v>
      </c>
      <c r="G158" s="76">
        <v>11.0610611</v>
      </c>
      <c r="H158" s="75">
        <f t="shared" si="2"/>
        <v>7107.999997</v>
      </c>
    </row>
    <row r="159">
      <c r="A159" s="73">
        <v>31401.0</v>
      </c>
      <c r="B159" s="83" t="s">
        <v>206</v>
      </c>
      <c r="C159" s="75">
        <v>28564.0</v>
      </c>
      <c r="D159" s="76">
        <v>91.4857863</v>
      </c>
      <c r="E159" s="75">
        <f t="shared" si="1"/>
        <v>2432.000001</v>
      </c>
      <c r="F159" s="75">
        <v>34432.0</v>
      </c>
      <c r="G159" s="76">
        <v>97.2438429</v>
      </c>
      <c r="H159" s="75">
        <f t="shared" si="2"/>
        <v>949.0000127</v>
      </c>
    </row>
    <row r="160">
      <c r="A160" s="73">
        <v>31402.0</v>
      </c>
      <c r="B160" s="83" t="s">
        <v>207</v>
      </c>
      <c r="C160" s="75">
        <v>8060.0</v>
      </c>
      <c r="D160" s="76">
        <v>70.5831266</v>
      </c>
      <c r="E160" s="75">
        <f t="shared" si="1"/>
        <v>2370.999996</v>
      </c>
      <c r="F160" s="75">
        <v>8454.0</v>
      </c>
      <c r="G160" s="76">
        <v>84.8828957</v>
      </c>
      <c r="H160" s="75">
        <f t="shared" si="2"/>
        <v>1277.999998</v>
      </c>
    </row>
    <row r="161">
      <c r="A161" s="73">
        <v>31403.0</v>
      </c>
      <c r="B161" s="83" t="s">
        <v>208</v>
      </c>
      <c r="C161" s="75">
        <v>13318.0</v>
      </c>
      <c r="D161" s="76">
        <v>80.9430845</v>
      </c>
      <c r="E161" s="75">
        <f t="shared" si="1"/>
        <v>2538.000006</v>
      </c>
      <c r="F161" s="75">
        <v>12985.0</v>
      </c>
      <c r="G161" s="76">
        <v>92.8917982</v>
      </c>
      <c r="H161" s="75">
        <f t="shared" si="2"/>
        <v>923.0000037</v>
      </c>
    </row>
    <row r="162">
      <c r="A162" s="73">
        <v>31404.0</v>
      </c>
      <c r="B162" s="83" t="s">
        <v>209</v>
      </c>
      <c r="C162" s="75">
        <v>1296.0</v>
      </c>
      <c r="D162" s="76">
        <v>34.6450617</v>
      </c>
      <c r="E162" s="75">
        <f t="shared" si="1"/>
        <v>847.0000004</v>
      </c>
      <c r="F162" s="75">
        <v>1260.0</v>
      </c>
      <c r="G162" s="76">
        <v>70.3968254</v>
      </c>
      <c r="H162" s="75">
        <f t="shared" si="2"/>
        <v>373</v>
      </c>
    </row>
    <row r="163">
      <c r="A163" s="73">
        <v>31405.0</v>
      </c>
      <c r="B163" s="83" t="s">
        <v>210</v>
      </c>
      <c r="C163" s="75">
        <v>2737.0</v>
      </c>
      <c r="D163" s="76">
        <v>20.2411399</v>
      </c>
      <c r="E163" s="75">
        <f t="shared" si="1"/>
        <v>2183.000001</v>
      </c>
      <c r="F163" s="75">
        <v>3803.0</v>
      </c>
      <c r="G163" s="76">
        <v>52.8530108</v>
      </c>
      <c r="H163" s="75">
        <f t="shared" si="2"/>
        <v>1792.999999</v>
      </c>
    </row>
    <row r="164">
      <c r="A164" s="73">
        <v>31501.0</v>
      </c>
      <c r="B164" s="83" t="s">
        <v>211</v>
      </c>
      <c r="C164" s="75">
        <v>7153.0</v>
      </c>
      <c r="D164" s="76">
        <v>14.2317909</v>
      </c>
      <c r="E164" s="75">
        <f t="shared" si="1"/>
        <v>6134.999997</v>
      </c>
      <c r="F164" s="75">
        <v>8248.0</v>
      </c>
      <c r="G164" s="76">
        <v>20.6231814</v>
      </c>
      <c r="H164" s="75">
        <f t="shared" si="2"/>
        <v>6546.999998</v>
      </c>
    </row>
    <row r="165">
      <c r="A165" s="73">
        <v>31601.0</v>
      </c>
      <c r="B165" s="83" t="s">
        <v>212</v>
      </c>
      <c r="C165" s="75">
        <v>21025.0</v>
      </c>
      <c r="D165" s="76">
        <v>30.5445898</v>
      </c>
      <c r="E165" s="75">
        <f t="shared" si="1"/>
        <v>14602.99999</v>
      </c>
      <c r="F165" s="75">
        <v>18306.0</v>
      </c>
      <c r="G165" s="76">
        <v>59.8328417</v>
      </c>
      <c r="H165" s="75">
        <f t="shared" si="2"/>
        <v>7352.999998</v>
      </c>
    </row>
    <row r="166">
      <c r="A166" s="73">
        <v>31602.0</v>
      </c>
      <c r="B166" s="83" t="s">
        <v>213</v>
      </c>
      <c r="C166" s="75">
        <v>20113.0</v>
      </c>
      <c r="D166" s="76">
        <v>58.6088599</v>
      </c>
      <c r="E166" s="75">
        <f t="shared" si="1"/>
        <v>8325.000008</v>
      </c>
      <c r="F166" s="75">
        <v>26082.0</v>
      </c>
      <c r="G166" s="76">
        <v>80.1817345</v>
      </c>
      <c r="H166" s="75">
        <f t="shared" si="2"/>
        <v>5169.000008</v>
      </c>
    </row>
    <row r="167">
      <c r="A167" s="73">
        <v>40101.0</v>
      </c>
      <c r="B167" s="83" t="s">
        <v>214</v>
      </c>
      <c r="C167" s="75">
        <v>258733.0</v>
      </c>
      <c r="D167" s="76">
        <v>99.3854669</v>
      </c>
      <c r="E167" s="75">
        <f t="shared" si="1"/>
        <v>1589.999926</v>
      </c>
      <c r="F167" s="75">
        <v>289903.0</v>
      </c>
      <c r="G167" s="76">
        <v>99.7181816</v>
      </c>
      <c r="H167" s="75">
        <f t="shared" si="2"/>
        <v>816.9999962</v>
      </c>
    </row>
    <row r="168">
      <c r="A168" s="73">
        <v>40102.0</v>
      </c>
      <c r="B168" s="83" t="s">
        <v>215</v>
      </c>
      <c r="C168" s="75">
        <v>22841.0</v>
      </c>
      <c r="D168" s="76">
        <v>47.8394116</v>
      </c>
      <c r="E168" s="75">
        <f t="shared" si="1"/>
        <v>11914</v>
      </c>
      <c r="F168" s="75">
        <v>22245.0</v>
      </c>
      <c r="G168" s="76">
        <v>70.0966509</v>
      </c>
      <c r="H168" s="75">
        <f t="shared" si="2"/>
        <v>6652.000007</v>
      </c>
    </row>
    <row r="169">
      <c r="A169" s="73">
        <v>40103.0</v>
      </c>
      <c r="B169" s="83" t="s">
        <v>216</v>
      </c>
      <c r="C169" s="75">
        <v>8658.0</v>
      </c>
      <c r="D169" s="76">
        <v>11.018711</v>
      </c>
      <c r="E169" s="75">
        <f t="shared" si="1"/>
        <v>7704.000002</v>
      </c>
      <c r="F169" s="75">
        <v>9891.0</v>
      </c>
      <c r="G169" s="76">
        <v>34.8397533</v>
      </c>
      <c r="H169" s="75">
        <f t="shared" si="2"/>
        <v>6445.000001</v>
      </c>
    </row>
    <row r="170">
      <c r="A170" s="73">
        <v>40104.0</v>
      </c>
      <c r="B170" s="83" t="s">
        <v>217</v>
      </c>
      <c r="C170" s="75">
        <v>12746.0</v>
      </c>
      <c r="D170" s="76">
        <v>49.9686176</v>
      </c>
      <c r="E170" s="75">
        <f t="shared" si="1"/>
        <v>6377.000001</v>
      </c>
      <c r="F170" s="75">
        <v>15598.0</v>
      </c>
      <c r="G170" s="76">
        <v>74.0800103</v>
      </c>
      <c r="H170" s="75">
        <f t="shared" si="2"/>
        <v>4042.999993</v>
      </c>
    </row>
    <row r="171">
      <c r="A171" s="73">
        <v>40201.0</v>
      </c>
      <c r="B171" s="83" t="s">
        <v>219</v>
      </c>
      <c r="C171" s="75">
        <v>27986.0</v>
      </c>
      <c r="D171" s="76">
        <v>53.205174</v>
      </c>
      <c r="E171" s="75">
        <f t="shared" si="1"/>
        <v>13096</v>
      </c>
      <c r="F171" s="75">
        <v>34774.0</v>
      </c>
      <c r="G171" s="76">
        <v>62.5237246</v>
      </c>
      <c r="H171" s="75">
        <f t="shared" si="2"/>
        <v>13032.00001</v>
      </c>
    </row>
    <row r="172">
      <c r="A172" s="73">
        <v>40202.0</v>
      </c>
      <c r="B172" s="83" t="s">
        <v>220</v>
      </c>
      <c r="C172" s="75">
        <v>3951.0</v>
      </c>
      <c r="D172" s="76">
        <v>46.4945583</v>
      </c>
      <c r="E172" s="75">
        <f t="shared" si="1"/>
        <v>2114.000002</v>
      </c>
      <c r="F172" s="75">
        <v>5121.0</v>
      </c>
      <c r="G172" s="76">
        <v>62.2729936</v>
      </c>
      <c r="H172" s="75">
        <f t="shared" si="2"/>
        <v>1931.999998</v>
      </c>
    </row>
    <row r="173">
      <c r="A173" s="73">
        <v>40301.0</v>
      </c>
      <c r="B173" s="83" t="s">
        <v>222</v>
      </c>
      <c r="C173" s="75">
        <v>8953.0</v>
      </c>
      <c r="D173" s="76">
        <v>14.4755948</v>
      </c>
      <c r="E173" s="75">
        <f t="shared" si="1"/>
        <v>7656.999998</v>
      </c>
      <c r="F173" s="75">
        <v>15863.0</v>
      </c>
      <c r="G173" s="76">
        <v>33.0643636</v>
      </c>
      <c r="H173" s="75">
        <f t="shared" si="2"/>
        <v>10618</v>
      </c>
    </row>
    <row r="174">
      <c r="A174" s="73">
        <v>40302.0</v>
      </c>
      <c r="B174" s="83" t="s">
        <v>223</v>
      </c>
      <c r="C174" s="75">
        <v>1812.0</v>
      </c>
      <c r="D174" s="76">
        <v>12.4724062</v>
      </c>
      <c r="E174" s="75">
        <f t="shared" si="1"/>
        <v>1586</v>
      </c>
      <c r="F174" s="75">
        <v>2496.0</v>
      </c>
      <c r="G174" s="76">
        <v>30.8894231</v>
      </c>
      <c r="H174" s="75">
        <f t="shared" si="2"/>
        <v>1724.999999</v>
      </c>
    </row>
    <row r="175">
      <c r="A175" s="73">
        <v>40401.0</v>
      </c>
      <c r="B175" s="83" t="s">
        <v>225</v>
      </c>
      <c r="C175" s="75">
        <v>3907.0</v>
      </c>
      <c r="D175" s="76">
        <v>40.3890453</v>
      </c>
      <c r="E175" s="75">
        <f t="shared" si="1"/>
        <v>2329</v>
      </c>
      <c r="F175" s="75">
        <v>6348.0</v>
      </c>
      <c r="G175" s="76">
        <v>34.8141147</v>
      </c>
      <c r="H175" s="75">
        <f t="shared" si="2"/>
        <v>4137.999999</v>
      </c>
    </row>
    <row r="176">
      <c r="A176" s="73">
        <v>40402.0</v>
      </c>
      <c r="B176" s="83" t="s">
        <v>226</v>
      </c>
      <c r="C176" s="75">
        <v>5125.0</v>
      </c>
      <c r="D176" s="76">
        <v>23.297561</v>
      </c>
      <c r="E176" s="75">
        <f t="shared" si="1"/>
        <v>3930.999999</v>
      </c>
      <c r="F176" s="75">
        <v>5559.0</v>
      </c>
      <c r="G176" s="76">
        <v>33.0275229</v>
      </c>
      <c r="H176" s="75">
        <f t="shared" si="2"/>
        <v>3723.000002</v>
      </c>
    </row>
    <row r="177">
      <c r="A177" s="73">
        <v>40501.0</v>
      </c>
      <c r="B177" s="83" t="s">
        <v>228</v>
      </c>
      <c r="C177" s="75">
        <v>646.0</v>
      </c>
      <c r="D177" s="76">
        <v>94.1176471</v>
      </c>
      <c r="E177" s="75">
        <f t="shared" si="1"/>
        <v>37.99999973</v>
      </c>
      <c r="F177" s="75">
        <v>3778.0</v>
      </c>
      <c r="G177" s="76">
        <v>97.2736898</v>
      </c>
      <c r="H177" s="75">
        <f t="shared" si="2"/>
        <v>102.9999994</v>
      </c>
    </row>
    <row r="178">
      <c r="A178" s="73">
        <v>40502.0</v>
      </c>
      <c r="B178" s="83" t="s">
        <v>229</v>
      </c>
      <c r="C178" s="75">
        <v>4193.0</v>
      </c>
      <c r="D178" s="76">
        <v>14.5480563</v>
      </c>
      <c r="E178" s="75">
        <f t="shared" si="1"/>
        <v>3582.999999</v>
      </c>
      <c r="F178" s="75">
        <v>4130.0</v>
      </c>
      <c r="G178" s="76">
        <v>67.9418886</v>
      </c>
      <c r="H178" s="75">
        <f t="shared" si="2"/>
        <v>1324.000001</v>
      </c>
    </row>
    <row r="179">
      <c r="A179" s="73">
        <v>40503.0</v>
      </c>
      <c r="B179" s="83" t="s">
        <v>230</v>
      </c>
      <c r="C179" s="75">
        <v>1941.0</v>
      </c>
      <c r="D179" s="76">
        <v>25.2962391</v>
      </c>
      <c r="E179" s="75">
        <f t="shared" si="1"/>
        <v>1449.999999</v>
      </c>
      <c r="F179" s="75">
        <v>1491.0</v>
      </c>
      <c r="G179" s="76">
        <v>78.4708249</v>
      </c>
      <c r="H179" s="75">
        <f t="shared" si="2"/>
        <v>321.0000007</v>
      </c>
    </row>
    <row r="180">
      <c r="A180" s="73">
        <v>40504.0</v>
      </c>
      <c r="B180" s="83" t="s">
        <v>231</v>
      </c>
      <c r="C180" s="75">
        <v>513.0</v>
      </c>
      <c r="D180" s="76">
        <v>7.0175439</v>
      </c>
      <c r="E180" s="75">
        <f t="shared" si="1"/>
        <v>476.9999998</v>
      </c>
      <c r="F180" s="75">
        <v>872.0</v>
      </c>
      <c r="G180" s="76">
        <v>74.8853211</v>
      </c>
      <c r="H180" s="75">
        <f t="shared" si="2"/>
        <v>219</v>
      </c>
    </row>
    <row r="181">
      <c r="A181" s="73">
        <v>40505.0</v>
      </c>
      <c r="B181" s="83" t="s">
        <v>232</v>
      </c>
      <c r="C181" s="75">
        <v>2688.0</v>
      </c>
      <c r="D181" s="76">
        <v>43.4151786</v>
      </c>
      <c r="E181" s="75">
        <f t="shared" si="1"/>
        <v>1520.999999</v>
      </c>
      <c r="F181" s="75">
        <v>3843.0</v>
      </c>
      <c r="G181" s="76">
        <v>76.3726256</v>
      </c>
      <c r="H181" s="75">
        <f t="shared" si="2"/>
        <v>907.9999982</v>
      </c>
    </row>
    <row r="182">
      <c r="A182" s="73">
        <v>40601.0</v>
      </c>
      <c r="B182" s="83" t="s">
        <v>233</v>
      </c>
      <c r="C182" s="75">
        <v>7173.0</v>
      </c>
      <c r="D182" s="76">
        <v>58.1764952</v>
      </c>
      <c r="E182" s="75">
        <f t="shared" si="1"/>
        <v>2999.999999</v>
      </c>
      <c r="F182" s="75">
        <v>9040.0</v>
      </c>
      <c r="G182" s="76">
        <v>76.7035398</v>
      </c>
      <c r="H182" s="75">
        <f t="shared" si="2"/>
        <v>2106.000002</v>
      </c>
    </row>
    <row r="183">
      <c r="A183" s="73">
        <v>40602.0</v>
      </c>
      <c r="B183" s="83" t="s">
        <v>234</v>
      </c>
      <c r="C183" s="75">
        <v>5910.0</v>
      </c>
      <c r="D183" s="76">
        <v>69.4754653</v>
      </c>
      <c r="E183" s="75">
        <f t="shared" si="1"/>
        <v>1804.000001</v>
      </c>
      <c r="F183" s="75">
        <v>4129.0</v>
      </c>
      <c r="G183" s="76">
        <v>81.666263</v>
      </c>
      <c r="H183" s="75">
        <f t="shared" si="2"/>
        <v>757.0000007</v>
      </c>
    </row>
    <row r="184">
      <c r="A184" s="73">
        <v>40603.0</v>
      </c>
      <c r="B184" s="83" t="s">
        <v>235</v>
      </c>
      <c r="C184" s="75">
        <v>3179.0</v>
      </c>
      <c r="D184" s="76">
        <v>65.7439446</v>
      </c>
      <c r="E184" s="75">
        <f t="shared" si="1"/>
        <v>1089.000001</v>
      </c>
      <c r="F184" s="75">
        <v>3517.0</v>
      </c>
      <c r="G184" s="76">
        <v>82.9400057</v>
      </c>
      <c r="H184" s="75">
        <f t="shared" si="2"/>
        <v>599.9999995</v>
      </c>
    </row>
    <row r="185">
      <c r="A185" s="73">
        <v>40701.0</v>
      </c>
      <c r="B185" s="83" t="s">
        <v>237</v>
      </c>
      <c r="C185" s="75">
        <v>24097.0</v>
      </c>
      <c r="D185" s="76">
        <v>89.6294144</v>
      </c>
      <c r="E185" s="75">
        <f t="shared" si="1"/>
        <v>2499.000012</v>
      </c>
      <c r="F185" s="75">
        <v>19368.0</v>
      </c>
      <c r="G185" s="76">
        <v>93.7577447</v>
      </c>
      <c r="H185" s="75">
        <f t="shared" si="2"/>
        <v>1209.000007</v>
      </c>
    </row>
    <row r="186">
      <c r="A186" s="73">
        <v>40702.0</v>
      </c>
      <c r="B186" s="83" t="s">
        <v>238</v>
      </c>
      <c r="C186" s="75">
        <v>4721.0</v>
      </c>
      <c r="D186" s="76">
        <v>73.416649</v>
      </c>
      <c r="E186" s="75">
        <f t="shared" si="1"/>
        <v>1255.000001</v>
      </c>
      <c r="F186" s="75">
        <v>6058.0</v>
      </c>
      <c r="G186" s="76">
        <v>88.4450314</v>
      </c>
      <c r="H186" s="75">
        <f t="shared" si="2"/>
        <v>699.9999978</v>
      </c>
    </row>
    <row r="187">
      <c r="A187" s="73">
        <v>40801.0</v>
      </c>
      <c r="B187" s="83" t="s">
        <v>240</v>
      </c>
      <c r="C187" s="75">
        <v>11685.0</v>
      </c>
      <c r="D187" s="76">
        <v>38.9816003</v>
      </c>
      <c r="E187" s="75">
        <f t="shared" si="1"/>
        <v>7130.000005</v>
      </c>
      <c r="F187" s="75">
        <v>15794.0</v>
      </c>
      <c r="G187" s="76">
        <v>64.2902368</v>
      </c>
      <c r="H187" s="75">
        <f t="shared" si="2"/>
        <v>5640</v>
      </c>
    </row>
    <row r="188">
      <c r="A188" s="73">
        <v>40802.0</v>
      </c>
      <c r="B188" s="83" t="s">
        <v>241</v>
      </c>
      <c r="C188" s="75">
        <v>2927.0</v>
      </c>
      <c r="D188" s="76">
        <v>37.1370003</v>
      </c>
      <c r="E188" s="75">
        <f t="shared" si="1"/>
        <v>1840.000001</v>
      </c>
      <c r="F188" s="75">
        <v>3188.0</v>
      </c>
      <c r="G188" s="76">
        <v>66.8130489</v>
      </c>
      <c r="H188" s="75">
        <f t="shared" si="2"/>
        <v>1058.000001</v>
      </c>
    </row>
    <row r="189">
      <c r="A189" s="73">
        <v>40901.0</v>
      </c>
      <c r="B189" s="83" t="s">
        <v>242</v>
      </c>
      <c r="C189" s="75">
        <v>7792.0</v>
      </c>
      <c r="D189" s="76">
        <v>31.6991786</v>
      </c>
      <c r="E189" s="75">
        <f t="shared" si="1"/>
        <v>5322.000003</v>
      </c>
      <c r="F189" s="75">
        <v>14592.0</v>
      </c>
      <c r="G189" s="76">
        <v>74.9588816</v>
      </c>
      <c r="H189" s="75">
        <f t="shared" si="2"/>
        <v>3653.999997</v>
      </c>
    </row>
    <row r="190">
      <c r="A190" s="73">
        <v>40902.0</v>
      </c>
      <c r="B190" s="83" t="s">
        <v>243</v>
      </c>
      <c r="C190" s="75">
        <v>873.0</v>
      </c>
      <c r="D190" s="76">
        <v>71.0194731</v>
      </c>
      <c r="E190" s="75">
        <f t="shared" si="1"/>
        <v>252.9999998</v>
      </c>
      <c r="F190" s="75">
        <v>1378.0</v>
      </c>
      <c r="G190" s="76">
        <v>94.0493469</v>
      </c>
      <c r="H190" s="75">
        <f t="shared" si="2"/>
        <v>81.99999972</v>
      </c>
    </row>
    <row r="191">
      <c r="A191" s="73">
        <v>40903.0</v>
      </c>
      <c r="B191" s="83" t="s">
        <v>244</v>
      </c>
      <c r="C191" s="75">
        <v>1978.0</v>
      </c>
      <c r="D191" s="76">
        <v>46.966633</v>
      </c>
      <c r="E191" s="75">
        <f t="shared" si="1"/>
        <v>1048.999999</v>
      </c>
      <c r="F191" s="75">
        <v>2337.0</v>
      </c>
      <c r="G191" s="76">
        <v>63.457424</v>
      </c>
      <c r="H191" s="75">
        <f t="shared" si="2"/>
        <v>854.0000011</v>
      </c>
    </row>
    <row r="192">
      <c r="A192" s="73">
        <v>41001.0</v>
      </c>
      <c r="B192" s="83" t="s">
        <v>246</v>
      </c>
      <c r="C192" s="75">
        <v>9993.0</v>
      </c>
      <c r="D192" s="76">
        <v>20.8846192</v>
      </c>
      <c r="E192" s="75">
        <f t="shared" si="1"/>
        <v>7906.000003</v>
      </c>
      <c r="F192" s="75">
        <v>12084.0</v>
      </c>
      <c r="G192" s="76">
        <v>36.6683217</v>
      </c>
      <c r="H192" s="75">
        <f t="shared" si="2"/>
        <v>7653.000006</v>
      </c>
    </row>
    <row r="193">
      <c r="A193" s="73">
        <v>41101.0</v>
      </c>
      <c r="B193" s="83" t="s">
        <v>248</v>
      </c>
      <c r="C193" s="75">
        <v>5188.0</v>
      </c>
      <c r="D193" s="76">
        <v>62.1048574</v>
      </c>
      <c r="E193" s="75">
        <f t="shared" si="1"/>
        <v>1965.999998</v>
      </c>
      <c r="F193" s="75">
        <v>5309.0</v>
      </c>
      <c r="G193" s="76">
        <v>82.5390846</v>
      </c>
      <c r="H193" s="75">
        <f t="shared" si="2"/>
        <v>926.9999986</v>
      </c>
    </row>
    <row r="194">
      <c r="A194" s="73">
        <v>41201.0</v>
      </c>
      <c r="B194" s="83" t="s">
        <v>250</v>
      </c>
      <c r="C194" s="75">
        <v>5177.0</v>
      </c>
      <c r="D194" s="76">
        <v>19.1230442</v>
      </c>
      <c r="E194" s="75">
        <f t="shared" si="1"/>
        <v>4187.000002</v>
      </c>
      <c r="F194" s="75">
        <v>6288.0</v>
      </c>
      <c r="G194" s="76">
        <v>37.6590331</v>
      </c>
      <c r="H194" s="75">
        <f t="shared" si="2"/>
        <v>3919.999999</v>
      </c>
    </row>
    <row r="195">
      <c r="A195" s="73">
        <v>41202.0</v>
      </c>
      <c r="B195" s="83" t="s">
        <v>251</v>
      </c>
      <c r="C195" s="75">
        <v>1993.0</v>
      </c>
      <c r="D195" s="76">
        <v>12.493728</v>
      </c>
      <c r="E195" s="75">
        <f t="shared" si="1"/>
        <v>1744.000001</v>
      </c>
      <c r="F195" s="75">
        <v>3031.0</v>
      </c>
      <c r="G195" s="76">
        <v>52.9528209</v>
      </c>
      <c r="H195" s="75">
        <f t="shared" si="2"/>
        <v>1425.999999</v>
      </c>
    </row>
    <row r="196">
      <c r="A196" s="73">
        <v>41301.0</v>
      </c>
      <c r="B196" s="83" t="s">
        <v>196</v>
      </c>
      <c r="C196" s="75">
        <v>5485.0</v>
      </c>
      <c r="D196" s="76">
        <v>10.0820419</v>
      </c>
      <c r="E196" s="75">
        <f t="shared" si="1"/>
        <v>4932.000002</v>
      </c>
      <c r="F196" s="75">
        <v>6593.0</v>
      </c>
      <c r="G196" s="76">
        <v>27.589868</v>
      </c>
      <c r="H196" s="75">
        <f t="shared" si="2"/>
        <v>4774.000003</v>
      </c>
    </row>
    <row r="197">
      <c r="A197" s="73">
        <v>41401.0</v>
      </c>
      <c r="B197" s="83" t="s">
        <v>254</v>
      </c>
      <c r="C197" s="75">
        <v>13042.0</v>
      </c>
      <c r="D197" s="76">
        <v>44.9700966</v>
      </c>
      <c r="E197" s="75">
        <f t="shared" si="1"/>
        <v>7177.000001</v>
      </c>
      <c r="F197" s="75">
        <v>13427.0</v>
      </c>
      <c r="G197" s="76">
        <v>65.316154</v>
      </c>
      <c r="H197" s="75">
        <f t="shared" si="2"/>
        <v>4657.000002</v>
      </c>
    </row>
    <row r="198">
      <c r="A198" s="73">
        <v>41501.0</v>
      </c>
      <c r="B198" s="83" t="s">
        <v>256</v>
      </c>
      <c r="C198" s="75">
        <v>507.0</v>
      </c>
      <c r="D198" s="76">
        <v>23.2741617</v>
      </c>
      <c r="E198" s="75">
        <f t="shared" si="1"/>
        <v>389.0000002</v>
      </c>
      <c r="F198" s="75">
        <v>1251.0</v>
      </c>
      <c r="G198" s="76">
        <v>58.9928058</v>
      </c>
      <c r="H198" s="75">
        <f t="shared" si="2"/>
        <v>512.9999994</v>
      </c>
    </row>
    <row r="199">
      <c r="A199" s="73">
        <v>41502.0</v>
      </c>
      <c r="B199" s="83" t="s">
        <v>257</v>
      </c>
      <c r="C199" s="75">
        <v>661.0</v>
      </c>
      <c r="D199" s="76">
        <v>10.2874433</v>
      </c>
      <c r="E199" s="75">
        <f t="shared" si="1"/>
        <v>592.9999998</v>
      </c>
      <c r="F199" s="75">
        <v>1077.0</v>
      </c>
      <c r="G199" s="76">
        <v>67.8737233</v>
      </c>
      <c r="H199" s="75">
        <f t="shared" si="2"/>
        <v>346.0000001</v>
      </c>
    </row>
    <row r="200">
      <c r="A200" s="73">
        <v>41503.0</v>
      </c>
      <c r="B200" s="83" t="s">
        <v>221</v>
      </c>
      <c r="C200" s="75">
        <v>838.0</v>
      </c>
      <c r="D200" s="76">
        <v>12.1718377</v>
      </c>
      <c r="E200" s="75">
        <f t="shared" si="1"/>
        <v>736.0000001</v>
      </c>
      <c r="F200" s="75">
        <v>1119.0</v>
      </c>
      <c r="G200" s="76">
        <v>50.3127793</v>
      </c>
      <c r="H200" s="75">
        <f t="shared" si="2"/>
        <v>555.9999996</v>
      </c>
    </row>
    <row r="201">
      <c r="A201" s="73">
        <v>41601.0</v>
      </c>
      <c r="B201" s="83" t="s">
        <v>259</v>
      </c>
      <c r="C201" s="75">
        <v>5446.0</v>
      </c>
      <c r="D201" s="76">
        <v>15.7914065</v>
      </c>
      <c r="E201" s="75">
        <f t="shared" si="1"/>
        <v>4586.000002</v>
      </c>
      <c r="F201" s="75">
        <v>5971.0</v>
      </c>
      <c r="G201" s="76">
        <v>35.8901357</v>
      </c>
      <c r="H201" s="75">
        <f t="shared" si="2"/>
        <v>3827.999997</v>
      </c>
    </row>
    <row r="202">
      <c r="A202" s="73">
        <v>50101.0</v>
      </c>
      <c r="B202" s="83" t="s">
        <v>260</v>
      </c>
      <c r="C202" s="75">
        <v>186908.0</v>
      </c>
      <c r="D202" s="76">
        <v>93.9836711</v>
      </c>
      <c r="E202" s="75">
        <f t="shared" si="1"/>
        <v>11245.00002</v>
      </c>
      <c r="F202" s="75">
        <v>212998.0</v>
      </c>
      <c r="G202" s="76">
        <v>95.4755444</v>
      </c>
      <c r="H202" s="75">
        <f t="shared" si="2"/>
        <v>9636.999939</v>
      </c>
    </row>
    <row r="203">
      <c r="A203" s="73">
        <v>50102.0</v>
      </c>
      <c r="B203" s="83" t="s">
        <v>262</v>
      </c>
      <c r="C203" s="75">
        <v>27064.0</v>
      </c>
      <c r="D203" s="76">
        <v>7.7852498</v>
      </c>
      <c r="E203" s="75">
        <f t="shared" si="1"/>
        <v>24956.99999</v>
      </c>
      <c r="F203" s="75">
        <v>28820.0</v>
      </c>
      <c r="G203" s="76">
        <v>14.2470507</v>
      </c>
      <c r="H203" s="75">
        <f t="shared" si="2"/>
        <v>24713.99999</v>
      </c>
    </row>
    <row r="204">
      <c r="A204" s="73">
        <v>50103.0</v>
      </c>
      <c r="B204" s="83" t="s">
        <v>263</v>
      </c>
      <c r="C204" s="75">
        <v>8762.0</v>
      </c>
      <c r="D204" s="76">
        <v>46.2793883</v>
      </c>
      <c r="E204" s="75">
        <f t="shared" si="1"/>
        <v>4706.999997</v>
      </c>
      <c r="F204" s="75">
        <v>12100.0</v>
      </c>
      <c r="G204" s="76">
        <v>64.2561983</v>
      </c>
      <c r="H204" s="75">
        <f t="shared" si="2"/>
        <v>4325.000006</v>
      </c>
    </row>
    <row r="205">
      <c r="A205" s="73">
        <v>50104.0</v>
      </c>
      <c r="B205" s="83" t="s">
        <v>264</v>
      </c>
      <c r="C205" s="75">
        <v>2747.0</v>
      </c>
      <c r="D205" s="76">
        <v>16.7091372</v>
      </c>
      <c r="E205" s="75">
        <f t="shared" si="1"/>
        <v>2288.000001</v>
      </c>
      <c r="F205" s="75">
        <v>3108.0</v>
      </c>
      <c r="G205" s="76">
        <v>32.5611326</v>
      </c>
      <c r="H205" s="75">
        <f t="shared" si="2"/>
        <v>2095.999999</v>
      </c>
    </row>
    <row r="206">
      <c r="A206" s="73">
        <v>50201.0</v>
      </c>
      <c r="B206" s="83" t="s">
        <v>266</v>
      </c>
      <c r="C206" s="75">
        <v>21492.0</v>
      </c>
      <c r="D206" s="76">
        <v>61.3391029</v>
      </c>
      <c r="E206" s="75">
        <f t="shared" si="1"/>
        <v>8309.000005</v>
      </c>
      <c r="F206" s="75">
        <v>21997.0</v>
      </c>
      <c r="G206" s="76">
        <v>71.3142701</v>
      </c>
      <c r="H206" s="75">
        <f t="shared" si="2"/>
        <v>6310.000006</v>
      </c>
    </row>
    <row r="207">
      <c r="A207" s="73">
        <v>50202.0</v>
      </c>
      <c r="B207" s="83" t="s">
        <v>267</v>
      </c>
      <c r="C207" s="75">
        <v>15865.0</v>
      </c>
      <c r="D207" s="76">
        <v>43.0003152</v>
      </c>
      <c r="E207" s="75">
        <f t="shared" si="1"/>
        <v>9042.999994</v>
      </c>
      <c r="F207" s="75">
        <v>15571.0</v>
      </c>
      <c r="G207" s="76">
        <v>58.3392203</v>
      </c>
      <c r="H207" s="75">
        <f t="shared" si="2"/>
        <v>6487.000007</v>
      </c>
    </row>
    <row r="208">
      <c r="A208" s="73">
        <v>50203.0</v>
      </c>
      <c r="B208" s="83" t="s">
        <v>268</v>
      </c>
      <c r="C208" s="75">
        <v>39995.0</v>
      </c>
      <c r="D208" s="76">
        <v>87.3459182</v>
      </c>
      <c r="E208" s="75">
        <f t="shared" si="1"/>
        <v>5061.000016</v>
      </c>
      <c r="F208" s="75">
        <v>40637.0</v>
      </c>
      <c r="G208" s="76">
        <v>92.0048232</v>
      </c>
      <c r="H208" s="75">
        <f t="shared" si="2"/>
        <v>3248.999996</v>
      </c>
    </row>
    <row r="209">
      <c r="A209" s="73">
        <v>50204.0</v>
      </c>
      <c r="B209" s="83" t="s">
        <v>269</v>
      </c>
      <c r="C209" s="75">
        <v>7908.0</v>
      </c>
      <c r="D209" s="76">
        <v>38.9731917</v>
      </c>
      <c r="E209" s="75">
        <f t="shared" si="1"/>
        <v>4826</v>
      </c>
      <c r="F209" s="75">
        <v>8172.0</v>
      </c>
      <c r="G209" s="76">
        <v>58.2599119</v>
      </c>
      <c r="H209" s="75">
        <f t="shared" si="2"/>
        <v>3411</v>
      </c>
    </row>
    <row r="210">
      <c r="A210" s="73">
        <v>50301.0</v>
      </c>
      <c r="B210" s="83" t="s">
        <v>271</v>
      </c>
      <c r="C210" s="75">
        <v>33563.0</v>
      </c>
      <c r="D210" s="76">
        <v>37.6724369</v>
      </c>
      <c r="E210" s="75">
        <f t="shared" si="1"/>
        <v>20919</v>
      </c>
      <c r="F210" s="75">
        <v>31595.0</v>
      </c>
      <c r="G210" s="76">
        <v>53.5179617</v>
      </c>
      <c r="H210" s="75">
        <f t="shared" si="2"/>
        <v>14686</v>
      </c>
    </row>
    <row r="211">
      <c r="A211" s="73">
        <v>50302.0</v>
      </c>
      <c r="B211" s="83" t="s">
        <v>272</v>
      </c>
      <c r="C211" s="75">
        <v>9762.0</v>
      </c>
      <c r="D211" s="76">
        <v>24.6261012</v>
      </c>
      <c r="E211" s="75">
        <f t="shared" si="1"/>
        <v>7358.000001</v>
      </c>
      <c r="F211" s="75">
        <v>9115.0</v>
      </c>
      <c r="G211" s="76">
        <v>44.5309929</v>
      </c>
      <c r="H211" s="75">
        <f t="shared" si="2"/>
        <v>5055.999997</v>
      </c>
    </row>
    <row r="212">
      <c r="A212" s="73">
        <v>50303.0</v>
      </c>
      <c r="B212" s="83" t="s">
        <v>273</v>
      </c>
      <c r="C212" s="75">
        <v>11671.0</v>
      </c>
      <c r="D212" s="76">
        <v>8.7653157</v>
      </c>
      <c r="E212" s="75">
        <f t="shared" si="1"/>
        <v>10648</v>
      </c>
      <c r="F212" s="75">
        <v>14287.0</v>
      </c>
      <c r="G212" s="76">
        <v>13.599776</v>
      </c>
      <c r="H212" s="75">
        <f t="shared" si="2"/>
        <v>12344</v>
      </c>
    </row>
    <row r="213">
      <c r="A213" s="73">
        <v>50401.0</v>
      </c>
      <c r="B213" s="83" t="s">
        <v>274</v>
      </c>
      <c r="C213" s="75">
        <v>15006.0</v>
      </c>
      <c r="D213" s="76">
        <v>33.1800613</v>
      </c>
      <c r="E213" s="75">
        <f t="shared" si="1"/>
        <v>10027</v>
      </c>
      <c r="F213" s="75">
        <v>15920.0</v>
      </c>
      <c r="G213" s="76">
        <v>40.5276382</v>
      </c>
      <c r="H213" s="75">
        <f t="shared" si="2"/>
        <v>9467.999999</v>
      </c>
    </row>
    <row r="214">
      <c r="A214" s="73">
        <v>50402.0</v>
      </c>
      <c r="B214" s="83" t="s">
        <v>275</v>
      </c>
      <c r="C214" s="75">
        <v>20962.0</v>
      </c>
      <c r="D214" s="76">
        <v>10.2566549</v>
      </c>
      <c r="E214" s="75">
        <f t="shared" si="1"/>
        <v>18812</v>
      </c>
      <c r="F214" s="75">
        <v>16774.0</v>
      </c>
      <c r="G214" s="76">
        <v>13.4553476</v>
      </c>
      <c r="H214" s="75">
        <f t="shared" si="2"/>
        <v>14516.99999</v>
      </c>
    </row>
    <row r="215">
      <c r="A215" s="73">
        <v>50403.0</v>
      </c>
      <c r="B215" s="83" t="s">
        <v>276</v>
      </c>
      <c r="C215" s="75">
        <v>26113.0</v>
      </c>
      <c r="D215" s="76">
        <v>14.2725845</v>
      </c>
      <c r="E215" s="75">
        <f t="shared" si="1"/>
        <v>22386.00001</v>
      </c>
      <c r="F215" s="75">
        <v>32403.0</v>
      </c>
      <c r="G215" s="76">
        <v>25.8000802</v>
      </c>
      <c r="H215" s="75">
        <f t="shared" si="2"/>
        <v>24043.00001</v>
      </c>
    </row>
    <row r="216">
      <c r="A216" s="73">
        <v>50404.0</v>
      </c>
      <c r="B216" s="83" t="s">
        <v>277</v>
      </c>
      <c r="C216" s="75">
        <v>15990.0</v>
      </c>
      <c r="D216" s="76">
        <v>13.1582239</v>
      </c>
      <c r="E216" s="75">
        <f t="shared" si="1"/>
        <v>13886</v>
      </c>
      <c r="F216" s="75">
        <v>14405.0</v>
      </c>
      <c r="G216" s="76">
        <v>16.2096494</v>
      </c>
      <c r="H216" s="75">
        <f t="shared" si="2"/>
        <v>12070</v>
      </c>
    </row>
    <row r="217">
      <c r="A217" s="73">
        <v>50405.0</v>
      </c>
      <c r="B217" s="83" t="s">
        <v>278</v>
      </c>
      <c r="C217" s="75">
        <v>19762.0</v>
      </c>
      <c r="D217" s="76">
        <v>15.6866714</v>
      </c>
      <c r="E217" s="75">
        <f t="shared" si="1"/>
        <v>16662</v>
      </c>
      <c r="F217" s="75">
        <v>20850.0</v>
      </c>
      <c r="G217" s="76">
        <v>34.0815348</v>
      </c>
      <c r="H217" s="75">
        <f t="shared" si="2"/>
        <v>13743.99999</v>
      </c>
    </row>
    <row r="218">
      <c r="A218" s="73">
        <v>50501.0</v>
      </c>
      <c r="B218" s="83" t="s">
        <v>280</v>
      </c>
      <c r="C218" s="75">
        <v>29744.0</v>
      </c>
      <c r="D218" s="76">
        <v>10.9064013</v>
      </c>
      <c r="E218" s="75">
        <f t="shared" si="1"/>
        <v>26500</v>
      </c>
      <c r="F218" s="75">
        <v>28240.0</v>
      </c>
      <c r="G218" s="76">
        <v>17.0467422</v>
      </c>
      <c r="H218" s="75">
        <f t="shared" si="2"/>
        <v>23426</v>
      </c>
    </row>
    <row r="219">
      <c r="A219" s="73">
        <v>50502.0</v>
      </c>
      <c r="B219" s="83" t="s">
        <v>281</v>
      </c>
      <c r="C219" s="75">
        <v>10677.0</v>
      </c>
      <c r="D219" s="76">
        <v>14.6202117</v>
      </c>
      <c r="E219" s="75">
        <f t="shared" si="1"/>
        <v>9115.999997</v>
      </c>
      <c r="F219" s="75">
        <v>10552.0</v>
      </c>
      <c r="G219" s="76">
        <v>28.5064443</v>
      </c>
      <c r="H219" s="75">
        <f t="shared" si="2"/>
        <v>7543.999997</v>
      </c>
    </row>
    <row r="220">
      <c r="A220" s="73">
        <v>50601.0</v>
      </c>
      <c r="B220" s="83" t="s">
        <v>283</v>
      </c>
      <c r="C220" s="75">
        <v>31296.0</v>
      </c>
      <c r="D220" s="76">
        <v>33.7359407</v>
      </c>
      <c r="E220" s="75">
        <f t="shared" si="1"/>
        <v>20738</v>
      </c>
      <c r="F220" s="75">
        <v>28940.0</v>
      </c>
      <c r="G220" s="76">
        <v>40.8707671</v>
      </c>
      <c r="H220" s="75">
        <f t="shared" si="2"/>
        <v>17112</v>
      </c>
    </row>
    <row r="221">
      <c r="A221" s="73">
        <v>50602.0</v>
      </c>
      <c r="B221" s="83" t="s">
        <v>284</v>
      </c>
      <c r="C221" s="75">
        <v>10474.0</v>
      </c>
      <c r="D221" s="76">
        <v>17.2426962</v>
      </c>
      <c r="E221" s="75">
        <f t="shared" si="1"/>
        <v>8668</v>
      </c>
      <c r="F221" s="75">
        <v>10051.0</v>
      </c>
      <c r="G221" s="76">
        <v>30.4248333</v>
      </c>
      <c r="H221" s="75">
        <f t="shared" si="2"/>
        <v>6993.000005</v>
      </c>
    </row>
    <row r="222">
      <c r="A222" s="73">
        <v>50701.0</v>
      </c>
      <c r="B222" s="83" t="s">
        <v>286</v>
      </c>
      <c r="C222" s="75">
        <v>19320.0</v>
      </c>
      <c r="D222" s="76">
        <v>15.9679089</v>
      </c>
      <c r="E222" s="75">
        <f t="shared" si="1"/>
        <v>16235</v>
      </c>
      <c r="F222" s="75">
        <v>17091.0</v>
      </c>
      <c r="G222" s="76">
        <v>30.045053</v>
      </c>
      <c r="H222" s="75">
        <f t="shared" si="2"/>
        <v>11955.99999</v>
      </c>
    </row>
    <row r="223">
      <c r="A223" s="73">
        <v>50702.0</v>
      </c>
      <c r="B223" s="83" t="s">
        <v>287</v>
      </c>
      <c r="C223" s="75">
        <v>8635.0</v>
      </c>
      <c r="D223" s="76">
        <v>12.0787493</v>
      </c>
      <c r="E223" s="75">
        <f t="shared" si="1"/>
        <v>7591.999998</v>
      </c>
      <c r="F223" s="75">
        <v>8392.0</v>
      </c>
      <c r="G223" s="76">
        <v>18.7797903</v>
      </c>
      <c r="H223" s="75">
        <f t="shared" si="2"/>
        <v>6815.999998</v>
      </c>
    </row>
    <row r="224">
      <c r="A224" s="73">
        <v>50801.0</v>
      </c>
      <c r="B224" s="83" t="s">
        <v>289</v>
      </c>
      <c r="C224" s="75">
        <v>43474.0</v>
      </c>
      <c r="D224" s="76">
        <v>73.4991029</v>
      </c>
      <c r="E224" s="75">
        <f t="shared" si="1"/>
        <v>11521.00001</v>
      </c>
      <c r="F224" s="75">
        <v>44192.0</v>
      </c>
      <c r="G224" s="76">
        <v>82.8860427</v>
      </c>
      <c r="H224" s="75">
        <f t="shared" si="2"/>
        <v>7563.00001</v>
      </c>
    </row>
    <row r="225">
      <c r="A225" s="73">
        <v>50802.0</v>
      </c>
      <c r="B225" s="83" t="s">
        <v>290</v>
      </c>
      <c r="C225" s="75">
        <v>10865.0</v>
      </c>
      <c r="D225" s="76">
        <v>94.5789231</v>
      </c>
      <c r="E225" s="75">
        <f t="shared" si="1"/>
        <v>589.0000052</v>
      </c>
      <c r="F225" s="75">
        <v>9361.0</v>
      </c>
      <c r="G225" s="76">
        <v>95.8124132</v>
      </c>
      <c r="H225" s="75">
        <f t="shared" si="2"/>
        <v>392.0000003</v>
      </c>
    </row>
    <row r="226">
      <c r="A226" s="73">
        <v>50901.0</v>
      </c>
      <c r="B226" s="83" t="s">
        <v>292</v>
      </c>
      <c r="C226" s="75">
        <v>11068.0</v>
      </c>
      <c r="D226" s="76">
        <v>50.7770148</v>
      </c>
      <c r="E226" s="75">
        <f t="shared" si="1"/>
        <v>5448.000002</v>
      </c>
      <c r="F226" s="75">
        <v>10906.0</v>
      </c>
      <c r="G226" s="76">
        <v>82.4500275</v>
      </c>
      <c r="H226" s="75">
        <f t="shared" si="2"/>
        <v>1914.000001</v>
      </c>
    </row>
    <row r="227">
      <c r="A227" s="73">
        <v>50902.0</v>
      </c>
      <c r="B227" s="83" t="s">
        <v>293</v>
      </c>
      <c r="C227" s="75">
        <v>995.0</v>
      </c>
      <c r="D227" s="76">
        <v>40.3015075</v>
      </c>
      <c r="E227" s="75">
        <f t="shared" si="1"/>
        <v>594.0000004</v>
      </c>
      <c r="F227" s="75">
        <v>1501.0</v>
      </c>
      <c r="G227" s="76">
        <v>75.6162558</v>
      </c>
      <c r="H227" s="75">
        <f t="shared" si="2"/>
        <v>366.0000004</v>
      </c>
    </row>
    <row r="228">
      <c r="A228" s="73">
        <v>51001.0</v>
      </c>
      <c r="B228" s="83" t="s">
        <v>295</v>
      </c>
      <c r="C228" s="75">
        <v>2951.0</v>
      </c>
      <c r="D228" s="76">
        <v>21.1792613</v>
      </c>
      <c r="E228" s="75">
        <f t="shared" si="1"/>
        <v>2325.999999</v>
      </c>
      <c r="F228" s="75">
        <v>2885.0</v>
      </c>
      <c r="G228" s="76">
        <v>47.7642981</v>
      </c>
      <c r="H228" s="75">
        <f t="shared" si="2"/>
        <v>1507</v>
      </c>
    </row>
    <row r="229">
      <c r="A229" s="73">
        <v>51002.0</v>
      </c>
      <c r="B229" s="83" t="s">
        <v>296</v>
      </c>
      <c r="C229" s="75">
        <v>1175.0</v>
      </c>
      <c r="D229" s="76">
        <v>5.7021277</v>
      </c>
      <c r="E229" s="75">
        <f t="shared" si="1"/>
        <v>1108</v>
      </c>
      <c r="F229" s="75">
        <v>960.0</v>
      </c>
      <c r="G229" s="76">
        <v>31.4583333</v>
      </c>
      <c r="H229" s="75">
        <f t="shared" si="2"/>
        <v>658.0000003</v>
      </c>
    </row>
    <row r="230">
      <c r="A230" s="73">
        <v>51003.0</v>
      </c>
      <c r="B230" s="83" t="s">
        <v>297</v>
      </c>
      <c r="C230" s="75">
        <v>2231.0</v>
      </c>
      <c r="D230" s="76">
        <v>26.2214254</v>
      </c>
      <c r="E230" s="75">
        <f t="shared" si="1"/>
        <v>1645.999999</v>
      </c>
      <c r="F230" s="75">
        <v>1870.0</v>
      </c>
      <c r="G230" s="76">
        <v>44.7593583</v>
      </c>
      <c r="H230" s="75">
        <f t="shared" si="2"/>
        <v>1033</v>
      </c>
    </row>
    <row r="231">
      <c r="A231" s="73">
        <v>51101.0</v>
      </c>
      <c r="B231" s="83" t="s">
        <v>299</v>
      </c>
      <c r="C231" s="75">
        <v>21710.0</v>
      </c>
      <c r="D231" s="76">
        <v>28.6043298</v>
      </c>
      <c r="E231" s="75">
        <f t="shared" si="1"/>
        <v>15500</v>
      </c>
      <c r="F231" s="75">
        <v>16167.0</v>
      </c>
      <c r="G231" s="76">
        <v>46.7990351</v>
      </c>
      <c r="H231" s="75">
        <f t="shared" si="2"/>
        <v>8600.999995</v>
      </c>
    </row>
    <row r="232">
      <c r="A232" s="73">
        <v>51102.0</v>
      </c>
      <c r="B232" s="83" t="s">
        <v>300</v>
      </c>
      <c r="C232" s="75">
        <v>11704.0</v>
      </c>
      <c r="D232" s="76">
        <v>45.1042379</v>
      </c>
      <c r="E232" s="75">
        <f t="shared" si="1"/>
        <v>6424.999996</v>
      </c>
      <c r="F232" s="75">
        <v>12535.0</v>
      </c>
      <c r="G232" s="76">
        <v>66.8209015</v>
      </c>
      <c r="H232" s="75">
        <f t="shared" si="2"/>
        <v>4158.999997</v>
      </c>
    </row>
    <row r="233">
      <c r="A233" s="73">
        <v>51103.0</v>
      </c>
      <c r="B233" s="83" t="s">
        <v>301</v>
      </c>
      <c r="C233" s="75">
        <v>15658.0</v>
      </c>
      <c r="D233" s="76">
        <v>12.0768936</v>
      </c>
      <c r="E233" s="75">
        <f t="shared" si="1"/>
        <v>13767</v>
      </c>
      <c r="F233" s="75">
        <v>14258.0</v>
      </c>
      <c r="G233" s="76">
        <v>17.8636555</v>
      </c>
      <c r="H233" s="75">
        <f t="shared" si="2"/>
        <v>11711</v>
      </c>
    </row>
    <row r="234">
      <c r="A234" s="73">
        <v>51201.0</v>
      </c>
      <c r="B234" s="83" t="s">
        <v>303</v>
      </c>
      <c r="C234" s="75">
        <v>28477.0</v>
      </c>
      <c r="D234" s="76">
        <v>78.6599712</v>
      </c>
      <c r="E234" s="75">
        <f t="shared" si="1"/>
        <v>6077.000001</v>
      </c>
      <c r="F234" s="75">
        <v>33598.0</v>
      </c>
      <c r="G234" s="76">
        <v>92.5471754</v>
      </c>
      <c r="H234" s="75">
        <f t="shared" si="2"/>
        <v>2504.000009</v>
      </c>
    </row>
    <row r="235">
      <c r="A235" s="73">
        <v>51202.0</v>
      </c>
      <c r="B235" s="83" t="s">
        <v>304</v>
      </c>
      <c r="C235" s="75">
        <v>8705.0</v>
      </c>
      <c r="D235" s="76">
        <v>30.3159104</v>
      </c>
      <c r="E235" s="75">
        <f t="shared" si="1"/>
        <v>6066</v>
      </c>
      <c r="F235" s="75">
        <v>7759.0</v>
      </c>
      <c r="G235" s="76">
        <v>56.0381492</v>
      </c>
      <c r="H235" s="75">
        <f t="shared" si="2"/>
        <v>3411.000004</v>
      </c>
    </row>
    <row r="236">
      <c r="A236" s="73">
        <v>51203.0</v>
      </c>
      <c r="B236" s="83" t="s">
        <v>305</v>
      </c>
      <c r="C236" s="75">
        <v>10640.0</v>
      </c>
      <c r="D236" s="76">
        <v>79.1353383</v>
      </c>
      <c r="E236" s="75">
        <f t="shared" si="1"/>
        <v>2220.000005</v>
      </c>
      <c r="F236" s="75">
        <v>14321.0</v>
      </c>
      <c r="G236" s="76">
        <v>86.0065638</v>
      </c>
      <c r="H236" s="75">
        <f t="shared" si="2"/>
        <v>2003.999998</v>
      </c>
    </row>
    <row r="237">
      <c r="A237" s="73">
        <v>51204.0</v>
      </c>
      <c r="B237" s="83" t="s">
        <v>306</v>
      </c>
      <c r="C237" s="75">
        <v>5846.0</v>
      </c>
      <c r="D237" s="76">
        <v>32.5350667</v>
      </c>
      <c r="E237" s="75">
        <f t="shared" si="1"/>
        <v>3944.000001</v>
      </c>
      <c r="F237" s="75">
        <v>5721.0</v>
      </c>
      <c r="G237" s="76">
        <v>48.505506</v>
      </c>
      <c r="H237" s="75">
        <f t="shared" si="2"/>
        <v>2946.000002</v>
      </c>
    </row>
    <row r="238">
      <c r="A238" s="73">
        <v>51301.0</v>
      </c>
      <c r="B238" s="83" t="s">
        <v>308</v>
      </c>
      <c r="C238" s="75">
        <v>4107.0</v>
      </c>
      <c r="D238" s="76">
        <v>11.468225</v>
      </c>
      <c r="E238" s="75">
        <f t="shared" si="1"/>
        <v>3635.999999</v>
      </c>
      <c r="F238" s="75">
        <v>3652.0</v>
      </c>
      <c r="G238" s="76">
        <v>16.7305586</v>
      </c>
      <c r="H238" s="75">
        <f t="shared" si="2"/>
        <v>3041</v>
      </c>
    </row>
    <row r="239">
      <c r="A239" s="73">
        <v>51302.0</v>
      </c>
      <c r="B239" s="83" t="s">
        <v>309</v>
      </c>
      <c r="C239" s="75">
        <v>6088.0</v>
      </c>
      <c r="D239" s="76">
        <v>17.9204993</v>
      </c>
      <c r="E239" s="75">
        <f t="shared" si="1"/>
        <v>4997.000003</v>
      </c>
      <c r="F239" s="75">
        <v>4385.0</v>
      </c>
      <c r="G239" s="76">
        <v>24.5838084</v>
      </c>
      <c r="H239" s="75">
        <f t="shared" si="2"/>
        <v>3307.000002</v>
      </c>
    </row>
    <row r="240">
      <c r="A240" s="73">
        <v>51401.0</v>
      </c>
      <c r="B240" s="83" t="s">
        <v>311</v>
      </c>
      <c r="C240" s="75">
        <v>3980.0</v>
      </c>
      <c r="D240" s="76">
        <v>34.0452261</v>
      </c>
      <c r="E240" s="75">
        <f t="shared" si="1"/>
        <v>2625.000001</v>
      </c>
      <c r="F240" s="75">
        <v>4036.0</v>
      </c>
      <c r="G240" s="76">
        <v>75.8919722</v>
      </c>
      <c r="H240" s="75">
        <f t="shared" si="2"/>
        <v>973.000002</v>
      </c>
    </row>
    <row r="241">
      <c r="A241" s="73">
        <v>51402.0</v>
      </c>
      <c r="B241" s="83" t="s">
        <v>312</v>
      </c>
      <c r="C241" s="75">
        <v>1664.0</v>
      </c>
      <c r="D241" s="76">
        <v>48.1370192</v>
      </c>
      <c r="E241" s="75">
        <f t="shared" si="1"/>
        <v>863.0000005</v>
      </c>
      <c r="F241" s="75">
        <v>1529.0</v>
      </c>
      <c r="G241" s="76">
        <v>76.1281884</v>
      </c>
      <c r="H241" s="75">
        <f t="shared" si="2"/>
        <v>364.9999994</v>
      </c>
    </row>
    <row r="242">
      <c r="A242" s="73">
        <v>51501.0</v>
      </c>
      <c r="B242" s="83" t="s">
        <v>314</v>
      </c>
      <c r="C242" s="75">
        <v>43444.0</v>
      </c>
      <c r="D242" s="76">
        <v>83.6893472</v>
      </c>
      <c r="E242" s="75">
        <f t="shared" si="1"/>
        <v>7086.000002</v>
      </c>
      <c r="F242" s="75">
        <v>47942.0</v>
      </c>
      <c r="G242" s="76">
        <v>91.4396563</v>
      </c>
      <c r="H242" s="75">
        <f t="shared" si="2"/>
        <v>4103.999977</v>
      </c>
    </row>
    <row r="243">
      <c r="A243" s="73">
        <v>51601.0</v>
      </c>
      <c r="B243" s="83" t="s">
        <v>316</v>
      </c>
      <c r="C243" s="75">
        <v>1643.0</v>
      </c>
      <c r="D243" s="76">
        <v>11.4424833</v>
      </c>
      <c r="E243" s="75">
        <f t="shared" si="1"/>
        <v>1454.999999</v>
      </c>
      <c r="F243" s="75">
        <v>2032.0</v>
      </c>
      <c r="G243" s="76">
        <v>65.6003937</v>
      </c>
      <c r="H243" s="75">
        <f t="shared" si="2"/>
        <v>699</v>
      </c>
    </row>
    <row r="244">
      <c r="A244" s="73">
        <v>60101.0</v>
      </c>
      <c r="B244" s="83" t="s">
        <v>317</v>
      </c>
      <c r="C244" s="75">
        <v>197097.0</v>
      </c>
      <c r="D244" s="76">
        <v>91.996834</v>
      </c>
      <c r="E244" s="75">
        <f t="shared" si="1"/>
        <v>15774.00009</v>
      </c>
      <c r="F244" s="75">
        <v>231979.0</v>
      </c>
      <c r="G244" s="76">
        <v>95.906526</v>
      </c>
      <c r="H244" s="75">
        <f t="shared" si="2"/>
        <v>9496.00005</v>
      </c>
    </row>
    <row r="245">
      <c r="A245" s="73">
        <v>60201.0</v>
      </c>
      <c r="B245" s="83" t="s">
        <v>319</v>
      </c>
      <c r="C245" s="75">
        <v>18152.0</v>
      </c>
      <c r="D245" s="76">
        <v>32.1066549</v>
      </c>
      <c r="E245" s="75">
        <f t="shared" si="1"/>
        <v>12324</v>
      </c>
      <c r="F245" s="75">
        <v>17547.0</v>
      </c>
      <c r="G245" s="76">
        <v>55.6676355</v>
      </c>
      <c r="H245" s="75">
        <f t="shared" si="2"/>
        <v>7778.999999</v>
      </c>
    </row>
    <row r="246">
      <c r="A246" s="73">
        <v>60202.0</v>
      </c>
      <c r="B246" s="83" t="s">
        <v>320</v>
      </c>
      <c r="C246" s="75">
        <v>32610.0</v>
      </c>
      <c r="D246" s="76">
        <v>91.3431463</v>
      </c>
      <c r="E246" s="75">
        <f t="shared" si="1"/>
        <v>2822.999992</v>
      </c>
      <c r="F246" s="75">
        <v>35841.0</v>
      </c>
      <c r="G246" s="76">
        <v>97.1206161</v>
      </c>
      <c r="H246" s="75">
        <f t="shared" si="2"/>
        <v>1031.999984</v>
      </c>
    </row>
    <row r="247">
      <c r="A247" s="73">
        <v>60301.0</v>
      </c>
      <c r="B247" s="83" t="s">
        <v>322</v>
      </c>
      <c r="C247" s="75">
        <v>87069.0</v>
      </c>
      <c r="D247" s="76">
        <v>83.5555709</v>
      </c>
      <c r="E247" s="75">
        <f t="shared" si="1"/>
        <v>14317.99997</v>
      </c>
      <c r="F247" s="75">
        <v>94320.0</v>
      </c>
      <c r="G247" s="76">
        <v>90.807888</v>
      </c>
      <c r="H247" s="75">
        <f t="shared" si="2"/>
        <v>8670.000038</v>
      </c>
    </row>
    <row r="248">
      <c r="A248" s="73">
        <v>60302.0</v>
      </c>
      <c r="B248" s="83" t="s">
        <v>323</v>
      </c>
      <c r="C248" s="75">
        <v>13014.0</v>
      </c>
      <c r="D248" s="76">
        <v>47.5718457</v>
      </c>
      <c r="E248" s="75">
        <f t="shared" si="1"/>
        <v>6823.000001</v>
      </c>
      <c r="F248" s="75">
        <v>15108.0</v>
      </c>
      <c r="G248" s="76">
        <v>78.9912629</v>
      </c>
      <c r="H248" s="75">
        <f t="shared" si="2"/>
        <v>3174.000001</v>
      </c>
    </row>
    <row r="249">
      <c r="A249" s="73">
        <v>60303.0</v>
      </c>
      <c r="B249" s="83" t="s">
        <v>324</v>
      </c>
      <c r="C249" s="75">
        <v>37291.0</v>
      </c>
      <c r="D249" s="76">
        <v>75.9807997</v>
      </c>
      <c r="E249" s="75">
        <f t="shared" si="1"/>
        <v>8956.999984</v>
      </c>
      <c r="F249" s="75">
        <v>44284.0</v>
      </c>
      <c r="G249" s="76">
        <v>80.8757113</v>
      </c>
      <c r="H249" s="75">
        <f t="shared" si="2"/>
        <v>8469.000008</v>
      </c>
    </row>
    <row r="250">
      <c r="A250" s="73">
        <v>60401.0</v>
      </c>
      <c r="B250" s="83" t="s">
        <v>326</v>
      </c>
      <c r="C250" s="75">
        <v>14475.0</v>
      </c>
      <c r="D250" s="76">
        <v>47.2746114</v>
      </c>
      <c r="E250" s="75">
        <f t="shared" si="1"/>
        <v>7632</v>
      </c>
      <c r="F250" s="75">
        <v>15811.0</v>
      </c>
      <c r="G250" s="76">
        <v>68.9709696</v>
      </c>
      <c r="H250" s="75">
        <f t="shared" si="2"/>
        <v>4905.999997</v>
      </c>
    </row>
    <row r="251">
      <c r="A251" s="73">
        <v>60402.0</v>
      </c>
      <c r="B251" s="83" t="s">
        <v>327</v>
      </c>
      <c r="C251" s="75">
        <v>5186.0</v>
      </c>
      <c r="D251" s="76">
        <v>22.3293482</v>
      </c>
      <c r="E251" s="75">
        <f t="shared" si="1"/>
        <v>4028.000002</v>
      </c>
      <c r="F251" s="75">
        <v>4714.0</v>
      </c>
      <c r="G251" s="76">
        <v>43.848112</v>
      </c>
      <c r="H251" s="75">
        <f t="shared" si="2"/>
        <v>2647</v>
      </c>
    </row>
    <row r="252">
      <c r="A252" s="73">
        <v>60501.0</v>
      </c>
      <c r="B252" s="83" t="s">
        <v>329</v>
      </c>
      <c r="C252" s="75">
        <v>23156.0</v>
      </c>
      <c r="D252" s="76">
        <v>57.6913111</v>
      </c>
      <c r="E252" s="75">
        <f t="shared" si="1"/>
        <v>9797.000002</v>
      </c>
      <c r="F252" s="75">
        <v>30113.0</v>
      </c>
      <c r="G252" s="76">
        <v>81.5727427</v>
      </c>
      <c r="H252" s="75">
        <f t="shared" si="2"/>
        <v>5548.999991</v>
      </c>
    </row>
    <row r="253">
      <c r="A253" s="73">
        <v>60502.0</v>
      </c>
      <c r="B253" s="83" t="s">
        <v>330</v>
      </c>
      <c r="C253" s="75">
        <v>10860.0</v>
      </c>
      <c r="D253" s="76">
        <v>44.6685083</v>
      </c>
      <c r="E253" s="75">
        <f t="shared" si="1"/>
        <v>6008.999999</v>
      </c>
      <c r="F253" s="75">
        <v>9392.0</v>
      </c>
      <c r="G253" s="76">
        <v>68.600937</v>
      </c>
      <c r="H253" s="75">
        <f t="shared" si="2"/>
        <v>2948.999997</v>
      </c>
    </row>
    <row r="254">
      <c r="A254" s="73">
        <v>60601.0</v>
      </c>
      <c r="B254" s="83" t="s">
        <v>201</v>
      </c>
      <c r="C254" s="75">
        <v>20051.0</v>
      </c>
      <c r="D254" s="76">
        <v>35.8735225</v>
      </c>
      <c r="E254" s="75">
        <f t="shared" si="1"/>
        <v>12858</v>
      </c>
      <c r="F254" s="75">
        <v>20403.0</v>
      </c>
      <c r="G254" s="76">
        <v>49.4486105</v>
      </c>
      <c r="H254" s="75">
        <f t="shared" si="2"/>
        <v>10314</v>
      </c>
    </row>
    <row r="255">
      <c r="A255" s="73">
        <v>70101.0</v>
      </c>
      <c r="B255" s="83" t="s">
        <v>334</v>
      </c>
      <c r="C255" s="75">
        <v>1392727.0</v>
      </c>
      <c r="D255" s="76">
        <v>98.7384462</v>
      </c>
      <c r="E255" s="75">
        <f t="shared" si="1"/>
        <v>17570.00039</v>
      </c>
      <c r="F255" s="75">
        <v>1563479.0</v>
      </c>
      <c r="G255" s="76">
        <v>99.380804</v>
      </c>
      <c r="H255" s="75">
        <f t="shared" si="2"/>
        <v>9680.999429</v>
      </c>
    </row>
    <row r="256">
      <c r="A256" s="73">
        <v>70102.0</v>
      </c>
      <c r="B256" s="83" t="s">
        <v>335</v>
      </c>
      <c r="C256" s="75">
        <v>54321.0</v>
      </c>
      <c r="D256" s="76">
        <v>86.5024576</v>
      </c>
      <c r="E256" s="75">
        <f t="shared" si="1"/>
        <v>7332.000007</v>
      </c>
      <c r="F256" s="75">
        <v>105028.0</v>
      </c>
      <c r="G256" s="76">
        <v>95.9648856</v>
      </c>
      <c r="H256" s="75">
        <f t="shared" si="2"/>
        <v>4237.999952</v>
      </c>
    </row>
    <row r="257">
      <c r="A257" s="73">
        <v>70103.0</v>
      </c>
      <c r="B257" s="83" t="s">
        <v>336</v>
      </c>
      <c r="C257" s="75">
        <v>15190.0</v>
      </c>
      <c r="D257" s="76">
        <v>56.3660303</v>
      </c>
      <c r="E257" s="75">
        <f t="shared" si="1"/>
        <v>6627.999997</v>
      </c>
      <c r="F257" s="75">
        <v>22722.0</v>
      </c>
      <c r="G257" s="76">
        <v>86.9113634</v>
      </c>
      <c r="H257" s="75">
        <f t="shared" si="2"/>
        <v>2974.000008</v>
      </c>
    </row>
    <row r="258">
      <c r="A258" s="73">
        <v>70104.0</v>
      </c>
      <c r="B258" s="83" t="s">
        <v>337</v>
      </c>
      <c r="C258" s="75">
        <v>87737.0</v>
      </c>
      <c r="D258" s="76">
        <v>94.5997698</v>
      </c>
      <c r="E258" s="75">
        <f t="shared" si="1"/>
        <v>4737.999971</v>
      </c>
      <c r="F258" s="75">
        <v>145751.0</v>
      </c>
      <c r="G258" s="76">
        <v>98.3849167</v>
      </c>
      <c r="H258" s="75">
        <f t="shared" si="2"/>
        <v>2354.000061</v>
      </c>
    </row>
    <row r="259">
      <c r="A259" s="73">
        <v>70105.0</v>
      </c>
      <c r="B259" s="83" t="s">
        <v>338</v>
      </c>
      <c r="C259" s="75">
        <v>48759.0</v>
      </c>
      <c r="D259" s="76">
        <v>73.9125085</v>
      </c>
      <c r="E259" s="75">
        <f t="shared" si="1"/>
        <v>12719.99998</v>
      </c>
      <c r="F259" s="75">
        <v>54561.0</v>
      </c>
      <c r="G259" s="76">
        <v>87.7293305</v>
      </c>
      <c r="H259" s="75">
        <f t="shared" si="2"/>
        <v>6694.999986</v>
      </c>
    </row>
    <row r="260">
      <c r="A260" s="73">
        <v>70201.0</v>
      </c>
      <c r="B260" s="83" t="s">
        <v>339</v>
      </c>
      <c r="C260" s="75">
        <v>94286.0</v>
      </c>
      <c r="D260" s="76">
        <v>92.2321448</v>
      </c>
      <c r="E260" s="75">
        <f t="shared" si="1"/>
        <v>7323.999954</v>
      </c>
      <c r="F260" s="75">
        <v>148232.0</v>
      </c>
      <c r="G260" s="76">
        <v>97.4816504</v>
      </c>
      <c r="H260" s="75">
        <f t="shared" si="2"/>
        <v>3732.999979</v>
      </c>
    </row>
    <row r="261">
      <c r="A261" s="73">
        <v>70202.0</v>
      </c>
      <c r="B261" s="83" t="s">
        <v>340</v>
      </c>
      <c r="C261" s="75">
        <v>12069.0</v>
      </c>
      <c r="D261" s="76">
        <v>83.5446184</v>
      </c>
      <c r="E261" s="75">
        <f t="shared" si="1"/>
        <v>1986.000005</v>
      </c>
      <c r="F261" s="75">
        <v>10320.0</v>
      </c>
      <c r="G261" s="76">
        <v>94.505814</v>
      </c>
      <c r="H261" s="75">
        <f t="shared" si="2"/>
        <v>566.9999952</v>
      </c>
    </row>
    <row r="262">
      <c r="A262" s="73">
        <v>70301.0</v>
      </c>
      <c r="B262" s="83" t="s">
        <v>342</v>
      </c>
      <c r="C262" s="75">
        <v>50813.0</v>
      </c>
      <c r="D262" s="76">
        <v>37.716726</v>
      </c>
      <c r="E262" s="75">
        <f t="shared" si="1"/>
        <v>31648.00002</v>
      </c>
      <c r="F262" s="75">
        <v>64993.0</v>
      </c>
      <c r="G262" s="76">
        <v>61.2358254</v>
      </c>
      <c r="H262" s="75">
        <f t="shared" si="2"/>
        <v>25194</v>
      </c>
    </row>
    <row r="263">
      <c r="A263" s="73">
        <v>70302.0</v>
      </c>
      <c r="B263" s="83" t="s">
        <v>343</v>
      </c>
      <c r="C263" s="75">
        <v>11174.0</v>
      </c>
      <c r="D263" s="76">
        <v>26.0515482</v>
      </c>
      <c r="E263" s="75">
        <f t="shared" si="1"/>
        <v>8263.000004</v>
      </c>
      <c r="F263" s="75">
        <v>15094.0</v>
      </c>
      <c r="G263" s="76">
        <v>46.1706638</v>
      </c>
      <c r="H263" s="75">
        <f t="shared" si="2"/>
        <v>8125.000006</v>
      </c>
    </row>
    <row r="264">
      <c r="A264" s="73">
        <v>70303.0</v>
      </c>
      <c r="B264" s="83" t="s">
        <v>344</v>
      </c>
      <c r="C264" s="75">
        <v>5606.0</v>
      </c>
      <c r="D264" s="76">
        <v>38.2447378</v>
      </c>
      <c r="E264" s="75">
        <f t="shared" si="1"/>
        <v>3461.999999</v>
      </c>
      <c r="F264" s="75">
        <v>8601.0</v>
      </c>
      <c r="G264" s="76">
        <v>51.214975</v>
      </c>
      <c r="H264" s="75">
        <f t="shared" si="2"/>
        <v>4196</v>
      </c>
    </row>
    <row r="265">
      <c r="A265" s="73">
        <v>70401.0</v>
      </c>
      <c r="B265" s="83" t="s">
        <v>346</v>
      </c>
      <c r="C265" s="75">
        <v>12490.0</v>
      </c>
      <c r="D265" s="76">
        <v>57.2457966</v>
      </c>
      <c r="E265" s="75">
        <f t="shared" si="1"/>
        <v>5340.000005</v>
      </c>
      <c r="F265" s="75">
        <v>12934.0</v>
      </c>
      <c r="G265" s="76">
        <v>80.2690583</v>
      </c>
      <c r="H265" s="75">
        <f t="shared" si="2"/>
        <v>2551.999999</v>
      </c>
    </row>
    <row r="266">
      <c r="A266" s="73">
        <v>70402.0</v>
      </c>
      <c r="B266" s="83" t="s">
        <v>347</v>
      </c>
      <c r="C266" s="75">
        <v>19588.0</v>
      </c>
      <c r="D266" s="76">
        <v>72.2432101</v>
      </c>
      <c r="E266" s="75">
        <f t="shared" si="1"/>
        <v>5437.000006</v>
      </c>
      <c r="F266" s="75">
        <v>18595.0</v>
      </c>
      <c r="G266" s="76">
        <v>89.4810433</v>
      </c>
      <c r="H266" s="75">
        <f t="shared" si="2"/>
        <v>1955.999998</v>
      </c>
    </row>
    <row r="267">
      <c r="A267" s="73">
        <v>70403.0</v>
      </c>
      <c r="B267" s="83" t="s">
        <v>348</v>
      </c>
      <c r="C267" s="75">
        <v>48929.0</v>
      </c>
      <c r="D267" s="76">
        <v>66.9112387</v>
      </c>
      <c r="E267" s="75">
        <f t="shared" si="1"/>
        <v>16190.00002</v>
      </c>
      <c r="F267" s="75">
        <v>56178.0</v>
      </c>
      <c r="G267" s="76">
        <v>81.2577877</v>
      </c>
      <c r="H267" s="75">
        <f t="shared" si="2"/>
        <v>10529.00003</v>
      </c>
    </row>
    <row r="268">
      <c r="A268" s="73">
        <v>70404.0</v>
      </c>
      <c r="B268" s="83" t="s">
        <v>349</v>
      </c>
      <c r="C268" s="75">
        <v>8091.0</v>
      </c>
      <c r="D268" s="76">
        <v>76.133976</v>
      </c>
      <c r="E268" s="75">
        <f t="shared" si="1"/>
        <v>1931.000002</v>
      </c>
      <c r="F268" s="75">
        <v>10087.0</v>
      </c>
      <c r="G268" s="76">
        <v>88.7875483</v>
      </c>
      <c r="H268" s="75">
        <f t="shared" si="2"/>
        <v>1131.000003</v>
      </c>
    </row>
    <row r="269">
      <c r="A269" s="73">
        <v>70501.0</v>
      </c>
      <c r="B269" s="83" t="s">
        <v>351</v>
      </c>
      <c r="C269" s="75">
        <v>21743.0</v>
      </c>
      <c r="D269" s="76">
        <v>78.0389091</v>
      </c>
      <c r="E269" s="75">
        <f t="shared" si="1"/>
        <v>4774.999994</v>
      </c>
      <c r="F269" s="75">
        <v>40128.0</v>
      </c>
      <c r="G269" s="76">
        <v>77.6490231</v>
      </c>
      <c r="H269" s="75">
        <f t="shared" si="2"/>
        <v>8969.00001</v>
      </c>
    </row>
    <row r="270">
      <c r="A270" s="73">
        <v>70502.0</v>
      </c>
      <c r="B270" s="83" t="s">
        <v>352</v>
      </c>
      <c r="C270" s="75">
        <v>36157.0</v>
      </c>
      <c r="D270" s="76">
        <v>89.2717869</v>
      </c>
      <c r="E270" s="75">
        <f t="shared" si="1"/>
        <v>3879.000011</v>
      </c>
      <c r="F270" s="75">
        <v>52469.0</v>
      </c>
      <c r="G270" s="76">
        <v>90.5067754</v>
      </c>
      <c r="H270" s="75">
        <f t="shared" si="2"/>
        <v>4981.000015</v>
      </c>
    </row>
    <row r="271">
      <c r="A271" s="73">
        <v>70503.0</v>
      </c>
      <c r="B271" s="83" t="s">
        <v>353</v>
      </c>
      <c r="C271" s="75">
        <v>14624.0</v>
      </c>
      <c r="D271" s="76">
        <v>59.4980853</v>
      </c>
      <c r="E271" s="75">
        <f t="shared" si="1"/>
        <v>5923.000006</v>
      </c>
      <c r="F271" s="75">
        <v>17539.0</v>
      </c>
      <c r="G271" s="76">
        <v>80.7229603</v>
      </c>
      <c r="H271" s="75">
        <f t="shared" si="2"/>
        <v>3380.999993</v>
      </c>
    </row>
    <row r="272">
      <c r="A272" s="73">
        <v>70601.0</v>
      </c>
      <c r="B272" s="83" t="s">
        <v>355</v>
      </c>
      <c r="C272" s="75">
        <v>17370.0</v>
      </c>
      <c r="D272" s="76">
        <v>82.7058146</v>
      </c>
      <c r="E272" s="75">
        <f t="shared" si="1"/>
        <v>3004.000004</v>
      </c>
      <c r="F272" s="75">
        <v>20351.0</v>
      </c>
      <c r="G272" s="76">
        <v>93.9413297</v>
      </c>
      <c r="H272" s="75">
        <f t="shared" si="2"/>
        <v>1232.999993</v>
      </c>
    </row>
    <row r="273">
      <c r="A273" s="73">
        <v>70602.0</v>
      </c>
      <c r="B273" s="83" t="s">
        <v>356</v>
      </c>
      <c r="C273" s="75">
        <v>18886.0</v>
      </c>
      <c r="D273" s="76">
        <v>40.0508313</v>
      </c>
      <c r="E273" s="75">
        <f t="shared" si="1"/>
        <v>11322</v>
      </c>
      <c r="F273" s="75">
        <v>17569.0</v>
      </c>
      <c r="G273" s="76">
        <v>74.9672719</v>
      </c>
      <c r="H273" s="75">
        <f t="shared" si="2"/>
        <v>4398</v>
      </c>
    </row>
    <row r="274">
      <c r="A274" s="73">
        <v>70603.0</v>
      </c>
      <c r="B274" s="83" t="s">
        <v>357</v>
      </c>
      <c r="C274" s="75">
        <v>5955.0</v>
      </c>
      <c r="D274" s="76">
        <v>84.5507976</v>
      </c>
      <c r="E274" s="75">
        <f t="shared" si="1"/>
        <v>920.0000029</v>
      </c>
      <c r="F274" s="75">
        <v>5923.0</v>
      </c>
      <c r="G274" s="76">
        <v>92.9427655</v>
      </c>
      <c r="H274" s="75">
        <f t="shared" si="2"/>
        <v>417.9999994</v>
      </c>
    </row>
    <row r="275">
      <c r="A275" s="73">
        <v>70701.0</v>
      </c>
      <c r="B275" s="83" t="s">
        <v>359</v>
      </c>
      <c r="C275" s="75">
        <v>5061.0</v>
      </c>
      <c r="D275" s="76">
        <v>23.8885596</v>
      </c>
      <c r="E275" s="75">
        <f t="shared" si="1"/>
        <v>3851.999999</v>
      </c>
      <c r="F275" s="75">
        <v>5728.0</v>
      </c>
      <c r="G275" s="76">
        <v>41.9692737</v>
      </c>
      <c r="H275" s="75">
        <f t="shared" si="2"/>
        <v>3324.000002</v>
      </c>
    </row>
    <row r="276">
      <c r="A276" s="73">
        <v>70702.0</v>
      </c>
      <c r="B276" s="83" t="s">
        <v>360</v>
      </c>
      <c r="C276" s="75">
        <v>30923.0</v>
      </c>
      <c r="D276" s="76">
        <v>42.7998577</v>
      </c>
      <c r="E276" s="75">
        <f t="shared" si="1"/>
        <v>17688</v>
      </c>
      <c r="F276" s="75">
        <v>37705.0</v>
      </c>
      <c r="G276" s="76">
        <v>50.5238032</v>
      </c>
      <c r="H276" s="75">
        <f t="shared" si="2"/>
        <v>18655</v>
      </c>
    </row>
    <row r="277">
      <c r="A277" s="73">
        <v>70703.0</v>
      </c>
      <c r="B277" s="83" t="s">
        <v>361</v>
      </c>
      <c r="C277" s="75">
        <v>24923.0</v>
      </c>
      <c r="D277" s="76">
        <v>66.3202664</v>
      </c>
      <c r="E277" s="75">
        <f t="shared" si="1"/>
        <v>8394.000005</v>
      </c>
      <c r="F277" s="75">
        <v>31529.0</v>
      </c>
      <c r="G277" s="76">
        <v>82.4510768</v>
      </c>
      <c r="H277" s="75">
        <f t="shared" si="2"/>
        <v>5532.999996</v>
      </c>
    </row>
    <row r="278">
      <c r="A278" s="73">
        <v>70704.0</v>
      </c>
      <c r="B278" s="83" t="s">
        <v>362</v>
      </c>
      <c r="C278" s="75">
        <v>4763.0</v>
      </c>
      <c r="D278" s="76">
        <v>44.2368255</v>
      </c>
      <c r="E278" s="75">
        <f t="shared" si="1"/>
        <v>2656.000001</v>
      </c>
      <c r="F278" s="75">
        <v>4986.0</v>
      </c>
      <c r="G278" s="76">
        <v>57.4408343</v>
      </c>
      <c r="H278" s="75">
        <f t="shared" si="2"/>
        <v>2122.000002</v>
      </c>
    </row>
    <row r="279">
      <c r="A279" s="73">
        <v>70705.0</v>
      </c>
      <c r="B279" s="83" t="s">
        <v>363</v>
      </c>
      <c r="C279" s="75">
        <v>11852.0</v>
      </c>
      <c r="D279" s="76">
        <v>13.8288896</v>
      </c>
      <c r="E279" s="75">
        <f t="shared" si="1"/>
        <v>10213</v>
      </c>
      <c r="F279" s="75">
        <v>14167.0</v>
      </c>
      <c r="G279" s="76">
        <v>30.1828192</v>
      </c>
      <c r="H279" s="75">
        <f t="shared" si="2"/>
        <v>9891.000004</v>
      </c>
    </row>
    <row r="280">
      <c r="A280" s="73">
        <v>70706.0</v>
      </c>
      <c r="B280" s="83" t="s">
        <v>364</v>
      </c>
      <c r="C280" s="75">
        <v>32607.0</v>
      </c>
      <c r="D280" s="76">
        <v>88.3092587</v>
      </c>
      <c r="E280" s="75">
        <f t="shared" si="1"/>
        <v>3812.000016</v>
      </c>
      <c r="F280" s="75">
        <v>31301.0</v>
      </c>
      <c r="G280" s="76">
        <v>89.0610524</v>
      </c>
      <c r="H280" s="75">
        <f t="shared" si="2"/>
        <v>3423.999988</v>
      </c>
    </row>
    <row r="281">
      <c r="A281" s="73">
        <v>70707.0</v>
      </c>
      <c r="B281" s="83" t="s">
        <v>365</v>
      </c>
      <c r="C281" s="75">
        <v>4885.0</v>
      </c>
      <c r="D281" s="76">
        <v>48.8843398</v>
      </c>
      <c r="E281" s="75">
        <f t="shared" si="1"/>
        <v>2497.000001</v>
      </c>
      <c r="F281" s="75">
        <v>5245.0</v>
      </c>
      <c r="G281" s="76">
        <v>79.1992374</v>
      </c>
      <c r="H281" s="75">
        <f t="shared" si="2"/>
        <v>1090.999998</v>
      </c>
    </row>
    <row r="282">
      <c r="A282" s="73">
        <v>70801.0</v>
      </c>
      <c r="B282" s="83" t="s">
        <v>367</v>
      </c>
      <c r="C282" s="75">
        <v>16707.0</v>
      </c>
      <c r="D282" s="76">
        <v>64.9069252</v>
      </c>
      <c r="E282" s="75">
        <f t="shared" si="1"/>
        <v>5863.000007</v>
      </c>
      <c r="F282" s="75">
        <v>16728.0</v>
      </c>
      <c r="G282" s="76">
        <v>75.8249641</v>
      </c>
      <c r="H282" s="75">
        <f t="shared" si="2"/>
        <v>4044.000005</v>
      </c>
    </row>
    <row r="283">
      <c r="A283" s="73">
        <v>70802.0</v>
      </c>
      <c r="B283" s="83" t="s">
        <v>368</v>
      </c>
      <c r="C283" s="75">
        <v>2067.0</v>
      </c>
      <c r="D283" s="76">
        <v>47.7019836</v>
      </c>
      <c r="E283" s="75">
        <f t="shared" si="1"/>
        <v>1080.999999</v>
      </c>
      <c r="F283" s="75">
        <v>2350.0</v>
      </c>
      <c r="G283" s="76">
        <v>79.2765957</v>
      </c>
      <c r="H283" s="75">
        <f t="shared" si="2"/>
        <v>487.0000011</v>
      </c>
    </row>
    <row r="284">
      <c r="A284" s="73">
        <v>70803.0</v>
      </c>
      <c r="B284" s="83" t="s">
        <v>369</v>
      </c>
      <c r="C284" s="75">
        <v>2750.0</v>
      </c>
      <c r="D284" s="76">
        <v>36.1454545</v>
      </c>
      <c r="E284" s="75">
        <f t="shared" si="1"/>
        <v>1756.000001</v>
      </c>
      <c r="F284" s="75">
        <v>2746.0</v>
      </c>
      <c r="G284" s="76">
        <v>61.0342316</v>
      </c>
      <c r="H284" s="75">
        <f t="shared" si="2"/>
        <v>1070</v>
      </c>
    </row>
    <row r="285">
      <c r="A285" s="73">
        <v>70804.0</v>
      </c>
      <c r="B285" s="83" t="s">
        <v>370</v>
      </c>
      <c r="C285" s="75">
        <v>2263.0</v>
      </c>
      <c r="D285" s="76">
        <v>40.6539991</v>
      </c>
      <c r="E285" s="75">
        <f t="shared" si="1"/>
        <v>1343</v>
      </c>
      <c r="F285" s="75">
        <v>1760.0</v>
      </c>
      <c r="G285" s="76">
        <v>58.3522727</v>
      </c>
      <c r="H285" s="75">
        <f t="shared" si="2"/>
        <v>733.0000005</v>
      </c>
    </row>
    <row r="286">
      <c r="A286" s="73">
        <v>70805.0</v>
      </c>
      <c r="B286" s="83" t="s">
        <v>371</v>
      </c>
      <c r="C286" s="75">
        <v>2048.0</v>
      </c>
      <c r="D286" s="76">
        <v>31.5917969</v>
      </c>
      <c r="E286" s="75">
        <f t="shared" si="1"/>
        <v>1400.999999</v>
      </c>
      <c r="F286" s="75">
        <v>2005.0</v>
      </c>
      <c r="G286" s="76">
        <v>45.9850374</v>
      </c>
      <c r="H286" s="75">
        <f t="shared" si="2"/>
        <v>1083</v>
      </c>
    </row>
    <row r="287">
      <c r="A287" s="73">
        <v>70901.0</v>
      </c>
      <c r="B287" s="83" t="s">
        <v>373</v>
      </c>
      <c r="C287" s="75">
        <v>10206.0</v>
      </c>
      <c r="D287" s="76">
        <v>69.7138938</v>
      </c>
      <c r="E287" s="75">
        <f t="shared" si="1"/>
        <v>3090.999999</v>
      </c>
      <c r="F287" s="75">
        <v>11390.0</v>
      </c>
      <c r="G287" s="76">
        <v>83.3362599</v>
      </c>
      <c r="H287" s="75">
        <f t="shared" si="2"/>
        <v>1897.999997</v>
      </c>
    </row>
    <row r="288">
      <c r="A288" s="73">
        <v>70902.0</v>
      </c>
      <c r="B288" s="83" t="s">
        <v>374</v>
      </c>
      <c r="C288" s="75">
        <v>9011.0</v>
      </c>
      <c r="D288" s="76">
        <v>73.8652758</v>
      </c>
      <c r="E288" s="75">
        <f t="shared" si="1"/>
        <v>2354.999998</v>
      </c>
      <c r="F288" s="75">
        <v>9524.0</v>
      </c>
      <c r="G288" s="76">
        <v>84.7333053</v>
      </c>
      <c r="H288" s="75">
        <f t="shared" si="2"/>
        <v>1454.000003</v>
      </c>
    </row>
    <row r="289">
      <c r="A289" s="73">
        <v>70903.0</v>
      </c>
      <c r="B289" s="83" t="s">
        <v>375</v>
      </c>
      <c r="C289" s="75">
        <v>9938.0</v>
      </c>
      <c r="D289" s="76">
        <v>87.1704568</v>
      </c>
      <c r="E289" s="75">
        <f t="shared" si="1"/>
        <v>1275.000003</v>
      </c>
      <c r="F289" s="75">
        <v>12517.0</v>
      </c>
      <c r="G289" s="76">
        <v>86.7140689</v>
      </c>
      <c r="H289" s="75">
        <f t="shared" si="2"/>
        <v>1662.999996</v>
      </c>
    </row>
    <row r="290">
      <c r="A290" s="73">
        <v>70904.0</v>
      </c>
      <c r="B290" s="83" t="s">
        <v>376</v>
      </c>
      <c r="C290" s="75">
        <v>2900.0</v>
      </c>
      <c r="D290" s="76">
        <v>59.6206897</v>
      </c>
      <c r="E290" s="75">
        <f t="shared" si="1"/>
        <v>1170.999999</v>
      </c>
      <c r="F290" s="75">
        <v>3041.0</v>
      </c>
      <c r="G290" s="76">
        <v>73.0351858</v>
      </c>
      <c r="H290" s="75">
        <f t="shared" si="2"/>
        <v>819.9999998</v>
      </c>
    </row>
    <row r="291">
      <c r="A291" s="73">
        <v>71001.0</v>
      </c>
      <c r="B291" s="83" t="s">
        <v>378</v>
      </c>
      <c r="C291" s="75">
        <v>106092.0</v>
      </c>
      <c r="D291" s="76">
        <v>96.1872714</v>
      </c>
      <c r="E291" s="75">
        <f t="shared" si="1"/>
        <v>4045.000026</v>
      </c>
      <c r="F291" s="75">
        <v>121655.0</v>
      </c>
      <c r="G291" s="76">
        <v>98.8311208</v>
      </c>
      <c r="H291" s="75">
        <f t="shared" si="2"/>
        <v>1421.999991</v>
      </c>
    </row>
    <row r="292">
      <c r="A292" s="73">
        <v>71002.0</v>
      </c>
      <c r="B292" s="83" t="s">
        <v>379</v>
      </c>
      <c r="C292" s="75">
        <v>13841.0</v>
      </c>
      <c r="D292" s="76">
        <v>71.6855719</v>
      </c>
      <c r="E292" s="75">
        <f t="shared" si="1"/>
        <v>3918.999993</v>
      </c>
      <c r="F292" s="75">
        <v>16359.0</v>
      </c>
      <c r="G292" s="76">
        <v>88.8807384</v>
      </c>
      <c r="H292" s="75">
        <f t="shared" si="2"/>
        <v>1819.000005</v>
      </c>
    </row>
    <row r="293">
      <c r="A293" s="73">
        <v>71003.0</v>
      </c>
      <c r="B293" s="83" t="s">
        <v>380</v>
      </c>
      <c r="C293" s="75">
        <v>22744.0</v>
      </c>
      <c r="D293" s="76">
        <v>84.3387267</v>
      </c>
      <c r="E293" s="75">
        <f t="shared" si="1"/>
        <v>3561.999999</v>
      </c>
      <c r="F293" s="75">
        <v>22767.0</v>
      </c>
      <c r="G293" s="76">
        <v>94.4612817</v>
      </c>
      <c r="H293" s="75">
        <f t="shared" si="2"/>
        <v>1260.999995</v>
      </c>
    </row>
    <row r="294">
      <c r="A294" s="73">
        <v>71004.0</v>
      </c>
      <c r="B294" s="83" t="s">
        <v>381</v>
      </c>
      <c r="C294" s="75">
        <v>13703.0</v>
      </c>
      <c r="D294" s="76">
        <v>82.9599358</v>
      </c>
      <c r="E294" s="75">
        <f t="shared" si="1"/>
        <v>2334.999997</v>
      </c>
      <c r="F294" s="75">
        <v>12614.0</v>
      </c>
      <c r="G294" s="76">
        <v>95.4336452</v>
      </c>
      <c r="H294" s="75">
        <f t="shared" si="2"/>
        <v>575.9999945</v>
      </c>
    </row>
    <row r="295">
      <c r="A295" s="73">
        <v>71005.0</v>
      </c>
      <c r="B295" s="83" t="s">
        <v>280</v>
      </c>
      <c r="C295" s="75">
        <v>15806.0</v>
      </c>
      <c r="D295" s="76">
        <v>84.8791598</v>
      </c>
      <c r="E295" s="75">
        <f t="shared" si="1"/>
        <v>2390.000002</v>
      </c>
      <c r="F295" s="75">
        <v>13156.0</v>
      </c>
      <c r="G295" s="76">
        <v>96.1614472</v>
      </c>
      <c r="H295" s="75">
        <f t="shared" si="2"/>
        <v>505.0000064</v>
      </c>
    </row>
    <row r="296">
      <c r="A296" s="73">
        <v>71101.0</v>
      </c>
      <c r="B296" s="83" t="s">
        <v>383</v>
      </c>
      <c r="C296" s="75">
        <v>18331.0</v>
      </c>
      <c r="D296" s="76">
        <v>38.2303202</v>
      </c>
      <c r="E296" s="75">
        <f t="shared" si="1"/>
        <v>11323</v>
      </c>
      <c r="F296" s="75">
        <v>29326.0</v>
      </c>
      <c r="G296" s="76">
        <v>53.0484894</v>
      </c>
      <c r="H296" s="75">
        <f t="shared" si="2"/>
        <v>13769</v>
      </c>
    </row>
    <row r="297">
      <c r="A297" s="73">
        <v>71102.0</v>
      </c>
      <c r="B297" s="83" t="s">
        <v>384</v>
      </c>
      <c r="C297" s="75">
        <v>13266.0</v>
      </c>
      <c r="D297" s="76">
        <v>53.9122569</v>
      </c>
      <c r="E297" s="75">
        <f t="shared" si="1"/>
        <v>6114</v>
      </c>
      <c r="F297" s="75">
        <v>14205.0</v>
      </c>
      <c r="G297" s="76">
        <v>74.4667371</v>
      </c>
      <c r="H297" s="75">
        <f t="shared" si="2"/>
        <v>3626.999995</v>
      </c>
    </row>
    <row r="298">
      <c r="A298" s="73">
        <v>71103.0</v>
      </c>
      <c r="B298" s="83" t="s">
        <v>387</v>
      </c>
      <c r="C298" s="75">
        <v>6887.0</v>
      </c>
      <c r="D298" s="76">
        <v>76.6516626</v>
      </c>
      <c r="E298" s="75">
        <f t="shared" si="1"/>
        <v>1607.999997</v>
      </c>
      <c r="F298" s="75">
        <v>8311.0</v>
      </c>
      <c r="G298" s="76">
        <v>85.838046</v>
      </c>
      <c r="H298" s="75">
        <f t="shared" si="2"/>
        <v>1176.999997</v>
      </c>
    </row>
    <row r="299">
      <c r="A299" s="73">
        <v>71104.0</v>
      </c>
      <c r="B299" s="83" t="s">
        <v>385</v>
      </c>
      <c r="C299" s="75">
        <v>45889.0</v>
      </c>
      <c r="D299" s="76">
        <v>60.2257622</v>
      </c>
      <c r="E299" s="75">
        <f t="shared" si="1"/>
        <v>18251.99998</v>
      </c>
      <c r="F299" s="75">
        <v>42102.0</v>
      </c>
      <c r="G299" s="76">
        <v>88.2095862</v>
      </c>
      <c r="H299" s="75">
        <f t="shared" si="2"/>
        <v>4964.000018</v>
      </c>
    </row>
    <row r="300">
      <c r="A300" s="73">
        <v>71105.0</v>
      </c>
      <c r="B300" s="83" t="s">
        <v>386</v>
      </c>
      <c r="C300" s="75">
        <v>6446.0</v>
      </c>
      <c r="D300" s="76">
        <v>14.6447409</v>
      </c>
      <c r="E300" s="75">
        <f t="shared" si="1"/>
        <v>5502.000002</v>
      </c>
      <c r="F300" s="75">
        <v>6265.0</v>
      </c>
      <c r="G300" s="76">
        <v>26.7677574</v>
      </c>
      <c r="H300" s="75">
        <f t="shared" si="2"/>
        <v>4587.999999</v>
      </c>
    </row>
    <row r="301">
      <c r="A301" s="73">
        <v>71106.0</v>
      </c>
      <c r="B301" s="83" t="s">
        <v>388</v>
      </c>
      <c r="C301" s="75">
        <v>21240.0</v>
      </c>
      <c r="D301" s="76">
        <v>86.0640301</v>
      </c>
      <c r="E301" s="75">
        <f t="shared" si="1"/>
        <v>2960.000007</v>
      </c>
      <c r="F301" s="75">
        <v>23769.0</v>
      </c>
      <c r="G301" s="76">
        <v>95.8559468</v>
      </c>
      <c r="H301" s="75">
        <f t="shared" si="2"/>
        <v>985.0000051</v>
      </c>
    </row>
    <row r="302">
      <c r="A302" s="73">
        <v>71201.0</v>
      </c>
      <c r="B302" s="83" t="s">
        <v>390</v>
      </c>
      <c r="C302" s="75">
        <v>14000.0</v>
      </c>
      <c r="D302" s="76">
        <v>48.65</v>
      </c>
      <c r="E302" s="75">
        <f t="shared" si="1"/>
        <v>7189</v>
      </c>
      <c r="F302" s="75">
        <v>14782.0</v>
      </c>
      <c r="G302" s="76">
        <v>69.8214044</v>
      </c>
      <c r="H302" s="75">
        <f t="shared" si="2"/>
        <v>4461.000002</v>
      </c>
    </row>
    <row r="303">
      <c r="A303" s="73">
        <v>71301.0</v>
      </c>
      <c r="B303" s="83" t="s">
        <v>392</v>
      </c>
      <c r="C303" s="75">
        <v>15641.0</v>
      </c>
      <c r="D303" s="76">
        <v>64.7784668</v>
      </c>
      <c r="E303" s="75">
        <f t="shared" si="1"/>
        <v>5509.000008</v>
      </c>
      <c r="F303" s="75">
        <v>16865.0</v>
      </c>
      <c r="G303" s="76">
        <v>82.8817077</v>
      </c>
      <c r="H303" s="75">
        <f t="shared" si="2"/>
        <v>2886.999996</v>
      </c>
    </row>
    <row r="304">
      <c r="A304" s="73">
        <v>71302.0</v>
      </c>
      <c r="B304" s="83" t="s">
        <v>393</v>
      </c>
      <c r="C304" s="75">
        <v>6964.0</v>
      </c>
      <c r="D304" s="76">
        <v>77.1252154</v>
      </c>
      <c r="E304" s="75">
        <f t="shared" si="1"/>
        <v>1593</v>
      </c>
      <c r="F304" s="75">
        <v>5895.0</v>
      </c>
      <c r="G304" s="76">
        <v>89.0415606</v>
      </c>
      <c r="H304" s="75">
        <f t="shared" si="2"/>
        <v>646.0000026</v>
      </c>
    </row>
    <row r="305">
      <c r="A305" s="73">
        <v>71401.0</v>
      </c>
      <c r="B305" s="83" t="s">
        <v>395</v>
      </c>
      <c r="C305" s="75">
        <v>18305.0</v>
      </c>
      <c r="D305" s="76">
        <v>78.9838842</v>
      </c>
      <c r="E305" s="75">
        <f t="shared" si="1"/>
        <v>3846.999997</v>
      </c>
      <c r="F305" s="75">
        <v>16129.0</v>
      </c>
      <c r="G305" s="76">
        <v>91.016182</v>
      </c>
      <c r="H305" s="75">
        <f t="shared" si="2"/>
        <v>1449.000005</v>
      </c>
    </row>
    <row r="306">
      <c r="A306" s="73">
        <v>71402.0</v>
      </c>
      <c r="B306" s="83" t="s">
        <v>396</v>
      </c>
      <c r="C306" s="75">
        <v>15537.0</v>
      </c>
      <c r="D306" s="76">
        <v>91.4204801</v>
      </c>
      <c r="E306" s="75">
        <f t="shared" si="1"/>
        <v>1333.000007</v>
      </c>
      <c r="F306" s="75">
        <v>16963.0</v>
      </c>
      <c r="G306" s="76">
        <v>96.8401816</v>
      </c>
      <c r="H306" s="75">
        <f t="shared" si="2"/>
        <v>535.9999952</v>
      </c>
    </row>
    <row r="307">
      <c r="A307" s="73">
        <v>71403.0</v>
      </c>
      <c r="B307" s="83" t="s">
        <v>397</v>
      </c>
      <c r="C307" s="75">
        <v>6054.0</v>
      </c>
      <c r="D307" s="76">
        <v>20.0528576</v>
      </c>
      <c r="E307" s="75">
        <f t="shared" si="1"/>
        <v>4840.000001</v>
      </c>
      <c r="F307" s="75">
        <v>8466.0</v>
      </c>
      <c r="G307" s="76">
        <v>62.0245689</v>
      </c>
      <c r="H307" s="75">
        <f t="shared" si="2"/>
        <v>3214.999997</v>
      </c>
    </row>
    <row r="308">
      <c r="A308" s="73">
        <v>71501.0</v>
      </c>
      <c r="B308" s="83" t="s">
        <v>399</v>
      </c>
      <c r="C308" s="75">
        <v>25937.0</v>
      </c>
      <c r="D308" s="76">
        <v>61.9423989</v>
      </c>
      <c r="E308" s="75">
        <f t="shared" si="1"/>
        <v>9870.999997</v>
      </c>
      <c r="F308" s="75">
        <v>33430.0</v>
      </c>
      <c r="G308" s="76">
        <v>70.8854322</v>
      </c>
      <c r="H308" s="75">
        <f t="shared" si="2"/>
        <v>9733.000016</v>
      </c>
    </row>
    <row r="309">
      <c r="A309" s="73">
        <v>71502.0</v>
      </c>
      <c r="B309" s="83" t="s">
        <v>400</v>
      </c>
      <c r="C309" s="75">
        <v>6782.0</v>
      </c>
      <c r="D309" s="76">
        <v>35.3435565</v>
      </c>
      <c r="E309" s="75">
        <f t="shared" si="1"/>
        <v>4384.999998</v>
      </c>
      <c r="F309" s="75">
        <v>6369.0</v>
      </c>
      <c r="G309" s="76">
        <v>51.1383263</v>
      </c>
      <c r="H309" s="75">
        <f t="shared" si="2"/>
        <v>3111.999998</v>
      </c>
    </row>
    <row r="310">
      <c r="A310" s="73">
        <v>71503.0</v>
      </c>
      <c r="B310" s="83" t="s">
        <v>330</v>
      </c>
      <c r="C310" s="75">
        <v>13833.0</v>
      </c>
      <c r="D310" s="76">
        <v>38.0973035</v>
      </c>
      <c r="E310" s="75">
        <f t="shared" si="1"/>
        <v>8563.000007</v>
      </c>
      <c r="F310" s="75">
        <v>16739.0</v>
      </c>
      <c r="G310" s="76">
        <v>59.5316327</v>
      </c>
      <c r="H310" s="75">
        <f t="shared" si="2"/>
        <v>6774.000002</v>
      </c>
    </row>
    <row r="311">
      <c r="A311" s="73">
        <v>80101.0</v>
      </c>
      <c r="B311" s="83" t="s">
        <v>402</v>
      </c>
      <c r="C311" s="75">
        <v>100502.0</v>
      </c>
      <c r="D311" s="76">
        <v>93.926489</v>
      </c>
      <c r="E311" s="75">
        <f t="shared" si="1"/>
        <v>6104.000025</v>
      </c>
      <c r="F311" s="75">
        <v>122081.0</v>
      </c>
      <c r="G311" s="76">
        <v>97.3951721</v>
      </c>
      <c r="H311" s="75">
        <f t="shared" si="2"/>
        <v>3179.999949</v>
      </c>
    </row>
    <row r="312">
      <c r="A312" s="73">
        <v>80102.0</v>
      </c>
      <c r="B312" s="83" t="s">
        <v>384</v>
      </c>
      <c r="C312" s="75">
        <v>5202.0</v>
      </c>
      <c r="D312" s="76">
        <v>27.9123414</v>
      </c>
      <c r="E312" s="75">
        <f t="shared" si="1"/>
        <v>3750</v>
      </c>
      <c r="F312" s="75">
        <v>7737.0</v>
      </c>
      <c r="G312" s="76">
        <v>46.8527853</v>
      </c>
      <c r="H312" s="75">
        <f t="shared" si="2"/>
        <v>4112.000001</v>
      </c>
    </row>
    <row r="313">
      <c r="A313" s="73">
        <v>80201.0</v>
      </c>
      <c r="B313" s="83" t="s">
        <v>404</v>
      </c>
      <c r="C313" s="75">
        <v>86123.0</v>
      </c>
      <c r="D313" s="76">
        <v>69.2358603</v>
      </c>
      <c r="E313" s="75">
        <f t="shared" si="1"/>
        <v>26495.00003</v>
      </c>
      <c r="F313" s="75">
        <v>106974.0</v>
      </c>
      <c r="G313" s="76">
        <v>84.8365023</v>
      </c>
      <c r="H313" s="75">
        <f t="shared" si="2"/>
        <v>16221.00003</v>
      </c>
    </row>
    <row r="314">
      <c r="A314" s="73">
        <v>80202.0</v>
      </c>
      <c r="B314" s="83" t="s">
        <v>405</v>
      </c>
      <c r="C314" s="75">
        <v>39762.0</v>
      </c>
      <c r="D314" s="76">
        <v>79.5432825</v>
      </c>
      <c r="E314" s="75">
        <f t="shared" si="1"/>
        <v>8134.000012</v>
      </c>
      <c r="F314" s="75">
        <v>39772.0</v>
      </c>
      <c r="G314" s="76">
        <v>86.7067284</v>
      </c>
      <c r="H314" s="75">
        <f t="shared" si="2"/>
        <v>5286.999981</v>
      </c>
    </row>
    <row r="315">
      <c r="A315" s="73">
        <v>80301.0</v>
      </c>
      <c r="B315" s="83" t="s">
        <v>407</v>
      </c>
      <c r="C315" s="75">
        <v>12829.0</v>
      </c>
      <c r="D315" s="76">
        <v>38.1167667</v>
      </c>
      <c r="E315" s="75">
        <f t="shared" si="1"/>
        <v>7939</v>
      </c>
      <c r="F315" s="75">
        <v>11171.0</v>
      </c>
      <c r="G315" s="76">
        <v>56.7182884</v>
      </c>
      <c r="H315" s="75">
        <f t="shared" si="2"/>
        <v>4835.000003</v>
      </c>
    </row>
    <row r="316">
      <c r="A316" s="73">
        <v>80302.0</v>
      </c>
      <c r="B316" s="83" t="s">
        <v>408</v>
      </c>
      <c r="C316" s="75">
        <v>39630.0</v>
      </c>
      <c r="D316" s="76">
        <v>45.8188241</v>
      </c>
      <c r="E316" s="75">
        <f t="shared" si="1"/>
        <v>21472.00001</v>
      </c>
      <c r="F316" s="75">
        <v>44951.0</v>
      </c>
      <c r="G316" s="76">
        <v>50.3303597</v>
      </c>
      <c r="H316" s="75">
        <f t="shared" si="2"/>
        <v>22327.00001</v>
      </c>
    </row>
    <row r="317">
      <c r="A317" s="73">
        <v>80303.0</v>
      </c>
      <c r="B317" s="83" t="s">
        <v>356</v>
      </c>
      <c r="C317" s="75">
        <v>9200.0</v>
      </c>
      <c r="D317" s="76">
        <v>42.9456522</v>
      </c>
      <c r="E317" s="75">
        <f t="shared" si="1"/>
        <v>5248.999998</v>
      </c>
      <c r="F317" s="75">
        <v>10818.0</v>
      </c>
      <c r="G317" s="76">
        <v>65.8532076</v>
      </c>
      <c r="H317" s="75">
        <f t="shared" si="2"/>
        <v>3694.000002</v>
      </c>
    </row>
    <row r="318">
      <c r="A318" s="73">
        <v>80304.0</v>
      </c>
      <c r="B318" s="83" t="s">
        <v>409</v>
      </c>
      <c r="C318" s="75">
        <v>17969.0</v>
      </c>
      <c r="D318" s="76">
        <v>64.0881518</v>
      </c>
      <c r="E318" s="75">
        <f t="shared" si="1"/>
        <v>6453.000003</v>
      </c>
      <c r="F318" s="75">
        <v>20213.0</v>
      </c>
      <c r="G318" s="76">
        <v>73.111364</v>
      </c>
      <c r="H318" s="75">
        <f t="shared" si="2"/>
        <v>5434.999995</v>
      </c>
    </row>
    <row r="319">
      <c r="A319" s="73">
        <v>80401.0</v>
      </c>
      <c r="B319" s="83" t="s">
        <v>411</v>
      </c>
      <c r="C319" s="75">
        <v>16415.0</v>
      </c>
      <c r="D319" s="76">
        <v>62.1626561</v>
      </c>
      <c r="E319" s="75">
        <f t="shared" si="1"/>
        <v>6211.000001</v>
      </c>
      <c r="F319" s="75">
        <v>17711.0</v>
      </c>
      <c r="G319" s="76">
        <v>73.0450003</v>
      </c>
      <c r="H319" s="75">
        <f t="shared" si="2"/>
        <v>4773.999997</v>
      </c>
    </row>
    <row r="320">
      <c r="A320" s="73">
        <v>80402.0</v>
      </c>
      <c r="B320" s="83" t="s">
        <v>412</v>
      </c>
      <c r="C320" s="75">
        <v>5981.0</v>
      </c>
      <c r="D320" s="76">
        <v>9.3629828</v>
      </c>
      <c r="E320" s="75">
        <f t="shared" si="1"/>
        <v>5420.999999</v>
      </c>
      <c r="F320" s="75">
        <v>7742.0</v>
      </c>
      <c r="G320" s="76">
        <v>29.5401705</v>
      </c>
      <c r="H320" s="75">
        <f t="shared" si="2"/>
        <v>5455</v>
      </c>
    </row>
    <row r="321">
      <c r="A321" s="73">
        <v>80501.0</v>
      </c>
      <c r="B321" s="83" t="s">
        <v>342</v>
      </c>
      <c r="C321" s="75">
        <v>18553.0</v>
      </c>
      <c r="D321" s="76">
        <v>38.3064733</v>
      </c>
      <c r="E321" s="75">
        <f t="shared" si="1"/>
        <v>11446.00001</v>
      </c>
      <c r="F321" s="75">
        <v>20956.0</v>
      </c>
      <c r="G321" s="76">
        <v>55.1059362</v>
      </c>
      <c r="H321" s="75">
        <f t="shared" si="2"/>
        <v>9408.00001</v>
      </c>
    </row>
    <row r="322">
      <c r="A322" s="73">
        <v>80601.0</v>
      </c>
      <c r="B322" s="83" t="s">
        <v>415</v>
      </c>
      <c r="C322" s="75">
        <v>3706.0</v>
      </c>
      <c r="D322" s="76">
        <v>14.2201835</v>
      </c>
      <c r="E322" s="75">
        <f t="shared" si="1"/>
        <v>3178.999999</v>
      </c>
      <c r="F322" s="75">
        <v>4217.0</v>
      </c>
      <c r="G322" s="76">
        <v>36.376571</v>
      </c>
      <c r="H322" s="75">
        <f t="shared" si="2"/>
        <v>2683.000001</v>
      </c>
    </row>
    <row r="323">
      <c r="A323" s="73">
        <v>80602.0</v>
      </c>
      <c r="B323" s="83" t="s">
        <v>416</v>
      </c>
      <c r="C323" s="75">
        <v>11732.0</v>
      </c>
      <c r="D323" s="76">
        <v>28.8441868</v>
      </c>
      <c r="E323" s="75">
        <f t="shared" si="1"/>
        <v>8348.000005</v>
      </c>
      <c r="F323" s="75">
        <v>14864.0</v>
      </c>
      <c r="G323" s="76">
        <v>47.6655005</v>
      </c>
      <c r="H323" s="75">
        <f t="shared" si="2"/>
        <v>7779.000006</v>
      </c>
    </row>
    <row r="324">
      <c r="A324" s="73">
        <v>80701.0</v>
      </c>
      <c r="B324" s="83" t="s">
        <v>418</v>
      </c>
      <c r="C324" s="75">
        <v>6490.0</v>
      </c>
      <c r="D324" s="76">
        <v>45.96302</v>
      </c>
      <c r="E324" s="75">
        <f t="shared" si="1"/>
        <v>3507.000002</v>
      </c>
      <c r="F324" s="75">
        <v>6201.0</v>
      </c>
      <c r="G324" s="76">
        <v>75.8748589</v>
      </c>
      <c r="H324" s="75">
        <f t="shared" si="2"/>
        <v>1496</v>
      </c>
    </row>
    <row r="325">
      <c r="A325" s="73">
        <v>80702.0</v>
      </c>
      <c r="B325" s="83" t="s">
        <v>387</v>
      </c>
      <c r="C325" s="75">
        <v>4704.0</v>
      </c>
      <c r="D325" s="76">
        <v>41.8792517</v>
      </c>
      <c r="E325" s="75">
        <f t="shared" si="1"/>
        <v>2734</v>
      </c>
      <c r="F325" s="75">
        <v>5324.0</v>
      </c>
      <c r="G325" s="76">
        <v>65.5709992</v>
      </c>
      <c r="H325" s="75">
        <f t="shared" si="2"/>
        <v>1833.000003</v>
      </c>
    </row>
    <row r="326">
      <c r="A326" s="73">
        <v>80703.0</v>
      </c>
      <c r="B326" s="83" t="s">
        <v>419</v>
      </c>
      <c r="C326" s="75">
        <v>832.0</v>
      </c>
      <c r="D326" s="76">
        <v>15.7451923</v>
      </c>
      <c r="E326" s="75">
        <f t="shared" si="1"/>
        <v>701.0000001</v>
      </c>
      <c r="F326" s="75">
        <v>1051.0</v>
      </c>
      <c r="G326" s="76">
        <v>66.603235</v>
      </c>
      <c r="H326" s="75">
        <f t="shared" si="2"/>
        <v>351.0000002</v>
      </c>
    </row>
    <row r="327">
      <c r="A327" s="73">
        <v>80801.0</v>
      </c>
      <c r="B327" s="83" t="s">
        <v>421</v>
      </c>
      <c r="C327" s="75">
        <v>10967.0</v>
      </c>
      <c r="D327" s="76">
        <v>43.5488283</v>
      </c>
      <c r="E327" s="75">
        <f t="shared" si="1"/>
        <v>6191</v>
      </c>
      <c r="F327" s="75">
        <v>12465.0</v>
      </c>
      <c r="G327" s="76">
        <v>65.5274769</v>
      </c>
      <c r="H327" s="75">
        <f t="shared" si="2"/>
        <v>4297.000004</v>
      </c>
    </row>
    <row r="328">
      <c r="A328" s="73">
        <v>80802.0</v>
      </c>
      <c r="B328" s="83" t="s">
        <v>422</v>
      </c>
      <c r="C328" s="75">
        <v>5439.0</v>
      </c>
      <c r="D328" s="76">
        <v>36.109579</v>
      </c>
      <c r="E328" s="75">
        <f t="shared" si="1"/>
        <v>3474.999998</v>
      </c>
      <c r="F328" s="75">
        <v>7084.0</v>
      </c>
      <c r="G328" s="76">
        <v>51.2987013</v>
      </c>
      <c r="H328" s="75">
        <f t="shared" si="2"/>
        <v>3450</v>
      </c>
    </row>
    <row r="329">
      <c r="A329" s="73">
        <v>80803.0</v>
      </c>
      <c r="B329" s="83" t="s">
        <v>423</v>
      </c>
      <c r="C329" s="75">
        <v>3983.0</v>
      </c>
      <c r="D329" s="76">
        <v>26.7637459</v>
      </c>
      <c r="E329" s="75">
        <f t="shared" si="1"/>
        <v>2917.000001</v>
      </c>
      <c r="F329" s="75">
        <v>4563.0</v>
      </c>
      <c r="G329" s="76">
        <v>58.2073197</v>
      </c>
      <c r="H329" s="75">
        <f t="shared" si="2"/>
        <v>1907.000002</v>
      </c>
    </row>
    <row r="330">
      <c r="A330" s="73">
        <v>80901.0</v>
      </c>
      <c r="B330" s="83" t="s">
        <v>425</v>
      </c>
      <c r="C330" s="75">
        <v>3122.0</v>
      </c>
      <c r="D330" s="76">
        <v>1.7296605</v>
      </c>
      <c r="E330" s="75">
        <f t="shared" si="1"/>
        <v>3067.999999</v>
      </c>
      <c r="F330" s="75">
        <v>3939.0</v>
      </c>
      <c r="G330" s="76">
        <v>9.0886012</v>
      </c>
      <c r="H330" s="75">
        <f t="shared" si="2"/>
        <v>3580.999999</v>
      </c>
    </row>
    <row r="331">
      <c r="A331" s="73">
        <v>90101.0</v>
      </c>
      <c r="B331" s="83" t="s">
        <v>428</v>
      </c>
      <c r="C331" s="75">
        <v>42341.0</v>
      </c>
      <c r="D331" s="76">
        <v>94.3648001</v>
      </c>
      <c r="E331" s="75">
        <f t="shared" si="1"/>
        <v>2385.99999</v>
      </c>
      <c r="F331" s="75">
        <v>51248.0</v>
      </c>
      <c r="G331" s="76">
        <v>98.3784733</v>
      </c>
      <c r="H331" s="75">
        <f t="shared" si="2"/>
        <v>831.0000032</v>
      </c>
    </row>
    <row r="332">
      <c r="A332" s="73">
        <v>90102.0</v>
      </c>
      <c r="B332" s="83" t="s">
        <v>429</v>
      </c>
      <c r="C332" s="75">
        <v>7525.0</v>
      </c>
      <c r="D332" s="76">
        <v>69.3820598</v>
      </c>
      <c r="E332" s="75">
        <f t="shared" si="1"/>
        <v>2304</v>
      </c>
      <c r="F332" s="75">
        <v>8998.0</v>
      </c>
      <c r="G332" s="76">
        <v>90.6868193</v>
      </c>
      <c r="H332" s="75">
        <f t="shared" si="2"/>
        <v>837.9999994</v>
      </c>
    </row>
    <row r="333">
      <c r="A333" s="73">
        <v>90103.0</v>
      </c>
      <c r="B333" s="83" t="s">
        <v>430</v>
      </c>
      <c r="C333" s="75">
        <v>2055.0</v>
      </c>
      <c r="D333" s="76">
        <v>22.4817518</v>
      </c>
      <c r="E333" s="75">
        <f t="shared" si="1"/>
        <v>1593.000001</v>
      </c>
      <c r="F333" s="75">
        <v>2324.0</v>
      </c>
      <c r="G333" s="76">
        <v>59.595525</v>
      </c>
      <c r="H333" s="75">
        <f t="shared" si="2"/>
        <v>938.999999</v>
      </c>
    </row>
    <row r="334">
      <c r="A334" s="73">
        <v>90104.0</v>
      </c>
      <c r="B334" s="83" t="s">
        <v>431</v>
      </c>
      <c r="C334" s="75">
        <v>3523.0</v>
      </c>
      <c r="D334" s="76">
        <v>44.6210616</v>
      </c>
      <c r="E334" s="75">
        <f t="shared" si="1"/>
        <v>1951</v>
      </c>
      <c r="F334" s="75">
        <v>3402.0</v>
      </c>
      <c r="G334" s="76">
        <v>74.191652</v>
      </c>
      <c r="H334" s="75">
        <f t="shared" si="2"/>
        <v>877.999999</v>
      </c>
    </row>
    <row r="335">
      <c r="A335" s="73">
        <v>90201.0</v>
      </c>
      <c r="B335" s="83" t="s">
        <v>433</v>
      </c>
      <c r="C335" s="75">
        <v>5584.0</v>
      </c>
      <c r="D335" s="76">
        <v>48.3345272</v>
      </c>
      <c r="E335" s="75">
        <f t="shared" si="1"/>
        <v>2885.000001</v>
      </c>
      <c r="F335" s="75">
        <v>6803.0</v>
      </c>
      <c r="G335" s="76">
        <v>78.2007938</v>
      </c>
      <c r="H335" s="75">
        <f t="shared" si="2"/>
        <v>1482.999998</v>
      </c>
    </row>
    <row r="336">
      <c r="A336" s="73">
        <v>90202.0</v>
      </c>
      <c r="B336" s="83" t="s">
        <v>280</v>
      </c>
      <c r="C336" s="75">
        <v>2974.0</v>
      </c>
      <c r="D336" s="76">
        <v>4.0685945</v>
      </c>
      <c r="E336" s="75">
        <f t="shared" si="1"/>
        <v>2853</v>
      </c>
      <c r="F336" s="75">
        <v>3245.0</v>
      </c>
      <c r="G336" s="76">
        <v>11.0015408</v>
      </c>
      <c r="H336" s="75">
        <f t="shared" si="2"/>
        <v>2888.000001</v>
      </c>
    </row>
    <row r="337">
      <c r="A337" s="73">
        <v>90203.0</v>
      </c>
      <c r="B337" s="83" t="s">
        <v>434</v>
      </c>
      <c r="C337" s="75">
        <v>5492.0</v>
      </c>
      <c r="D337" s="76">
        <v>21.4857975</v>
      </c>
      <c r="E337" s="75">
        <f t="shared" si="1"/>
        <v>4312.000001</v>
      </c>
      <c r="F337" s="75">
        <v>7936.0</v>
      </c>
      <c r="G337" s="76">
        <v>78.5408266</v>
      </c>
      <c r="H337" s="75">
        <f t="shared" si="2"/>
        <v>1703.000001</v>
      </c>
    </row>
    <row r="338">
      <c r="A338" s="73">
        <v>90301.0</v>
      </c>
      <c r="B338" s="83" t="s">
        <v>436</v>
      </c>
      <c r="C338" s="75">
        <v>7516.0</v>
      </c>
      <c r="D338" s="76">
        <v>14.3826503</v>
      </c>
      <c r="E338" s="75">
        <f t="shared" si="1"/>
        <v>6435.000003</v>
      </c>
      <c r="F338" s="75">
        <v>11675.0</v>
      </c>
      <c r="G338" s="76">
        <v>49.2933619</v>
      </c>
      <c r="H338" s="75">
        <f t="shared" si="2"/>
        <v>5919.999998</v>
      </c>
    </row>
    <row r="339">
      <c r="A339" s="73">
        <v>90302.0</v>
      </c>
      <c r="B339" s="83" t="s">
        <v>329</v>
      </c>
      <c r="C339" s="75">
        <v>7030.0</v>
      </c>
      <c r="D339" s="76">
        <v>13.3854908</v>
      </c>
      <c r="E339" s="75">
        <f t="shared" si="1"/>
        <v>6088.999997</v>
      </c>
      <c r="F339" s="75">
        <v>9498.0</v>
      </c>
      <c r="G339" s="76">
        <v>56.0960202</v>
      </c>
      <c r="H339" s="75">
        <f t="shared" si="2"/>
        <v>4170.000001</v>
      </c>
    </row>
    <row r="340">
      <c r="A340" s="73">
        <v>90303.0</v>
      </c>
      <c r="B340" s="83" t="s">
        <v>437</v>
      </c>
      <c r="C340" s="75">
        <v>8103.0</v>
      </c>
      <c r="D340" s="76">
        <v>15.845983</v>
      </c>
      <c r="E340" s="75">
        <f t="shared" si="1"/>
        <v>6818.999998</v>
      </c>
      <c r="F340" s="75">
        <v>10165.0</v>
      </c>
      <c r="G340" s="76">
        <v>55.8386621</v>
      </c>
      <c r="H340" s="75">
        <f t="shared" si="2"/>
        <v>4488.999998</v>
      </c>
    </row>
    <row r="341">
      <c r="A341" s="73">
        <v>90401.0</v>
      </c>
      <c r="B341" s="83" t="s">
        <v>356</v>
      </c>
      <c r="C341" s="75">
        <v>2168.0</v>
      </c>
      <c r="D341" s="76">
        <v>23.9852399</v>
      </c>
      <c r="E341" s="75">
        <f t="shared" si="1"/>
        <v>1647.999999</v>
      </c>
      <c r="F341" s="75">
        <v>2820.0</v>
      </c>
      <c r="G341" s="76">
        <v>74.1489362</v>
      </c>
      <c r="H341" s="75">
        <f t="shared" si="2"/>
        <v>728.9999992</v>
      </c>
    </row>
    <row r="342">
      <c r="A342" s="73">
        <v>90402.0</v>
      </c>
      <c r="B342" s="83" t="s">
        <v>99</v>
      </c>
      <c r="C342" s="75">
        <v>1594.0</v>
      </c>
      <c r="D342" s="76">
        <v>10.1003764</v>
      </c>
      <c r="E342" s="75">
        <f t="shared" si="1"/>
        <v>1433</v>
      </c>
      <c r="F342" s="75">
        <v>2535.0</v>
      </c>
      <c r="G342" s="76">
        <v>48.678501</v>
      </c>
      <c r="H342" s="75">
        <f t="shared" si="2"/>
        <v>1301</v>
      </c>
    </row>
    <row r="343">
      <c r="A343" s="73">
        <v>90501.0</v>
      </c>
      <c r="B343" s="83" t="s">
        <v>440</v>
      </c>
      <c r="C343" s="75">
        <v>1769.0</v>
      </c>
      <c r="D343" s="76">
        <v>20.2939514</v>
      </c>
      <c r="E343" s="75">
        <f t="shared" si="1"/>
        <v>1410</v>
      </c>
      <c r="F343" s="75">
        <v>1571.0</v>
      </c>
      <c r="G343" s="76">
        <v>59.3252705</v>
      </c>
      <c r="H343" s="75">
        <f t="shared" si="2"/>
        <v>639.0000004</v>
      </c>
    </row>
    <row r="344">
      <c r="A344" s="73">
        <v>90502.0</v>
      </c>
      <c r="B344" s="83" t="s">
        <v>441</v>
      </c>
      <c r="C344" s="75">
        <v>2777.0</v>
      </c>
      <c r="D344" s="76">
        <v>15.4123154</v>
      </c>
      <c r="E344" s="75">
        <f t="shared" si="1"/>
        <v>2349.000001</v>
      </c>
      <c r="F344" s="75">
        <v>2477.0</v>
      </c>
      <c r="G344" s="76">
        <v>43.2377876</v>
      </c>
      <c r="H344" s="75">
        <f t="shared" si="2"/>
        <v>1406.000001</v>
      </c>
    </row>
    <row r="345">
      <c r="A345" s="73">
        <v>90503.0</v>
      </c>
      <c r="B345" s="83" t="s">
        <v>442</v>
      </c>
      <c r="C345" s="75">
        <v>1956.0</v>
      </c>
      <c r="D345" s="76">
        <v>5.2658487</v>
      </c>
      <c r="E345" s="75">
        <f t="shared" si="1"/>
        <v>1852.999999</v>
      </c>
      <c r="F345" s="75">
        <v>2270.0</v>
      </c>
      <c r="G345" s="76">
        <v>42.5991189</v>
      </c>
      <c r="H345" s="75">
        <f t="shared" si="2"/>
        <v>1303.000001</v>
      </c>
    </row>
    <row r="346">
      <c r="A346" s="84"/>
      <c r="B346" s="85"/>
      <c r="C346" s="85"/>
      <c r="D346" s="85"/>
      <c r="E346" s="86"/>
      <c r="F346" s="85"/>
      <c r="G346" s="85"/>
      <c r="H346" s="85"/>
    </row>
    <row r="347">
      <c r="A347" s="84"/>
      <c r="B347" s="85"/>
      <c r="C347" s="85"/>
      <c r="D347" s="85"/>
      <c r="E347" s="86"/>
      <c r="F347" s="85"/>
      <c r="G347" s="85"/>
      <c r="H347" s="85"/>
    </row>
    <row r="348">
      <c r="A348" s="84"/>
      <c r="B348" s="85"/>
      <c r="C348" s="85"/>
      <c r="D348" s="85"/>
      <c r="E348" s="86"/>
      <c r="F348" s="85"/>
      <c r="G348" s="85"/>
      <c r="H348" s="85"/>
    </row>
    <row r="349">
      <c r="A349" s="84"/>
      <c r="B349" s="85"/>
      <c r="C349" s="85"/>
      <c r="D349" s="85"/>
      <c r="E349" s="86"/>
      <c r="F349" s="85"/>
      <c r="G349" s="85"/>
      <c r="H349" s="85"/>
    </row>
    <row r="350">
      <c r="A350" s="84"/>
      <c r="B350" s="85"/>
      <c r="C350" s="85"/>
      <c r="D350" s="85"/>
      <c r="E350" s="86"/>
      <c r="F350" s="85"/>
      <c r="G350" s="85"/>
      <c r="H350" s="85"/>
    </row>
    <row r="351">
      <c r="A351" s="84"/>
      <c r="B351" s="85"/>
      <c r="C351" s="85"/>
      <c r="D351" s="85"/>
      <c r="E351" s="86"/>
      <c r="F351" s="85"/>
      <c r="G351" s="85"/>
      <c r="H351" s="85"/>
    </row>
    <row r="352">
      <c r="A352" s="84"/>
      <c r="B352" s="85"/>
      <c r="C352" s="85"/>
      <c r="D352" s="85"/>
      <c r="E352" s="86"/>
      <c r="F352" s="85"/>
      <c r="G352" s="85"/>
      <c r="H352" s="85"/>
    </row>
    <row r="353">
      <c r="A353" s="84"/>
      <c r="B353" s="85"/>
      <c r="C353" s="85"/>
      <c r="D353" s="85"/>
      <c r="E353" s="86"/>
      <c r="F353" s="85"/>
      <c r="G353" s="85"/>
      <c r="H353" s="85"/>
    </row>
    <row r="354">
      <c r="A354" s="84"/>
      <c r="B354" s="85"/>
      <c r="C354" s="85"/>
      <c r="D354" s="85"/>
      <c r="E354" s="86"/>
      <c r="F354" s="85"/>
      <c r="G354" s="85"/>
      <c r="H354" s="85"/>
    </row>
    <row r="355">
      <c r="A355" s="84"/>
      <c r="B355" s="85"/>
      <c r="C355" s="85"/>
      <c r="D355" s="85"/>
      <c r="E355" s="86"/>
      <c r="F355" s="85"/>
      <c r="G355" s="85"/>
      <c r="H355" s="85"/>
    </row>
    <row r="356">
      <c r="A356" s="84"/>
      <c r="B356" s="85"/>
      <c r="C356" s="85"/>
      <c r="D356" s="85"/>
      <c r="E356" s="86"/>
      <c r="F356" s="85"/>
      <c r="G356" s="85"/>
      <c r="H356" s="85"/>
    </row>
    <row r="357">
      <c r="A357" s="84"/>
      <c r="B357" s="85"/>
      <c r="C357" s="85"/>
      <c r="D357" s="85"/>
      <c r="E357" s="86"/>
      <c r="F357" s="85"/>
      <c r="G357" s="85"/>
      <c r="H357" s="85"/>
    </row>
    <row r="358">
      <c r="A358" s="84"/>
      <c r="B358" s="85"/>
      <c r="C358" s="85"/>
      <c r="D358" s="85"/>
      <c r="E358" s="86"/>
      <c r="F358" s="85"/>
      <c r="G358" s="85"/>
      <c r="H358" s="85"/>
    </row>
    <row r="359">
      <c r="A359" s="84"/>
      <c r="B359" s="85"/>
      <c r="C359" s="85"/>
      <c r="D359" s="85"/>
      <c r="E359" s="86"/>
      <c r="F359" s="85"/>
      <c r="G359" s="85"/>
      <c r="H359" s="85"/>
    </row>
    <row r="360">
      <c r="A360" s="84"/>
      <c r="B360" s="85"/>
      <c r="C360" s="85"/>
      <c r="D360" s="85"/>
      <c r="E360" s="86"/>
      <c r="F360" s="85"/>
      <c r="G360" s="85"/>
      <c r="H360" s="85"/>
    </row>
    <row r="361">
      <c r="A361" s="84"/>
      <c r="B361" s="85"/>
      <c r="C361" s="85"/>
      <c r="D361" s="85"/>
      <c r="E361" s="86"/>
      <c r="F361" s="85"/>
      <c r="G361" s="85"/>
      <c r="H361" s="85"/>
    </row>
    <row r="362">
      <c r="A362" s="84"/>
      <c r="B362" s="85"/>
      <c r="C362" s="85"/>
      <c r="D362" s="85"/>
      <c r="E362" s="86"/>
      <c r="F362" s="85"/>
      <c r="G362" s="85"/>
      <c r="H362" s="85"/>
    </row>
    <row r="363">
      <c r="A363" s="84"/>
      <c r="B363" s="85"/>
      <c r="C363" s="85"/>
      <c r="D363" s="85"/>
      <c r="E363" s="86"/>
      <c r="F363" s="85"/>
      <c r="G363" s="85"/>
      <c r="H363" s="85"/>
    </row>
    <row r="364">
      <c r="A364" s="84"/>
      <c r="B364" s="85"/>
      <c r="C364" s="85"/>
      <c r="D364" s="85"/>
      <c r="E364" s="86"/>
      <c r="F364" s="85"/>
      <c r="G364" s="85"/>
      <c r="H364" s="85"/>
    </row>
    <row r="365">
      <c r="A365" s="84"/>
      <c r="B365" s="85"/>
      <c r="C365" s="85"/>
      <c r="D365" s="85"/>
      <c r="E365" s="86"/>
      <c r="F365" s="85"/>
      <c r="G365" s="85"/>
      <c r="H365" s="85"/>
    </row>
    <row r="366">
      <c r="A366" s="84"/>
      <c r="B366" s="85"/>
      <c r="C366" s="85"/>
      <c r="D366" s="85"/>
      <c r="E366" s="86"/>
      <c r="F366" s="85"/>
      <c r="G366" s="85"/>
      <c r="H366" s="85"/>
    </row>
    <row r="367">
      <c r="A367" s="84"/>
      <c r="B367" s="85"/>
      <c r="C367" s="85"/>
      <c r="D367" s="85"/>
      <c r="E367" s="86"/>
      <c r="F367" s="85"/>
      <c r="G367" s="85"/>
      <c r="H367" s="85"/>
    </row>
    <row r="368">
      <c r="A368" s="84"/>
      <c r="B368" s="85"/>
      <c r="C368" s="85"/>
      <c r="D368" s="85"/>
      <c r="E368" s="86"/>
      <c r="F368" s="85"/>
      <c r="G368" s="85"/>
      <c r="H368" s="85"/>
    </row>
    <row r="369">
      <c r="A369" s="84"/>
      <c r="B369" s="85"/>
      <c r="C369" s="85"/>
      <c r="D369" s="85"/>
      <c r="E369" s="86"/>
      <c r="F369" s="85"/>
      <c r="G369" s="85"/>
      <c r="H369" s="85"/>
    </row>
    <row r="370">
      <c r="A370" s="84"/>
      <c r="B370" s="85"/>
      <c r="C370" s="85"/>
      <c r="D370" s="85"/>
      <c r="E370" s="86"/>
      <c r="F370" s="85"/>
      <c r="G370" s="85"/>
      <c r="H370" s="85"/>
    </row>
    <row r="371">
      <c r="A371" s="84"/>
      <c r="B371" s="85"/>
      <c r="C371" s="85"/>
      <c r="D371" s="85"/>
      <c r="E371" s="86"/>
      <c r="F371" s="85"/>
      <c r="G371" s="85"/>
      <c r="H371" s="85"/>
    </row>
    <row r="372">
      <c r="A372" s="84"/>
      <c r="B372" s="85"/>
      <c r="C372" s="85"/>
      <c r="D372" s="85"/>
      <c r="E372" s="86"/>
      <c r="F372" s="85"/>
      <c r="G372" s="85"/>
      <c r="H372" s="85"/>
    </row>
    <row r="373">
      <c r="A373" s="84"/>
      <c r="B373" s="85"/>
      <c r="C373" s="85"/>
      <c r="D373" s="85"/>
      <c r="E373" s="86"/>
      <c r="F373" s="85"/>
      <c r="G373" s="85"/>
      <c r="H373" s="85"/>
    </row>
    <row r="374">
      <c r="A374" s="84"/>
      <c r="B374" s="85"/>
      <c r="C374" s="85"/>
      <c r="D374" s="85"/>
      <c r="E374" s="86"/>
      <c r="F374" s="85"/>
      <c r="G374" s="85"/>
      <c r="H374" s="85"/>
    </row>
    <row r="375">
      <c r="A375" s="84"/>
      <c r="B375" s="85"/>
      <c r="C375" s="85"/>
      <c r="D375" s="85"/>
      <c r="E375" s="86"/>
      <c r="F375" s="85"/>
      <c r="G375" s="85"/>
      <c r="H375" s="85"/>
    </row>
    <row r="376">
      <c r="A376" s="84"/>
      <c r="B376" s="85"/>
      <c r="C376" s="85"/>
      <c r="D376" s="85"/>
      <c r="E376" s="86"/>
      <c r="F376" s="85"/>
      <c r="G376" s="85"/>
      <c r="H376" s="85"/>
    </row>
    <row r="377">
      <c r="A377" s="84"/>
      <c r="B377" s="85"/>
      <c r="C377" s="85"/>
      <c r="D377" s="85"/>
      <c r="E377" s="86"/>
      <c r="F377" s="85"/>
      <c r="G377" s="85"/>
      <c r="H377" s="85"/>
    </row>
    <row r="378">
      <c r="A378" s="84"/>
      <c r="B378" s="85"/>
      <c r="C378" s="85"/>
      <c r="D378" s="85"/>
      <c r="E378" s="86"/>
      <c r="F378" s="85"/>
      <c r="G378" s="85"/>
      <c r="H378" s="85"/>
    </row>
    <row r="379">
      <c r="A379" s="84"/>
      <c r="B379" s="85"/>
      <c r="C379" s="85"/>
      <c r="D379" s="85"/>
      <c r="E379" s="86"/>
      <c r="F379" s="85"/>
      <c r="G379" s="85"/>
      <c r="H379" s="85"/>
    </row>
    <row r="380">
      <c r="A380" s="84"/>
      <c r="B380" s="85"/>
      <c r="C380" s="85"/>
      <c r="D380" s="85"/>
      <c r="E380" s="86"/>
      <c r="F380" s="85"/>
      <c r="G380" s="85"/>
      <c r="H380" s="85"/>
    </row>
    <row r="381">
      <c r="A381" s="84"/>
      <c r="B381" s="85"/>
      <c r="C381" s="85"/>
      <c r="D381" s="85"/>
      <c r="E381" s="86"/>
      <c r="F381" s="85"/>
      <c r="G381" s="85"/>
      <c r="H381" s="85"/>
    </row>
    <row r="382">
      <c r="A382" s="84"/>
      <c r="B382" s="85"/>
      <c r="C382" s="85"/>
      <c r="D382" s="85"/>
      <c r="E382" s="86"/>
      <c r="F382" s="85"/>
      <c r="G382" s="85"/>
      <c r="H382" s="85"/>
    </row>
    <row r="383">
      <c r="A383" s="84"/>
      <c r="B383" s="85"/>
      <c r="C383" s="85"/>
      <c r="D383" s="85"/>
      <c r="E383" s="86"/>
      <c r="F383" s="85"/>
      <c r="G383" s="85"/>
      <c r="H383" s="85"/>
    </row>
    <row r="384">
      <c r="A384" s="84"/>
      <c r="B384" s="85"/>
      <c r="C384" s="85"/>
      <c r="D384" s="85"/>
      <c r="E384" s="86"/>
      <c r="F384" s="85"/>
      <c r="G384" s="85"/>
      <c r="H384" s="85"/>
    </row>
    <row r="385">
      <c r="A385" s="84"/>
      <c r="B385" s="85"/>
      <c r="C385" s="85"/>
      <c r="D385" s="85"/>
      <c r="E385" s="86"/>
      <c r="F385" s="85"/>
      <c r="G385" s="85"/>
      <c r="H385" s="85"/>
    </row>
    <row r="386">
      <c r="A386" s="84"/>
      <c r="B386" s="85"/>
      <c r="C386" s="85"/>
      <c r="D386" s="85"/>
      <c r="E386" s="86"/>
      <c r="F386" s="85"/>
      <c r="G386" s="85"/>
      <c r="H386" s="85"/>
    </row>
    <row r="387">
      <c r="A387" s="84"/>
      <c r="B387" s="85"/>
      <c r="C387" s="85"/>
      <c r="D387" s="85"/>
      <c r="E387" s="86"/>
      <c r="F387" s="85"/>
      <c r="G387" s="85"/>
      <c r="H387" s="85"/>
    </row>
    <row r="388">
      <c r="A388" s="84"/>
      <c r="B388" s="85"/>
      <c r="C388" s="85"/>
      <c r="D388" s="85"/>
      <c r="E388" s="86"/>
      <c r="F388" s="85"/>
      <c r="G388" s="85"/>
      <c r="H388" s="85"/>
    </row>
    <row r="389">
      <c r="A389" s="84"/>
      <c r="B389" s="85"/>
      <c r="C389" s="85"/>
      <c r="D389" s="85"/>
      <c r="E389" s="86"/>
      <c r="F389" s="85"/>
      <c r="G389" s="85"/>
      <c r="H389" s="85"/>
    </row>
    <row r="390">
      <c r="A390" s="84"/>
      <c r="B390" s="85"/>
      <c r="C390" s="85"/>
      <c r="D390" s="85"/>
      <c r="E390" s="86"/>
      <c r="F390" s="85"/>
      <c r="G390" s="85"/>
      <c r="H390" s="85"/>
    </row>
    <row r="391">
      <c r="A391" s="84"/>
      <c r="B391" s="85"/>
      <c r="C391" s="85"/>
      <c r="D391" s="85"/>
      <c r="E391" s="86"/>
      <c r="F391" s="85"/>
      <c r="G391" s="85"/>
      <c r="H391" s="85"/>
    </row>
    <row r="392">
      <c r="A392" s="84"/>
      <c r="B392" s="85"/>
      <c r="C392" s="85"/>
      <c r="D392" s="85"/>
      <c r="E392" s="86"/>
      <c r="F392" s="85"/>
      <c r="G392" s="85"/>
      <c r="H392" s="85"/>
    </row>
    <row r="393">
      <c r="A393" s="84"/>
      <c r="B393" s="85"/>
      <c r="C393" s="85"/>
      <c r="D393" s="85"/>
      <c r="E393" s="86"/>
      <c r="F393" s="85"/>
      <c r="G393" s="85"/>
      <c r="H393" s="85"/>
    </row>
    <row r="394">
      <c r="A394" s="84"/>
      <c r="B394" s="85"/>
      <c r="C394" s="85"/>
      <c r="D394" s="85"/>
      <c r="E394" s="86"/>
      <c r="F394" s="85"/>
      <c r="G394" s="85"/>
      <c r="H394" s="85"/>
    </row>
    <row r="395">
      <c r="A395" s="84"/>
      <c r="B395" s="85"/>
      <c r="C395" s="85"/>
      <c r="D395" s="85"/>
      <c r="E395" s="86"/>
      <c r="F395" s="85"/>
      <c r="G395" s="85"/>
      <c r="H395" s="85"/>
    </row>
    <row r="396">
      <c r="A396" s="84"/>
      <c r="B396" s="85"/>
      <c r="C396" s="85"/>
      <c r="D396" s="85"/>
      <c r="E396" s="86"/>
      <c r="F396" s="85"/>
      <c r="G396" s="85"/>
      <c r="H396" s="85"/>
    </row>
    <row r="397">
      <c r="A397" s="84"/>
      <c r="B397" s="85"/>
      <c r="C397" s="85"/>
      <c r="D397" s="85"/>
      <c r="E397" s="86"/>
      <c r="F397" s="85"/>
      <c r="G397" s="85"/>
      <c r="H397" s="85"/>
    </row>
    <row r="398">
      <c r="A398" s="84"/>
      <c r="B398" s="85"/>
      <c r="C398" s="85"/>
      <c r="D398" s="85"/>
      <c r="E398" s="86"/>
      <c r="F398" s="85"/>
      <c r="G398" s="85"/>
      <c r="H398" s="85"/>
    </row>
    <row r="399">
      <c r="A399" s="84"/>
      <c r="B399" s="85"/>
      <c r="C399" s="85"/>
      <c r="D399" s="85"/>
      <c r="E399" s="86"/>
      <c r="F399" s="85"/>
      <c r="G399" s="85"/>
      <c r="H399" s="85"/>
    </row>
    <row r="400">
      <c r="A400" s="84"/>
      <c r="B400" s="85"/>
      <c r="C400" s="85"/>
      <c r="D400" s="85"/>
      <c r="E400" s="86"/>
      <c r="F400" s="85"/>
      <c r="G400" s="85"/>
      <c r="H400" s="85"/>
    </row>
    <row r="401">
      <c r="A401" s="84"/>
      <c r="B401" s="85"/>
      <c r="C401" s="85"/>
      <c r="D401" s="85"/>
      <c r="E401" s="86"/>
      <c r="F401" s="85"/>
      <c r="G401" s="85"/>
      <c r="H401" s="85"/>
    </row>
    <row r="402">
      <c r="A402" s="84"/>
      <c r="B402" s="85"/>
      <c r="C402" s="85"/>
      <c r="D402" s="85"/>
      <c r="E402" s="86"/>
      <c r="F402" s="85"/>
      <c r="G402" s="85"/>
      <c r="H402" s="85"/>
    </row>
    <row r="403">
      <c r="A403" s="84"/>
      <c r="B403" s="85"/>
      <c r="C403" s="85"/>
      <c r="D403" s="85"/>
      <c r="E403" s="86"/>
      <c r="F403" s="85"/>
      <c r="G403" s="85"/>
      <c r="H403" s="85"/>
    </row>
    <row r="404">
      <c r="A404" s="84"/>
      <c r="B404" s="85"/>
      <c r="C404" s="85"/>
      <c r="D404" s="85"/>
      <c r="E404" s="86"/>
      <c r="F404" s="85"/>
      <c r="G404" s="85"/>
      <c r="H404" s="85"/>
    </row>
    <row r="405">
      <c r="A405" s="84"/>
      <c r="B405" s="85"/>
      <c r="C405" s="85"/>
      <c r="D405" s="85"/>
      <c r="E405" s="86"/>
      <c r="F405" s="85"/>
      <c r="G405" s="85"/>
      <c r="H405" s="85"/>
    </row>
    <row r="406">
      <c r="A406" s="84"/>
      <c r="B406" s="85"/>
      <c r="C406" s="85"/>
      <c r="D406" s="85"/>
      <c r="E406" s="86"/>
      <c r="F406" s="85"/>
      <c r="G406" s="85"/>
      <c r="H406" s="85"/>
    </row>
    <row r="407">
      <c r="A407" s="84"/>
      <c r="B407" s="85"/>
      <c r="C407" s="85"/>
      <c r="D407" s="85"/>
      <c r="E407" s="86"/>
      <c r="F407" s="85"/>
      <c r="G407" s="85"/>
      <c r="H407" s="85"/>
    </row>
    <row r="408">
      <c r="A408" s="84"/>
      <c r="B408" s="85"/>
      <c r="C408" s="85"/>
      <c r="D408" s="85"/>
      <c r="E408" s="86"/>
      <c r="F408" s="85"/>
      <c r="G408" s="85"/>
      <c r="H408" s="85"/>
    </row>
    <row r="409">
      <c r="A409" s="84"/>
      <c r="B409" s="85"/>
      <c r="C409" s="85"/>
      <c r="D409" s="85"/>
      <c r="E409" s="86"/>
      <c r="F409" s="85"/>
      <c r="G409" s="85"/>
      <c r="H409" s="85"/>
    </row>
    <row r="410">
      <c r="A410" s="84"/>
      <c r="B410" s="85"/>
      <c r="C410" s="85"/>
      <c r="D410" s="85"/>
      <c r="E410" s="86"/>
      <c r="F410" s="85"/>
      <c r="G410" s="85"/>
      <c r="H410" s="85"/>
    </row>
    <row r="411">
      <c r="A411" s="84"/>
      <c r="B411" s="85"/>
      <c r="C411" s="85"/>
      <c r="D411" s="85"/>
      <c r="E411" s="86"/>
      <c r="F411" s="85"/>
      <c r="G411" s="85"/>
      <c r="H411" s="85"/>
    </row>
    <row r="412">
      <c r="A412" s="84"/>
      <c r="B412" s="85"/>
      <c r="C412" s="85"/>
      <c r="D412" s="85"/>
      <c r="E412" s="86"/>
      <c r="F412" s="85"/>
      <c r="G412" s="85"/>
      <c r="H412" s="85"/>
    </row>
    <row r="413">
      <c r="A413" s="84"/>
      <c r="B413" s="85"/>
      <c r="C413" s="85"/>
      <c r="D413" s="85"/>
      <c r="E413" s="86"/>
      <c r="F413" s="85"/>
      <c r="G413" s="85"/>
      <c r="H413" s="85"/>
    </row>
    <row r="414">
      <c r="A414" s="84"/>
      <c r="B414" s="85"/>
      <c r="C414" s="85"/>
      <c r="D414" s="85"/>
      <c r="E414" s="86"/>
      <c r="F414" s="85"/>
      <c r="G414" s="85"/>
      <c r="H414" s="85"/>
    </row>
    <row r="415">
      <c r="A415" s="84"/>
      <c r="B415" s="85"/>
      <c r="C415" s="85"/>
      <c r="D415" s="85"/>
      <c r="E415" s="86"/>
      <c r="F415" s="85"/>
      <c r="G415" s="85"/>
      <c r="H415" s="85"/>
    </row>
    <row r="416">
      <c r="A416" s="84"/>
      <c r="B416" s="85"/>
      <c r="C416" s="85"/>
      <c r="D416" s="85"/>
      <c r="E416" s="86"/>
      <c r="F416" s="85"/>
      <c r="G416" s="85"/>
      <c r="H416" s="85"/>
    </row>
    <row r="417">
      <c r="A417" s="84"/>
      <c r="B417" s="85"/>
      <c r="C417" s="85"/>
      <c r="D417" s="85"/>
      <c r="E417" s="86"/>
      <c r="F417" s="85"/>
      <c r="G417" s="85"/>
      <c r="H417" s="85"/>
    </row>
    <row r="418">
      <c r="A418" s="84"/>
      <c r="B418" s="85"/>
      <c r="C418" s="85"/>
      <c r="D418" s="85"/>
      <c r="E418" s="86"/>
      <c r="F418" s="85"/>
      <c r="G418" s="85"/>
      <c r="H418" s="85"/>
    </row>
    <row r="419">
      <c r="A419" s="84"/>
      <c r="B419" s="85"/>
      <c r="C419" s="85"/>
      <c r="D419" s="85"/>
      <c r="E419" s="86"/>
      <c r="F419" s="85"/>
      <c r="G419" s="85"/>
      <c r="H419" s="85"/>
    </row>
    <row r="420">
      <c r="A420" s="84"/>
      <c r="B420" s="85"/>
      <c r="C420" s="85"/>
      <c r="D420" s="85"/>
      <c r="E420" s="86"/>
      <c r="F420" s="85"/>
      <c r="G420" s="85"/>
      <c r="H420" s="85"/>
    </row>
    <row r="421">
      <c r="A421" s="84"/>
      <c r="B421" s="85"/>
      <c r="C421" s="85"/>
      <c r="D421" s="85"/>
      <c r="E421" s="86"/>
      <c r="F421" s="85"/>
      <c r="G421" s="85"/>
      <c r="H421" s="85"/>
    </row>
    <row r="422">
      <c r="A422" s="84"/>
      <c r="B422" s="85"/>
      <c r="C422" s="85"/>
      <c r="D422" s="85"/>
      <c r="E422" s="86"/>
      <c r="F422" s="85"/>
      <c r="G422" s="85"/>
      <c r="H422" s="85"/>
    </row>
    <row r="423">
      <c r="A423" s="84"/>
      <c r="B423" s="85"/>
      <c r="C423" s="85"/>
      <c r="D423" s="85"/>
      <c r="E423" s="86"/>
      <c r="F423" s="85"/>
      <c r="G423" s="85"/>
      <c r="H423" s="85"/>
    </row>
    <row r="424">
      <c r="A424" s="84"/>
      <c r="B424" s="85"/>
      <c r="C424" s="85"/>
      <c r="D424" s="85"/>
      <c r="E424" s="86"/>
      <c r="F424" s="85"/>
      <c r="G424" s="85"/>
      <c r="H424" s="85"/>
    </row>
    <row r="425">
      <c r="A425" s="84"/>
      <c r="B425" s="85"/>
      <c r="C425" s="85"/>
      <c r="D425" s="85"/>
      <c r="E425" s="86"/>
      <c r="F425" s="85"/>
      <c r="G425" s="85"/>
      <c r="H425" s="85"/>
    </row>
    <row r="426">
      <c r="A426" s="84"/>
      <c r="B426" s="85"/>
      <c r="C426" s="85"/>
      <c r="D426" s="85"/>
      <c r="E426" s="86"/>
      <c r="F426" s="85"/>
      <c r="G426" s="85"/>
      <c r="H426" s="85"/>
    </row>
    <row r="427">
      <c r="A427" s="84"/>
      <c r="B427" s="85"/>
      <c r="C427" s="85"/>
      <c r="D427" s="85"/>
      <c r="E427" s="86"/>
      <c r="F427" s="85"/>
      <c r="G427" s="85"/>
      <c r="H427" s="85"/>
    </row>
    <row r="428">
      <c r="A428" s="84"/>
      <c r="B428" s="85"/>
      <c r="C428" s="85"/>
      <c r="D428" s="85"/>
      <c r="E428" s="86"/>
      <c r="F428" s="85"/>
      <c r="G428" s="85"/>
      <c r="H428" s="85"/>
    </row>
    <row r="429">
      <c r="A429" s="84"/>
      <c r="B429" s="85"/>
      <c r="C429" s="85"/>
      <c r="D429" s="85"/>
      <c r="E429" s="86"/>
      <c r="F429" s="85"/>
      <c r="G429" s="85"/>
      <c r="H429" s="85"/>
    </row>
    <row r="430">
      <c r="A430" s="84"/>
      <c r="B430" s="85"/>
      <c r="C430" s="85"/>
      <c r="D430" s="85"/>
      <c r="E430" s="86"/>
      <c r="F430" s="85"/>
      <c r="G430" s="85"/>
      <c r="H430" s="85"/>
    </row>
    <row r="431">
      <c r="A431" s="84"/>
      <c r="B431" s="85"/>
      <c r="C431" s="85"/>
      <c r="D431" s="85"/>
      <c r="E431" s="86"/>
      <c r="F431" s="85"/>
      <c r="G431" s="85"/>
      <c r="H431" s="85"/>
    </row>
    <row r="432">
      <c r="A432" s="84"/>
      <c r="B432" s="85"/>
      <c r="C432" s="85"/>
      <c r="D432" s="85"/>
      <c r="E432" s="86"/>
      <c r="F432" s="85"/>
      <c r="G432" s="85"/>
      <c r="H432" s="85"/>
    </row>
    <row r="433">
      <c r="A433" s="84"/>
      <c r="B433" s="85"/>
      <c r="C433" s="85"/>
      <c r="D433" s="85"/>
      <c r="E433" s="86"/>
      <c r="F433" s="85"/>
      <c r="G433" s="85"/>
      <c r="H433" s="85"/>
    </row>
    <row r="434">
      <c r="A434" s="84"/>
      <c r="B434" s="85"/>
      <c r="C434" s="85"/>
      <c r="D434" s="85"/>
      <c r="E434" s="86"/>
      <c r="F434" s="85"/>
      <c r="G434" s="85"/>
      <c r="H434" s="85"/>
    </row>
    <row r="435">
      <c r="A435" s="84"/>
      <c r="B435" s="85"/>
      <c r="C435" s="85"/>
      <c r="D435" s="85"/>
      <c r="E435" s="86"/>
      <c r="F435" s="85"/>
      <c r="G435" s="85"/>
      <c r="H435" s="85"/>
    </row>
    <row r="436">
      <c r="A436" s="84"/>
      <c r="B436" s="85"/>
      <c r="C436" s="85"/>
      <c r="D436" s="85"/>
      <c r="E436" s="86"/>
      <c r="F436" s="85"/>
      <c r="G436" s="85"/>
      <c r="H436" s="85"/>
    </row>
    <row r="437">
      <c r="A437" s="84"/>
      <c r="B437" s="85"/>
      <c r="C437" s="85"/>
      <c r="D437" s="85"/>
      <c r="E437" s="86"/>
      <c r="F437" s="85"/>
      <c r="G437" s="85"/>
      <c r="H437" s="85"/>
    </row>
    <row r="438">
      <c r="A438" s="84"/>
      <c r="B438" s="85"/>
      <c r="C438" s="85"/>
      <c r="D438" s="85"/>
      <c r="E438" s="86"/>
      <c r="F438" s="85"/>
      <c r="G438" s="85"/>
      <c r="H438" s="85"/>
    </row>
    <row r="439">
      <c r="A439" s="84"/>
      <c r="B439" s="85"/>
      <c r="C439" s="85"/>
      <c r="D439" s="85"/>
      <c r="E439" s="86"/>
      <c r="F439" s="85"/>
      <c r="G439" s="85"/>
      <c r="H439" s="85"/>
    </row>
    <row r="440">
      <c r="A440" s="84"/>
      <c r="B440" s="85"/>
      <c r="C440" s="85"/>
      <c r="D440" s="85"/>
      <c r="E440" s="86"/>
      <c r="F440" s="85"/>
      <c r="G440" s="85"/>
      <c r="H440" s="85"/>
    </row>
    <row r="441">
      <c r="A441" s="84"/>
      <c r="B441" s="85"/>
      <c r="C441" s="85"/>
      <c r="D441" s="85"/>
      <c r="E441" s="86"/>
      <c r="F441" s="85"/>
      <c r="G441" s="85"/>
      <c r="H441" s="85"/>
    </row>
    <row r="442">
      <c r="A442" s="84"/>
      <c r="B442" s="85"/>
      <c r="C442" s="85"/>
      <c r="D442" s="85"/>
      <c r="E442" s="86"/>
      <c r="F442" s="85"/>
      <c r="G442" s="85"/>
      <c r="H442" s="85"/>
    </row>
    <row r="443">
      <c r="A443" s="84"/>
      <c r="B443" s="85"/>
      <c r="C443" s="85"/>
      <c r="D443" s="85"/>
      <c r="E443" s="86"/>
      <c r="F443" s="85"/>
      <c r="G443" s="85"/>
      <c r="H443" s="85"/>
    </row>
    <row r="444">
      <c r="A444" s="84"/>
      <c r="B444" s="85"/>
      <c r="C444" s="85"/>
      <c r="D444" s="85"/>
      <c r="E444" s="86"/>
      <c r="F444" s="85"/>
      <c r="G444" s="85"/>
      <c r="H444" s="85"/>
    </row>
    <row r="445">
      <c r="A445" s="84"/>
      <c r="B445" s="85"/>
      <c r="C445" s="85"/>
      <c r="D445" s="85"/>
      <c r="E445" s="86"/>
      <c r="F445" s="85"/>
      <c r="G445" s="85"/>
      <c r="H445" s="85"/>
    </row>
    <row r="446">
      <c r="A446" s="84"/>
      <c r="B446" s="85"/>
      <c r="C446" s="85"/>
      <c r="D446" s="85"/>
      <c r="E446" s="86"/>
      <c r="F446" s="85"/>
      <c r="G446" s="85"/>
      <c r="H446" s="85"/>
    </row>
    <row r="447">
      <c r="A447" s="84"/>
      <c r="B447" s="85"/>
      <c r="C447" s="85"/>
      <c r="D447" s="85"/>
      <c r="E447" s="86"/>
      <c r="F447" s="85"/>
      <c r="G447" s="85"/>
      <c r="H447" s="85"/>
    </row>
    <row r="448">
      <c r="A448" s="84"/>
      <c r="B448" s="85"/>
      <c r="C448" s="85"/>
      <c r="D448" s="85"/>
      <c r="E448" s="86"/>
      <c r="F448" s="85"/>
      <c r="G448" s="85"/>
      <c r="H448" s="85"/>
    </row>
    <row r="449">
      <c r="A449" s="84"/>
      <c r="B449" s="85"/>
      <c r="C449" s="85"/>
      <c r="D449" s="85"/>
      <c r="E449" s="86"/>
      <c r="F449" s="85"/>
      <c r="G449" s="85"/>
      <c r="H449" s="85"/>
    </row>
    <row r="450">
      <c r="A450" s="84"/>
      <c r="B450" s="85"/>
      <c r="C450" s="85"/>
      <c r="D450" s="85"/>
      <c r="E450" s="86"/>
      <c r="F450" s="85"/>
      <c r="G450" s="85"/>
      <c r="H450" s="85"/>
    </row>
    <row r="451">
      <c r="A451" s="84"/>
      <c r="B451" s="85"/>
      <c r="C451" s="85"/>
      <c r="D451" s="85"/>
      <c r="E451" s="86"/>
      <c r="F451" s="85"/>
      <c r="G451" s="85"/>
      <c r="H451" s="85"/>
    </row>
    <row r="452">
      <c r="A452" s="84"/>
      <c r="B452" s="85"/>
      <c r="C452" s="85"/>
      <c r="D452" s="85"/>
      <c r="E452" s="86"/>
      <c r="F452" s="85"/>
      <c r="G452" s="85"/>
      <c r="H452" s="85"/>
    </row>
    <row r="453">
      <c r="A453" s="84"/>
      <c r="B453" s="85"/>
      <c r="C453" s="85"/>
      <c r="D453" s="85"/>
      <c r="E453" s="86"/>
      <c r="F453" s="85"/>
      <c r="G453" s="85"/>
      <c r="H453" s="85"/>
    </row>
    <row r="454">
      <c r="A454" s="84"/>
      <c r="B454" s="85"/>
      <c r="C454" s="85"/>
      <c r="D454" s="85"/>
      <c r="E454" s="86"/>
      <c r="F454" s="85"/>
      <c r="G454" s="85"/>
      <c r="H454" s="85"/>
    </row>
    <row r="455">
      <c r="A455" s="84"/>
      <c r="B455" s="85"/>
      <c r="C455" s="85"/>
      <c r="D455" s="85"/>
      <c r="E455" s="86"/>
      <c r="F455" s="85"/>
      <c r="G455" s="85"/>
      <c r="H455" s="85"/>
    </row>
    <row r="456">
      <c r="A456" s="84"/>
      <c r="B456" s="85"/>
      <c r="C456" s="85"/>
      <c r="D456" s="85"/>
      <c r="E456" s="86"/>
      <c r="F456" s="85"/>
      <c r="G456" s="85"/>
      <c r="H456" s="85"/>
    </row>
    <row r="457">
      <c r="A457" s="84"/>
      <c r="B457" s="85"/>
      <c r="C457" s="85"/>
      <c r="D457" s="85"/>
      <c r="E457" s="86"/>
      <c r="F457" s="85"/>
      <c r="G457" s="85"/>
      <c r="H457" s="85"/>
    </row>
    <row r="458">
      <c r="A458" s="84"/>
      <c r="B458" s="85"/>
      <c r="C458" s="85"/>
      <c r="D458" s="85"/>
      <c r="E458" s="86"/>
      <c r="F458" s="85"/>
      <c r="G458" s="85"/>
      <c r="H458" s="85"/>
    </row>
    <row r="459">
      <c r="A459" s="84"/>
      <c r="B459" s="85"/>
      <c r="C459" s="85"/>
      <c r="D459" s="85"/>
      <c r="E459" s="86"/>
      <c r="F459" s="85"/>
      <c r="G459" s="85"/>
      <c r="H459" s="85"/>
    </row>
    <row r="460">
      <c r="A460" s="84"/>
      <c r="B460" s="85"/>
      <c r="C460" s="85"/>
      <c r="D460" s="85"/>
      <c r="E460" s="86"/>
      <c r="F460" s="85"/>
      <c r="G460" s="85"/>
      <c r="H460" s="85"/>
    </row>
    <row r="461">
      <c r="A461" s="84"/>
      <c r="B461" s="85"/>
      <c r="C461" s="85"/>
      <c r="D461" s="85"/>
      <c r="E461" s="86"/>
      <c r="F461" s="85"/>
      <c r="G461" s="85"/>
      <c r="H461" s="85"/>
    </row>
    <row r="462">
      <c r="A462" s="84"/>
      <c r="B462" s="85"/>
      <c r="C462" s="85"/>
      <c r="D462" s="85"/>
      <c r="E462" s="86"/>
      <c r="F462" s="85"/>
      <c r="G462" s="85"/>
      <c r="H462" s="85"/>
    </row>
    <row r="463">
      <c r="A463" s="84"/>
      <c r="B463" s="85"/>
      <c r="C463" s="85"/>
      <c r="D463" s="85"/>
      <c r="E463" s="86"/>
      <c r="F463" s="85"/>
      <c r="G463" s="85"/>
      <c r="H463" s="85"/>
    </row>
    <row r="464">
      <c r="A464" s="84"/>
      <c r="B464" s="85"/>
      <c r="C464" s="85"/>
      <c r="D464" s="85"/>
      <c r="E464" s="86"/>
      <c r="F464" s="85"/>
      <c r="G464" s="85"/>
      <c r="H464" s="85"/>
    </row>
    <row r="465">
      <c r="A465" s="84"/>
      <c r="B465" s="85"/>
      <c r="C465" s="85"/>
      <c r="D465" s="85"/>
      <c r="E465" s="86"/>
      <c r="F465" s="85"/>
      <c r="G465" s="85"/>
      <c r="H465" s="85"/>
    </row>
    <row r="466">
      <c r="A466" s="84"/>
      <c r="B466" s="85"/>
      <c r="C466" s="85"/>
      <c r="D466" s="85"/>
      <c r="E466" s="86"/>
      <c r="F466" s="85"/>
      <c r="G466" s="85"/>
      <c r="H466" s="85"/>
    </row>
    <row r="467">
      <c r="A467" s="84"/>
      <c r="B467" s="85"/>
      <c r="C467" s="85"/>
      <c r="D467" s="85"/>
      <c r="E467" s="86"/>
      <c r="F467" s="85"/>
      <c r="G467" s="85"/>
      <c r="H467" s="85"/>
    </row>
    <row r="468">
      <c r="A468" s="84"/>
      <c r="B468" s="85"/>
      <c r="C468" s="85"/>
      <c r="D468" s="85"/>
      <c r="E468" s="86"/>
      <c r="F468" s="85"/>
      <c r="G468" s="85"/>
      <c r="H468" s="85"/>
    </row>
    <row r="469">
      <c r="A469" s="84"/>
      <c r="B469" s="85"/>
      <c r="C469" s="85"/>
      <c r="D469" s="85"/>
      <c r="E469" s="86"/>
      <c r="F469" s="85"/>
      <c r="G469" s="85"/>
      <c r="H469" s="85"/>
    </row>
    <row r="470">
      <c r="A470" s="84"/>
      <c r="B470" s="85"/>
      <c r="C470" s="85"/>
      <c r="D470" s="85"/>
      <c r="E470" s="86"/>
      <c r="F470" s="85"/>
      <c r="G470" s="85"/>
      <c r="H470" s="85"/>
    </row>
    <row r="471">
      <c r="A471" s="84"/>
      <c r="B471" s="85"/>
      <c r="C471" s="85"/>
      <c r="D471" s="85"/>
      <c r="E471" s="86"/>
      <c r="F471" s="85"/>
      <c r="G471" s="85"/>
      <c r="H471" s="85"/>
    </row>
    <row r="472">
      <c r="A472" s="84"/>
      <c r="B472" s="85"/>
      <c r="C472" s="85"/>
      <c r="D472" s="85"/>
      <c r="E472" s="86"/>
      <c r="F472" s="85"/>
      <c r="G472" s="85"/>
      <c r="H472" s="85"/>
    </row>
    <row r="473">
      <c r="A473" s="84"/>
      <c r="B473" s="85"/>
      <c r="C473" s="85"/>
      <c r="D473" s="85"/>
      <c r="E473" s="86"/>
      <c r="F473" s="85"/>
      <c r="G473" s="85"/>
      <c r="H473" s="85"/>
    </row>
    <row r="474">
      <c r="A474" s="84"/>
      <c r="B474" s="85"/>
      <c r="C474" s="85"/>
      <c r="D474" s="85"/>
      <c r="E474" s="86"/>
      <c r="F474" s="85"/>
      <c r="G474" s="85"/>
      <c r="H474" s="85"/>
    </row>
    <row r="475">
      <c r="A475" s="84"/>
      <c r="B475" s="85"/>
      <c r="C475" s="85"/>
      <c r="D475" s="85"/>
      <c r="E475" s="86"/>
      <c r="F475" s="85"/>
      <c r="G475" s="85"/>
      <c r="H475" s="85"/>
    </row>
    <row r="476">
      <c r="A476" s="84"/>
      <c r="B476" s="85"/>
      <c r="C476" s="85"/>
      <c r="D476" s="85"/>
      <c r="E476" s="86"/>
      <c r="F476" s="85"/>
      <c r="G476" s="85"/>
      <c r="H476" s="85"/>
    </row>
    <row r="477">
      <c r="A477" s="84"/>
      <c r="B477" s="85"/>
      <c r="C477" s="85"/>
      <c r="D477" s="85"/>
      <c r="E477" s="86"/>
      <c r="F477" s="85"/>
      <c r="G477" s="85"/>
      <c r="H477" s="85"/>
    </row>
    <row r="478">
      <c r="A478" s="84"/>
      <c r="B478" s="85"/>
      <c r="C478" s="85"/>
      <c r="D478" s="85"/>
      <c r="E478" s="86"/>
      <c r="F478" s="85"/>
      <c r="G478" s="85"/>
      <c r="H478" s="85"/>
    </row>
    <row r="479">
      <c r="A479" s="84"/>
      <c r="B479" s="85"/>
      <c r="C479" s="85"/>
      <c r="D479" s="85"/>
      <c r="E479" s="86"/>
      <c r="F479" s="85"/>
      <c r="G479" s="85"/>
      <c r="H479" s="85"/>
    </row>
    <row r="480">
      <c r="A480" s="84"/>
      <c r="B480" s="85"/>
      <c r="C480" s="85"/>
      <c r="D480" s="85"/>
      <c r="E480" s="86"/>
      <c r="F480" s="85"/>
      <c r="G480" s="85"/>
      <c r="H480" s="85"/>
    </row>
    <row r="481">
      <c r="A481" s="84"/>
      <c r="B481" s="85"/>
      <c r="C481" s="85"/>
      <c r="D481" s="85"/>
      <c r="E481" s="86"/>
      <c r="F481" s="85"/>
      <c r="G481" s="85"/>
      <c r="H481" s="85"/>
    </row>
    <row r="482">
      <c r="A482" s="84"/>
      <c r="B482" s="85"/>
      <c r="C482" s="85"/>
      <c r="D482" s="85"/>
      <c r="E482" s="86"/>
      <c r="F482" s="85"/>
      <c r="G482" s="85"/>
      <c r="H482" s="85"/>
    </row>
    <row r="483">
      <c r="A483" s="84"/>
      <c r="B483" s="85"/>
      <c r="C483" s="85"/>
      <c r="D483" s="85"/>
      <c r="E483" s="86"/>
      <c r="F483" s="85"/>
      <c r="G483" s="85"/>
      <c r="H483" s="85"/>
    </row>
    <row r="484">
      <c r="A484" s="84"/>
      <c r="B484" s="85"/>
      <c r="C484" s="85"/>
      <c r="D484" s="85"/>
      <c r="E484" s="86"/>
      <c r="F484" s="85"/>
      <c r="G484" s="85"/>
      <c r="H484" s="85"/>
    </row>
    <row r="485">
      <c r="A485" s="84"/>
      <c r="B485" s="85"/>
      <c r="C485" s="85"/>
      <c r="D485" s="85"/>
      <c r="E485" s="86"/>
      <c r="F485" s="85"/>
      <c r="G485" s="85"/>
      <c r="H485" s="85"/>
    </row>
    <row r="486">
      <c r="A486" s="84"/>
      <c r="B486" s="85"/>
      <c r="C486" s="85"/>
      <c r="D486" s="85"/>
      <c r="E486" s="86"/>
      <c r="F486" s="85"/>
      <c r="G486" s="85"/>
      <c r="H486" s="85"/>
    </row>
    <row r="487">
      <c r="A487" s="84"/>
      <c r="B487" s="85"/>
      <c r="C487" s="85"/>
      <c r="D487" s="85"/>
      <c r="E487" s="86"/>
      <c r="F487" s="85"/>
      <c r="G487" s="85"/>
      <c r="H487" s="85"/>
    </row>
    <row r="488">
      <c r="A488" s="84"/>
      <c r="B488" s="85"/>
      <c r="C488" s="85"/>
      <c r="D488" s="85"/>
      <c r="E488" s="86"/>
      <c r="F488" s="85"/>
      <c r="G488" s="85"/>
      <c r="H488" s="85"/>
    </row>
    <row r="489">
      <c r="A489" s="84"/>
      <c r="B489" s="85"/>
      <c r="C489" s="85"/>
      <c r="D489" s="85"/>
      <c r="E489" s="86"/>
      <c r="F489" s="85"/>
      <c r="G489" s="85"/>
      <c r="H489" s="85"/>
    </row>
    <row r="490">
      <c r="A490" s="84"/>
      <c r="B490" s="85"/>
      <c r="C490" s="85"/>
      <c r="D490" s="85"/>
      <c r="E490" s="86"/>
      <c r="F490" s="85"/>
      <c r="G490" s="85"/>
      <c r="H490" s="85"/>
    </row>
    <row r="491">
      <c r="A491" s="84"/>
      <c r="B491" s="85"/>
      <c r="C491" s="85"/>
      <c r="D491" s="85"/>
      <c r="E491" s="86"/>
      <c r="F491" s="85"/>
      <c r="G491" s="85"/>
      <c r="H491" s="85"/>
    </row>
    <row r="492">
      <c r="A492" s="84"/>
      <c r="B492" s="85"/>
      <c r="C492" s="85"/>
      <c r="D492" s="85"/>
      <c r="E492" s="86"/>
      <c r="F492" s="85"/>
      <c r="G492" s="85"/>
      <c r="H492" s="85"/>
    </row>
    <row r="493">
      <c r="A493" s="84"/>
      <c r="B493" s="85"/>
      <c r="C493" s="85"/>
      <c r="D493" s="85"/>
      <c r="E493" s="86"/>
      <c r="F493" s="85"/>
      <c r="G493" s="85"/>
      <c r="H493" s="85"/>
    </row>
    <row r="494">
      <c r="A494" s="84"/>
      <c r="B494" s="85"/>
      <c r="C494" s="85"/>
      <c r="D494" s="85"/>
      <c r="E494" s="86"/>
      <c r="F494" s="85"/>
      <c r="G494" s="85"/>
      <c r="H494" s="85"/>
    </row>
    <row r="495">
      <c r="A495" s="84"/>
      <c r="B495" s="85"/>
      <c r="C495" s="85"/>
      <c r="D495" s="85"/>
      <c r="E495" s="86"/>
      <c r="F495" s="85"/>
      <c r="G495" s="85"/>
      <c r="H495" s="85"/>
    </row>
    <row r="496">
      <c r="A496" s="84"/>
      <c r="B496" s="85"/>
      <c r="C496" s="85"/>
      <c r="D496" s="85"/>
      <c r="E496" s="86"/>
      <c r="F496" s="85"/>
      <c r="G496" s="85"/>
      <c r="H496" s="85"/>
    </row>
    <row r="497">
      <c r="A497" s="84"/>
      <c r="B497" s="85"/>
      <c r="C497" s="85"/>
      <c r="D497" s="85"/>
      <c r="E497" s="86"/>
      <c r="F497" s="85"/>
      <c r="G497" s="85"/>
      <c r="H497" s="85"/>
    </row>
    <row r="498">
      <c r="A498" s="84"/>
      <c r="B498" s="85"/>
      <c r="C498" s="85"/>
      <c r="D498" s="85"/>
      <c r="E498" s="86"/>
      <c r="F498" s="85"/>
      <c r="G498" s="85"/>
      <c r="H498" s="85"/>
    </row>
    <row r="499">
      <c r="A499" s="84"/>
      <c r="B499" s="85"/>
      <c r="C499" s="85"/>
      <c r="D499" s="85"/>
      <c r="E499" s="86"/>
      <c r="F499" s="85"/>
      <c r="G499" s="85"/>
      <c r="H499" s="85"/>
    </row>
    <row r="500">
      <c r="A500" s="84"/>
      <c r="B500" s="85"/>
      <c r="C500" s="85"/>
      <c r="D500" s="85"/>
      <c r="E500" s="86"/>
      <c r="F500" s="85"/>
      <c r="G500" s="85"/>
      <c r="H500" s="85"/>
    </row>
    <row r="501">
      <c r="A501" s="84"/>
      <c r="B501" s="85"/>
      <c r="C501" s="85"/>
      <c r="D501" s="85"/>
      <c r="E501" s="86"/>
      <c r="F501" s="85"/>
      <c r="G501" s="85"/>
      <c r="H501" s="85"/>
    </row>
    <row r="502">
      <c r="A502" s="84"/>
      <c r="B502" s="85"/>
      <c r="C502" s="85"/>
      <c r="D502" s="85"/>
      <c r="E502" s="86"/>
      <c r="F502" s="85"/>
      <c r="G502" s="85"/>
      <c r="H502" s="85"/>
    </row>
    <row r="503">
      <c r="A503" s="84"/>
      <c r="B503" s="85"/>
      <c r="C503" s="85"/>
      <c r="D503" s="85"/>
      <c r="E503" s="86"/>
      <c r="F503" s="85"/>
      <c r="G503" s="85"/>
      <c r="H503" s="85"/>
    </row>
    <row r="504">
      <c r="A504" s="84"/>
      <c r="B504" s="85"/>
      <c r="C504" s="85"/>
      <c r="D504" s="85"/>
      <c r="E504" s="86"/>
      <c r="F504" s="85"/>
      <c r="G504" s="85"/>
      <c r="H504" s="85"/>
    </row>
    <row r="505">
      <c r="A505" s="84"/>
      <c r="B505" s="85"/>
      <c r="C505" s="85"/>
      <c r="D505" s="85"/>
      <c r="E505" s="86"/>
      <c r="F505" s="85"/>
      <c r="G505" s="85"/>
      <c r="H505" s="85"/>
    </row>
    <row r="506">
      <c r="A506" s="84"/>
      <c r="B506" s="85"/>
      <c r="C506" s="85"/>
      <c r="D506" s="85"/>
      <c r="E506" s="86"/>
      <c r="F506" s="85"/>
      <c r="G506" s="85"/>
      <c r="H506" s="85"/>
    </row>
    <row r="507">
      <c r="A507" s="84"/>
      <c r="B507" s="85"/>
      <c r="C507" s="85"/>
      <c r="D507" s="85"/>
      <c r="E507" s="86"/>
      <c r="F507" s="85"/>
      <c r="G507" s="85"/>
      <c r="H507" s="85"/>
    </row>
    <row r="508">
      <c r="A508" s="84"/>
      <c r="B508" s="85"/>
      <c r="C508" s="85"/>
      <c r="D508" s="85"/>
      <c r="E508" s="86"/>
      <c r="F508" s="85"/>
      <c r="G508" s="85"/>
      <c r="H508" s="85"/>
    </row>
    <row r="509">
      <c r="A509" s="84"/>
      <c r="B509" s="85"/>
      <c r="C509" s="85"/>
      <c r="D509" s="85"/>
      <c r="E509" s="86"/>
      <c r="F509" s="85"/>
      <c r="G509" s="85"/>
      <c r="H509" s="85"/>
    </row>
    <row r="510">
      <c r="A510" s="84"/>
      <c r="B510" s="85"/>
      <c r="C510" s="85"/>
      <c r="D510" s="85"/>
      <c r="E510" s="86"/>
      <c r="F510" s="85"/>
      <c r="G510" s="85"/>
      <c r="H510" s="85"/>
    </row>
    <row r="511">
      <c r="A511" s="84"/>
      <c r="B511" s="85"/>
      <c r="C511" s="85"/>
      <c r="D511" s="85"/>
      <c r="E511" s="86"/>
      <c r="F511" s="85"/>
      <c r="G511" s="85"/>
      <c r="H511" s="85"/>
    </row>
    <row r="512">
      <c r="A512" s="84"/>
      <c r="B512" s="85"/>
      <c r="C512" s="85"/>
      <c r="D512" s="85"/>
      <c r="E512" s="86"/>
      <c r="F512" s="85"/>
      <c r="G512" s="85"/>
      <c r="H512" s="85"/>
    </row>
    <row r="513">
      <c r="A513" s="84"/>
      <c r="B513" s="85"/>
      <c r="C513" s="85"/>
      <c r="D513" s="85"/>
      <c r="E513" s="86"/>
      <c r="F513" s="85"/>
      <c r="G513" s="85"/>
      <c r="H513" s="85"/>
    </row>
    <row r="514">
      <c r="A514" s="84"/>
      <c r="B514" s="85"/>
      <c r="C514" s="85"/>
      <c r="D514" s="85"/>
      <c r="E514" s="86"/>
      <c r="F514" s="85"/>
      <c r="G514" s="85"/>
      <c r="H514" s="85"/>
    </row>
    <row r="515">
      <c r="A515" s="84"/>
      <c r="B515" s="85"/>
      <c r="C515" s="85"/>
      <c r="D515" s="85"/>
      <c r="E515" s="86"/>
      <c r="F515" s="85"/>
      <c r="G515" s="85"/>
      <c r="H515" s="85"/>
    </row>
    <row r="516">
      <c r="A516" s="84"/>
      <c r="B516" s="85"/>
      <c r="C516" s="85"/>
      <c r="D516" s="85"/>
      <c r="E516" s="86"/>
      <c r="F516" s="85"/>
      <c r="G516" s="85"/>
      <c r="H516" s="85"/>
    </row>
    <row r="517">
      <c r="A517" s="84"/>
      <c r="B517" s="85"/>
      <c r="C517" s="85"/>
      <c r="D517" s="85"/>
      <c r="E517" s="86"/>
      <c r="F517" s="85"/>
      <c r="G517" s="85"/>
      <c r="H517" s="85"/>
    </row>
    <row r="518">
      <c r="A518" s="84"/>
      <c r="B518" s="85"/>
      <c r="C518" s="85"/>
      <c r="D518" s="85"/>
      <c r="E518" s="86"/>
      <c r="F518" s="85"/>
      <c r="G518" s="85"/>
      <c r="H518" s="85"/>
    </row>
    <row r="519">
      <c r="A519" s="84"/>
      <c r="B519" s="85"/>
      <c r="C519" s="85"/>
      <c r="D519" s="85"/>
      <c r="E519" s="86"/>
      <c r="F519" s="85"/>
      <c r="G519" s="85"/>
      <c r="H519" s="85"/>
    </row>
    <row r="520">
      <c r="A520" s="84"/>
      <c r="B520" s="85"/>
      <c r="C520" s="85"/>
      <c r="D520" s="85"/>
      <c r="E520" s="86"/>
      <c r="F520" s="85"/>
      <c r="G520" s="85"/>
      <c r="H520" s="85"/>
    </row>
    <row r="521">
      <c r="A521" s="84"/>
      <c r="B521" s="85"/>
      <c r="C521" s="85"/>
      <c r="D521" s="85"/>
      <c r="E521" s="86"/>
      <c r="F521" s="85"/>
      <c r="G521" s="85"/>
      <c r="H521" s="85"/>
    </row>
    <row r="522">
      <c r="A522" s="84"/>
      <c r="B522" s="85"/>
      <c r="C522" s="85"/>
      <c r="D522" s="85"/>
      <c r="E522" s="86"/>
      <c r="F522" s="85"/>
      <c r="G522" s="85"/>
      <c r="H522" s="85"/>
    </row>
    <row r="523">
      <c r="A523" s="84"/>
      <c r="B523" s="85"/>
      <c r="C523" s="85"/>
      <c r="D523" s="85"/>
      <c r="E523" s="86"/>
      <c r="F523" s="85"/>
      <c r="G523" s="85"/>
      <c r="H523" s="85"/>
    </row>
    <row r="524">
      <c r="A524" s="84"/>
      <c r="B524" s="85"/>
      <c r="C524" s="85"/>
      <c r="D524" s="85"/>
      <c r="E524" s="86"/>
      <c r="F524" s="85"/>
      <c r="G524" s="85"/>
      <c r="H524" s="85"/>
    </row>
    <row r="525">
      <c r="A525" s="84"/>
      <c r="B525" s="85"/>
      <c r="C525" s="85"/>
      <c r="D525" s="85"/>
      <c r="E525" s="86"/>
      <c r="F525" s="85"/>
      <c r="G525" s="85"/>
      <c r="H525" s="85"/>
    </row>
    <row r="526">
      <c r="A526" s="84"/>
      <c r="B526" s="85"/>
      <c r="C526" s="85"/>
      <c r="D526" s="85"/>
      <c r="E526" s="86"/>
      <c r="F526" s="85"/>
      <c r="G526" s="85"/>
      <c r="H526" s="85"/>
    </row>
    <row r="527">
      <c r="A527" s="84"/>
      <c r="B527" s="85"/>
      <c r="C527" s="85"/>
      <c r="D527" s="85"/>
      <c r="E527" s="86"/>
      <c r="F527" s="85"/>
      <c r="G527" s="85"/>
      <c r="H527" s="85"/>
    </row>
    <row r="528">
      <c r="A528" s="84"/>
      <c r="B528" s="85"/>
      <c r="C528" s="85"/>
      <c r="D528" s="85"/>
      <c r="E528" s="86"/>
      <c r="F528" s="85"/>
      <c r="G528" s="85"/>
      <c r="H528" s="85"/>
    </row>
    <row r="529">
      <c r="A529" s="84"/>
      <c r="B529" s="85"/>
      <c r="C529" s="85"/>
      <c r="D529" s="85"/>
      <c r="E529" s="86"/>
      <c r="F529" s="85"/>
      <c r="G529" s="85"/>
      <c r="H529" s="85"/>
    </row>
    <row r="530">
      <c r="A530" s="84"/>
      <c r="B530" s="85"/>
      <c r="C530" s="85"/>
      <c r="D530" s="85"/>
      <c r="E530" s="86"/>
      <c r="F530" s="85"/>
      <c r="G530" s="85"/>
      <c r="H530" s="85"/>
    </row>
    <row r="531">
      <c r="A531" s="84"/>
      <c r="B531" s="85"/>
      <c r="C531" s="85"/>
      <c r="D531" s="85"/>
      <c r="E531" s="86"/>
      <c r="F531" s="85"/>
      <c r="G531" s="85"/>
      <c r="H531" s="85"/>
    </row>
    <row r="532">
      <c r="A532" s="84"/>
      <c r="B532" s="85"/>
      <c r="C532" s="85"/>
      <c r="D532" s="85"/>
      <c r="E532" s="86"/>
      <c r="F532" s="85"/>
      <c r="G532" s="85"/>
      <c r="H532" s="85"/>
    </row>
    <row r="533">
      <c r="A533" s="84"/>
      <c r="B533" s="85"/>
      <c r="C533" s="85"/>
      <c r="D533" s="85"/>
      <c r="E533" s="86"/>
      <c r="F533" s="85"/>
      <c r="G533" s="85"/>
      <c r="H533" s="85"/>
    </row>
    <row r="534">
      <c r="A534" s="84"/>
      <c r="B534" s="85"/>
      <c r="C534" s="85"/>
      <c r="D534" s="85"/>
      <c r="E534" s="86"/>
      <c r="F534" s="85"/>
      <c r="G534" s="85"/>
      <c r="H534" s="85"/>
    </row>
    <row r="535">
      <c r="A535" s="84"/>
      <c r="B535" s="85"/>
      <c r="C535" s="85"/>
      <c r="D535" s="85"/>
      <c r="E535" s="86"/>
      <c r="F535" s="85"/>
      <c r="G535" s="85"/>
      <c r="H535" s="85"/>
    </row>
    <row r="536">
      <c r="A536" s="84"/>
      <c r="B536" s="85"/>
      <c r="C536" s="85"/>
      <c r="D536" s="85"/>
      <c r="E536" s="86"/>
      <c r="F536" s="85"/>
      <c r="G536" s="85"/>
      <c r="H536" s="85"/>
    </row>
    <row r="537">
      <c r="A537" s="84"/>
      <c r="B537" s="85"/>
      <c r="C537" s="85"/>
      <c r="D537" s="85"/>
      <c r="E537" s="86"/>
      <c r="F537" s="85"/>
      <c r="G537" s="85"/>
      <c r="H537" s="85"/>
    </row>
    <row r="538">
      <c r="A538" s="84"/>
      <c r="B538" s="85"/>
      <c r="C538" s="85"/>
      <c r="D538" s="85"/>
      <c r="E538" s="86"/>
      <c r="F538" s="85"/>
      <c r="G538" s="85"/>
      <c r="H538" s="85"/>
    </row>
    <row r="539">
      <c r="A539" s="84"/>
      <c r="B539" s="85"/>
      <c r="C539" s="85"/>
      <c r="D539" s="85"/>
      <c r="E539" s="86"/>
      <c r="F539" s="85"/>
      <c r="G539" s="85"/>
      <c r="H539" s="85"/>
    </row>
    <row r="540">
      <c r="A540" s="84"/>
      <c r="B540" s="85"/>
      <c r="C540" s="85"/>
      <c r="D540" s="85"/>
      <c r="E540" s="86"/>
      <c r="F540" s="85"/>
      <c r="G540" s="85"/>
      <c r="H540" s="85"/>
    </row>
    <row r="541">
      <c r="A541" s="84"/>
      <c r="B541" s="85"/>
      <c r="C541" s="85"/>
      <c r="D541" s="85"/>
      <c r="E541" s="86"/>
      <c r="F541" s="85"/>
      <c r="G541" s="85"/>
      <c r="H541" s="85"/>
    </row>
    <row r="542">
      <c r="A542" s="84"/>
      <c r="B542" s="85"/>
      <c r="C542" s="85"/>
      <c r="D542" s="85"/>
      <c r="E542" s="86"/>
      <c r="F542" s="85"/>
      <c r="G542" s="85"/>
      <c r="H542" s="85"/>
    </row>
    <row r="543">
      <c r="A543" s="84"/>
      <c r="B543" s="85"/>
      <c r="C543" s="85"/>
      <c r="D543" s="85"/>
      <c r="E543" s="86"/>
      <c r="F543" s="85"/>
      <c r="G543" s="85"/>
      <c r="H543" s="85"/>
    </row>
    <row r="544">
      <c r="A544" s="84"/>
      <c r="B544" s="85"/>
      <c r="C544" s="85"/>
      <c r="D544" s="85"/>
      <c r="E544" s="86"/>
      <c r="F544" s="85"/>
      <c r="G544" s="85"/>
      <c r="H544" s="85"/>
    </row>
    <row r="545">
      <c r="A545" s="84"/>
      <c r="B545" s="85"/>
      <c r="C545" s="85"/>
      <c r="D545" s="85"/>
      <c r="E545" s="86"/>
      <c r="F545" s="85"/>
      <c r="G545" s="85"/>
      <c r="H545" s="85"/>
    </row>
    <row r="546">
      <c r="A546" s="84"/>
      <c r="B546" s="85"/>
      <c r="C546" s="85"/>
      <c r="D546" s="85"/>
      <c r="E546" s="86"/>
      <c r="F546" s="85"/>
      <c r="G546" s="85"/>
      <c r="H546" s="85"/>
    </row>
    <row r="547">
      <c r="A547" s="84"/>
      <c r="B547" s="85"/>
      <c r="C547" s="85"/>
      <c r="D547" s="85"/>
      <c r="E547" s="86"/>
      <c r="F547" s="85"/>
      <c r="G547" s="85"/>
      <c r="H547" s="85"/>
    </row>
    <row r="548">
      <c r="A548" s="84"/>
      <c r="B548" s="85"/>
      <c r="C548" s="85"/>
      <c r="D548" s="85"/>
      <c r="E548" s="86"/>
      <c r="F548" s="85"/>
      <c r="G548" s="85"/>
      <c r="H548" s="85"/>
    </row>
    <row r="549">
      <c r="A549" s="84"/>
      <c r="B549" s="85"/>
      <c r="C549" s="85"/>
      <c r="D549" s="85"/>
      <c r="E549" s="86"/>
      <c r="F549" s="85"/>
      <c r="G549" s="85"/>
      <c r="H549" s="85"/>
    </row>
    <row r="550">
      <c r="A550" s="84"/>
      <c r="B550" s="85"/>
      <c r="C550" s="85"/>
      <c r="D550" s="85"/>
      <c r="E550" s="86"/>
      <c r="F550" s="85"/>
      <c r="G550" s="85"/>
      <c r="H550" s="85"/>
    </row>
    <row r="551">
      <c r="A551" s="84"/>
      <c r="B551" s="85"/>
      <c r="C551" s="85"/>
      <c r="D551" s="85"/>
      <c r="E551" s="86"/>
      <c r="F551" s="85"/>
      <c r="G551" s="85"/>
      <c r="H551" s="85"/>
    </row>
    <row r="552">
      <c r="A552" s="84"/>
      <c r="B552" s="85"/>
      <c r="C552" s="85"/>
      <c r="D552" s="85"/>
      <c r="E552" s="86"/>
      <c r="F552" s="85"/>
      <c r="G552" s="85"/>
      <c r="H552" s="85"/>
    </row>
    <row r="553">
      <c r="A553" s="84"/>
      <c r="B553" s="85"/>
      <c r="C553" s="85"/>
      <c r="D553" s="85"/>
      <c r="E553" s="86"/>
      <c r="F553" s="85"/>
      <c r="G553" s="85"/>
      <c r="H553" s="85"/>
    </row>
    <row r="554">
      <c r="A554" s="84"/>
      <c r="B554" s="85"/>
      <c r="C554" s="85"/>
      <c r="D554" s="85"/>
      <c r="E554" s="86"/>
      <c r="F554" s="85"/>
      <c r="G554" s="85"/>
      <c r="H554" s="85"/>
    </row>
    <row r="555">
      <c r="A555" s="84"/>
      <c r="B555" s="85"/>
      <c r="C555" s="85"/>
      <c r="D555" s="85"/>
      <c r="E555" s="86"/>
      <c r="F555" s="85"/>
      <c r="G555" s="85"/>
      <c r="H555" s="85"/>
    </row>
    <row r="556">
      <c r="A556" s="84"/>
      <c r="B556" s="85"/>
      <c r="C556" s="85"/>
      <c r="D556" s="85"/>
      <c r="E556" s="86"/>
      <c r="F556" s="85"/>
      <c r="G556" s="85"/>
      <c r="H556" s="85"/>
    </row>
    <row r="557">
      <c r="A557" s="84"/>
      <c r="B557" s="85"/>
      <c r="C557" s="85"/>
      <c r="D557" s="85"/>
      <c r="E557" s="86"/>
      <c r="F557" s="85"/>
      <c r="G557" s="85"/>
      <c r="H557" s="85"/>
    </row>
    <row r="558">
      <c r="A558" s="84"/>
      <c r="B558" s="85"/>
      <c r="C558" s="85"/>
      <c r="D558" s="85"/>
      <c r="E558" s="86"/>
      <c r="F558" s="85"/>
      <c r="G558" s="85"/>
      <c r="H558" s="85"/>
    </row>
    <row r="559">
      <c r="A559" s="84"/>
      <c r="B559" s="85"/>
      <c r="C559" s="85"/>
      <c r="D559" s="85"/>
      <c r="E559" s="86"/>
      <c r="F559" s="85"/>
      <c r="G559" s="85"/>
      <c r="H559" s="85"/>
    </row>
    <row r="560">
      <c r="A560" s="84"/>
      <c r="B560" s="85"/>
      <c r="C560" s="85"/>
      <c r="D560" s="85"/>
      <c r="E560" s="86"/>
      <c r="F560" s="85"/>
      <c r="G560" s="85"/>
      <c r="H560" s="85"/>
    </row>
    <row r="561">
      <c r="A561" s="84"/>
      <c r="B561" s="85"/>
      <c r="C561" s="85"/>
      <c r="D561" s="85"/>
      <c r="E561" s="86"/>
      <c r="F561" s="85"/>
      <c r="G561" s="85"/>
      <c r="H561" s="85"/>
    </row>
    <row r="562">
      <c r="A562" s="84"/>
      <c r="B562" s="85"/>
      <c r="C562" s="85"/>
      <c r="D562" s="85"/>
      <c r="E562" s="86"/>
      <c r="F562" s="85"/>
      <c r="G562" s="85"/>
      <c r="H562" s="85"/>
    </row>
    <row r="563">
      <c r="A563" s="84"/>
      <c r="B563" s="85"/>
      <c r="C563" s="85"/>
      <c r="D563" s="85"/>
      <c r="E563" s="86"/>
      <c r="F563" s="85"/>
      <c r="G563" s="85"/>
      <c r="H563" s="85"/>
    </row>
    <row r="564">
      <c r="A564" s="84"/>
      <c r="B564" s="85"/>
      <c r="C564" s="85"/>
      <c r="D564" s="85"/>
      <c r="E564" s="86"/>
      <c r="F564" s="85"/>
      <c r="G564" s="85"/>
      <c r="H564" s="85"/>
    </row>
    <row r="565">
      <c r="A565" s="84"/>
      <c r="B565" s="85"/>
      <c r="C565" s="85"/>
      <c r="D565" s="85"/>
      <c r="E565" s="86"/>
      <c r="F565" s="85"/>
      <c r="G565" s="85"/>
      <c r="H565" s="85"/>
    </row>
    <row r="566">
      <c r="A566" s="84"/>
      <c r="B566" s="85"/>
      <c r="C566" s="85"/>
      <c r="D566" s="85"/>
      <c r="E566" s="86"/>
      <c r="F566" s="85"/>
      <c r="G566" s="85"/>
      <c r="H566" s="85"/>
    </row>
    <row r="567">
      <c r="A567" s="84"/>
      <c r="B567" s="85"/>
      <c r="C567" s="85"/>
      <c r="D567" s="85"/>
      <c r="E567" s="86"/>
      <c r="F567" s="85"/>
      <c r="G567" s="85"/>
      <c r="H567" s="85"/>
    </row>
    <row r="568">
      <c r="A568" s="84"/>
      <c r="B568" s="85"/>
      <c r="C568" s="85"/>
      <c r="D568" s="85"/>
      <c r="E568" s="86"/>
      <c r="F568" s="85"/>
      <c r="G568" s="85"/>
      <c r="H568" s="85"/>
    </row>
    <row r="569">
      <c r="A569" s="84"/>
      <c r="B569" s="85"/>
      <c r="C569" s="85"/>
      <c r="D569" s="85"/>
      <c r="E569" s="86"/>
      <c r="F569" s="85"/>
      <c r="G569" s="85"/>
      <c r="H569" s="85"/>
    </row>
    <row r="570">
      <c r="A570" s="84"/>
      <c r="B570" s="85"/>
      <c r="C570" s="85"/>
      <c r="D570" s="85"/>
      <c r="E570" s="86"/>
      <c r="F570" s="85"/>
      <c r="G570" s="85"/>
      <c r="H570" s="85"/>
    </row>
    <row r="571">
      <c r="A571" s="84"/>
      <c r="B571" s="85"/>
      <c r="C571" s="85"/>
      <c r="D571" s="85"/>
      <c r="E571" s="86"/>
      <c r="F571" s="85"/>
      <c r="G571" s="85"/>
      <c r="H571" s="85"/>
    </row>
    <row r="572">
      <c r="A572" s="84"/>
      <c r="B572" s="85"/>
      <c r="C572" s="85"/>
      <c r="D572" s="85"/>
      <c r="E572" s="86"/>
      <c r="F572" s="85"/>
      <c r="G572" s="85"/>
      <c r="H572" s="85"/>
    </row>
    <row r="573">
      <c r="A573" s="84"/>
      <c r="B573" s="85"/>
      <c r="C573" s="85"/>
      <c r="D573" s="85"/>
      <c r="E573" s="86"/>
      <c r="F573" s="85"/>
      <c r="G573" s="85"/>
      <c r="H573" s="85"/>
    </row>
    <row r="574">
      <c r="A574" s="84"/>
      <c r="B574" s="85"/>
      <c r="C574" s="85"/>
      <c r="D574" s="85"/>
      <c r="E574" s="86"/>
      <c r="F574" s="85"/>
      <c r="G574" s="85"/>
      <c r="H574" s="85"/>
    </row>
    <row r="575">
      <c r="A575" s="84"/>
      <c r="B575" s="85"/>
      <c r="C575" s="85"/>
      <c r="D575" s="85"/>
      <c r="E575" s="86"/>
      <c r="F575" s="85"/>
      <c r="G575" s="85"/>
      <c r="H575" s="85"/>
    </row>
    <row r="576">
      <c r="A576" s="84"/>
      <c r="B576" s="85"/>
      <c r="C576" s="85"/>
      <c r="D576" s="85"/>
      <c r="E576" s="86"/>
      <c r="F576" s="85"/>
      <c r="G576" s="85"/>
      <c r="H576" s="85"/>
    </row>
    <row r="577">
      <c r="A577" s="84"/>
      <c r="B577" s="85"/>
      <c r="C577" s="85"/>
      <c r="D577" s="85"/>
      <c r="E577" s="86"/>
      <c r="F577" s="85"/>
      <c r="G577" s="85"/>
      <c r="H577" s="85"/>
    </row>
    <row r="578">
      <c r="A578" s="84"/>
      <c r="B578" s="85"/>
      <c r="C578" s="85"/>
      <c r="D578" s="85"/>
      <c r="E578" s="86"/>
      <c r="F578" s="85"/>
      <c r="G578" s="85"/>
      <c r="H578" s="85"/>
    </row>
    <row r="579">
      <c r="A579" s="84"/>
      <c r="B579" s="85"/>
      <c r="C579" s="85"/>
      <c r="D579" s="85"/>
      <c r="E579" s="86"/>
      <c r="F579" s="85"/>
      <c r="G579" s="85"/>
      <c r="H579" s="85"/>
    </row>
    <row r="580">
      <c r="A580" s="84"/>
      <c r="B580" s="85"/>
      <c r="C580" s="85"/>
      <c r="D580" s="85"/>
      <c r="E580" s="86"/>
      <c r="F580" s="85"/>
      <c r="G580" s="85"/>
      <c r="H580" s="85"/>
    </row>
    <row r="581">
      <c r="A581" s="84"/>
      <c r="B581" s="85"/>
      <c r="C581" s="85"/>
      <c r="D581" s="85"/>
      <c r="E581" s="86"/>
      <c r="F581" s="85"/>
      <c r="G581" s="85"/>
      <c r="H581" s="85"/>
    </row>
    <row r="582">
      <c r="A582" s="84"/>
      <c r="B582" s="85"/>
      <c r="C582" s="85"/>
      <c r="D582" s="85"/>
      <c r="E582" s="86"/>
      <c r="F582" s="85"/>
      <c r="G582" s="85"/>
      <c r="H582" s="85"/>
    </row>
    <row r="583">
      <c r="A583" s="84"/>
      <c r="B583" s="85"/>
      <c r="C583" s="85"/>
      <c r="D583" s="85"/>
      <c r="E583" s="86"/>
      <c r="F583" s="85"/>
      <c r="G583" s="85"/>
      <c r="H583" s="85"/>
    </row>
    <row r="584">
      <c r="A584" s="84"/>
      <c r="B584" s="85"/>
      <c r="C584" s="85"/>
      <c r="D584" s="85"/>
      <c r="E584" s="86"/>
      <c r="F584" s="85"/>
      <c r="G584" s="85"/>
      <c r="H584" s="85"/>
    </row>
    <row r="585">
      <c r="A585" s="84"/>
      <c r="B585" s="85"/>
      <c r="C585" s="85"/>
      <c r="D585" s="85"/>
      <c r="E585" s="86"/>
      <c r="F585" s="85"/>
      <c r="G585" s="85"/>
      <c r="H585" s="85"/>
    </row>
    <row r="586">
      <c r="A586" s="84"/>
      <c r="B586" s="85"/>
      <c r="C586" s="85"/>
      <c r="D586" s="85"/>
      <c r="E586" s="86"/>
      <c r="F586" s="85"/>
      <c r="G586" s="85"/>
      <c r="H586" s="85"/>
    </row>
    <row r="587">
      <c r="A587" s="84"/>
      <c r="B587" s="85"/>
      <c r="C587" s="85"/>
      <c r="D587" s="85"/>
      <c r="E587" s="86"/>
      <c r="F587" s="85"/>
      <c r="G587" s="85"/>
      <c r="H587" s="85"/>
    </row>
    <row r="588">
      <c r="A588" s="84"/>
      <c r="B588" s="85"/>
      <c r="C588" s="85"/>
      <c r="D588" s="85"/>
      <c r="E588" s="86"/>
      <c r="F588" s="85"/>
      <c r="G588" s="85"/>
      <c r="H588" s="85"/>
    </row>
    <row r="589">
      <c r="A589" s="84"/>
      <c r="B589" s="85"/>
      <c r="C589" s="85"/>
      <c r="D589" s="85"/>
      <c r="E589" s="86"/>
      <c r="F589" s="85"/>
      <c r="G589" s="85"/>
      <c r="H589" s="85"/>
    </row>
    <row r="590">
      <c r="A590" s="84"/>
      <c r="B590" s="85"/>
      <c r="C590" s="85"/>
      <c r="D590" s="85"/>
      <c r="E590" s="86"/>
      <c r="F590" s="85"/>
      <c r="G590" s="85"/>
      <c r="H590" s="85"/>
    </row>
    <row r="591">
      <c r="A591" s="84"/>
      <c r="B591" s="85"/>
      <c r="C591" s="85"/>
      <c r="D591" s="85"/>
      <c r="E591" s="86"/>
      <c r="F591" s="85"/>
      <c r="G591" s="85"/>
      <c r="H591" s="85"/>
    </row>
    <row r="592">
      <c r="A592" s="84"/>
      <c r="B592" s="85"/>
      <c r="C592" s="85"/>
      <c r="D592" s="85"/>
      <c r="E592" s="86"/>
      <c r="F592" s="85"/>
      <c r="G592" s="85"/>
      <c r="H592" s="85"/>
    </row>
    <row r="593">
      <c r="A593" s="84"/>
      <c r="B593" s="85"/>
      <c r="C593" s="85"/>
      <c r="D593" s="85"/>
      <c r="E593" s="86"/>
      <c r="F593" s="85"/>
      <c r="G593" s="85"/>
      <c r="H593" s="85"/>
    </row>
    <row r="594">
      <c r="A594" s="84"/>
      <c r="B594" s="85"/>
      <c r="C594" s="85"/>
      <c r="D594" s="85"/>
      <c r="E594" s="86"/>
      <c r="F594" s="85"/>
      <c r="G594" s="85"/>
      <c r="H594" s="85"/>
    </row>
    <row r="595">
      <c r="A595" s="84"/>
      <c r="B595" s="85"/>
      <c r="C595" s="85"/>
      <c r="D595" s="85"/>
      <c r="E595" s="86"/>
      <c r="F595" s="85"/>
      <c r="G595" s="85"/>
      <c r="H595" s="85"/>
    </row>
    <row r="596">
      <c r="A596" s="84"/>
      <c r="B596" s="85"/>
      <c r="C596" s="85"/>
      <c r="D596" s="85"/>
      <c r="E596" s="86"/>
      <c r="F596" s="85"/>
      <c r="G596" s="85"/>
      <c r="H596" s="85"/>
    </row>
    <row r="597">
      <c r="A597" s="84"/>
      <c r="B597" s="85"/>
      <c r="C597" s="85"/>
      <c r="D597" s="85"/>
      <c r="E597" s="86"/>
      <c r="F597" s="85"/>
      <c r="G597" s="85"/>
      <c r="H597" s="85"/>
    </row>
    <row r="598">
      <c r="A598" s="84"/>
      <c r="B598" s="85"/>
      <c r="C598" s="85"/>
      <c r="D598" s="85"/>
      <c r="E598" s="86"/>
      <c r="F598" s="85"/>
      <c r="G598" s="85"/>
      <c r="H598" s="85"/>
    </row>
    <row r="599">
      <c r="A599" s="84"/>
      <c r="B599" s="85"/>
      <c r="C599" s="85"/>
      <c r="D599" s="85"/>
      <c r="E599" s="86"/>
      <c r="F599" s="85"/>
      <c r="G599" s="85"/>
      <c r="H599" s="85"/>
    </row>
    <row r="600">
      <c r="A600" s="84"/>
      <c r="B600" s="85"/>
      <c r="C600" s="85"/>
      <c r="D600" s="85"/>
      <c r="E600" s="86"/>
      <c r="F600" s="85"/>
      <c r="G600" s="85"/>
      <c r="H600" s="85"/>
    </row>
    <row r="601">
      <c r="A601" s="84"/>
      <c r="B601" s="85"/>
      <c r="C601" s="85"/>
      <c r="D601" s="85"/>
      <c r="E601" s="86"/>
      <c r="F601" s="85"/>
      <c r="G601" s="85"/>
      <c r="H601" s="85"/>
    </row>
    <row r="602">
      <c r="A602" s="84"/>
      <c r="B602" s="85"/>
      <c r="C602" s="85"/>
      <c r="D602" s="85"/>
      <c r="E602" s="86"/>
      <c r="F602" s="85"/>
      <c r="G602" s="85"/>
      <c r="H602" s="85"/>
    </row>
    <row r="603">
      <c r="A603" s="84"/>
      <c r="B603" s="85"/>
      <c r="C603" s="85"/>
      <c r="D603" s="85"/>
      <c r="E603" s="86"/>
      <c r="F603" s="85"/>
      <c r="G603" s="85"/>
      <c r="H603" s="85"/>
    </row>
    <row r="604">
      <c r="A604" s="84"/>
      <c r="B604" s="85"/>
      <c r="C604" s="85"/>
      <c r="D604" s="85"/>
      <c r="E604" s="86"/>
      <c r="F604" s="85"/>
      <c r="G604" s="85"/>
      <c r="H604" s="85"/>
    </row>
    <row r="605">
      <c r="A605" s="84"/>
      <c r="B605" s="85"/>
      <c r="C605" s="85"/>
      <c r="D605" s="85"/>
      <c r="E605" s="86"/>
      <c r="F605" s="85"/>
      <c r="G605" s="85"/>
      <c r="H605" s="85"/>
    </row>
    <row r="606">
      <c r="A606" s="84"/>
      <c r="B606" s="85"/>
      <c r="C606" s="85"/>
      <c r="D606" s="85"/>
      <c r="E606" s="86"/>
      <c r="F606" s="85"/>
      <c r="G606" s="85"/>
      <c r="H606" s="85"/>
    </row>
    <row r="607">
      <c r="A607" s="84"/>
      <c r="B607" s="85"/>
      <c r="C607" s="85"/>
      <c r="D607" s="85"/>
      <c r="E607" s="86"/>
      <c r="F607" s="85"/>
      <c r="G607" s="85"/>
      <c r="H607" s="85"/>
    </row>
    <row r="608">
      <c r="A608" s="84"/>
      <c r="B608" s="85"/>
      <c r="C608" s="85"/>
      <c r="D608" s="85"/>
      <c r="E608" s="86"/>
      <c r="F608" s="85"/>
      <c r="G608" s="85"/>
      <c r="H608" s="85"/>
    </row>
    <row r="609">
      <c r="A609" s="84"/>
      <c r="B609" s="85"/>
      <c r="C609" s="85"/>
      <c r="D609" s="85"/>
      <c r="E609" s="86"/>
      <c r="F609" s="85"/>
      <c r="G609" s="85"/>
      <c r="H609" s="85"/>
    </row>
    <row r="610">
      <c r="A610" s="84"/>
      <c r="B610" s="85"/>
      <c r="C610" s="85"/>
      <c r="D610" s="85"/>
      <c r="E610" s="86"/>
      <c r="F610" s="85"/>
      <c r="G610" s="85"/>
      <c r="H610" s="85"/>
    </row>
    <row r="611">
      <c r="A611" s="84"/>
      <c r="B611" s="85"/>
      <c r="C611" s="85"/>
      <c r="D611" s="85"/>
      <c r="E611" s="86"/>
      <c r="F611" s="85"/>
      <c r="G611" s="85"/>
      <c r="H611" s="85"/>
    </row>
    <row r="612">
      <c r="A612" s="84"/>
      <c r="B612" s="85"/>
      <c r="C612" s="85"/>
      <c r="D612" s="85"/>
      <c r="E612" s="86"/>
      <c r="F612" s="85"/>
      <c r="G612" s="85"/>
      <c r="H612" s="85"/>
    </row>
    <row r="613">
      <c r="A613" s="84"/>
      <c r="B613" s="85"/>
      <c r="C613" s="85"/>
      <c r="D613" s="85"/>
      <c r="E613" s="86"/>
      <c r="F613" s="85"/>
      <c r="G613" s="85"/>
      <c r="H613" s="85"/>
    </row>
    <row r="614">
      <c r="A614" s="84"/>
      <c r="B614" s="85"/>
      <c r="C614" s="85"/>
      <c r="D614" s="85"/>
      <c r="E614" s="86"/>
      <c r="F614" s="85"/>
      <c r="G614" s="85"/>
      <c r="H614" s="85"/>
    </row>
    <row r="615">
      <c r="A615" s="84"/>
      <c r="B615" s="85"/>
      <c r="C615" s="85"/>
      <c r="D615" s="85"/>
      <c r="E615" s="86"/>
      <c r="F615" s="85"/>
      <c r="G615" s="85"/>
      <c r="H615" s="85"/>
    </row>
    <row r="616">
      <c r="A616" s="84"/>
      <c r="B616" s="85"/>
      <c r="C616" s="85"/>
      <c r="D616" s="85"/>
      <c r="E616" s="86"/>
      <c r="F616" s="85"/>
      <c r="G616" s="85"/>
      <c r="H616" s="85"/>
    </row>
    <row r="617">
      <c r="A617" s="84"/>
      <c r="B617" s="85"/>
      <c r="C617" s="85"/>
      <c r="D617" s="85"/>
      <c r="E617" s="86"/>
      <c r="F617" s="85"/>
      <c r="G617" s="85"/>
      <c r="H617" s="85"/>
    </row>
    <row r="618">
      <c r="A618" s="84"/>
      <c r="B618" s="85"/>
      <c r="C618" s="85"/>
      <c r="D618" s="85"/>
      <c r="E618" s="86"/>
      <c r="F618" s="85"/>
      <c r="G618" s="85"/>
      <c r="H618" s="85"/>
    </row>
    <row r="619">
      <c r="A619" s="84"/>
      <c r="B619" s="85"/>
      <c r="C619" s="85"/>
      <c r="D619" s="85"/>
      <c r="E619" s="86"/>
      <c r="F619" s="85"/>
      <c r="G619" s="85"/>
      <c r="H619" s="85"/>
    </row>
    <row r="620">
      <c r="A620" s="84"/>
      <c r="B620" s="85"/>
      <c r="C620" s="85"/>
      <c r="D620" s="85"/>
      <c r="E620" s="86"/>
      <c r="F620" s="85"/>
      <c r="G620" s="85"/>
      <c r="H620" s="85"/>
    </row>
    <row r="621">
      <c r="A621" s="84"/>
      <c r="B621" s="85"/>
      <c r="C621" s="85"/>
      <c r="D621" s="85"/>
      <c r="E621" s="86"/>
      <c r="F621" s="85"/>
      <c r="G621" s="85"/>
      <c r="H621" s="85"/>
    </row>
    <row r="622">
      <c r="A622" s="84"/>
      <c r="B622" s="85"/>
      <c r="C622" s="85"/>
      <c r="D622" s="85"/>
      <c r="E622" s="86"/>
      <c r="F622" s="85"/>
      <c r="G622" s="85"/>
      <c r="H622" s="85"/>
    </row>
    <row r="623">
      <c r="A623" s="84"/>
      <c r="B623" s="85"/>
      <c r="C623" s="85"/>
      <c r="D623" s="85"/>
      <c r="E623" s="86"/>
      <c r="F623" s="85"/>
      <c r="G623" s="85"/>
      <c r="H623" s="85"/>
    </row>
    <row r="624">
      <c r="A624" s="84"/>
      <c r="B624" s="85"/>
      <c r="C624" s="85"/>
      <c r="D624" s="85"/>
      <c r="E624" s="86"/>
      <c r="F624" s="85"/>
      <c r="G624" s="85"/>
      <c r="H624" s="85"/>
    </row>
    <row r="625">
      <c r="A625" s="84"/>
      <c r="B625" s="85"/>
      <c r="C625" s="85"/>
      <c r="D625" s="85"/>
      <c r="E625" s="86"/>
      <c r="F625" s="85"/>
      <c r="G625" s="85"/>
      <c r="H625" s="85"/>
    </row>
    <row r="626">
      <c r="A626" s="84"/>
      <c r="B626" s="85"/>
      <c r="C626" s="85"/>
      <c r="D626" s="85"/>
      <c r="E626" s="86"/>
      <c r="F626" s="85"/>
      <c r="G626" s="85"/>
      <c r="H626" s="85"/>
    </row>
    <row r="627">
      <c r="A627" s="84"/>
      <c r="B627" s="85"/>
      <c r="C627" s="85"/>
      <c r="D627" s="85"/>
      <c r="E627" s="86"/>
      <c r="F627" s="85"/>
      <c r="G627" s="85"/>
      <c r="H627" s="85"/>
    </row>
    <row r="628">
      <c r="A628" s="84"/>
      <c r="B628" s="85"/>
      <c r="C628" s="85"/>
      <c r="D628" s="85"/>
      <c r="E628" s="86"/>
      <c r="F628" s="85"/>
      <c r="G628" s="85"/>
      <c r="H628" s="85"/>
    </row>
    <row r="629">
      <c r="A629" s="84"/>
      <c r="B629" s="85"/>
      <c r="C629" s="85"/>
      <c r="D629" s="85"/>
      <c r="E629" s="86"/>
      <c r="F629" s="85"/>
      <c r="G629" s="85"/>
      <c r="H629" s="85"/>
    </row>
    <row r="630">
      <c r="A630" s="84"/>
      <c r="B630" s="85"/>
      <c r="C630" s="85"/>
      <c r="D630" s="85"/>
      <c r="E630" s="86"/>
      <c r="F630" s="85"/>
      <c r="G630" s="85"/>
      <c r="H630" s="85"/>
    </row>
    <row r="631">
      <c r="A631" s="84"/>
      <c r="B631" s="85"/>
      <c r="C631" s="85"/>
      <c r="D631" s="85"/>
      <c r="E631" s="86"/>
      <c r="F631" s="85"/>
      <c r="G631" s="85"/>
      <c r="H631" s="85"/>
    </row>
    <row r="632">
      <c r="A632" s="84"/>
      <c r="B632" s="85"/>
      <c r="C632" s="85"/>
      <c r="D632" s="85"/>
      <c r="E632" s="86"/>
      <c r="F632" s="85"/>
      <c r="G632" s="85"/>
      <c r="H632" s="85"/>
    </row>
    <row r="633">
      <c r="A633" s="84"/>
      <c r="B633" s="85"/>
      <c r="C633" s="85"/>
      <c r="D633" s="85"/>
      <c r="E633" s="86"/>
      <c r="F633" s="85"/>
      <c r="G633" s="85"/>
      <c r="H633" s="85"/>
    </row>
    <row r="634">
      <c r="A634" s="84"/>
      <c r="B634" s="85"/>
      <c r="C634" s="85"/>
      <c r="D634" s="85"/>
      <c r="E634" s="86"/>
      <c r="F634" s="85"/>
      <c r="G634" s="85"/>
      <c r="H634" s="85"/>
    </row>
    <row r="635">
      <c r="A635" s="84"/>
      <c r="B635" s="85"/>
      <c r="C635" s="85"/>
      <c r="D635" s="85"/>
      <c r="E635" s="86"/>
      <c r="F635" s="85"/>
      <c r="G635" s="85"/>
      <c r="H635" s="85"/>
    </row>
    <row r="636">
      <c r="A636" s="84"/>
      <c r="B636" s="85"/>
      <c r="C636" s="85"/>
      <c r="D636" s="85"/>
      <c r="E636" s="86"/>
      <c r="F636" s="85"/>
      <c r="G636" s="85"/>
      <c r="H636" s="85"/>
    </row>
    <row r="637">
      <c r="A637" s="84"/>
      <c r="B637" s="85"/>
      <c r="C637" s="85"/>
      <c r="D637" s="85"/>
      <c r="E637" s="86"/>
      <c r="F637" s="85"/>
      <c r="G637" s="85"/>
      <c r="H637" s="85"/>
    </row>
    <row r="638">
      <c r="A638" s="84"/>
      <c r="B638" s="85"/>
      <c r="C638" s="85"/>
      <c r="D638" s="85"/>
      <c r="E638" s="86"/>
      <c r="F638" s="85"/>
      <c r="G638" s="85"/>
      <c r="H638" s="85"/>
    </row>
    <row r="639">
      <c r="A639" s="84"/>
      <c r="B639" s="85"/>
      <c r="C639" s="85"/>
      <c r="D639" s="85"/>
      <c r="E639" s="86"/>
      <c r="F639" s="85"/>
      <c r="G639" s="85"/>
      <c r="H639" s="85"/>
    </row>
    <row r="640">
      <c r="A640" s="84"/>
      <c r="B640" s="85"/>
      <c r="C640" s="85"/>
      <c r="D640" s="85"/>
      <c r="E640" s="86"/>
      <c r="F640" s="85"/>
      <c r="G640" s="85"/>
      <c r="H640" s="85"/>
    </row>
    <row r="641">
      <c r="A641" s="84"/>
      <c r="B641" s="85"/>
      <c r="C641" s="85"/>
      <c r="D641" s="85"/>
      <c r="E641" s="86"/>
      <c r="F641" s="85"/>
      <c r="G641" s="85"/>
      <c r="H641" s="85"/>
    </row>
    <row r="642">
      <c r="A642" s="84"/>
      <c r="B642" s="85"/>
      <c r="C642" s="85"/>
      <c r="D642" s="85"/>
      <c r="E642" s="86"/>
      <c r="F642" s="85"/>
      <c r="G642" s="85"/>
      <c r="H642" s="85"/>
    </row>
    <row r="643">
      <c r="A643" s="84"/>
      <c r="B643" s="85"/>
      <c r="C643" s="85"/>
      <c r="D643" s="85"/>
      <c r="E643" s="86"/>
      <c r="F643" s="85"/>
      <c r="G643" s="85"/>
      <c r="H643" s="85"/>
    </row>
    <row r="644">
      <c r="A644" s="84"/>
      <c r="B644" s="85"/>
      <c r="C644" s="85"/>
      <c r="D644" s="85"/>
      <c r="E644" s="86"/>
      <c r="F644" s="85"/>
      <c r="G644" s="85"/>
      <c r="H644" s="85"/>
    </row>
    <row r="645">
      <c r="A645" s="84"/>
      <c r="B645" s="85"/>
      <c r="C645" s="85"/>
      <c r="D645" s="85"/>
      <c r="E645" s="86"/>
      <c r="F645" s="85"/>
      <c r="G645" s="85"/>
      <c r="H645" s="85"/>
    </row>
    <row r="646">
      <c r="A646" s="84"/>
      <c r="B646" s="85"/>
      <c r="C646" s="85"/>
      <c r="D646" s="85"/>
      <c r="E646" s="86"/>
      <c r="F646" s="85"/>
      <c r="G646" s="85"/>
      <c r="H646" s="85"/>
    </row>
    <row r="647">
      <c r="A647" s="84"/>
      <c r="B647" s="85"/>
      <c r="C647" s="85"/>
      <c r="D647" s="85"/>
      <c r="E647" s="86"/>
      <c r="F647" s="85"/>
      <c r="G647" s="85"/>
      <c r="H647" s="85"/>
    </row>
    <row r="648">
      <c r="A648" s="84"/>
      <c r="B648" s="85"/>
      <c r="C648" s="85"/>
      <c r="D648" s="85"/>
      <c r="E648" s="86"/>
      <c r="F648" s="85"/>
      <c r="G648" s="85"/>
      <c r="H648" s="85"/>
    </row>
    <row r="649">
      <c r="A649" s="84"/>
      <c r="B649" s="85"/>
      <c r="C649" s="85"/>
      <c r="D649" s="85"/>
      <c r="E649" s="86"/>
      <c r="F649" s="85"/>
      <c r="G649" s="85"/>
      <c r="H649" s="85"/>
    </row>
    <row r="650">
      <c r="A650" s="84"/>
      <c r="B650" s="85"/>
      <c r="C650" s="85"/>
      <c r="D650" s="85"/>
      <c r="E650" s="86"/>
      <c r="F650" s="85"/>
      <c r="G650" s="85"/>
      <c r="H650" s="85"/>
    </row>
    <row r="651">
      <c r="A651" s="84"/>
      <c r="B651" s="85"/>
      <c r="C651" s="85"/>
      <c r="D651" s="85"/>
      <c r="E651" s="86"/>
      <c r="F651" s="85"/>
      <c r="G651" s="85"/>
      <c r="H651" s="85"/>
    </row>
    <row r="652">
      <c r="A652" s="84"/>
      <c r="B652" s="85"/>
      <c r="C652" s="85"/>
      <c r="D652" s="85"/>
      <c r="E652" s="86"/>
      <c r="F652" s="85"/>
      <c r="G652" s="85"/>
      <c r="H652" s="85"/>
    </row>
    <row r="653">
      <c r="A653" s="84"/>
      <c r="B653" s="85"/>
      <c r="C653" s="85"/>
      <c r="D653" s="85"/>
      <c r="E653" s="86"/>
      <c r="F653" s="85"/>
      <c r="G653" s="85"/>
      <c r="H653" s="85"/>
    </row>
    <row r="654">
      <c r="A654" s="84"/>
      <c r="B654" s="85"/>
      <c r="C654" s="85"/>
      <c r="D654" s="85"/>
      <c r="E654" s="86"/>
      <c r="F654" s="85"/>
      <c r="G654" s="85"/>
      <c r="H654" s="85"/>
    </row>
    <row r="655">
      <c r="A655" s="84"/>
      <c r="B655" s="85"/>
      <c r="C655" s="85"/>
      <c r="D655" s="85"/>
      <c r="E655" s="86"/>
      <c r="F655" s="85"/>
      <c r="G655" s="85"/>
      <c r="H655" s="85"/>
    </row>
    <row r="656">
      <c r="A656" s="84"/>
      <c r="B656" s="85"/>
      <c r="C656" s="85"/>
      <c r="D656" s="85"/>
      <c r="E656" s="86"/>
      <c r="F656" s="85"/>
      <c r="G656" s="85"/>
      <c r="H656" s="85"/>
    </row>
    <row r="657">
      <c r="A657" s="84"/>
      <c r="B657" s="85"/>
      <c r="C657" s="85"/>
      <c r="D657" s="85"/>
      <c r="E657" s="86"/>
      <c r="F657" s="85"/>
      <c r="G657" s="85"/>
      <c r="H657" s="85"/>
    </row>
    <row r="658">
      <c r="A658" s="84"/>
      <c r="B658" s="85"/>
      <c r="C658" s="85"/>
      <c r="D658" s="85"/>
      <c r="E658" s="86"/>
      <c r="F658" s="85"/>
      <c r="G658" s="85"/>
      <c r="H658" s="85"/>
    </row>
    <row r="659">
      <c r="A659" s="84"/>
      <c r="B659" s="85"/>
      <c r="C659" s="85"/>
      <c r="D659" s="85"/>
      <c r="E659" s="86"/>
      <c r="F659" s="85"/>
      <c r="G659" s="85"/>
      <c r="H659" s="85"/>
    </row>
    <row r="660">
      <c r="A660" s="84"/>
      <c r="B660" s="85"/>
      <c r="C660" s="85"/>
      <c r="D660" s="85"/>
      <c r="E660" s="86"/>
      <c r="F660" s="85"/>
      <c r="G660" s="85"/>
      <c r="H660" s="85"/>
    </row>
    <row r="661">
      <c r="A661" s="84"/>
      <c r="B661" s="85"/>
      <c r="C661" s="85"/>
      <c r="D661" s="85"/>
      <c r="E661" s="86"/>
      <c r="F661" s="85"/>
      <c r="G661" s="85"/>
      <c r="H661" s="85"/>
    </row>
    <row r="662">
      <c r="A662" s="84"/>
      <c r="B662" s="85"/>
      <c r="C662" s="85"/>
      <c r="D662" s="85"/>
      <c r="E662" s="86"/>
      <c r="F662" s="85"/>
      <c r="G662" s="85"/>
      <c r="H662" s="85"/>
    </row>
    <row r="663">
      <c r="A663" s="84"/>
      <c r="B663" s="85"/>
      <c r="C663" s="85"/>
      <c r="D663" s="85"/>
      <c r="E663" s="86"/>
      <c r="F663" s="85"/>
      <c r="G663" s="85"/>
      <c r="H663" s="85"/>
    </row>
    <row r="664">
      <c r="A664" s="84"/>
      <c r="B664" s="85"/>
      <c r="C664" s="85"/>
      <c r="D664" s="85"/>
      <c r="E664" s="86"/>
      <c r="F664" s="85"/>
      <c r="G664" s="85"/>
      <c r="H664" s="85"/>
    </row>
    <row r="665">
      <c r="A665" s="84"/>
      <c r="B665" s="85"/>
      <c r="C665" s="85"/>
      <c r="D665" s="85"/>
      <c r="E665" s="86"/>
      <c r="F665" s="85"/>
      <c r="G665" s="85"/>
      <c r="H665" s="85"/>
    </row>
    <row r="666">
      <c r="A666" s="84"/>
      <c r="B666" s="85"/>
      <c r="C666" s="85"/>
      <c r="D666" s="85"/>
      <c r="E666" s="86"/>
      <c r="F666" s="85"/>
      <c r="G666" s="85"/>
      <c r="H666" s="85"/>
    </row>
    <row r="667">
      <c r="A667" s="84"/>
      <c r="B667" s="85"/>
      <c r="C667" s="85"/>
      <c r="D667" s="85"/>
      <c r="E667" s="86"/>
      <c r="F667" s="85"/>
      <c r="G667" s="85"/>
      <c r="H667" s="85"/>
    </row>
    <row r="668">
      <c r="A668" s="84"/>
      <c r="B668" s="85"/>
      <c r="C668" s="85"/>
      <c r="D668" s="85"/>
      <c r="E668" s="86"/>
      <c r="F668" s="85"/>
      <c r="G668" s="85"/>
      <c r="H668" s="85"/>
    </row>
    <row r="669">
      <c r="A669" s="84"/>
      <c r="B669" s="85"/>
      <c r="C669" s="85"/>
      <c r="D669" s="85"/>
      <c r="E669" s="86"/>
      <c r="F669" s="85"/>
      <c r="G669" s="85"/>
      <c r="H669" s="85"/>
    </row>
    <row r="670">
      <c r="A670" s="84"/>
      <c r="B670" s="85"/>
      <c r="C670" s="85"/>
      <c r="D670" s="85"/>
      <c r="E670" s="86"/>
      <c r="F670" s="85"/>
      <c r="G670" s="85"/>
      <c r="H670" s="85"/>
    </row>
    <row r="671">
      <c r="A671" s="84"/>
      <c r="B671" s="85"/>
      <c r="C671" s="85"/>
      <c r="D671" s="85"/>
      <c r="E671" s="86"/>
      <c r="F671" s="85"/>
      <c r="G671" s="85"/>
      <c r="H671" s="85"/>
    </row>
    <row r="672">
      <c r="A672" s="84"/>
      <c r="B672" s="85"/>
      <c r="C672" s="85"/>
      <c r="D672" s="85"/>
      <c r="E672" s="86"/>
      <c r="F672" s="85"/>
      <c r="G672" s="85"/>
      <c r="H672" s="85"/>
    </row>
    <row r="673">
      <c r="A673" s="84"/>
      <c r="B673" s="85"/>
      <c r="C673" s="85"/>
      <c r="D673" s="85"/>
      <c r="E673" s="86"/>
      <c r="F673" s="85"/>
      <c r="G673" s="85"/>
      <c r="H673" s="85"/>
    </row>
    <row r="674">
      <c r="A674" s="84"/>
      <c r="B674" s="85"/>
      <c r="C674" s="85"/>
      <c r="D674" s="85"/>
      <c r="E674" s="86"/>
      <c r="F674" s="85"/>
      <c r="G674" s="85"/>
      <c r="H674" s="85"/>
    </row>
    <row r="675">
      <c r="A675" s="84"/>
      <c r="B675" s="85"/>
      <c r="C675" s="85"/>
      <c r="D675" s="85"/>
      <c r="E675" s="86"/>
      <c r="F675" s="85"/>
      <c r="G675" s="85"/>
      <c r="H675" s="85"/>
    </row>
    <row r="676">
      <c r="A676" s="84"/>
      <c r="B676" s="85"/>
      <c r="C676" s="85"/>
      <c r="D676" s="85"/>
      <c r="E676" s="86"/>
      <c r="F676" s="85"/>
      <c r="G676" s="85"/>
      <c r="H676" s="85"/>
    </row>
    <row r="677">
      <c r="A677" s="84"/>
      <c r="B677" s="85"/>
      <c r="C677" s="85"/>
      <c r="D677" s="85"/>
      <c r="E677" s="86"/>
      <c r="F677" s="85"/>
      <c r="G677" s="85"/>
      <c r="H677" s="85"/>
    </row>
    <row r="678">
      <c r="A678" s="84"/>
      <c r="B678" s="85"/>
      <c r="C678" s="85"/>
      <c r="D678" s="85"/>
      <c r="E678" s="86"/>
      <c r="F678" s="85"/>
      <c r="G678" s="85"/>
      <c r="H678" s="85"/>
    </row>
    <row r="679">
      <c r="A679" s="84"/>
      <c r="B679" s="85"/>
      <c r="C679" s="85"/>
      <c r="D679" s="85"/>
      <c r="E679" s="86"/>
      <c r="F679" s="85"/>
      <c r="G679" s="85"/>
      <c r="H679" s="85"/>
    </row>
    <row r="680">
      <c r="A680" s="84"/>
      <c r="B680" s="85"/>
      <c r="C680" s="85"/>
      <c r="D680" s="85"/>
      <c r="E680" s="86"/>
      <c r="F680" s="85"/>
      <c r="G680" s="85"/>
      <c r="H680" s="85"/>
    </row>
    <row r="681">
      <c r="A681" s="84"/>
      <c r="B681" s="85"/>
      <c r="C681" s="85"/>
      <c r="D681" s="85"/>
      <c r="E681" s="86"/>
      <c r="F681" s="85"/>
      <c r="G681" s="85"/>
      <c r="H681" s="85"/>
    </row>
    <row r="682">
      <c r="A682" s="84"/>
      <c r="B682" s="85"/>
      <c r="C682" s="85"/>
      <c r="D682" s="85"/>
      <c r="E682" s="86"/>
      <c r="F682" s="85"/>
      <c r="G682" s="85"/>
      <c r="H682" s="85"/>
    </row>
    <row r="683">
      <c r="A683" s="84"/>
      <c r="B683" s="85"/>
      <c r="C683" s="85"/>
      <c r="D683" s="85"/>
      <c r="E683" s="86"/>
      <c r="F683" s="85"/>
      <c r="G683" s="85"/>
      <c r="H683" s="85"/>
    </row>
    <row r="684">
      <c r="A684" s="84"/>
      <c r="B684" s="85"/>
      <c r="C684" s="85"/>
      <c r="D684" s="85"/>
      <c r="E684" s="86"/>
      <c r="F684" s="85"/>
      <c r="G684" s="85"/>
      <c r="H684" s="85"/>
    </row>
    <row r="685">
      <c r="A685" s="84"/>
      <c r="B685" s="85"/>
      <c r="C685" s="85"/>
      <c r="D685" s="85"/>
      <c r="E685" s="86"/>
      <c r="F685" s="85"/>
      <c r="G685" s="85"/>
      <c r="H685" s="85"/>
    </row>
    <row r="686">
      <c r="A686" s="84"/>
      <c r="B686" s="85"/>
      <c r="C686" s="85"/>
      <c r="D686" s="85"/>
      <c r="E686" s="86"/>
      <c r="F686" s="85"/>
      <c r="G686" s="85"/>
      <c r="H686" s="85"/>
    </row>
    <row r="687">
      <c r="A687" s="84"/>
      <c r="B687" s="85"/>
      <c r="C687" s="85"/>
      <c r="D687" s="85"/>
      <c r="E687" s="86"/>
      <c r="F687" s="85"/>
      <c r="G687" s="85"/>
      <c r="H687" s="85"/>
    </row>
    <row r="688">
      <c r="A688" s="84"/>
      <c r="B688" s="85"/>
      <c r="C688" s="85"/>
      <c r="D688" s="85"/>
      <c r="E688" s="86"/>
      <c r="F688" s="85"/>
      <c r="G688" s="85"/>
      <c r="H688" s="85"/>
    </row>
    <row r="689">
      <c r="A689" s="84"/>
      <c r="B689" s="85"/>
      <c r="C689" s="85"/>
      <c r="D689" s="85"/>
      <c r="E689" s="86"/>
      <c r="F689" s="85"/>
      <c r="G689" s="85"/>
      <c r="H689" s="85"/>
    </row>
    <row r="690">
      <c r="A690" s="84"/>
      <c r="B690" s="85"/>
      <c r="C690" s="85"/>
      <c r="D690" s="85"/>
      <c r="E690" s="86"/>
      <c r="F690" s="85"/>
      <c r="G690" s="85"/>
      <c r="H690" s="85"/>
    </row>
    <row r="691">
      <c r="A691" s="84"/>
      <c r="B691" s="85"/>
      <c r="C691" s="85"/>
      <c r="D691" s="85"/>
      <c r="E691" s="86"/>
      <c r="F691" s="85"/>
      <c r="G691" s="85"/>
      <c r="H691" s="85"/>
    </row>
    <row r="692">
      <c r="A692" s="84"/>
      <c r="B692" s="85"/>
      <c r="C692" s="85"/>
      <c r="D692" s="85"/>
      <c r="E692" s="86"/>
      <c r="F692" s="85"/>
      <c r="G692" s="85"/>
      <c r="H692" s="85"/>
    </row>
    <row r="693">
      <c r="A693" s="84"/>
      <c r="B693" s="85"/>
      <c r="C693" s="85"/>
      <c r="D693" s="85"/>
      <c r="E693" s="86"/>
      <c r="F693" s="85"/>
      <c r="G693" s="85"/>
      <c r="H693" s="85"/>
    </row>
    <row r="694">
      <c r="A694" s="84"/>
      <c r="B694" s="85"/>
      <c r="C694" s="85"/>
      <c r="D694" s="85"/>
      <c r="E694" s="86"/>
      <c r="F694" s="85"/>
      <c r="G694" s="85"/>
      <c r="H694" s="85"/>
    </row>
    <row r="695">
      <c r="A695" s="84"/>
      <c r="B695" s="85"/>
      <c r="C695" s="85"/>
      <c r="D695" s="85"/>
      <c r="E695" s="86"/>
      <c r="F695" s="85"/>
      <c r="G695" s="85"/>
      <c r="H695" s="85"/>
    </row>
    <row r="696">
      <c r="A696" s="84"/>
      <c r="B696" s="85"/>
      <c r="C696" s="85"/>
      <c r="D696" s="85"/>
      <c r="E696" s="86"/>
      <c r="F696" s="85"/>
      <c r="G696" s="85"/>
      <c r="H696" s="85"/>
    </row>
    <row r="697">
      <c r="A697" s="84"/>
      <c r="B697" s="85"/>
      <c r="C697" s="85"/>
      <c r="D697" s="85"/>
      <c r="E697" s="86"/>
      <c r="F697" s="85"/>
      <c r="G697" s="85"/>
      <c r="H697" s="85"/>
    </row>
    <row r="698">
      <c r="A698" s="84"/>
      <c r="B698" s="85"/>
      <c r="C698" s="85"/>
      <c r="D698" s="85"/>
      <c r="E698" s="86"/>
      <c r="F698" s="85"/>
      <c r="G698" s="85"/>
      <c r="H698" s="85"/>
    </row>
    <row r="699">
      <c r="A699" s="84"/>
      <c r="B699" s="85"/>
      <c r="C699" s="85"/>
      <c r="D699" s="85"/>
      <c r="E699" s="86"/>
      <c r="F699" s="85"/>
      <c r="G699" s="85"/>
      <c r="H699" s="85"/>
    </row>
    <row r="700">
      <c r="A700" s="84"/>
      <c r="B700" s="85"/>
      <c r="C700" s="85"/>
      <c r="D700" s="85"/>
      <c r="E700" s="86"/>
      <c r="F700" s="85"/>
      <c r="G700" s="85"/>
      <c r="H700" s="85"/>
    </row>
    <row r="701">
      <c r="A701" s="84"/>
      <c r="B701" s="85"/>
      <c r="C701" s="85"/>
      <c r="D701" s="85"/>
      <c r="E701" s="86"/>
      <c r="F701" s="85"/>
      <c r="G701" s="85"/>
      <c r="H701" s="85"/>
    </row>
    <row r="702">
      <c r="A702" s="84"/>
      <c r="B702" s="85"/>
      <c r="C702" s="85"/>
      <c r="D702" s="85"/>
      <c r="E702" s="86"/>
      <c r="F702" s="85"/>
      <c r="G702" s="85"/>
      <c r="H702" s="85"/>
    </row>
    <row r="703">
      <c r="A703" s="84"/>
      <c r="B703" s="85"/>
      <c r="C703" s="85"/>
      <c r="D703" s="85"/>
      <c r="E703" s="86"/>
      <c r="F703" s="85"/>
      <c r="G703" s="85"/>
      <c r="H703" s="85"/>
    </row>
    <row r="704">
      <c r="A704" s="84"/>
      <c r="B704" s="85"/>
      <c r="C704" s="85"/>
      <c r="D704" s="85"/>
      <c r="E704" s="86"/>
      <c r="F704" s="85"/>
      <c r="G704" s="85"/>
      <c r="H704" s="85"/>
    </row>
    <row r="705">
      <c r="A705" s="84"/>
      <c r="B705" s="85"/>
      <c r="C705" s="85"/>
      <c r="D705" s="85"/>
      <c r="E705" s="86"/>
      <c r="F705" s="85"/>
      <c r="G705" s="85"/>
      <c r="H705" s="85"/>
    </row>
    <row r="706">
      <c r="A706" s="84"/>
      <c r="B706" s="85"/>
      <c r="C706" s="85"/>
      <c r="D706" s="85"/>
      <c r="E706" s="86"/>
      <c r="F706" s="85"/>
      <c r="G706" s="85"/>
      <c r="H706" s="85"/>
    </row>
    <row r="707">
      <c r="A707" s="84"/>
      <c r="B707" s="85"/>
      <c r="C707" s="85"/>
      <c r="D707" s="85"/>
      <c r="E707" s="86"/>
      <c r="F707" s="85"/>
      <c r="G707" s="85"/>
      <c r="H707" s="85"/>
    </row>
    <row r="708">
      <c r="A708" s="84"/>
      <c r="B708" s="85"/>
      <c r="C708" s="85"/>
      <c r="D708" s="85"/>
      <c r="E708" s="86"/>
      <c r="F708" s="85"/>
      <c r="G708" s="85"/>
      <c r="H708" s="85"/>
    </row>
    <row r="709">
      <c r="A709" s="84"/>
      <c r="B709" s="85"/>
      <c r="C709" s="85"/>
      <c r="D709" s="85"/>
      <c r="E709" s="86"/>
      <c r="F709" s="85"/>
      <c r="G709" s="85"/>
      <c r="H709" s="85"/>
    </row>
    <row r="710">
      <c r="A710" s="84"/>
      <c r="B710" s="85"/>
      <c r="C710" s="85"/>
      <c r="D710" s="85"/>
      <c r="E710" s="86"/>
      <c r="F710" s="85"/>
      <c r="G710" s="85"/>
      <c r="H710" s="85"/>
    </row>
    <row r="711">
      <c r="A711" s="84"/>
      <c r="B711" s="85"/>
      <c r="C711" s="85"/>
      <c r="D711" s="85"/>
      <c r="E711" s="86"/>
      <c r="F711" s="85"/>
      <c r="G711" s="85"/>
      <c r="H711" s="85"/>
    </row>
    <row r="712">
      <c r="A712" s="84"/>
      <c r="B712" s="85"/>
      <c r="C712" s="85"/>
      <c r="D712" s="85"/>
      <c r="E712" s="86"/>
      <c r="F712" s="85"/>
      <c r="G712" s="85"/>
      <c r="H712" s="85"/>
    </row>
    <row r="713">
      <c r="A713" s="84"/>
      <c r="B713" s="85"/>
      <c r="C713" s="85"/>
      <c r="D713" s="85"/>
      <c r="E713" s="86"/>
      <c r="F713" s="85"/>
      <c r="G713" s="85"/>
      <c r="H713" s="85"/>
    </row>
    <row r="714">
      <c r="A714" s="84"/>
      <c r="B714" s="85"/>
      <c r="C714" s="85"/>
      <c r="D714" s="85"/>
      <c r="E714" s="86"/>
      <c r="F714" s="85"/>
      <c r="G714" s="85"/>
      <c r="H714" s="85"/>
    </row>
    <row r="715">
      <c r="A715" s="84"/>
      <c r="B715" s="85"/>
      <c r="C715" s="85"/>
      <c r="D715" s="85"/>
      <c r="E715" s="86"/>
      <c r="F715" s="85"/>
      <c r="G715" s="85"/>
      <c r="H715" s="85"/>
    </row>
    <row r="716">
      <c r="A716" s="84"/>
      <c r="B716" s="85"/>
      <c r="C716" s="85"/>
      <c r="D716" s="85"/>
      <c r="E716" s="86"/>
      <c r="F716" s="85"/>
      <c r="G716" s="85"/>
      <c r="H716" s="85"/>
    </row>
    <row r="717">
      <c r="A717" s="84"/>
      <c r="B717" s="85"/>
      <c r="C717" s="85"/>
      <c r="D717" s="85"/>
      <c r="E717" s="86"/>
      <c r="F717" s="85"/>
      <c r="G717" s="85"/>
      <c r="H717" s="85"/>
    </row>
    <row r="718">
      <c r="A718" s="84"/>
      <c r="B718" s="85"/>
      <c r="C718" s="85"/>
      <c r="D718" s="85"/>
      <c r="E718" s="86"/>
      <c r="F718" s="85"/>
      <c r="G718" s="85"/>
      <c r="H718" s="85"/>
    </row>
    <row r="719">
      <c r="A719" s="84"/>
      <c r="B719" s="85"/>
      <c r="C719" s="85"/>
      <c r="D719" s="85"/>
      <c r="E719" s="86"/>
      <c r="F719" s="85"/>
      <c r="G719" s="85"/>
      <c r="H719" s="85"/>
    </row>
    <row r="720">
      <c r="A720" s="84"/>
      <c r="B720" s="85"/>
      <c r="C720" s="85"/>
      <c r="D720" s="85"/>
      <c r="E720" s="86"/>
      <c r="F720" s="85"/>
      <c r="G720" s="85"/>
      <c r="H720" s="85"/>
    </row>
    <row r="721">
      <c r="A721" s="84"/>
      <c r="B721" s="85"/>
      <c r="C721" s="85"/>
      <c r="D721" s="85"/>
      <c r="E721" s="86"/>
      <c r="F721" s="85"/>
      <c r="G721" s="85"/>
      <c r="H721" s="85"/>
    </row>
    <row r="722">
      <c r="A722" s="84"/>
      <c r="B722" s="85"/>
      <c r="C722" s="85"/>
      <c r="D722" s="85"/>
      <c r="E722" s="86"/>
      <c r="F722" s="85"/>
      <c r="G722" s="85"/>
      <c r="H722" s="85"/>
    </row>
    <row r="723">
      <c r="A723" s="84"/>
      <c r="B723" s="85"/>
      <c r="C723" s="85"/>
      <c r="D723" s="85"/>
      <c r="E723" s="86"/>
      <c r="F723" s="85"/>
      <c r="G723" s="85"/>
      <c r="H723" s="85"/>
    </row>
    <row r="724">
      <c r="A724" s="84"/>
      <c r="B724" s="85"/>
      <c r="C724" s="85"/>
      <c r="D724" s="85"/>
      <c r="E724" s="86"/>
      <c r="F724" s="85"/>
      <c r="G724" s="85"/>
      <c r="H724" s="85"/>
    </row>
    <row r="725">
      <c r="A725" s="84"/>
      <c r="B725" s="85"/>
      <c r="C725" s="85"/>
      <c r="D725" s="85"/>
      <c r="E725" s="86"/>
      <c r="F725" s="85"/>
      <c r="G725" s="85"/>
      <c r="H725" s="85"/>
    </row>
    <row r="726">
      <c r="A726" s="84"/>
      <c r="B726" s="85"/>
      <c r="C726" s="85"/>
      <c r="D726" s="85"/>
      <c r="E726" s="86"/>
      <c r="F726" s="85"/>
      <c r="G726" s="85"/>
      <c r="H726" s="85"/>
    </row>
    <row r="727">
      <c r="A727" s="84"/>
      <c r="B727" s="85"/>
      <c r="C727" s="85"/>
      <c r="D727" s="85"/>
      <c r="E727" s="86"/>
      <c r="F727" s="85"/>
      <c r="G727" s="85"/>
      <c r="H727" s="85"/>
    </row>
    <row r="728">
      <c r="A728" s="84"/>
      <c r="B728" s="85"/>
      <c r="C728" s="85"/>
      <c r="D728" s="85"/>
      <c r="E728" s="86"/>
      <c r="F728" s="85"/>
      <c r="G728" s="85"/>
      <c r="H728" s="85"/>
    </row>
    <row r="729">
      <c r="A729" s="84"/>
      <c r="B729" s="85"/>
      <c r="C729" s="85"/>
      <c r="D729" s="85"/>
      <c r="E729" s="86"/>
      <c r="F729" s="85"/>
      <c r="G729" s="85"/>
      <c r="H729" s="85"/>
    </row>
    <row r="730">
      <c r="A730" s="84"/>
      <c r="B730" s="85"/>
      <c r="C730" s="85"/>
      <c r="D730" s="85"/>
      <c r="E730" s="86"/>
      <c r="F730" s="85"/>
      <c r="G730" s="85"/>
      <c r="H730" s="85"/>
    </row>
    <row r="731">
      <c r="A731" s="84"/>
      <c r="B731" s="85"/>
      <c r="C731" s="85"/>
      <c r="D731" s="85"/>
      <c r="E731" s="86"/>
      <c r="F731" s="85"/>
      <c r="G731" s="85"/>
      <c r="H731" s="85"/>
    </row>
    <row r="732">
      <c r="A732" s="84"/>
      <c r="B732" s="85"/>
      <c r="C732" s="85"/>
      <c r="D732" s="85"/>
      <c r="E732" s="86"/>
      <c r="F732" s="85"/>
      <c r="G732" s="85"/>
      <c r="H732" s="85"/>
    </row>
    <row r="733">
      <c r="A733" s="84"/>
      <c r="B733" s="85"/>
      <c r="C733" s="85"/>
      <c r="D733" s="85"/>
      <c r="E733" s="86"/>
      <c r="F733" s="85"/>
      <c r="G733" s="85"/>
      <c r="H733" s="85"/>
    </row>
    <row r="734">
      <c r="A734" s="84"/>
      <c r="B734" s="85"/>
      <c r="C734" s="85"/>
      <c r="D734" s="85"/>
      <c r="E734" s="86"/>
      <c r="F734" s="85"/>
      <c r="G734" s="85"/>
      <c r="H734" s="85"/>
    </row>
    <row r="735">
      <c r="A735" s="84"/>
      <c r="B735" s="85"/>
      <c r="C735" s="85"/>
      <c r="D735" s="85"/>
      <c r="E735" s="86"/>
      <c r="F735" s="85"/>
      <c r="G735" s="85"/>
      <c r="H735" s="85"/>
    </row>
    <row r="736">
      <c r="A736" s="84"/>
      <c r="B736" s="85"/>
      <c r="C736" s="85"/>
      <c r="D736" s="85"/>
      <c r="E736" s="86"/>
      <c r="F736" s="85"/>
      <c r="G736" s="85"/>
      <c r="H736" s="85"/>
    </row>
    <row r="737">
      <c r="A737" s="84"/>
      <c r="B737" s="85"/>
      <c r="C737" s="85"/>
      <c r="D737" s="85"/>
      <c r="E737" s="86"/>
      <c r="F737" s="85"/>
      <c r="G737" s="85"/>
      <c r="H737" s="85"/>
    </row>
    <row r="738">
      <c r="A738" s="84"/>
      <c r="B738" s="85"/>
      <c r="C738" s="85"/>
      <c r="D738" s="85"/>
      <c r="E738" s="86"/>
      <c r="F738" s="85"/>
      <c r="G738" s="85"/>
      <c r="H738" s="85"/>
    </row>
    <row r="739">
      <c r="A739" s="84"/>
      <c r="B739" s="85"/>
      <c r="C739" s="85"/>
      <c r="D739" s="85"/>
      <c r="E739" s="86"/>
      <c r="F739" s="85"/>
      <c r="G739" s="85"/>
      <c r="H739" s="85"/>
    </row>
    <row r="740">
      <c r="A740" s="84"/>
      <c r="B740" s="85"/>
      <c r="C740" s="85"/>
      <c r="D740" s="85"/>
      <c r="E740" s="86"/>
      <c r="F740" s="85"/>
      <c r="G740" s="85"/>
      <c r="H740" s="85"/>
    </row>
    <row r="741">
      <c r="A741" s="84"/>
      <c r="B741" s="85"/>
      <c r="C741" s="85"/>
      <c r="D741" s="85"/>
      <c r="E741" s="86"/>
      <c r="F741" s="85"/>
      <c r="G741" s="85"/>
      <c r="H741" s="85"/>
    </row>
    <row r="742">
      <c r="A742" s="84"/>
      <c r="B742" s="85"/>
      <c r="C742" s="85"/>
      <c r="D742" s="85"/>
      <c r="E742" s="86"/>
      <c r="F742" s="85"/>
      <c r="G742" s="85"/>
      <c r="H742" s="85"/>
    </row>
    <row r="743">
      <c r="A743" s="84"/>
      <c r="B743" s="85"/>
      <c r="C743" s="85"/>
      <c r="D743" s="85"/>
      <c r="E743" s="86"/>
      <c r="F743" s="85"/>
      <c r="G743" s="85"/>
      <c r="H743" s="85"/>
    </row>
    <row r="744">
      <c r="A744" s="84"/>
      <c r="B744" s="85"/>
      <c r="C744" s="85"/>
      <c r="D744" s="85"/>
      <c r="E744" s="86"/>
      <c r="F744" s="85"/>
      <c r="G744" s="85"/>
      <c r="H744" s="85"/>
    </row>
    <row r="745">
      <c r="A745" s="84"/>
      <c r="B745" s="85"/>
      <c r="C745" s="85"/>
      <c r="D745" s="85"/>
      <c r="E745" s="86"/>
      <c r="F745" s="85"/>
      <c r="G745" s="85"/>
      <c r="H745" s="85"/>
    </row>
    <row r="746">
      <c r="A746" s="84"/>
      <c r="B746" s="85"/>
      <c r="C746" s="85"/>
      <c r="D746" s="85"/>
      <c r="E746" s="86"/>
      <c r="F746" s="85"/>
      <c r="G746" s="85"/>
      <c r="H746" s="85"/>
    </row>
    <row r="747">
      <c r="A747" s="84"/>
      <c r="B747" s="85"/>
      <c r="C747" s="85"/>
      <c r="D747" s="85"/>
      <c r="E747" s="86"/>
      <c r="F747" s="85"/>
      <c r="G747" s="85"/>
      <c r="H747" s="85"/>
    </row>
    <row r="748">
      <c r="A748" s="84"/>
      <c r="B748" s="85"/>
      <c r="C748" s="85"/>
      <c r="D748" s="85"/>
      <c r="E748" s="86"/>
      <c r="F748" s="85"/>
      <c r="G748" s="85"/>
      <c r="H748" s="85"/>
    </row>
    <row r="749">
      <c r="A749" s="84"/>
      <c r="B749" s="85"/>
      <c r="C749" s="85"/>
      <c r="D749" s="85"/>
      <c r="E749" s="86"/>
      <c r="F749" s="85"/>
      <c r="G749" s="85"/>
      <c r="H749" s="85"/>
    </row>
    <row r="750">
      <c r="A750" s="84"/>
      <c r="B750" s="85"/>
      <c r="C750" s="85"/>
      <c r="D750" s="85"/>
      <c r="E750" s="86"/>
      <c r="F750" s="85"/>
      <c r="G750" s="85"/>
      <c r="H750" s="85"/>
    </row>
    <row r="751">
      <c r="A751" s="84"/>
      <c r="B751" s="85"/>
      <c r="C751" s="85"/>
      <c r="D751" s="85"/>
      <c r="E751" s="86"/>
      <c r="F751" s="85"/>
      <c r="G751" s="85"/>
      <c r="H751" s="85"/>
    </row>
    <row r="752">
      <c r="A752" s="84"/>
      <c r="B752" s="85"/>
      <c r="C752" s="85"/>
      <c r="D752" s="85"/>
      <c r="E752" s="86"/>
      <c r="F752" s="85"/>
      <c r="G752" s="85"/>
      <c r="H752" s="85"/>
    </row>
    <row r="753">
      <c r="A753" s="84"/>
      <c r="B753" s="85"/>
      <c r="C753" s="85"/>
      <c r="D753" s="85"/>
      <c r="E753" s="86"/>
      <c r="F753" s="85"/>
      <c r="G753" s="85"/>
      <c r="H753" s="85"/>
    </row>
    <row r="754">
      <c r="A754" s="84"/>
      <c r="B754" s="85"/>
      <c r="C754" s="85"/>
      <c r="D754" s="85"/>
      <c r="E754" s="86"/>
      <c r="F754" s="85"/>
      <c r="G754" s="85"/>
      <c r="H754" s="85"/>
    </row>
    <row r="755">
      <c r="A755" s="84"/>
      <c r="B755" s="85"/>
      <c r="C755" s="85"/>
      <c r="D755" s="85"/>
      <c r="E755" s="86"/>
      <c r="F755" s="85"/>
      <c r="G755" s="85"/>
      <c r="H755" s="85"/>
    </row>
    <row r="756">
      <c r="A756" s="84"/>
      <c r="B756" s="85"/>
      <c r="C756" s="85"/>
      <c r="D756" s="85"/>
      <c r="E756" s="86"/>
      <c r="F756" s="85"/>
      <c r="G756" s="85"/>
      <c r="H756" s="85"/>
    </row>
    <row r="757">
      <c r="A757" s="84"/>
      <c r="B757" s="85"/>
      <c r="C757" s="85"/>
      <c r="D757" s="85"/>
      <c r="E757" s="86"/>
      <c r="F757" s="85"/>
      <c r="G757" s="85"/>
      <c r="H757" s="85"/>
    </row>
    <row r="758">
      <c r="A758" s="84"/>
      <c r="B758" s="85"/>
      <c r="C758" s="85"/>
      <c r="D758" s="85"/>
      <c r="E758" s="86"/>
      <c r="F758" s="85"/>
      <c r="G758" s="85"/>
      <c r="H758" s="85"/>
    </row>
    <row r="759">
      <c r="A759" s="84"/>
      <c r="B759" s="85"/>
      <c r="C759" s="85"/>
      <c r="D759" s="85"/>
      <c r="E759" s="86"/>
      <c r="F759" s="85"/>
      <c r="G759" s="85"/>
      <c r="H759" s="85"/>
    </row>
    <row r="760">
      <c r="A760" s="84"/>
      <c r="B760" s="85"/>
      <c r="C760" s="85"/>
      <c r="D760" s="85"/>
      <c r="E760" s="86"/>
      <c r="F760" s="85"/>
      <c r="G760" s="85"/>
      <c r="H760" s="85"/>
    </row>
    <row r="761">
      <c r="A761" s="84"/>
      <c r="B761" s="85"/>
      <c r="C761" s="85"/>
      <c r="D761" s="85"/>
      <c r="E761" s="86"/>
      <c r="F761" s="85"/>
      <c r="G761" s="85"/>
      <c r="H761" s="85"/>
    </row>
    <row r="762">
      <c r="A762" s="84"/>
      <c r="B762" s="85"/>
      <c r="C762" s="85"/>
      <c r="D762" s="85"/>
      <c r="E762" s="86"/>
      <c r="F762" s="85"/>
      <c r="G762" s="85"/>
      <c r="H762" s="85"/>
    </row>
    <row r="763">
      <c r="A763" s="84"/>
      <c r="B763" s="85"/>
      <c r="C763" s="85"/>
      <c r="D763" s="85"/>
      <c r="E763" s="86"/>
      <c r="F763" s="85"/>
      <c r="G763" s="85"/>
      <c r="H763" s="85"/>
    </row>
    <row r="764">
      <c r="A764" s="84"/>
      <c r="B764" s="85"/>
      <c r="C764" s="85"/>
      <c r="D764" s="85"/>
      <c r="E764" s="86"/>
      <c r="F764" s="85"/>
      <c r="G764" s="85"/>
      <c r="H764" s="85"/>
    </row>
    <row r="765">
      <c r="A765" s="84"/>
      <c r="B765" s="85"/>
      <c r="C765" s="85"/>
      <c r="D765" s="85"/>
      <c r="E765" s="86"/>
      <c r="F765" s="85"/>
      <c r="G765" s="85"/>
      <c r="H765" s="85"/>
    </row>
    <row r="766">
      <c r="A766" s="84"/>
      <c r="B766" s="85"/>
      <c r="C766" s="85"/>
      <c r="D766" s="85"/>
      <c r="E766" s="86"/>
      <c r="F766" s="85"/>
      <c r="G766" s="85"/>
      <c r="H766" s="85"/>
    </row>
    <row r="767">
      <c r="A767" s="84"/>
      <c r="B767" s="85"/>
      <c r="C767" s="85"/>
      <c r="D767" s="85"/>
      <c r="E767" s="86"/>
      <c r="F767" s="85"/>
      <c r="G767" s="85"/>
      <c r="H767" s="85"/>
    </row>
    <row r="768">
      <c r="A768" s="84"/>
      <c r="B768" s="85"/>
      <c r="C768" s="85"/>
      <c r="D768" s="85"/>
      <c r="E768" s="86"/>
      <c r="F768" s="85"/>
      <c r="G768" s="85"/>
      <c r="H768" s="85"/>
    </row>
    <row r="769">
      <c r="A769" s="84"/>
      <c r="B769" s="85"/>
      <c r="C769" s="85"/>
      <c r="D769" s="85"/>
      <c r="E769" s="86"/>
      <c r="F769" s="85"/>
      <c r="G769" s="85"/>
      <c r="H769" s="85"/>
    </row>
    <row r="770">
      <c r="A770" s="84"/>
      <c r="B770" s="85"/>
      <c r="C770" s="85"/>
      <c r="D770" s="85"/>
      <c r="E770" s="86"/>
      <c r="F770" s="85"/>
      <c r="G770" s="85"/>
      <c r="H770" s="85"/>
    </row>
    <row r="771">
      <c r="A771" s="84"/>
      <c r="B771" s="85"/>
      <c r="C771" s="85"/>
      <c r="D771" s="85"/>
      <c r="E771" s="86"/>
      <c r="F771" s="85"/>
      <c r="G771" s="85"/>
      <c r="H771" s="85"/>
    </row>
    <row r="772">
      <c r="A772" s="84"/>
      <c r="B772" s="85"/>
      <c r="C772" s="85"/>
      <c r="D772" s="85"/>
      <c r="E772" s="86"/>
      <c r="F772" s="85"/>
      <c r="G772" s="85"/>
      <c r="H772" s="85"/>
    </row>
    <row r="773">
      <c r="A773" s="84"/>
      <c r="B773" s="85"/>
      <c r="C773" s="85"/>
      <c r="D773" s="85"/>
      <c r="E773" s="86"/>
      <c r="F773" s="85"/>
      <c r="G773" s="85"/>
      <c r="H773" s="85"/>
    </row>
    <row r="774">
      <c r="A774" s="84"/>
      <c r="B774" s="85"/>
      <c r="C774" s="85"/>
      <c r="D774" s="85"/>
      <c r="E774" s="86"/>
      <c r="F774" s="85"/>
      <c r="G774" s="85"/>
      <c r="H774" s="85"/>
    </row>
    <row r="775">
      <c r="A775" s="84"/>
      <c r="B775" s="85"/>
      <c r="C775" s="85"/>
      <c r="D775" s="85"/>
      <c r="E775" s="86"/>
      <c r="F775" s="85"/>
      <c r="G775" s="85"/>
      <c r="H775" s="85"/>
    </row>
    <row r="776">
      <c r="A776" s="84"/>
      <c r="B776" s="85"/>
      <c r="C776" s="85"/>
      <c r="D776" s="85"/>
      <c r="E776" s="86"/>
      <c r="F776" s="85"/>
      <c r="G776" s="85"/>
      <c r="H776" s="85"/>
    </row>
    <row r="777">
      <c r="A777" s="84"/>
      <c r="B777" s="85"/>
      <c r="C777" s="85"/>
      <c r="D777" s="85"/>
      <c r="E777" s="86"/>
      <c r="F777" s="85"/>
      <c r="G777" s="85"/>
      <c r="H777" s="85"/>
    </row>
    <row r="778">
      <c r="A778" s="84"/>
      <c r="B778" s="85"/>
      <c r="C778" s="85"/>
      <c r="D778" s="85"/>
      <c r="E778" s="86"/>
      <c r="F778" s="85"/>
      <c r="G778" s="85"/>
      <c r="H778" s="85"/>
    </row>
    <row r="779">
      <c r="A779" s="84"/>
      <c r="B779" s="85"/>
      <c r="C779" s="85"/>
      <c r="D779" s="85"/>
      <c r="E779" s="86"/>
      <c r="F779" s="85"/>
      <c r="G779" s="85"/>
      <c r="H779" s="85"/>
    </row>
    <row r="780">
      <c r="A780" s="84"/>
      <c r="B780" s="85"/>
      <c r="C780" s="85"/>
      <c r="D780" s="85"/>
      <c r="E780" s="86"/>
      <c r="F780" s="85"/>
      <c r="G780" s="85"/>
      <c r="H780" s="85"/>
    </row>
    <row r="781">
      <c r="A781" s="84"/>
      <c r="B781" s="85"/>
      <c r="C781" s="85"/>
      <c r="D781" s="85"/>
      <c r="E781" s="86"/>
      <c r="F781" s="85"/>
      <c r="G781" s="85"/>
      <c r="H781" s="85"/>
    </row>
    <row r="782">
      <c r="A782" s="84"/>
      <c r="B782" s="85"/>
      <c r="C782" s="85"/>
      <c r="D782" s="85"/>
      <c r="E782" s="86"/>
      <c r="F782" s="85"/>
      <c r="G782" s="85"/>
      <c r="H782" s="85"/>
    </row>
    <row r="783">
      <c r="A783" s="84"/>
      <c r="B783" s="85"/>
      <c r="C783" s="85"/>
      <c r="D783" s="85"/>
      <c r="E783" s="86"/>
      <c r="F783" s="85"/>
      <c r="G783" s="85"/>
      <c r="H783" s="85"/>
    </row>
    <row r="784">
      <c r="A784" s="84"/>
      <c r="B784" s="85"/>
      <c r="C784" s="85"/>
      <c r="D784" s="85"/>
      <c r="E784" s="86"/>
      <c r="F784" s="85"/>
      <c r="G784" s="85"/>
      <c r="H784" s="85"/>
    </row>
    <row r="785">
      <c r="A785" s="84"/>
      <c r="B785" s="85"/>
      <c r="C785" s="85"/>
      <c r="D785" s="85"/>
      <c r="E785" s="86"/>
      <c r="F785" s="85"/>
      <c r="G785" s="85"/>
      <c r="H785" s="85"/>
    </row>
    <row r="786">
      <c r="A786" s="84"/>
      <c r="B786" s="85"/>
      <c r="C786" s="85"/>
      <c r="D786" s="85"/>
      <c r="E786" s="86"/>
      <c r="F786" s="85"/>
      <c r="G786" s="85"/>
      <c r="H786" s="85"/>
    </row>
    <row r="787">
      <c r="A787" s="84"/>
      <c r="B787" s="85"/>
      <c r="C787" s="85"/>
      <c r="D787" s="85"/>
      <c r="E787" s="86"/>
      <c r="F787" s="85"/>
      <c r="G787" s="85"/>
      <c r="H787" s="85"/>
    </row>
    <row r="788">
      <c r="A788" s="84"/>
      <c r="B788" s="85"/>
      <c r="C788" s="85"/>
      <c r="D788" s="85"/>
      <c r="E788" s="86"/>
      <c r="F788" s="85"/>
      <c r="G788" s="85"/>
      <c r="H788" s="85"/>
    </row>
    <row r="789">
      <c r="A789" s="84"/>
      <c r="B789" s="85"/>
      <c r="C789" s="85"/>
      <c r="D789" s="85"/>
      <c r="E789" s="86"/>
      <c r="F789" s="85"/>
      <c r="G789" s="85"/>
      <c r="H789" s="85"/>
    </row>
    <row r="790">
      <c r="A790" s="84"/>
      <c r="B790" s="85"/>
      <c r="C790" s="85"/>
      <c r="D790" s="85"/>
      <c r="E790" s="86"/>
      <c r="F790" s="85"/>
      <c r="G790" s="85"/>
      <c r="H790" s="85"/>
    </row>
    <row r="791">
      <c r="A791" s="84"/>
      <c r="B791" s="85"/>
      <c r="C791" s="85"/>
      <c r="D791" s="85"/>
      <c r="E791" s="86"/>
      <c r="F791" s="85"/>
      <c r="G791" s="85"/>
      <c r="H791" s="85"/>
    </row>
    <row r="792">
      <c r="A792" s="84"/>
      <c r="B792" s="85"/>
      <c r="C792" s="85"/>
      <c r="D792" s="85"/>
      <c r="E792" s="86"/>
      <c r="F792" s="85"/>
      <c r="G792" s="85"/>
      <c r="H792" s="85"/>
    </row>
    <row r="793">
      <c r="A793" s="84"/>
      <c r="B793" s="85"/>
      <c r="C793" s="85"/>
      <c r="D793" s="85"/>
      <c r="E793" s="86"/>
      <c r="F793" s="85"/>
      <c r="G793" s="85"/>
      <c r="H793" s="85"/>
    </row>
    <row r="794">
      <c r="A794" s="84"/>
      <c r="B794" s="85"/>
      <c r="C794" s="85"/>
      <c r="D794" s="85"/>
      <c r="E794" s="86"/>
      <c r="F794" s="85"/>
      <c r="G794" s="85"/>
      <c r="H794" s="85"/>
    </row>
    <row r="795">
      <c r="A795" s="84"/>
      <c r="B795" s="85"/>
      <c r="C795" s="85"/>
      <c r="D795" s="85"/>
      <c r="E795" s="86"/>
      <c r="F795" s="85"/>
      <c r="G795" s="85"/>
      <c r="H795" s="85"/>
    </row>
    <row r="796">
      <c r="A796" s="84"/>
      <c r="B796" s="85"/>
      <c r="C796" s="85"/>
      <c r="D796" s="85"/>
      <c r="E796" s="86"/>
      <c r="F796" s="85"/>
      <c r="G796" s="85"/>
      <c r="H796" s="85"/>
    </row>
    <row r="797">
      <c r="A797" s="84"/>
      <c r="B797" s="85"/>
      <c r="C797" s="85"/>
      <c r="D797" s="85"/>
      <c r="E797" s="86"/>
      <c r="F797" s="85"/>
      <c r="G797" s="85"/>
      <c r="H797" s="85"/>
    </row>
    <row r="798">
      <c r="A798" s="84"/>
      <c r="B798" s="85"/>
      <c r="C798" s="85"/>
      <c r="D798" s="85"/>
      <c r="E798" s="86"/>
      <c r="F798" s="85"/>
      <c r="G798" s="85"/>
      <c r="H798" s="85"/>
    </row>
    <row r="799">
      <c r="A799" s="84"/>
      <c r="B799" s="85"/>
      <c r="C799" s="85"/>
      <c r="D799" s="85"/>
      <c r="E799" s="86"/>
      <c r="F799" s="85"/>
      <c r="G799" s="85"/>
      <c r="H799" s="85"/>
    </row>
    <row r="800">
      <c r="A800" s="84"/>
      <c r="B800" s="85"/>
      <c r="C800" s="85"/>
      <c r="D800" s="85"/>
      <c r="E800" s="86"/>
      <c r="F800" s="85"/>
      <c r="G800" s="85"/>
      <c r="H800" s="85"/>
    </row>
    <row r="801">
      <c r="A801" s="84"/>
      <c r="B801" s="85"/>
      <c r="C801" s="85"/>
      <c r="D801" s="85"/>
      <c r="E801" s="86"/>
      <c r="F801" s="85"/>
      <c r="G801" s="85"/>
      <c r="H801" s="85"/>
    </row>
    <row r="802">
      <c r="A802" s="84"/>
      <c r="B802" s="85"/>
      <c r="C802" s="85"/>
      <c r="D802" s="85"/>
      <c r="E802" s="86"/>
      <c r="F802" s="85"/>
      <c r="G802" s="85"/>
      <c r="H802" s="85"/>
    </row>
    <row r="803">
      <c r="A803" s="84"/>
      <c r="B803" s="85"/>
      <c r="C803" s="85"/>
      <c r="D803" s="85"/>
      <c r="E803" s="86"/>
      <c r="F803" s="85"/>
      <c r="G803" s="85"/>
      <c r="H803" s="85"/>
    </row>
    <row r="804">
      <c r="A804" s="84"/>
      <c r="B804" s="85"/>
      <c r="C804" s="85"/>
      <c r="D804" s="85"/>
      <c r="E804" s="86"/>
      <c r="F804" s="85"/>
      <c r="G804" s="85"/>
      <c r="H804" s="85"/>
    </row>
    <row r="805">
      <c r="A805" s="84"/>
      <c r="B805" s="85"/>
      <c r="C805" s="85"/>
      <c r="D805" s="85"/>
      <c r="E805" s="86"/>
      <c r="F805" s="85"/>
      <c r="G805" s="85"/>
      <c r="H805" s="85"/>
    </row>
    <row r="806">
      <c r="A806" s="84"/>
      <c r="B806" s="85"/>
      <c r="C806" s="85"/>
      <c r="D806" s="85"/>
      <c r="E806" s="86"/>
      <c r="F806" s="85"/>
      <c r="G806" s="85"/>
      <c r="H806" s="85"/>
    </row>
    <row r="807">
      <c r="A807" s="84"/>
      <c r="B807" s="85"/>
      <c r="C807" s="85"/>
      <c r="D807" s="85"/>
      <c r="E807" s="86"/>
      <c r="F807" s="85"/>
      <c r="G807" s="85"/>
      <c r="H807" s="85"/>
    </row>
    <row r="808">
      <c r="A808" s="84"/>
      <c r="B808" s="85"/>
      <c r="C808" s="85"/>
      <c r="D808" s="85"/>
      <c r="E808" s="86"/>
      <c r="F808" s="85"/>
      <c r="G808" s="85"/>
      <c r="H808" s="85"/>
    </row>
    <row r="809">
      <c r="A809" s="84"/>
      <c r="B809" s="85"/>
      <c r="C809" s="85"/>
      <c r="D809" s="85"/>
      <c r="E809" s="86"/>
      <c r="F809" s="85"/>
      <c r="G809" s="85"/>
      <c r="H809" s="85"/>
    </row>
    <row r="810">
      <c r="A810" s="84"/>
      <c r="B810" s="85"/>
      <c r="C810" s="85"/>
      <c r="D810" s="85"/>
      <c r="E810" s="86"/>
      <c r="F810" s="85"/>
      <c r="G810" s="85"/>
      <c r="H810" s="85"/>
    </row>
    <row r="811">
      <c r="A811" s="84"/>
      <c r="B811" s="85"/>
      <c r="C811" s="85"/>
      <c r="D811" s="85"/>
      <c r="E811" s="86"/>
      <c r="F811" s="85"/>
      <c r="G811" s="85"/>
      <c r="H811" s="85"/>
    </row>
    <row r="812">
      <c r="A812" s="84"/>
      <c r="B812" s="85"/>
      <c r="C812" s="85"/>
      <c r="D812" s="85"/>
      <c r="E812" s="86"/>
      <c r="F812" s="85"/>
      <c r="G812" s="85"/>
      <c r="H812" s="85"/>
    </row>
    <row r="813">
      <c r="A813" s="84"/>
      <c r="B813" s="85"/>
      <c r="C813" s="85"/>
      <c r="D813" s="85"/>
      <c r="E813" s="86"/>
      <c r="F813" s="85"/>
      <c r="G813" s="85"/>
      <c r="H813" s="85"/>
    </row>
    <row r="814">
      <c r="A814" s="84"/>
      <c r="B814" s="85"/>
      <c r="C814" s="85"/>
      <c r="D814" s="85"/>
      <c r="E814" s="86"/>
      <c r="F814" s="85"/>
      <c r="G814" s="85"/>
      <c r="H814" s="85"/>
    </row>
    <row r="815">
      <c r="A815" s="84"/>
      <c r="B815" s="85"/>
      <c r="C815" s="85"/>
      <c r="D815" s="85"/>
      <c r="E815" s="86"/>
      <c r="F815" s="85"/>
      <c r="G815" s="85"/>
      <c r="H815" s="85"/>
    </row>
    <row r="816">
      <c r="A816" s="84"/>
      <c r="B816" s="85"/>
      <c r="C816" s="85"/>
      <c r="D816" s="85"/>
      <c r="E816" s="86"/>
      <c r="F816" s="85"/>
      <c r="G816" s="85"/>
      <c r="H816" s="85"/>
    </row>
    <row r="817">
      <c r="A817" s="84"/>
      <c r="B817" s="85"/>
      <c r="C817" s="85"/>
      <c r="D817" s="85"/>
      <c r="E817" s="86"/>
      <c r="F817" s="85"/>
      <c r="G817" s="85"/>
      <c r="H817" s="85"/>
    </row>
    <row r="818">
      <c r="A818" s="84"/>
      <c r="B818" s="85"/>
      <c r="C818" s="85"/>
      <c r="D818" s="85"/>
      <c r="E818" s="86"/>
      <c r="F818" s="85"/>
      <c r="G818" s="85"/>
      <c r="H818" s="85"/>
    </row>
    <row r="819">
      <c r="A819" s="84"/>
      <c r="B819" s="85"/>
      <c r="C819" s="85"/>
      <c r="D819" s="85"/>
      <c r="E819" s="86"/>
      <c r="F819" s="85"/>
      <c r="G819" s="85"/>
      <c r="H819" s="85"/>
    </row>
    <row r="820">
      <c r="A820" s="84"/>
      <c r="B820" s="85"/>
      <c r="C820" s="85"/>
      <c r="D820" s="85"/>
      <c r="E820" s="86"/>
      <c r="F820" s="85"/>
      <c r="G820" s="85"/>
      <c r="H820" s="85"/>
    </row>
    <row r="821">
      <c r="A821" s="84"/>
      <c r="B821" s="85"/>
      <c r="C821" s="85"/>
      <c r="D821" s="85"/>
      <c r="E821" s="86"/>
      <c r="F821" s="85"/>
      <c r="G821" s="85"/>
      <c r="H821" s="85"/>
    </row>
    <row r="822">
      <c r="A822" s="84"/>
      <c r="B822" s="85"/>
      <c r="C822" s="85"/>
      <c r="D822" s="85"/>
      <c r="E822" s="86"/>
      <c r="F822" s="85"/>
      <c r="G822" s="85"/>
      <c r="H822" s="85"/>
    </row>
    <row r="823">
      <c r="A823" s="84"/>
      <c r="B823" s="85"/>
      <c r="C823" s="85"/>
      <c r="D823" s="85"/>
      <c r="E823" s="86"/>
      <c r="F823" s="85"/>
      <c r="G823" s="85"/>
      <c r="H823" s="85"/>
    </row>
    <row r="824">
      <c r="A824" s="84"/>
      <c r="B824" s="85"/>
      <c r="C824" s="85"/>
      <c r="D824" s="85"/>
      <c r="E824" s="86"/>
      <c r="F824" s="85"/>
      <c r="G824" s="85"/>
      <c r="H824" s="85"/>
    </row>
    <row r="825">
      <c r="A825" s="84"/>
      <c r="B825" s="85"/>
      <c r="C825" s="85"/>
      <c r="D825" s="85"/>
      <c r="E825" s="86"/>
      <c r="F825" s="85"/>
      <c r="G825" s="85"/>
      <c r="H825" s="85"/>
    </row>
    <row r="826">
      <c r="A826" s="84"/>
      <c r="B826" s="85"/>
      <c r="C826" s="85"/>
      <c r="D826" s="85"/>
      <c r="E826" s="86"/>
      <c r="F826" s="85"/>
      <c r="G826" s="85"/>
      <c r="H826" s="85"/>
    </row>
    <row r="827">
      <c r="A827" s="84"/>
      <c r="B827" s="85"/>
      <c r="C827" s="85"/>
      <c r="D827" s="85"/>
      <c r="E827" s="86"/>
      <c r="F827" s="85"/>
      <c r="G827" s="85"/>
      <c r="H827" s="85"/>
    </row>
    <row r="828">
      <c r="A828" s="84"/>
      <c r="B828" s="85"/>
      <c r="C828" s="85"/>
      <c r="D828" s="85"/>
      <c r="E828" s="86"/>
      <c r="F828" s="85"/>
      <c r="G828" s="85"/>
      <c r="H828" s="85"/>
    </row>
    <row r="829">
      <c r="A829" s="84"/>
      <c r="B829" s="85"/>
      <c r="C829" s="85"/>
      <c r="D829" s="85"/>
      <c r="E829" s="86"/>
      <c r="F829" s="85"/>
      <c r="G829" s="85"/>
      <c r="H829" s="85"/>
    </row>
    <row r="830">
      <c r="A830" s="84"/>
      <c r="B830" s="85"/>
      <c r="C830" s="85"/>
      <c r="D830" s="85"/>
      <c r="E830" s="86"/>
      <c r="F830" s="85"/>
      <c r="G830" s="85"/>
      <c r="H830" s="85"/>
    </row>
    <row r="831">
      <c r="A831" s="84"/>
      <c r="B831" s="85"/>
      <c r="C831" s="85"/>
      <c r="D831" s="85"/>
      <c r="E831" s="86"/>
      <c r="F831" s="85"/>
      <c r="G831" s="85"/>
      <c r="H831" s="85"/>
    </row>
    <row r="832">
      <c r="A832" s="84"/>
      <c r="B832" s="85"/>
      <c r="C832" s="85"/>
      <c r="D832" s="85"/>
      <c r="E832" s="86"/>
      <c r="F832" s="85"/>
      <c r="G832" s="85"/>
      <c r="H832" s="85"/>
    </row>
    <row r="833">
      <c r="A833" s="84"/>
      <c r="B833" s="85"/>
      <c r="C833" s="85"/>
      <c r="D833" s="85"/>
      <c r="E833" s="86"/>
      <c r="F833" s="85"/>
      <c r="G833" s="85"/>
      <c r="H833" s="85"/>
    </row>
    <row r="834">
      <c r="A834" s="84"/>
      <c r="B834" s="85"/>
      <c r="C834" s="85"/>
      <c r="D834" s="85"/>
      <c r="E834" s="86"/>
      <c r="F834" s="85"/>
      <c r="G834" s="85"/>
      <c r="H834" s="85"/>
    </row>
    <row r="835">
      <c r="A835" s="84"/>
      <c r="B835" s="85"/>
      <c r="C835" s="85"/>
      <c r="D835" s="85"/>
      <c r="E835" s="86"/>
      <c r="F835" s="85"/>
      <c r="G835" s="85"/>
      <c r="H835" s="85"/>
    </row>
    <row r="836">
      <c r="A836" s="84"/>
      <c r="B836" s="85"/>
      <c r="C836" s="85"/>
      <c r="D836" s="85"/>
      <c r="E836" s="86"/>
      <c r="F836" s="85"/>
      <c r="G836" s="85"/>
      <c r="H836" s="85"/>
    </row>
    <row r="837">
      <c r="A837" s="84"/>
      <c r="B837" s="85"/>
      <c r="C837" s="85"/>
      <c r="D837" s="85"/>
      <c r="E837" s="86"/>
      <c r="F837" s="85"/>
      <c r="G837" s="85"/>
      <c r="H837" s="85"/>
    </row>
    <row r="838">
      <c r="A838" s="84"/>
      <c r="B838" s="85"/>
      <c r="C838" s="85"/>
      <c r="D838" s="85"/>
      <c r="E838" s="86"/>
      <c r="F838" s="85"/>
      <c r="G838" s="85"/>
      <c r="H838" s="85"/>
    </row>
    <row r="839">
      <c r="A839" s="84"/>
      <c r="B839" s="85"/>
      <c r="C839" s="85"/>
      <c r="D839" s="85"/>
      <c r="E839" s="86"/>
      <c r="F839" s="85"/>
      <c r="G839" s="85"/>
      <c r="H839" s="85"/>
    </row>
    <row r="840">
      <c r="A840" s="84"/>
      <c r="B840" s="85"/>
      <c r="C840" s="85"/>
      <c r="D840" s="85"/>
      <c r="E840" s="86"/>
      <c r="F840" s="85"/>
      <c r="G840" s="85"/>
      <c r="H840" s="85"/>
    </row>
    <row r="841">
      <c r="A841" s="84"/>
      <c r="B841" s="85"/>
      <c r="C841" s="85"/>
      <c r="D841" s="85"/>
      <c r="E841" s="86"/>
      <c r="F841" s="85"/>
      <c r="G841" s="85"/>
      <c r="H841" s="85"/>
    </row>
    <row r="842">
      <c r="A842" s="84"/>
      <c r="B842" s="85"/>
      <c r="C842" s="85"/>
      <c r="D842" s="85"/>
      <c r="E842" s="86"/>
      <c r="F842" s="85"/>
      <c r="G842" s="85"/>
      <c r="H842" s="85"/>
    </row>
    <row r="843">
      <c r="A843" s="84"/>
      <c r="B843" s="85"/>
      <c r="C843" s="85"/>
      <c r="D843" s="85"/>
      <c r="E843" s="86"/>
      <c r="F843" s="85"/>
      <c r="G843" s="85"/>
      <c r="H843" s="85"/>
    </row>
    <row r="844">
      <c r="A844" s="84"/>
      <c r="B844" s="85"/>
      <c r="C844" s="85"/>
      <c r="D844" s="85"/>
      <c r="E844" s="86"/>
      <c r="F844" s="85"/>
      <c r="G844" s="85"/>
      <c r="H844" s="85"/>
    </row>
    <row r="845">
      <c r="A845" s="84"/>
      <c r="B845" s="85"/>
      <c r="C845" s="85"/>
      <c r="D845" s="85"/>
      <c r="E845" s="86"/>
      <c r="F845" s="85"/>
      <c r="G845" s="85"/>
      <c r="H845" s="85"/>
    </row>
    <row r="846">
      <c r="A846" s="84"/>
      <c r="B846" s="85"/>
      <c r="C846" s="85"/>
      <c r="D846" s="85"/>
      <c r="E846" s="86"/>
      <c r="F846" s="85"/>
      <c r="G846" s="85"/>
      <c r="H846" s="85"/>
    </row>
    <row r="847">
      <c r="A847" s="84"/>
      <c r="B847" s="85"/>
      <c r="C847" s="85"/>
      <c r="D847" s="85"/>
      <c r="E847" s="86"/>
      <c r="F847" s="85"/>
      <c r="G847" s="85"/>
      <c r="H847" s="85"/>
    </row>
    <row r="848">
      <c r="A848" s="84"/>
      <c r="B848" s="85"/>
      <c r="C848" s="85"/>
      <c r="D848" s="85"/>
      <c r="E848" s="86"/>
      <c r="F848" s="85"/>
      <c r="G848" s="85"/>
      <c r="H848" s="85"/>
    </row>
    <row r="849">
      <c r="A849" s="84"/>
      <c r="B849" s="85"/>
      <c r="C849" s="85"/>
      <c r="D849" s="85"/>
      <c r="E849" s="86"/>
      <c r="F849" s="85"/>
      <c r="G849" s="85"/>
      <c r="H849" s="85"/>
    </row>
    <row r="850">
      <c r="A850" s="84"/>
      <c r="B850" s="85"/>
      <c r="C850" s="85"/>
      <c r="D850" s="85"/>
      <c r="E850" s="86"/>
      <c r="F850" s="85"/>
      <c r="G850" s="85"/>
      <c r="H850" s="85"/>
    </row>
    <row r="851">
      <c r="A851" s="84"/>
      <c r="B851" s="85"/>
      <c r="C851" s="85"/>
      <c r="D851" s="85"/>
      <c r="E851" s="86"/>
      <c r="F851" s="85"/>
      <c r="G851" s="85"/>
      <c r="H851" s="85"/>
    </row>
    <row r="852">
      <c r="A852" s="84"/>
      <c r="B852" s="85"/>
      <c r="C852" s="85"/>
      <c r="D852" s="85"/>
      <c r="E852" s="86"/>
      <c r="F852" s="85"/>
      <c r="G852" s="85"/>
      <c r="H852" s="85"/>
    </row>
    <row r="853">
      <c r="A853" s="84"/>
      <c r="B853" s="85"/>
      <c r="C853" s="85"/>
      <c r="D853" s="85"/>
      <c r="E853" s="86"/>
      <c r="F853" s="85"/>
      <c r="G853" s="85"/>
      <c r="H853" s="85"/>
    </row>
    <row r="854">
      <c r="A854" s="84"/>
      <c r="B854" s="85"/>
      <c r="C854" s="85"/>
      <c r="D854" s="85"/>
      <c r="E854" s="86"/>
      <c r="F854" s="85"/>
      <c r="G854" s="85"/>
      <c r="H854" s="85"/>
    </row>
    <row r="855">
      <c r="A855" s="84"/>
      <c r="B855" s="85"/>
      <c r="C855" s="85"/>
      <c r="D855" s="85"/>
      <c r="E855" s="86"/>
      <c r="F855" s="85"/>
      <c r="G855" s="85"/>
      <c r="H855" s="85"/>
    </row>
    <row r="856">
      <c r="A856" s="84"/>
      <c r="B856" s="85"/>
      <c r="C856" s="85"/>
      <c r="D856" s="85"/>
      <c r="E856" s="86"/>
      <c r="F856" s="85"/>
      <c r="G856" s="85"/>
      <c r="H856" s="85"/>
    </row>
    <row r="857">
      <c r="A857" s="84"/>
      <c r="B857" s="85"/>
      <c r="C857" s="85"/>
      <c r="D857" s="85"/>
      <c r="E857" s="86"/>
      <c r="F857" s="85"/>
      <c r="G857" s="85"/>
      <c r="H857" s="85"/>
    </row>
    <row r="858">
      <c r="A858" s="84"/>
      <c r="B858" s="85"/>
      <c r="C858" s="85"/>
      <c r="D858" s="85"/>
      <c r="E858" s="86"/>
      <c r="F858" s="85"/>
      <c r="G858" s="85"/>
      <c r="H858" s="85"/>
    </row>
    <row r="859">
      <c r="A859" s="84"/>
      <c r="B859" s="85"/>
      <c r="C859" s="85"/>
      <c r="D859" s="85"/>
      <c r="E859" s="86"/>
      <c r="F859" s="85"/>
      <c r="G859" s="85"/>
      <c r="H859" s="85"/>
    </row>
    <row r="860">
      <c r="A860" s="84"/>
      <c r="B860" s="85"/>
      <c r="C860" s="85"/>
      <c r="D860" s="85"/>
      <c r="E860" s="86"/>
      <c r="F860" s="85"/>
      <c r="G860" s="85"/>
      <c r="H860" s="85"/>
    </row>
    <row r="861">
      <c r="A861" s="84"/>
      <c r="B861" s="85"/>
      <c r="C861" s="85"/>
      <c r="D861" s="85"/>
      <c r="E861" s="86"/>
      <c r="F861" s="85"/>
      <c r="G861" s="85"/>
      <c r="H861" s="85"/>
    </row>
    <row r="862">
      <c r="A862" s="84"/>
      <c r="B862" s="85"/>
      <c r="C862" s="85"/>
      <c r="D862" s="85"/>
      <c r="E862" s="86"/>
      <c r="F862" s="85"/>
      <c r="G862" s="85"/>
      <c r="H862" s="85"/>
    </row>
    <row r="863">
      <c r="A863" s="84"/>
      <c r="B863" s="85"/>
      <c r="C863" s="85"/>
      <c r="D863" s="85"/>
      <c r="E863" s="86"/>
      <c r="F863" s="85"/>
      <c r="G863" s="85"/>
      <c r="H863" s="85"/>
    </row>
    <row r="864">
      <c r="A864" s="84"/>
      <c r="B864" s="85"/>
      <c r="C864" s="85"/>
      <c r="D864" s="85"/>
      <c r="E864" s="86"/>
      <c r="F864" s="85"/>
      <c r="G864" s="85"/>
      <c r="H864" s="85"/>
    </row>
    <row r="865">
      <c r="A865" s="84"/>
      <c r="B865" s="85"/>
      <c r="C865" s="85"/>
      <c r="D865" s="85"/>
      <c r="E865" s="86"/>
      <c r="F865" s="85"/>
      <c r="G865" s="85"/>
      <c r="H865" s="85"/>
    </row>
    <row r="866">
      <c r="A866" s="84"/>
      <c r="B866" s="85"/>
      <c r="C866" s="85"/>
      <c r="D866" s="85"/>
      <c r="E866" s="86"/>
      <c r="F866" s="85"/>
      <c r="G866" s="85"/>
      <c r="H866" s="85"/>
    </row>
    <row r="867">
      <c r="A867" s="84"/>
      <c r="B867" s="85"/>
      <c r="C867" s="85"/>
      <c r="D867" s="85"/>
      <c r="E867" s="86"/>
      <c r="F867" s="85"/>
      <c r="G867" s="85"/>
      <c r="H867" s="85"/>
    </row>
    <row r="868">
      <c r="A868" s="84"/>
      <c r="B868" s="85"/>
      <c r="C868" s="85"/>
      <c r="D868" s="85"/>
      <c r="E868" s="86"/>
      <c r="F868" s="85"/>
      <c r="G868" s="85"/>
      <c r="H868" s="85"/>
    </row>
    <row r="869">
      <c r="A869" s="84"/>
      <c r="B869" s="85"/>
      <c r="C869" s="85"/>
      <c r="D869" s="85"/>
      <c r="E869" s="86"/>
      <c r="F869" s="85"/>
      <c r="G869" s="85"/>
      <c r="H869" s="85"/>
    </row>
    <row r="870">
      <c r="A870" s="84"/>
      <c r="B870" s="85"/>
      <c r="C870" s="85"/>
      <c r="D870" s="85"/>
      <c r="E870" s="86"/>
      <c r="F870" s="85"/>
      <c r="G870" s="85"/>
      <c r="H870" s="85"/>
    </row>
    <row r="871">
      <c r="A871" s="84"/>
      <c r="B871" s="85"/>
      <c r="C871" s="85"/>
      <c r="D871" s="85"/>
      <c r="E871" s="86"/>
      <c r="F871" s="85"/>
      <c r="G871" s="85"/>
      <c r="H871" s="85"/>
    </row>
    <row r="872">
      <c r="A872" s="84"/>
      <c r="B872" s="85"/>
      <c r="C872" s="85"/>
      <c r="D872" s="85"/>
      <c r="E872" s="86"/>
      <c r="F872" s="85"/>
      <c r="G872" s="85"/>
      <c r="H872" s="85"/>
    </row>
    <row r="873">
      <c r="A873" s="84"/>
      <c r="B873" s="85"/>
      <c r="C873" s="85"/>
      <c r="D873" s="85"/>
      <c r="E873" s="86"/>
      <c r="F873" s="85"/>
      <c r="G873" s="85"/>
      <c r="H873" s="85"/>
    </row>
    <row r="874">
      <c r="A874" s="84"/>
      <c r="B874" s="85"/>
      <c r="C874" s="85"/>
      <c r="D874" s="85"/>
      <c r="E874" s="86"/>
      <c r="F874" s="85"/>
      <c r="G874" s="85"/>
      <c r="H874" s="85"/>
    </row>
    <row r="875">
      <c r="A875" s="84"/>
      <c r="B875" s="85"/>
      <c r="C875" s="85"/>
      <c r="D875" s="85"/>
      <c r="E875" s="86"/>
      <c r="F875" s="85"/>
      <c r="G875" s="85"/>
      <c r="H875" s="85"/>
    </row>
    <row r="876">
      <c r="A876" s="84"/>
      <c r="B876" s="85"/>
      <c r="C876" s="85"/>
      <c r="D876" s="85"/>
      <c r="E876" s="86"/>
      <c r="F876" s="85"/>
      <c r="G876" s="85"/>
      <c r="H876" s="85"/>
    </row>
    <row r="877">
      <c r="A877" s="84"/>
      <c r="B877" s="85"/>
      <c r="C877" s="85"/>
      <c r="D877" s="85"/>
      <c r="E877" s="86"/>
      <c r="F877" s="85"/>
      <c r="G877" s="85"/>
      <c r="H877" s="85"/>
    </row>
    <row r="878">
      <c r="A878" s="84"/>
      <c r="B878" s="85"/>
      <c r="C878" s="85"/>
      <c r="D878" s="85"/>
      <c r="E878" s="86"/>
      <c r="F878" s="85"/>
      <c r="G878" s="85"/>
      <c r="H878" s="85"/>
    </row>
    <row r="879">
      <c r="A879" s="84"/>
      <c r="B879" s="85"/>
      <c r="C879" s="85"/>
      <c r="D879" s="85"/>
      <c r="E879" s="86"/>
      <c r="F879" s="85"/>
      <c r="G879" s="85"/>
      <c r="H879" s="85"/>
    </row>
    <row r="880">
      <c r="A880" s="84"/>
      <c r="B880" s="85"/>
      <c r="C880" s="85"/>
      <c r="D880" s="85"/>
      <c r="E880" s="86"/>
      <c r="F880" s="85"/>
      <c r="G880" s="85"/>
      <c r="H880" s="85"/>
    </row>
    <row r="881">
      <c r="A881" s="84"/>
      <c r="B881" s="85"/>
      <c r="C881" s="85"/>
      <c r="D881" s="85"/>
      <c r="E881" s="86"/>
      <c r="F881" s="85"/>
      <c r="G881" s="85"/>
      <c r="H881" s="85"/>
    </row>
    <row r="882">
      <c r="A882" s="84"/>
      <c r="B882" s="85"/>
      <c r="C882" s="85"/>
      <c r="D882" s="85"/>
      <c r="E882" s="86"/>
      <c r="F882" s="85"/>
      <c r="G882" s="85"/>
      <c r="H882" s="85"/>
    </row>
    <row r="883">
      <c r="A883" s="84"/>
      <c r="B883" s="85"/>
      <c r="C883" s="85"/>
      <c r="D883" s="85"/>
      <c r="E883" s="86"/>
      <c r="F883" s="85"/>
      <c r="G883" s="85"/>
      <c r="H883" s="85"/>
    </row>
    <row r="884">
      <c r="A884" s="84"/>
      <c r="B884" s="85"/>
      <c r="C884" s="85"/>
      <c r="D884" s="85"/>
      <c r="E884" s="86"/>
      <c r="F884" s="85"/>
      <c r="G884" s="85"/>
      <c r="H884" s="85"/>
    </row>
    <row r="885">
      <c r="A885" s="84"/>
      <c r="B885" s="85"/>
      <c r="C885" s="85"/>
      <c r="D885" s="85"/>
      <c r="E885" s="86"/>
      <c r="F885" s="85"/>
      <c r="G885" s="85"/>
      <c r="H885" s="85"/>
    </row>
    <row r="886">
      <c r="A886" s="84"/>
      <c r="B886" s="85"/>
      <c r="C886" s="85"/>
      <c r="D886" s="85"/>
      <c r="E886" s="86"/>
      <c r="F886" s="85"/>
      <c r="G886" s="85"/>
      <c r="H886" s="85"/>
    </row>
    <row r="887">
      <c r="A887" s="84"/>
      <c r="B887" s="85"/>
      <c r="C887" s="85"/>
      <c r="D887" s="85"/>
      <c r="E887" s="86"/>
      <c r="F887" s="85"/>
      <c r="G887" s="85"/>
      <c r="H887" s="85"/>
    </row>
    <row r="888">
      <c r="A888" s="84"/>
      <c r="B888" s="85"/>
      <c r="C888" s="85"/>
      <c r="D888" s="85"/>
      <c r="E888" s="86"/>
      <c r="F888" s="85"/>
      <c r="G888" s="85"/>
      <c r="H888" s="85"/>
    </row>
    <row r="889">
      <c r="A889" s="84"/>
      <c r="B889" s="85"/>
      <c r="C889" s="85"/>
      <c r="D889" s="85"/>
      <c r="E889" s="86"/>
      <c r="F889" s="85"/>
      <c r="G889" s="85"/>
      <c r="H889" s="85"/>
    </row>
    <row r="890">
      <c r="A890" s="84"/>
      <c r="B890" s="85"/>
      <c r="C890" s="85"/>
      <c r="D890" s="85"/>
      <c r="E890" s="86"/>
      <c r="F890" s="85"/>
      <c r="G890" s="85"/>
      <c r="H890" s="85"/>
    </row>
    <row r="891">
      <c r="A891" s="84"/>
      <c r="B891" s="85"/>
      <c r="C891" s="85"/>
      <c r="D891" s="85"/>
      <c r="E891" s="86"/>
      <c r="F891" s="85"/>
      <c r="G891" s="85"/>
      <c r="H891" s="85"/>
    </row>
    <row r="892">
      <c r="A892" s="84"/>
      <c r="B892" s="85"/>
      <c r="C892" s="85"/>
      <c r="D892" s="85"/>
      <c r="E892" s="86"/>
      <c r="F892" s="85"/>
      <c r="G892" s="85"/>
      <c r="H892" s="85"/>
    </row>
    <row r="893">
      <c r="A893" s="84"/>
      <c r="B893" s="85"/>
      <c r="C893" s="85"/>
      <c r="D893" s="85"/>
      <c r="E893" s="86"/>
      <c r="F893" s="85"/>
      <c r="G893" s="85"/>
      <c r="H893" s="85"/>
    </row>
    <row r="894">
      <c r="A894" s="84"/>
      <c r="B894" s="85"/>
      <c r="C894" s="85"/>
      <c r="D894" s="85"/>
      <c r="E894" s="86"/>
      <c r="F894" s="85"/>
      <c r="G894" s="85"/>
      <c r="H894" s="85"/>
    </row>
    <row r="895">
      <c r="A895" s="84"/>
      <c r="B895" s="85"/>
      <c r="C895" s="85"/>
      <c r="D895" s="85"/>
      <c r="E895" s="86"/>
      <c r="F895" s="85"/>
      <c r="G895" s="85"/>
      <c r="H895" s="85"/>
    </row>
    <row r="896">
      <c r="A896" s="84"/>
      <c r="B896" s="85"/>
      <c r="C896" s="85"/>
      <c r="D896" s="85"/>
      <c r="E896" s="86"/>
      <c r="F896" s="85"/>
      <c r="G896" s="85"/>
      <c r="H896" s="85"/>
    </row>
    <row r="897">
      <c r="A897" s="84"/>
      <c r="B897" s="85"/>
      <c r="C897" s="85"/>
      <c r="D897" s="85"/>
      <c r="E897" s="86"/>
      <c r="F897" s="85"/>
      <c r="G897" s="85"/>
      <c r="H897" s="85"/>
    </row>
    <row r="898">
      <c r="A898" s="84"/>
      <c r="B898" s="85"/>
      <c r="C898" s="85"/>
      <c r="D898" s="85"/>
      <c r="E898" s="86"/>
      <c r="F898" s="85"/>
      <c r="G898" s="85"/>
      <c r="H898" s="85"/>
    </row>
    <row r="899">
      <c r="A899" s="84"/>
      <c r="B899" s="85"/>
      <c r="C899" s="85"/>
      <c r="D899" s="85"/>
      <c r="E899" s="86"/>
      <c r="F899" s="85"/>
      <c r="G899" s="85"/>
      <c r="H899" s="85"/>
    </row>
    <row r="900">
      <c r="A900" s="84"/>
      <c r="B900" s="85"/>
      <c r="C900" s="85"/>
      <c r="D900" s="85"/>
      <c r="E900" s="86"/>
      <c r="F900" s="85"/>
      <c r="G900" s="85"/>
      <c r="H900" s="85"/>
    </row>
    <row r="901">
      <c r="A901" s="84"/>
      <c r="B901" s="85"/>
      <c r="C901" s="85"/>
      <c r="D901" s="85"/>
      <c r="E901" s="86"/>
      <c r="F901" s="85"/>
      <c r="G901" s="85"/>
      <c r="H901" s="85"/>
    </row>
    <row r="902">
      <c r="A902" s="84"/>
      <c r="B902" s="85"/>
      <c r="C902" s="85"/>
      <c r="D902" s="85"/>
      <c r="E902" s="86"/>
      <c r="F902" s="85"/>
      <c r="G902" s="85"/>
      <c r="H902" s="85"/>
    </row>
    <row r="903">
      <c r="A903" s="84"/>
      <c r="B903" s="85"/>
      <c r="C903" s="85"/>
      <c r="D903" s="85"/>
      <c r="E903" s="86"/>
      <c r="F903" s="85"/>
      <c r="G903" s="85"/>
      <c r="H903" s="85"/>
    </row>
    <row r="904">
      <c r="A904" s="84"/>
      <c r="B904" s="85"/>
      <c r="C904" s="85"/>
      <c r="D904" s="85"/>
      <c r="E904" s="86"/>
      <c r="F904" s="85"/>
      <c r="G904" s="85"/>
      <c r="H904" s="85"/>
    </row>
    <row r="905">
      <c r="A905" s="84"/>
      <c r="B905" s="85"/>
      <c r="C905" s="85"/>
      <c r="D905" s="85"/>
      <c r="E905" s="86"/>
      <c r="F905" s="85"/>
      <c r="G905" s="85"/>
      <c r="H905" s="85"/>
    </row>
    <row r="906">
      <c r="A906" s="84"/>
      <c r="B906" s="85"/>
      <c r="C906" s="85"/>
      <c r="D906" s="85"/>
      <c r="E906" s="86"/>
      <c r="F906" s="85"/>
      <c r="G906" s="85"/>
      <c r="H906" s="85"/>
    </row>
    <row r="907">
      <c r="A907" s="84"/>
      <c r="B907" s="85"/>
      <c r="C907" s="85"/>
      <c r="D907" s="85"/>
      <c r="E907" s="86"/>
      <c r="F907" s="85"/>
      <c r="G907" s="85"/>
      <c r="H907" s="85"/>
    </row>
    <row r="908">
      <c r="A908" s="84"/>
      <c r="B908" s="85"/>
      <c r="C908" s="85"/>
      <c r="D908" s="85"/>
      <c r="E908" s="86"/>
      <c r="F908" s="85"/>
      <c r="G908" s="85"/>
      <c r="H908" s="85"/>
    </row>
    <row r="909">
      <c r="A909" s="84"/>
      <c r="B909" s="85"/>
      <c r="C909" s="85"/>
      <c r="D909" s="85"/>
      <c r="E909" s="86"/>
      <c r="F909" s="85"/>
      <c r="G909" s="85"/>
      <c r="H909" s="85"/>
    </row>
    <row r="910">
      <c r="A910" s="84"/>
      <c r="B910" s="85"/>
      <c r="C910" s="85"/>
      <c r="D910" s="85"/>
      <c r="E910" s="86"/>
      <c r="F910" s="85"/>
      <c r="G910" s="85"/>
      <c r="H910" s="85"/>
    </row>
    <row r="911">
      <c r="A911" s="84"/>
      <c r="B911" s="85"/>
      <c r="C911" s="85"/>
      <c r="D911" s="85"/>
      <c r="E911" s="86"/>
      <c r="F911" s="85"/>
      <c r="G911" s="85"/>
      <c r="H911" s="85"/>
    </row>
    <row r="912">
      <c r="A912" s="84"/>
      <c r="B912" s="85"/>
      <c r="C912" s="85"/>
      <c r="D912" s="85"/>
      <c r="E912" s="86"/>
      <c r="F912" s="85"/>
      <c r="G912" s="85"/>
      <c r="H912" s="85"/>
    </row>
    <row r="913">
      <c r="A913" s="84"/>
      <c r="B913" s="85"/>
      <c r="C913" s="85"/>
      <c r="D913" s="85"/>
      <c r="E913" s="86"/>
      <c r="F913" s="85"/>
      <c r="G913" s="85"/>
      <c r="H913" s="85"/>
    </row>
    <row r="914">
      <c r="A914" s="84"/>
      <c r="B914" s="85"/>
      <c r="C914" s="85"/>
      <c r="D914" s="85"/>
      <c r="E914" s="86"/>
      <c r="F914" s="85"/>
      <c r="G914" s="85"/>
      <c r="H914" s="85"/>
    </row>
    <row r="915">
      <c r="A915" s="84"/>
      <c r="B915" s="85"/>
      <c r="C915" s="85"/>
      <c r="D915" s="85"/>
      <c r="E915" s="86"/>
      <c r="F915" s="85"/>
      <c r="G915" s="85"/>
      <c r="H915" s="85"/>
    </row>
    <row r="916">
      <c r="A916" s="84"/>
      <c r="B916" s="85"/>
      <c r="C916" s="85"/>
      <c r="D916" s="85"/>
      <c r="E916" s="86"/>
      <c r="F916" s="85"/>
      <c r="G916" s="85"/>
      <c r="H916" s="85"/>
    </row>
    <row r="917">
      <c r="A917" s="84"/>
      <c r="B917" s="85"/>
      <c r="C917" s="85"/>
      <c r="D917" s="85"/>
      <c r="E917" s="86"/>
      <c r="F917" s="85"/>
      <c r="G917" s="85"/>
      <c r="H917" s="85"/>
    </row>
    <row r="918">
      <c r="A918" s="84"/>
      <c r="B918" s="85"/>
      <c r="C918" s="85"/>
      <c r="D918" s="85"/>
      <c r="E918" s="86"/>
      <c r="F918" s="85"/>
      <c r="G918" s="85"/>
      <c r="H918" s="85"/>
    </row>
    <row r="919">
      <c r="A919" s="84"/>
      <c r="B919" s="85"/>
      <c r="C919" s="85"/>
      <c r="D919" s="85"/>
      <c r="E919" s="86"/>
      <c r="F919" s="85"/>
      <c r="G919" s="85"/>
      <c r="H919" s="85"/>
    </row>
    <row r="920">
      <c r="A920" s="84"/>
      <c r="B920" s="85"/>
      <c r="C920" s="85"/>
      <c r="D920" s="85"/>
      <c r="E920" s="86"/>
      <c r="F920" s="85"/>
      <c r="G920" s="85"/>
      <c r="H920" s="85"/>
    </row>
    <row r="921">
      <c r="A921" s="84"/>
      <c r="B921" s="85"/>
      <c r="C921" s="85"/>
      <c r="D921" s="85"/>
      <c r="E921" s="86"/>
      <c r="F921" s="85"/>
      <c r="G921" s="85"/>
      <c r="H921" s="85"/>
    </row>
    <row r="922">
      <c r="A922" s="84"/>
      <c r="B922" s="85"/>
      <c r="C922" s="85"/>
      <c r="D922" s="85"/>
      <c r="E922" s="86"/>
      <c r="F922" s="85"/>
      <c r="G922" s="85"/>
      <c r="H922" s="85"/>
    </row>
    <row r="923">
      <c r="A923" s="84"/>
      <c r="B923" s="85"/>
      <c r="C923" s="85"/>
      <c r="D923" s="85"/>
      <c r="E923" s="86"/>
      <c r="F923" s="85"/>
      <c r="G923" s="85"/>
      <c r="H923" s="85"/>
    </row>
    <row r="924">
      <c r="A924" s="84"/>
      <c r="B924" s="85"/>
      <c r="C924" s="85"/>
      <c r="D924" s="85"/>
      <c r="E924" s="86"/>
      <c r="F924" s="85"/>
      <c r="G924" s="85"/>
      <c r="H924" s="85"/>
    </row>
    <row r="925">
      <c r="A925" s="84"/>
      <c r="B925" s="85"/>
      <c r="C925" s="85"/>
      <c r="D925" s="85"/>
      <c r="E925" s="86"/>
      <c r="F925" s="85"/>
      <c r="G925" s="85"/>
      <c r="H925" s="85"/>
    </row>
    <row r="926">
      <c r="A926" s="84"/>
      <c r="B926" s="85"/>
      <c r="C926" s="85"/>
      <c r="D926" s="85"/>
      <c r="E926" s="86"/>
      <c r="F926" s="85"/>
      <c r="G926" s="85"/>
      <c r="H926" s="85"/>
    </row>
    <row r="927">
      <c r="A927" s="84"/>
      <c r="B927" s="85"/>
      <c r="C927" s="85"/>
      <c r="D927" s="85"/>
      <c r="E927" s="86"/>
      <c r="F927" s="85"/>
      <c r="G927" s="85"/>
      <c r="H927" s="85"/>
    </row>
    <row r="928">
      <c r="A928" s="84"/>
      <c r="B928" s="85"/>
      <c r="C928" s="85"/>
      <c r="D928" s="85"/>
      <c r="E928" s="86"/>
      <c r="F928" s="85"/>
      <c r="G928" s="85"/>
      <c r="H928" s="85"/>
    </row>
    <row r="929">
      <c r="A929" s="84"/>
      <c r="B929" s="85"/>
      <c r="C929" s="85"/>
      <c r="D929" s="85"/>
      <c r="E929" s="86"/>
      <c r="F929" s="85"/>
      <c r="G929" s="85"/>
      <c r="H929" s="85"/>
    </row>
    <row r="930">
      <c r="A930" s="84"/>
      <c r="B930" s="85"/>
      <c r="C930" s="85"/>
      <c r="D930" s="85"/>
      <c r="E930" s="86"/>
      <c r="F930" s="85"/>
      <c r="G930" s="85"/>
      <c r="H930" s="85"/>
    </row>
    <row r="931">
      <c r="A931" s="84"/>
      <c r="B931" s="85"/>
      <c r="C931" s="85"/>
      <c r="D931" s="85"/>
      <c r="E931" s="86"/>
      <c r="F931" s="85"/>
      <c r="G931" s="85"/>
      <c r="H931" s="85"/>
    </row>
    <row r="932">
      <c r="A932" s="84"/>
      <c r="B932" s="85"/>
      <c r="C932" s="85"/>
      <c r="D932" s="85"/>
      <c r="E932" s="86"/>
      <c r="F932" s="85"/>
      <c r="G932" s="85"/>
      <c r="H932" s="85"/>
    </row>
    <row r="933">
      <c r="A933" s="84"/>
      <c r="B933" s="85"/>
      <c r="C933" s="85"/>
      <c r="D933" s="85"/>
      <c r="E933" s="86"/>
      <c r="F933" s="85"/>
      <c r="G933" s="85"/>
      <c r="H933" s="85"/>
    </row>
    <row r="934">
      <c r="A934" s="84"/>
      <c r="B934" s="85"/>
      <c r="C934" s="85"/>
      <c r="D934" s="85"/>
      <c r="E934" s="86"/>
      <c r="F934" s="85"/>
      <c r="G934" s="85"/>
      <c r="H934" s="85"/>
    </row>
    <row r="935">
      <c r="A935" s="84"/>
      <c r="B935" s="85"/>
      <c r="C935" s="85"/>
      <c r="D935" s="85"/>
      <c r="E935" s="86"/>
      <c r="F935" s="85"/>
      <c r="G935" s="85"/>
      <c r="H935" s="85"/>
    </row>
    <row r="936">
      <c r="A936" s="84"/>
      <c r="B936" s="85"/>
      <c r="C936" s="85"/>
      <c r="D936" s="85"/>
      <c r="E936" s="86"/>
      <c r="F936" s="85"/>
      <c r="G936" s="85"/>
      <c r="H936" s="85"/>
    </row>
    <row r="937">
      <c r="A937" s="84"/>
      <c r="B937" s="85"/>
      <c r="C937" s="85"/>
      <c r="D937" s="85"/>
      <c r="E937" s="86"/>
      <c r="F937" s="85"/>
      <c r="G937" s="85"/>
      <c r="H937" s="85"/>
    </row>
    <row r="938">
      <c r="A938" s="84"/>
      <c r="B938" s="85"/>
      <c r="C938" s="85"/>
      <c r="D938" s="85"/>
      <c r="E938" s="86"/>
      <c r="F938" s="85"/>
      <c r="G938" s="85"/>
      <c r="H938" s="85"/>
    </row>
    <row r="939">
      <c r="A939" s="84"/>
      <c r="B939" s="85"/>
      <c r="C939" s="85"/>
      <c r="D939" s="85"/>
      <c r="E939" s="86"/>
      <c r="F939" s="85"/>
      <c r="G939" s="85"/>
      <c r="H939" s="85"/>
    </row>
    <row r="940">
      <c r="A940" s="84"/>
      <c r="B940" s="85"/>
      <c r="C940" s="85"/>
      <c r="D940" s="85"/>
      <c r="E940" s="86"/>
      <c r="F940" s="85"/>
      <c r="G940" s="85"/>
      <c r="H940" s="85"/>
    </row>
    <row r="941">
      <c r="A941" s="84"/>
      <c r="B941" s="85"/>
      <c r="C941" s="85"/>
      <c r="D941" s="85"/>
      <c r="E941" s="86"/>
      <c r="F941" s="85"/>
      <c r="G941" s="85"/>
      <c r="H941" s="85"/>
    </row>
    <row r="942">
      <c r="A942" s="84"/>
      <c r="B942" s="85"/>
      <c r="C942" s="85"/>
      <c r="D942" s="85"/>
      <c r="E942" s="86"/>
      <c r="F942" s="85"/>
      <c r="G942" s="85"/>
      <c r="H942" s="85"/>
    </row>
    <row r="943">
      <c r="A943" s="84"/>
      <c r="B943" s="85"/>
      <c r="C943" s="85"/>
      <c r="D943" s="85"/>
      <c r="E943" s="86"/>
      <c r="F943" s="85"/>
      <c r="G943" s="85"/>
      <c r="H943" s="85"/>
    </row>
    <row r="944">
      <c r="A944" s="84"/>
      <c r="B944" s="85"/>
      <c r="C944" s="85"/>
      <c r="D944" s="85"/>
      <c r="E944" s="86"/>
      <c r="F944" s="85"/>
      <c r="G944" s="85"/>
      <c r="H944" s="85"/>
    </row>
    <row r="945">
      <c r="A945" s="84"/>
      <c r="B945" s="85"/>
      <c r="C945" s="85"/>
      <c r="D945" s="85"/>
      <c r="E945" s="86"/>
      <c r="F945" s="85"/>
      <c r="G945" s="85"/>
      <c r="H945" s="85"/>
    </row>
    <row r="946">
      <c r="A946" s="84"/>
      <c r="B946" s="85"/>
      <c r="C946" s="85"/>
      <c r="D946" s="85"/>
      <c r="E946" s="86"/>
      <c r="F946" s="85"/>
      <c r="G946" s="85"/>
      <c r="H946" s="85"/>
    </row>
    <row r="947">
      <c r="A947" s="84"/>
      <c r="B947" s="85"/>
      <c r="C947" s="85"/>
      <c r="D947" s="85"/>
      <c r="E947" s="86"/>
      <c r="F947" s="85"/>
      <c r="G947" s="85"/>
      <c r="H947" s="85"/>
    </row>
    <row r="948">
      <c r="A948" s="84"/>
      <c r="B948" s="85"/>
      <c r="C948" s="85"/>
      <c r="D948" s="85"/>
      <c r="E948" s="86"/>
      <c r="F948" s="85"/>
      <c r="G948" s="85"/>
      <c r="H948" s="85"/>
    </row>
    <row r="949">
      <c r="A949" s="84"/>
      <c r="B949" s="85"/>
      <c r="C949" s="85"/>
      <c r="D949" s="85"/>
      <c r="E949" s="86"/>
      <c r="F949" s="85"/>
      <c r="G949" s="85"/>
      <c r="H949" s="85"/>
    </row>
    <row r="950">
      <c r="A950" s="84"/>
      <c r="B950" s="85"/>
      <c r="C950" s="85"/>
      <c r="D950" s="85"/>
      <c r="E950" s="86"/>
      <c r="F950" s="85"/>
      <c r="G950" s="85"/>
      <c r="H950" s="85"/>
    </row>
    <row r="951">
      <c r="A951" s="84"/>
      <c r="B951" s="85"/>
      <c r="C951" s="85"/>
      <c r="D951" s="85"/>
      <c r="E951" s="86"/>
      <c r="F951" s="85"/>
      <c r="G951" s="85"/>
      <c r="H951" s="85"/>
    </row>
    <row r="952">
      <c r="A952" s="84"/>
      <c r="B952" s="85"/>
      <c r="C952" s="85"/>
      <c r="D952" s="85"/>
      <c r="E952" s="86"/>
      <c r="F952" s="85"/>
      <c r="G952" s="85"/>
      <c r="H952" s="85"/>
    </row>
    <row r="953">
      <c r="A953" s="84"/>
      <c r="B953" s="85"/>
      <c r="C953" s="85"/>
      <c r="D953" s="85"/>
      <c r="E953" s="86"/>
      <c r="F953" s="85"/>
      <c r="G953" s="85"/>
      <c r="H953" s="85"/>
    </row>
    <row r="954">
      <c r="A954" s="84"/>
      <c r="B954" s="85"/>
      <c r="C954" s="85"/>
      <c r="D954" s="85"/>
      <c r="E954" s="86"/>
      <c r="F954" s="85"/>
      <c r="G954" s="85"/>
      <c r="H954" s="85"/>
    </row>
    <row r="955">
      <c r="A955" s="84"/>
      <c r="B955" s="85"/>
      <c r="C955" s="85"/>
      <c r="D955" s="85"/>
      <c r="E955" s="86"/>
      <c r="F955" s="85"/>
      <c r="G955" s="85"/>
      <c r="H955" s="85"/>
    </row>
    <row r="956">
      <c r="A956" s="84"/>
      <c r="B956" s="85"/>
      <c r="C956" s="85"/>
      <c r="D956" s="85"/>
      <c r="E956" s="86"/>
      <c r="F956" s="85"/>
      <c r="G956" s="85"/>
      <c r="H956" s="85"/>
    </row>
    <row r="957">
      <c r="A957" s="84"/>
      <c r="B957" s="85"/>
      <c r="C957" s="85"/>
      <c r="D957" s="85"/>
      <c r="E957" s="86"/>
      <c r="F957" s="85"/>
      <c r="G957" s="85"/>
      <c r="H957" s="85"/>
    </row>
    <row r="958">
      <c r="A958" s="84"/>
      <c r="B958" s="85"/>
      <c r="C958" s="85"/>
      <c r="D958" s="85"/>
      <c r="E958" s="86"/>
      <c r="F958" s="85"/>
      <c r="G958" s="85"/>
      <c r="H958" s="85"/>
    </row>
    <row r="959">
      <c r="A959" s="84"/>
      <c r="B959" s="85"/>
      <c r="C959" s="85"/>
      <c r="D959" s="85"/>
      <c r="E959" s="86"/>
      <c r="F959" s="85"/>
      <c r="G959" s="85"/>
      <c r="H959" s="85"/>
    </row>
    <row r="960">
      <c r="A960" s="84"/>
      <c r="B960" s="85"/>
      <c r="C960" s="85"/>
      <c r="D960" s="85"/>
      <c r="E960" s="86"/>
      <c r="F960" s="85"/>
      <c r="G960" s="85"/>
      <c r="H960" s="85"/>
    </row>
    <row r="961">
      <c r="A961" s="84"/>
      <c r="B961" s="85"/>
      <c r="C961" s="85"/>
      <c r="D961" s="85"/>
      <c r="E961" s="86"/>
      <c r="F961" s="85"/>
      <c r="G961" s="85"/>
      <c r="H961" s="85"/>
    </row>
    <row r="962">
      <c r="A962" s="84"/>
      <c r="B962" s="85"/>
      <c r="C962" s="85"/>
      <c r="D962" s="85"/>
      <c r="E962" s="86"/>
      <c r="F962" s="85"/>
      <c r="G962" s="85"/>
      <c r="H962" s="85"/>
    </row>
    <row r="963">
      <c r="A963" s="84"/>
      <c r="B963" s="85"/>
      <c r="C963" s="85"/>
      <c r="D963" s="85"/>
      <c r="E963" s="86"/>
      <c r="F963" s="85"/>
      <c r="G963" s="85"/>
      <c r="H963" s="85"/>
    </row>
    <row r="964">
      <c r="A964" s="84"/>
      <c r="B964" s="85"/>
      <c r="C964" s="85"/>
      <c r="D964" s="85"/>
      <c r="E964" s="86"/>
      <c r="F964" s="85"/>
      <c r="G964" s="85"/>
      <c r="H964" s="85"/>
    </row>
    <row r="965">
      <c r="A965" s="84"/>
      <c r="B965" s="85"/>
      <c r="C965" s="85"/>
      <c r="D965" s="85"/>
      <c r="E965" s="86"/>
      <c r="F965" s="85"/>
      <c r="G965" s="85"/>
      <c r="H965" s="85"/>
    </row>
    <row r="966">
      <c r="A966" s="84"/>
      <c r="B966" s="85"/>
      <c r="C966" s="85"/>
      <c r="D966" s="85"/>
      <c r="E966" s="86"/>
      <c r="F966" s="85"/>
      <c r="G966" s="85"/>
      <c r="H966" s="85"/>
    </row>
    <row r="967">
      <c r="A967" s="84"/>
      <c r="B967" s="85"/>
      <c r="C967" s="85"/>
      <c r="D967" s="85"/>
      <c r="E967" s="86"/>
      <c r="F967" s="85"/>
      <c r="G967" s="85"/>
      <c r="H967" s="85"/>
    </row>
    <row r="968">
      <c r="A968" s="84"/>
      <c r="B968" s="85"/>
      <c r="C968" s="85"/>
      <c r="D968" s="85"/>
      <c r="E968" s="86"/>
      <c r="F968" s="85"/>
      <c r="G968" s="85"/>
      <c r="H968" s="85"/>
    </row>
    <row r="969">
      <c r="A969" s="84"/>
      <c r="B969" s="85"/>
      <c r="C969" s="85"/>
      <c r="D969" s="85"/>
      <c r="E969" s="86"/>
      <c r="F969" s="85"/>
      <c r="G969" s="85"/>
      <c r="H969" s="85"/>
    </row>
    <row r="970">
      <c r="A970" s="84"/>
      <c r="B970" s="85"/>
      <c r="C970" s="85"/>
      <c r="D970" s="85"/>
      <c r="E970" s="86"/>
      <c r="F970" s="85"/>
      <c r="G970" s="85"/>
      <c r="H970" s="85"/>
    </row>
    <row r="971">
      <c r="A971" s="84"/>
      <c r="B971" s="85"/>
      <c r="C971" s="85"/>
      <c r="D971" s="85"/>
      <c r="E971" s="86"/>
      <c r="F971" s="85"/>
      <c r="G971" s="85"/>
      <c r="H971" s="85"/>
    </row>
    <row r="972">
      <c r="A972" s="84"/>
      <c r="B972" s="85"/>
      <c r="C972" s="85"/>
      <c r="D972" s="85"/>
      <c r="E972" s="86"/>
      <c r="F972" s="85"/>
      <c r="G972" s="85"/>
      <c r="H972" s="85"/>
    </row>
    <row r="973">
      <c r="A973" s="84"/>
      <c r="B973" s="85"/>
      <c r="C973" s="85"/>
      <c r="D973" s="85"/>
      <c r="E973" s="86"/>
      <c r="F973" s="85"/>
      <c r="G973" s="85"/>
      <c r="H973" s="85"/>
    </row>
    <row r="974">
      <c r="A974" s="84"/>
      <c r="B974" s="85"/>
      <c r="C974" s="85"/>
      <c r="D974" s="85"/>
      <c r="E974" s="86"/>
      <c r="F974" s="85"/>
      <c r="G974" s="85"/>
      <c r="H974" s="85"/>
    </row>
    <row r="975">
      <c r="A975" s="84"/>
      <c r="B975" s="85"/>
      <c r="C975" s="85"/>
      <c r="D975" s="85"/>
      <c r="E975" s="86"/>
      <c r="F975" s="85"/>
      <c r="G975" s="85"/>
      <c r="H975" s="85"/>
    </row>
    <row r="976">
      <c r="A976" s="84"/>
      <c r="B976" s="85"/>
      <c r="C976" s="85"/>
      <c r="D976" s="85"/>
      <c r="E976" s="86"/>
      <c r="F976" s="85"/>
      <c r="G976" s="85"/>
      <c r="H976" s="85"/>
    </row>
    <row r="977">
      <c r="A977" s="84"/>
      <c r="B977" s="85"/>
      <c r="C977" s="85"/>
      <c r="D977" s="85"/>
      <c r="E977" s="86"/>
      <c r="F977" s="85"/>
      <c r="G977" s="85"/>
      <c r="H977" s="85"/>
    </row>
    <row r="978">
      <c r="A978" s="84"/>
      <c r="B978" s="85"/>
      <c r="C978" s="85"/>
      <c r="D978" s="85"/>
      <c r="E978" s="86"/>
      <c r="F978" s="85"/>
      <c r="G978" s="85"/>
      <c r="H978" s="85"/>
    </row>
    <row r="979">
      <c r="A979" s="84"/>
      <c r="B979" s="85"/>
      <c r="C979" s="85"/>
      <c r="D979" s="85"/>
      <c r="E979" s="86"/>
      <c r="F979" s="85"/>
      <c r="G979" s="85"/>
      <c r="H979" s="85"/>
    </row>
    <row r="980">
      <c r="A980" s="84"/>
      <c r="B980" s="85"/>
      <c r="C980" s="85"/>
      <c r="D980" s="85"/>
      <c r="E980" s="86"/>
      <c r="F980" s="85"/>
      <c r="G980" s="85"/>
      <c r="H980" s="85"/>
    </row>
    <row r="981">
      <c r="A981" s="84"/>
      <c r="B981" s="85"/>
      <c r="C981" s="85"/>
      <c r="D981" s="85"/>
      <c r="E981" s="86"/>
      <c r="F981" s="85"/>
      <c r="G981" s="85"/>
      <c r="H981" s="85"/>
    </row>
    <row r="982">
      <c r="A982" s="84"/>
      <c r="B982" s="85"/>
      <c r="C982" s="85"/>
      <c r="D982" s="85"/>
      <c r="E982" s="86"/>
      <c r="F982" s="85"/>
      <c r="G982" s="85"/>
      <c r="H982" s="85"/>
    </row>
    <row r="983">
      <c r="A983" s="84"/>
      <c r="B983" s="85"/>
      <c r="C983" s="85"/>
      <c r="D983" s="85"/>
      <c r="E983" s="86"/>
      <c r="F983" s="85"/>
      <c r="G983" s="85"/>
      <c r="H983" s="85"/>
    </row>
    <row r="984">
      <c r="A984" s="84"/>
      <c r="B984" s="85"/>
      <c r="C984" s="85"/>
      <c r="D984" s="85"/>
      <c r="E984" s="86"/>
      <c r="F984" s="85"/>
      <c r="G984" s="85"/>
      <c r="H984" s="85"/>
    </row>
    <row r="985">
      <c r="A985" s="84"/>
      <c r="B985" s="85"/>
      <c r="C985" s="85"/>
      <c r="D985" s="85"/>
      <c r="E985" s="86"/>
      <c r="F985" s="85"/>
      <c r="G985" s="85"/>
      <c r="H985" s="85"/>
    </row>
    <row r="986">
      <c r="A986" s="84"/>
      <c r="B986" s="85"/>
      <c r="C986" s="85"/>
      <c r="D986" s="85"/>
      <c r="E986" s="86"/>
      <c r="F986" s="85"/>
      <c r="G986" s="85"/>
      <c r="H986" s="85"/>
    </row>
    <row r="987">
      <c r="A987" s="84"/>
      <c r="B987" s="85"/>
      <c r="C987" s="85"/>
      <c r="D987" s="85"/>
      <c r="E987" s="86"/>
      <c r="F987" s="85"/>
      <c r="G987" s="85"/>
      <c r="H987" s="85"/>
    </row>
    <row r="988">
      <c r="A988" s="84"/>
      <c r="B988" s="85"/>
      <c r="C988" s="85"/>
      <c r="D988" s="85"/>
      <c r="E988" s="86"/>
      <c r="F988" s="85"/>
      <c r="G988" s="85"/>
      <c r="H988" s="85"/>
    </row>
    <row r="989">
      <c r="A989" s="84"/>
      <c r="B989" s="85"/>
      <c r="C989" s="85"/>
      <c r="D989" s="85"/>
      <c r="E989" s="86"/>
      <c r="F989" s="85"/>
      <c r="G989" s="85"/>
      <c r="H989" s="85"/>
    </row>
    <row r="990">
      <c r="A990" s="84"/>
      <c r="B990" s="85"/>
      <c r="C990" s="85"/>
      <c r="D990" s="85"/>
      <c r="E990" s="86"/>
      <c r="F990" s="85"/>
      <c r="G990" s="85"/>
      <c r="H990" s="85"/>
    </row>
    <row r="991">
      <c r="A991" s="84"/>
      <c r="B991" s="85"/>
      <c r="C991" s="85"/>
      <c r="D991" s="85"/>
      <c r="E991" s="86"/>
      <c r="F991" s="85"/>
      <c r="G991" s="85"/>
      <c r="H991" s="85"/>
    </row>
    <row r="992">
      <c r="A992" s="84"/>
      <c r="B992" s="85"/>
      <c r="C992" s="85"/>
      <c r="D992" s="85"/>
      <c r="E992" s="86"/>
      <c r="F992" s="85"/>
      <c r="G992" s="85"/>
      <c r="H992" s="85"/>
    </row>
    <row r="993">
      <c r="A993" s="84"/>
      <c r="B993" s="85"/>
      <c r="C993" s="85"/>
      <c r="D993" s="85"/>
      <c r="E993" s="86"/>
      <c r="F993" s="85"/>
      <c r="G993" s="85"/>
      <c r="H993" s="85"/>
    </row>
    <row r="994">
      <c r="A994" s="84"/>
      <c r="B994" s="85"/>
      <c r="C994" s="85"/>
      <c r="D994" s="85"/>
      <c r="E994" s="86"/>
      <c r="F994" s="85"/>
      <c r="G994" s="85"/>
      <c r="H994" s="85"/>
    </row>
    <row r="995">
      <c r="A995" s="84"/>
      <c r="B995" s="85"/>
      <c r="C995" s="85"/>
      <c r="D995" s="85"/>
      <c r="E995" s="86"/>
      <c r="F995" s="85"/>
      <c r="G995" s="85"/>
      <c r="H995" s="85"/>
    </row>
    <row r="996">
      <c r="A996" s="84"/>
      <c r="B996" s="85"/>
      <c r="C996" s="85"/>
      <c r="D996" s="85"/>
      <c r="E996" s="86"/>
      <c r="F996" s="85"/>
      <c r="G996" s="85"/>
      <c r="H996" s="85"/>
    </row>
    <row r="997">
      <c r="A997" s="84"/>
      <c r="B997" s="85"/>
      <c r="C997" s="85"/>
      <c r="D997" s="85"/>
      <c r="E997" s="86"/>
      <c r="F997" s="85"/>
      <c r="G997" s="85"/>
      <c r="H997" s="85"/>
    </row>
    <row r="998">
      <c r="A998" s="84"/>
      <c r="B998" s="85"/>
      <c r="C998" s="85"/>
      <c r="D998" s="85"/>
      <c r="E998" s="86"/>
      <c r="F998" s="85"/>
      <c r="G998" s="85"/>
      <c r="H998" s="85"/>
    </row>
    <row r="999">
      <c r="A999" s="84"/>
      <c r="B999" s="85"/>
      <c r="C999" s="85"/>
      <c r="D999" s="85"/>
      <c r="E999" s="86"/>
      <c r="F999" s="85"/>
      <c r="G999" s="85"/>
      <c r="H999" s="85"/>
    </row>
    <row r="1000">
      <c r="A1000" s="84"/>
      <c r="B1000" s="85"/>
      <c r="C1000" s="85"/>
      <c r="D1000" s="85"/>
      <c r="E1000" s="86"/>
      <c r="F1000" s="85"/>
      <c r="G1000" s="85"/>
      <c r="H1000" s="85"/>
    </row>
    <row r="1001">
      <c r="A1001" s="84"/>
      <c r="B1001" s="85"/>
      <c r="C1001" s="85"/>
      <c r="D1001" s="85"/>
      <c r="E1001" s="86"/>
      <c r="F1001" s="85"/>
      <c r="G1001" s="85"/>
      <c r="H1001" s="85"/>
    </row>
  </sheetData>
  <mergeCells count="2">
    <mergeCell ref="C1:E1"/>
    <mergeCell ref="F1:H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70" t="s">
        <v>449</v>
      </c>
      <c r="B1" s="70" t="s">
        <v>450</v>
      </c>
      <c r="C1" s="87" t="s">
        <v>457</v>
      </c>
      <c r="D1" s="87" t="s">
        <v>458</v>
      </c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>
      <c r="A2" s="74">
        <v>10101.0</v>
      </c>
      <c r="B2" s="74" t="s">
        <v>20</v>
      </c>
      <c r="C2" s="76">
        <v>92.192568</v>
      </c>
      <c r="D2" s="76">
        <v>94.741684</v>
      </c>
    </row>
    <row r="3">
      <c r="A3" s="74">
        <v>10102.0</v>
      </c>
      <c r="B3" s="74" t="s">
        <v>21</v>
      </c>
      <c r="C3" s="76">
        <v>53.3185596</v>
      </c>
      <c r="D3" s="76">
        <v>74.3120297</v>
      </c>
    </row>
    <row r="4">
      <c r="A4" s="74">
        <v>10103.0</v>
      </c>
      <c r="B4" s="74" t="s">
        <v>22</v>
      </c>
      <c r="C4" s="76">
        <v>3.9016897</v>
      </c>
      <c r="D4" s="76">
        <v>8.8749539</v>
      </c>
    </row>
    <row r="5">
      <c r="A5" s="74">
        <v>10201.0</v>
      </c>
      <c r="B5" s="74" t="s">
        <v>23</v>
      </c>
      <c r="C5" s="76">
        <v>10.3338171</v>
      </c>
      <c r="D5" s="76">
        <v>19.8514344</v>
      </c>
    </row>
    <row r="6">
      <c r="A6" s="74">
        <v>10202.0</v>
      </c>
      <c r="B6" s="74" t="s">
        <v>24</v>
      </c>
      <c r="C6" s="76">
        <v>12.6502169</v>
      </c>
      <c r="D6" s="76">
        <v>31.7617419</v>
      </c>
    </row>
    <row r="7">
      <c r="A7" s="74">
        <v>10301.0</v>
      </c>
      <c r="B7" s="74" t="s">
        <v>25</v>
      </c>
      <c r="C7" s="76">
        <v>32.2746466</v>
      </c>
      <c r="D7" s="76">
        <v>36.5015618</v>
      </c>
    </row>
    <row r="8">
      <c r="A8" s="74">
        <v>10302.0</v>
      </c>
      <c r="B8" s="74" t="s">
        <v>26</v>
      </c>
      <c r="C8" s="76">
        <v>18.6074124</v>
      </c>
      <c r="D8" s="76">
        <v>31.8572691</v>
      </c>
    </row>
    <row r="9">
      <c r="A9" s="74">
        <v>10303.0</v>
      </c>
      <c r="B9" s="74" t="s">
        <v>27</v>
      </c>
      <c r="C9" s="76">
        <v>31.305226</v>
      </c>
      <c r="D9" s="76">
        <v>49.9610895</v>
      </c>
    </row>
    <row r="10">
      <c r="A10" s="74">
        <v>10304.0</v>
      </c>
      <c r="B10" s="74" t="s">
        <v>28</v>
      </c>
      <c r="C10" s="76">
        <v>15.0395778</v>
      </c>
      <c r="D10" s="76">
        <v>26.3111308</v>
      </c>
    </row>
    <row r="11">
      <c r="A11" s="74">
        <v>10401.0</v>
      </c>
      <c r="B11" s="74" t="s">
        <v>30</v>
      </c>
      <c r="C11" s="76">
        <v>32.8219942</v>
      </c>
      <c r="D11" s="76">
        <v>49.4048281</v>
      </c>
    </row>
    <row r="12">
      <c r="A12" s="74">
        <v>10402.0</v>
      </c>
      <c r="B12" s="74" t="s">
        <v>29</v>
      </c>
      <c r="C12" s="76">
        <v>20.9718361</v>
      </c>
      <c r="D12" s="76">
        <v>33.0683436</v>
      </c>
    </row>
    <row r="13">
      <c r="A13" s="74">
        <v>10403.0</v>
      </c>
      <c r="B13" s="74" t="s">
        <v>31</v>
      </c>
      <c r="C13" s="76">
        <v>23.4676742</v>
      </c>
      <c r="D13" s="76">
        <v>31.3882421</v>
      </c>
    </row>
    <row r="14">
      <c r="A14" s="74">
        <v>10404.0</v>
      </c>
      <c r="B14" s="74" t="s">
        <v>32</v>
      </c>
      <c r="C14" s="76">
        <v>30.2340029</v>
      </c>
      <c r="D14" s="76">
        <v>43.5212396</v>
      </c>
    </row>
    <row r="15">
      <c r="A15" s="74">
        <v>10405.0</v>
      </c>
      <c r="B15" s="74" t="s">
        <v>33</v>
      </c>
      <c r="C15" s="76">
        <v>18.9586738</v>
      </c>
      <c r="D15" s="76">
        <v>23.2752489</v>
      </c>
    </row>
    <row r="16">
      <c r="A16" s="74">
        <v>10501.0</v>
      </c>
      <c r="B16" s="74" t="s">
        <v>35</v>
      </c>
      <c r="C16" s="76">
        <v>51.7877191</v>
      </c>
      <c r="D16" s="76">
        <v>67.5136419</v>
      </c>
    </row>
    <row r="17">
      <c r="A17" s="74">
        <v>10502.0</v>
      </c>
      <c r="B17" s="74" t="s">
        <v>36</v>
      </c>
      <c r="C17" s="76">
        <v>24.9843063</v>
      </c>
      <c r="D17" s="76">
        <v>37.7423033</v>
      </c>
    </row>
    <row r="18">
      <c r="A18" s="74">
        <v>10601.0</v>
      </c>
      <c r="B18" s="74" t="s">
        <v>38</v>
      </c>
      <c r="C18" s="76">
        <v>27.3888789</v>
      </c>
      <c r="D18" s="76">
        <v>45.5148741</v>
      </c>
    </row>
    <row r="19">
      <c r="A19" s="74">
        <v>10602.0</v>
      </c>
      <c r="B19" s="74" t="s">
        <v>37</v>
      </c>
      <c r="C19" s="76">
        <v>30.3516975</v>
      </c>
      <c r="D19" s="76">
        <v>54.1930853</v>
      </c>
    </row>
    <row r="20">
      <c r="A20" s="74">
        <v>10701.0</v>
      </c>
      <c r="B20" s="74" t="s">
        <v>40</v>
      </c>
      <c r="C20" s="76">
        <v>46.4113551</v>
      </c>
      <c r="D20" s="76">
        <v>60.2925663</v>
      </c>
    </row>
    <row r="21">
      <c r="A21" s="74">
        <v>10702.0</v>
      </c>
      <c r="B21" s="74" t="s">
        <v>41</v>
      </c>
      <c r="C21" s="76">
        <v>24.463319</v>
      </c>
      <c r="D21" s="76">
        <v>43.8091646</v>
      </c>
    </row>
    <row r="22">
      <c r="A22" s="74">
        <v>10703.0</v>
      </c>
      <c r="B22" s="74" t="s">
        <v>42</v>
      </c>
      <c r="C22" s="76">
        <v>20.281734</v>
      </c>
      <c r="D22" s="76">
        <v>37.2205173</v>
      </c>
    </row>
    <row r="23">
      <c r="A23" s="74">
        <v>10704.0</v>
      </c>
      <c r="B23" s="74" t="s">
        <v>43</v>
      </c>
      <c r="C23" s="76">
        <v>31.4320388</v>
      </c>
      <c r="D23" s="76">
        <v>49.8480028</v>
      </c>
    </row>
    <row r="24">
      <c r="A24" s="74">
        <v>10801.0</v>
      </c>
      <c r="B24" s="74" t="s">
        <v>45</v>
      </c>
      <c r="C24" s="76">
        <v>31.4637734</v>
      </c>
      <c r="D24" s="76">
        <v>44.838385</v>
      </c>
    </row>
    <row r="25">
      <c r="A25" s="74">
        <v>10901.0</v>
      </c>
      <c r="B25" s="74" t="s">
        <v>47</v>
      </c>
      <c r="C25" s="76">
        <v>27.2402501</v>
      </c>
      <c r="D25" s="76">
        <v>50.3041825</v>
      </c>
    </row>
    <row r="26">
      <c r="A26" s="74">
        <v>10902.0</v>
      </c>
      <c r="B26" s="74" t="s">
        <v>48</v>
      </c>
      <c r="C26" s="76">
        <v>29.8783622</v>
      </c>
      <c r="D26" s="76">
        <v>49.143824</v>
      </c>
    </row>
    <row r="27">
      <c r="A27" s="74">
        <v>10903.0</v>
      </c>
      <c r="B27" s="74" t="s">
        <v>49</v>
      </c>
      <c r="C27" s="76">
        <v>25.0191083</v>
      </c>
      <c r="D27" s="76">
        <v>40.7219631</v>
      </c>
    </row>
    <row r="28">
      <c r="A28" s="74">
        <v>11001.0</v>
      </c>
      <c r="B28" s="74" t="s">
        <v>51</v>
      </c>
      <c r="C28" s="76">
        <v>36.6905693</v>
      </c>
      <c r="D28" s="76">
        <v>47.1602821</v>
      </c>
    </row>
    <row r="29">
      <c r="A29" s="74">
        <v>11002.0</v>
      </c>
      <c r="B29" s="74" t="s">
        <v>52</v>
      </c>
      <c r="C29" s="76">
        <v>10.8947804</v>
      </c>
      <c r="D29" s="76">
        <v>33.4914986</v>
      </c>
    </row>
    <row r="30">
      <c r="A30" s="74">
        <v>11003.0</v>
      </c>
      <c r="B30" s="74" t="s">
        <v>53</v>
      </c>
      <c r="C30" s="76">
        <v>31.2630636</v>
      </c>
      <c r="D30" s="76">
        <v>52.2040691</v>
      </c>
    </row>
    <row r="31">
      <c r="A31" s="74">
        <v>20101.0</v>
      </c>
      <c r="B31" s="74" t="s">
        <v>56</v>
      </c>
      <c r="C31" s="76">
        <v>99.1745405</v>
      </c>
      <c r="D31" s="76">
        <v>99.3298531</v>
      </c>
    </row>
    <row r="32">
      <c r="A32" s="74">
        <v>20102.0</v>
      </c>
      <c r="B32" s="83" t="s">
        <v>57</v>
      </c>
      <c r="C32" s="76">
        <v>34.9504529</v>
      </c>
      <c r="D32" s="76">
        <v>67.6691029</v>
      </c>
    </row>
    <row r="33">
      <c r="A33" s="74">
        <v>20103.0</v>
      </c>
      <c r="B33" s="83" t="s">
        <v>58</v>
      </c>
      <c r="C33" s="76">
        <v>67.416518</v>
      </c>
      <c r="D33" s="76">
        <v>80.0988631</v>
      </c>
    </row>
    <row r="34">
      <c r="A34" s="74">
        <v>20104.0</v>
      </c>
      <c r="B34" s="83" t="s">
        <v>59</v>
      </c>
      <c r="C34" s="76">
        <v>85.688249</v>
      </c>
      <c r="D34" s="76">
        <v>94.5790714</v>
      </c>
    </row>
    <row r="35">
      <c r="A35" s="74">
        <v>20105.0</v>
      </c>
      <c r="B35" s="83" t="s">
        <v>60</v>
      </c>
      <c r="C35" s="76">
        <v>99.2380998</v>
      </c>
      <c r="D35" s="76">
        <v>99.6508615</v>
      </c>
    </row>
    <row r="36">
      <c r="A36" s="74">
        <v>20201.0</v>
      </c>
      <c r="B36" s="83" t="s">
        <v>62</v>
      </c>
      <c r="C36" s="76">
        <v>55.7077222</v>
      </c>
      <c r="D36" s="76">
        <v>79.9683996</v>
      </c>
    </row>
    <row r="37">
      <c r="A37" s="74">
        <v>20202.0</v>
      </c>
      <c r="B37" s="83" t="s">
        <v>63</v>
      </c>
      <c r="C37" s="76">
        <v>17.2917307</v>
      </c>
      <c r="D37" s="76">
        <v>42.989418</v>
      </c>
    </row>
    <row r="38">
      <c r="A38" s="74">
        <v>20203.0</v>
      </c>
      <c r="B38" s="83" t="s">
        <v>67</v>
      </c>
      <c r="C38" s="76">
        <v>52.6523</v>
      </c>
      <c r="D38" s="76">
        <v>71.8644068</v>
      </c>
    </row>
    <row r="39">
      <c r="A39" s="74">
        <v>20204.0</v>
      </c>
      <c r="B39" s="83" t="s">
        <v>64</v>
      </c>
      <c r="C39" s="76">
        <v>50.1590533</v>
      </c>
      <c r="D39" s="76">
        <v>78.0677926</v>
      </c>
    </row>
    <row r="40">
      <c r="A40" s="74">
        <v>20205.0</v>
      </c>
      <c r="B40" s="83" t="s">
        <v>65</v>
      </c>
      <c r="C40" s="76">
        <v>21.1784193</v>
      </c>
      <c r="D40" s="76">
        <v>49.490411</v>
      </c>
    </row>
    <row r="41">
      <c r="A41" s="74">
        <v>20206.0</v>
      </c>
      <c r="B41" s="83" t="s">
        <v>66</v>
      </c>
      <c r="C41" s="76">
        <v>76.1151452</v>
      </c>
      <c r="D41" s="76">
        <v>84.3762698</v>
      </c>
    </row>
    <row r="42">
      <c r="A42" s="74">
        <v>20301.0</v>
      </c>
      <c r="B42" s="83" t="s">
        <v>69</v>
      </c>
      <c r="C42" s="76">
        <v>30.0349922</v>
      </c>
      <c r="D42" s="76">
        <v>49.0077389</v>
      </c>
    </row>
    <row r="43">
      <c r="A43" s="74">
        <v>20302.0</v>
      </c>
      <c r="B43" s="83" t="s">
        <v>70</v>
      </c>
      <c r="C43" s="76">
        <v>12.9581332</v>
      </c>
      <c r="D43" s="76">
        <v>33.8591917</v>
      </c>
    </row>
    <row r="44">
      <c r="A44" s="74">
        <v>20303.0</v>
      </c>
      <c r="B44" s="83" t="s">
        <v>71</v>
      </c>
      <c r="C44" s="76">
        <v>4.6587658</v>
      </c>
      <c r="D44" s="76">
        <v>16.9710431</v>
      </c>
    </row>
    <row r="45">
      <c r="A45" s="74">
        <v>20304.0</v>
      </c>
      <c r="B45" s="83" t="s">
        <v>72</v>
      </c>
      <c r="C45" s="76">
        <v>15.3846154</v>
      </c>
      <c r="D45" s="76">
        <v>41.6601866</v>
      </c>
    </row>
    <row r="46">
      <c r="A46" s="74">
        <v>20305.0</v>
      </c>
      <c r="B46" s="83" t="s">
        <v>73</v>
      </c>
      <c r="C46" s="76">
        <v>24.8591316</v>
      </c>
      <c r="D46" s="76">
        <v>37.0532458</v>
      </c>
    </row>
    <row r="47">
      <c r="A47" s="74">
        <v>20306.0</v>
      </c>
      <c r="B47" s="83" t="s">
        <v>74</v>
      </c>
      <c r="C47" s="76">
        <v>33.8619029</v>
      </c>
      <c r="D47" s="76">
        <v>80.2592223</v>
      </c>
    </row>
    <row r="48">
      <c r="A48" s="74">
        <v>20307.0</v>
      </c>
      <c r="B48" s="83" t="s">
        <v>75</v>
      </c>
      <c r="C48" s="76">
        <v>38.7583893</v>
      </c>
      <c r="D48" s="76">
        <v>42.7695452</v>
      </c>
    </row>
    <row r="49">
      <c r="A49" s="74">
        <v>20308.0</v>
      </c>
      <c r="B49" s="83" t="s">
        <v>76</v>
      </c>
      <c r="C49" s="76">
        <v>5.2303861</v>
      </c>
      <c r="D49" s="76">
        <v>16.1759178</v>
      </c>
    </row>
    <row r="50">
      <c r="A50" s="74">
        <v>20401.0</v>
      </c>
      <c r="B50" s="83" t="s">
        <v>78</v>
      </c>
      <c r="C50" s="76">
        <v>22.3793752</v>
      </c>
      <c r="D50" s="76">
        <v>33.6382778</v>
      </c>
    </row>
    <row r="51">
      <c r="A51" s="74">
        <v>20402.0</v>
      </c>
      <c r="B51" s="83" t="s">
        <v>79</v>
      </c>
      <c r="C51" s="76">
        <v>12.7063983</v>
      </c>
      <c r="D51" s="76">
        <v>26.3726885</v>
      </c>
    </row>
    <row r="52">
      <c r="A52" s="74">
        <v>20403.0</v>
      </c>
      <c r="B52" s="83" t="s">
        <v>80</v>
      </c>
      <c r="C52" s="76">
        <v>16.9649751</v>
      </c>
      <c r="D52" s="76">
        <v>34.4984892</v>
      </c>
    </row>
    <row r="53">
      <c r="A53" s="74">
        <v>20404.0</v>
      </c>
      <c r="B53" s="83" t="s">
        <v>81</v>
      </c>
      <c r="C53" s="76">
        <v>11.8448439</v>
      </c>
      <c r="D53" s="76">
        <v>33.7034384</v>
      </c>
    </row>
    <row r="54">
      <c r="A54" s="74">
        <v>20405.0</v>
      </c>
      <c r="B54" s="83" t="s">
        <v>82</v>
      </c>
      <c r="C54" s="76">
        <v>25.5912162</v>
      </c>
      <c r="D54" s="76">
        <v>49.0642799</v>
      </c>
    </row>
    <row r="55">
      <c r="A55" s="74">
        <v>20501.0</v>
      </c>
      <c r="B55" s="83" t="s">
        <v>84</v>
      </c>
      <c r="C55" s="76">
        <v>7.614703</v>
      </c>
      <c r="D55" s="76">
        <v>19.8249403</v>
      </c>
    </row>
    <row r="56">
      <c r="A56" s="74">
        <v>20502.0</v>
      </c>
      <c r="B56" s="83" t="s">
        <v>85</v>
      </c>
      <c r="C56" s="76">
        <v>6.3115651</v>
      </c>
      <c r="D56" s="76">
        <v>19.3086475</v>
      </c>
    </row>
    <row r="57">
      <c r="A57" s="74">
        <v>20503.0</v>
      </c>
      <c r="B57" s="83" t="s">
        <v>86</v>
      </c>
      <c r="C57" s="76">
        <v>19.3034457</v>
      </c>
      <c r="D57" s="76">
        <v>43.0004703</v>
      </c>
    </row>
    <row r="58">
      <c r="A58" s="74">
        <v>20601.0</v>
      </c>
      <c r="B58" s="83" t="s">
        <v>88</v>
      </c>
      <c r="C58" s="76">
        <v>32.5205361</v>
      </c>
      <c r="D58" s="76">
        <v>46.8134179</v>
      </c>
    </row>
    <row r="59">
      <c r="A59" s="74">
        <v>20602.0</v>
      </c>
      <c r="B59" s="83" t="s">
        <v>89</v>
      </c>
      <c r="C59" s="76">
        <v>60.9058403</v>
      </c>
      <c r="D59" s="76">
        <v>81.1157443</v>
      </c>
    </row>
    <row r="60">
      <c r="A60" s="74">
        <v>20603.0</v>
      </c>
      <c r="B60" s="83" t="s">
        <v>90</v>
      </c>
      <c r="C60" s="76">
        <v>37.5479417</v>
      </c>
      <c r="D60" s="76">
        <v>47.6771319</v>
      </c>
    </row>
    <row r="61">
      <c r="A61" s="74">
        <v>20604.0</v>
      </c>
      <c r="B61" s="83" t="s">
        <v>91</v>
      </c>
      <c r="C61" s="76">
        <v>18.1007752</v>
      </c>
      <c r="D61" s="76">
        <v>19.5038074</v>
      </c>
    </row>
    <row r="62">
      <c r="A62" s="74">
        <v>20605.0</v>
      </c>
      <c r="B62" s="83" t="s">
        <v>92</v>
      </c>
      <c r="C62" s="76">
        <v>13.2589164</v>
      </c>
      <c r="D62" s="76">
        <v>28.9700806</v>
      </c>
    </row>
    <row r="63">
      <c r="A63" s="74">
        <v>20606.0</v>
      </c>
      <c r="B63" s="83" t="s">
        <v>93</v>
      </c>
      <c r="C63" s="76">
        <v>92.2232774</v>
      </c>
      <c r="D63" s="76">
        <v>95.1960917</v>
      </c>
    </row>
    <row r="64">
      <c r="A64" s="74">
        <v>20607.0</v>
      </c>
      <c r="B64" s="83" t="s">
        <v>94</v>
      </c>
      <c r="C64" s="76">
        <v>83.2456683</v>
      </c>
      <c r="D64" s="76">
        <v>93.9658675</v>
      </c>
    </row>
    <row r="65">
      <c r="A65" s="74">
        <v>20608.0</v>
      </c>
      <c r="B65" s="83" t="s">
        <v>95</v>
      </c>
      <c r="C65" s="76">
        <v>43.5494652</v>
      </c>
      <c r="D65" s="76">
        <v>61.9066148</v>
      </c>
    </row>
    <row r="66">
      <c r="A66" s="74">
        <v>20701.0</v>
      </c>
      <c r="B66" s="83" t="s">
        <v>97</v>
      </c>
      <c r="C66" s="76">
        <v>34.6024149</v>
      </c>
      <c r="D66" s="76">
        <v>44.8418531</v>
      </c>
    </row>
    <row r="67">
      <c r="A67" s="74">
        <v>20702.0</v>
      </c>
      <c r="B67" s="83" t="s">
        <v>98</v>
      </c>
      <c r="C67" s="76">
        <v>49.2637216</v>
      </c>
      <c r="D67" s="76">
        <v>85.1733143</v>
      </c>
    </row>
    <row r="68">
      <c r="A68" s="74">
        <v>20801.0</v>
      </c>
      <c r="B68" s="83" t="s">
        <v>100</v>
      </c>
      <c r="C68" s="76">
        <v>86.1171143</v>
      </c>
      <c r="D68" s="76">
        <v>95.0301687</v>
      </c>
    </row>
    <row r="69">
      <c r="A69" s="74">
        <v>20802.0</v>
      </c>
      <c r="B69" s="83" t="s">
        <v>101</v>
      </c>
      <c r="C69" s="76">
        <v>52.9124821</v>
      </c>
      <c r="D69" s="76">
        <v>86.5055762</v>
      </c>
    </row>
    <row r="70">
      <c r="A70" s="74">
        <v>20803.0</v>
      </c>
      <c r="B70" s="83" t="s">
        <v>102</v>
      </c>
      <c r="C70" s="76">
        <v>32.6726926</v>
      </c>
      <c r="D70" s="76">
        <v>68.2434965</v>
      </c>
    </row>
    <row r="71">
      <c r="A71" s="74">
        <v>20804.0</v>
      </c>
      <c r="B71" s="83" t="s">
        <v>103</v>
      </c>
      <c r="C71" s="76">
        <v>75.4110613</v>
      </c>
      <c r="D71" s="76">
        <v>91.3196252</v>
      </c>
    </row>
    <row r="72">
      <c r="A72" s="74">
        <v>20805.0</v>
      </c>
      <c r="B72" s="83" t="s">
        <v>104</v>
      </c>
      <c r="C72" s="76">
        <v>14.7543686</v>
      </c>
      <c r="D72" s="76">
        <v>40.4652352</v>
      </c>
    </row>
    <row r="73">
      <c r="A73" s="74">
        <v>20806.0</v>
      </c>
      <c r="B73" s="83" t="s">
        <v>105</v>
      </c>
      <c r="C73" s="76">
        <v>20.464587</v>
      </c>
      <c r="D73" s="76">
        <v>48.9731343</v>
      </c>
    </row>
    <row r="74">
      <c r="A74" s="74">
        <v>20807.0</v>
      </c>
      <c r="B74" s="83" t="s">
        <v>106</v>
      </c>
      <c r="C74" s="76">
        <v>59.8838986</v>
      </c>
      <c r="D74" s="76">
        <v>90.754717</v>
      </c>
    </row>
    <row r="75">
      <c r="A75" s="74">
        <v>20901.0</v>
      </c>
      <c r="B75" s="83" t="s">
        <v>108</v>
      </c>
      <c r="C75" s="76">
        <v>27.7001271</v>
      </c>
      <c r="D75" s="76">
        <v>52.4969203</v>
      </c>
    </row>
    <row r="76">
      <c r="A76" s="74">
        <v>20902.0</v>
      </c>
      <c r="B76" s="83" t="s">
        <v>109</v>
      </c>
      <c r="C76" s="76">
        <v>18.2729625</v>
      </c>
      <c r="D76" s="76">
        <v>48.3910362</v>
      </c>
    </row>
    <row r="77">
      <c r="A77" s="74">
        <v>20903.0</v>
      </c>
      <c r="B77" s="83" t="s">
        <v>110</v>
      </c>
      <c r="C77" s="76">
        <v>23.8837112</v>
      </c>
      <c r="D77" s="76">
        <v>50.9021685</v>
      </c>
    </row>
    <row r="78">
      <c r="A78" s="74">
        <v>20904.0</v>
      </c>
      <c r="B78" s="83" t="s">
        <v>111</v>
      </c>
      <c r="C78" s="76">
        <v>48.4585936</v>
      </c>
      <c r="D78" s="76">
        <v>60.4150504</v>
      </c>
    </row>
    <row r="79">
      <c r="A79" s="74">
        <v>20905.0</v>
      </c>
      <c r="B79" s="83" t="s">
        <v>112</v>
      </c>
      <c r="C79" s="76">
        <v>37.9623852</v>
      </c>
      <c r="D79" s="76">
        <v>63.1278708</v>
      </c>
    </row>
    <row r="80">
      <c r="A80" s="74">
        <v>21001.0</v>
      </c>
      <c r="B80" s="83" t="s">
        <v>113</v>
      </c>
      <c r="C80" s="76">
        <v>8.4213414</v>
      </c>
      <c r="D80" s="76">
        <v>23.1346507</v>
      </c>
    </row>
    <row r="81">
      <c r="A81" s="74">
        <v>21002.0</v>
      </c>
      <c r="B81" s="83" t="s">
        <v>114</v>
      </c>
      <c r="C81" s="76">
        <v>61.6247197</v>
      </c>
      <c r="D81" s="76">
        <v>69.4282849</v>
      </c>
    </row>
    <row r="82">
      <c r="A82" s="74">
        <v>21003.0</v>
      </c>
      <c r="B82" s="83" t="s">
        <v>115</v>
      </c>
      <c r="C82" s="76">
        <v>48.3110762</v>
      </c>
      <c r="D82" s="76">
        <v>81.0703084</v>
      </c>
    </row>
    <row r="83">
      <c r="A83" s="74">
        <v>21004.0</v>
      </c>
      <c r="B83" s="83" t="s">
        <v>116</v>
      </c>
      <c r="C83" s="76">
        <v>36.8319917</v>
      </c>
      <c r="D83" s="76">
        <v>44.751285</v>
      </c>
    </row>
    <row r="84">
      <c r="A84" s="74">
        <v>21005.0</v>
      </c>
      <c r="B84" s="83" t="s">
        <v>117</v>
      </c>
      <c r="C84" s="76">
        <v>18.0900621</v>
      </c>
      <c r="D84" s="76">
        <v>34.2948038</v>
      </c>
    </row>
    <row r="85">
      <c r="A85" s="74">
        <v>21006.0</v>
      </c>
      <c r="B85" s="83" t="s">
        <v>118</v>
      </c>
      <c r="C85" s="76">
        <v>34.1092375</v>
      </c>
      <c r="D85" s="76">
        <v>55.9897172</v>
      </c>
    </row>
    <row r="86">
      <c r="A86" s="74">
        <v>21101.0</v>
      </c>
      <c r="B86" s="83" t="s">
        <v>120</v>
      </c>
      <c r="C86" s="76">
        <v>59.6034483</v>
      </c>
      <c r="D86" s="76">
        <v>80.8953728</v>
      </c>
    </row>
    <row r="87">
      <c r="A87" s="74">
        <v>21102.0</v>
      </c>
      <c r="B87" s="83" t="s">
        <v>121</v>
      </c>
      <c r="C87" s="76">
        <v>41.4830866</v>
      </c>
      <c r="D87" s="76">
        <v>64.8772235</v>
      </c>
    </row>
    <row r="88">
      <c r="A88" s="74">
        <v>21103.0</v>
      </c>
      <c r="B88" s="83" t="s">
        <v>122</v>
      </c>
      <c r="C88" s="76">
        <v>55.3743272</v>
      </c>
      <c r="D88" s="76">
        <v>72.1215424</v>
      </c>
    </row>
    <row r="89">
      <c r="A89" s="74">
        <v>21104.0</v>
      </c>
      <c r="B89" s="83" t="s">
        <v>123</v>
      </c>
      <c r="C89" s="76">
        <v>39.95624</v>
      </c>
      <c r="D89" s="76">
        <v>63.51443</v>
      </c>
    </row>
    <row r="90">
      <c r="A90" s="74">
        <v>21105.0</v>
      </c>
      <c r="B90" s="83" t="s">
        <v>124</v>
      </c>
      <c r="C90" s="76">
        <v>31.6963606</v>
      </c>
      <c r="D90" s="76">
        <v>59.7237692</v>
      </c>
    </row>
    <row r="91">
      <c r="A91" s="74">
        <v>21201.0</v>
      </c>
      <c r="B91" s="83" t="s">
        <v>126</v>
      </c>
      <c r="C91" s="76">
        <v>47.8594357</v>
      </c>
      <c r="D91" s="76">
        <v>85.5862523</v>
      </c>
    </row>
    <row r="92">
      <c r="A92" s="74">
        <v>21202.0</v>
      </c>
      <c r="B92" s="83" t="s">
        <v>127</v>
      </c>
      <c r="C92" s="76">
        <v>40.4109871</v>
      </c>
      <c r="D92" s="76">
        <v>73.0921469</v>
      </c>
    </row>
    <row r="93">
      <c r="A93" s="74">
        <v>21203.0</v>
      </c>
      <c r="B93" s="83" t="s">
        <v>128</v>
      </c>
      <c r="C93" s="76">
        <v>50.4484694</v>
      </c>
      <c r="D93" s="76">
        <v>83.0448116</v>
      </c>
    </row>
    <row r="94">
      <c r="A94" s="74">
        <v>21204.0</v>
      </c>
      <c r="B94" s="83" t="s">
        <v>129</v>
      </c>
      <c r="C94" s="76">
        <v>52.1434139</v>
      </c>
      <c r="D94" s="76">
        <v>79.4071763</v>
      </c>
    </row>
    <row r="95">
      <c r="A95" s="74">
        <v>21301.0</v>
      </c>
      <c r="B95" s="83" t="s">
        <v>131</v>
      </c>
      <c r="C95" s="76">
        <v>48.5884628</v>
      </c>
      <c r="D95" s="76">
        <v>70.813727</v>
      </c>
    </row>
    <row r="96">
      <c r="A96" s="74">
        <v>21302.0</v>
      </c>
      <c r="B96" s="83" t="s">
        <v>132</v>
      </c>
      <c r="C96" s="76">
        <v>35.1366614</v>
      </c>
      <c r="D96" s="76">
        <v>65.1919036</v>
      </c>
    </row>
    <row r="97">
      <c r="A97" s="74">
        <v>21303.0</v>
      </c>
      <c r="B97" s="83" t="s">
        <v>133</v>
      </c>
      <c r="C97" s="76">
        <v>42.1296893</v>
      </c>
      <c r="D97" s="76">
        <v>71.9893607</v>
      </c>
    </row>
    <row r="98">
      <c r="A98" s="74">
        <v>21304.0</v>
      </c>
      <c r="B98" s="83" t="s">
        <v>134</v>
      </c>
      <c r="C98" s="76">
        <v>50.8203412</v>
      </c>
      <c r="D98" s="76">
        <v>82.0110029</v>
      </c>
    </row>
    <row r="99">
      <c r="A99" s="74">
        <v>21305.0</v>
      </c>
      <c r="B99" s="83" t="s">
        <v>135</v>
      </c>
      <c r="C99" s="76">
        <v>75.9884456</v>
      </c>
      <c r="D99" s="76">
        <v>87.5987917</v>
      </c>
    </row>
    <row r="100">
      <c r="A100" s="74">
        <v>21306.0</v>
      </c>
      <c r="B100" s="83" t="s">
        <v>136</v>
      </c>
      <c r="C100" s="76">
        <v>58.3656793</v>
      </c>
      <c r="D100" s="76">
        <v>87.6525253</v>
      </c>
    </row>
    <row r="101">
      <c r="A101" s="74">
        <v>21307.0</v>
      </c>
      <c r="B101" s="83" t="s">
        <v>137</v>
      </c>
      <c r="C101" s="76">
        <v>72.3644427</v>
      </c>
      <c r="D101" s="76">
        <v>90.440367</v>
      </c>
    </row>
    <row r="102">
      <c r="A102" s="74">
        <v>21401.0</v>
      </c>
      <c r="B102" s="83" t="s">
        <v>139</v>
      </c>
      <c r="C102" s="76">
        <v>45.8740733</v>
      </c>
      <c r="D102" s="76">
        <v>67.1323892</v>
      </c>
    </row>
    <row r="103">
      <c r="A103" s="74">
        <v>21402.0</v>
      </c>
      <c r="B103" s="83" t="s">
        <v>140</v>
      </c>
      <c r="C103" s="76">
        <v>64.3991609</v>
      </c>
      <c r="D103" s="76">
        <v>84.7717296</v>
      </c>
    </row>
    <row r="104">
      <c r="A104" s="74">
        <v>21501.0</v>
      </c>
      <c r="B104" s="83" t="s">
        <v>142</v>
      </c>
      <c r="C104" s="76">
        <v>33.9335347</v>
      </c>
      <c r="D104" s="76">
        <v>51.7842769</v>
      </c>
    </row>
    <row r="105">
      <c r="A105" s="74">
        <v>21502.0</v>
      </c>
      <c r="B105" s="83" t="s">
        <v>143</v>
      </c>
      <c r="C105" s="76">
        <v>42.0872122</v>
      </c>
      <c r="D105" s="76">
        <v>71.4959639</v>
      </c>
    </row>
    <row r="106">
      <c r="A106" s="74">
        <v>21601.0</v>
      </c>
      <c r="B106" s="83" t="s">
        <v>145</v>
      </c>
      <c r="C106" s="76">
        <v>10.2148453</v>
      </c>
      <c r="D106" s="76">
        <v>30.3636949</v>
      </c>
    </row>
    <row r="107">
      <c r="A107" s="74">
        <v>21602.0</v>
      </c>
      <c r="B107" s="83" t="s">
        <v>146</v>
      </c>
      <c r="C107" s="76">
        <v>7.8793475</v>
      </c>
      <c r="D107" s="76">
        <v>45.0658903</v>
      </c>
    </row>
    <row r="108">
      <c r="A108" s="74">
        <v>21701.0</v>
      </c>
      <c r="B108" s="83" t="s">
        <v>148</v>
      </c>
      <c r="C108" s="76">
        <v>57.56691</v>
      </c>
      <c r="D108" s="76">
        <v>65.4196756</v>
      </c>
    </row>
    <row r="109">
      <c r="A109" s="74">
        <v>21702.0</v>
      </c>
      <c r="B109" s="83" t="s">
        <v>149</v>
      </c>
      <c r="C109" s="76">
        <v>37.2124493</v>
      </c>
      <c r="D109" s="76">
        <v>59.4275902</v>
      </c>
    </row>
    <row r="110">
      <c r="A110" s="74">
        <v>21703.0</v>
      </c>
      <c r="B110" s="83" t="s">
        <v>150</v>
      </c>
      <c r="C110" s="76">
        <v>30.2101717</v>
      </c>
      <c r="D110" s="76">
        <v>48.6045214</v>
      </c>
    </row>
    <row r="111">
      <c r="A111" s="74">
        <v>21801.0</v>
      </c>
      <c r="B111" s="83" t="s">
        <v>152</v>
      </c>
      <c r="C111" s="76">
        <v>20.8304814</v>
      </c>
      <c r="D111" s="76">
        <v>45.267624</v>
      </c>
    </row>
    <row r="112">
      <c r="A112" s="74">
        <v>21802.0</v>
      </c>
      <c r="B112" s="83" t="s">
        <v>153</v>
      </c>
      <c r="C112" s="76">
        <v>16.6093437</v>
      </c>
      <c r="D112" s="76">
        <v>43.5038479</v>
      </c>
    </row>
    <row r="113">
      <c r="A113" s="74">
        <v>21803.0</v>
      </c>
      <c r="B113" s="83" t="s">
        <v>154</v>
      </c>
      <c r="C113" s="76">
        <v>9.9</v>
      </c>
      <c r="D113" s="76">
        <v>32.1078431</v>
      </c>
    </row>
    <row r="114">
      <c r="A114" s="74">
        <v>21901.0</v>
      </c>
      <c r="B114" s="83" t="s">
        <v>156</v>
      </c>
      <c r="C114" s="76">
        <v>14.4338998</v>
      </c>
      <c r="D114" s="76">
        <v>35.5112368</v>
      </c>
    </row>
    <row r="115">
      <c r="A115" s="74">
        <v>21902.0</v>
      </c>
      <c r="B115" s="83" t="s">
        <v>157</v>
      </c>
      <c r="C115" s="76">
        <v>24.7896213</v>
      </c>
      <c r="D115" s="76">
        <v>63.6825277</v>
      </c>
    </row>
    <row r="116">
      <c r="A116" s="74">
        <v>22001.0</v>
      </c>
      <c r="B116" s="83" t="s">
        <v>158</v>
      </c>
      <c r="C116" s="76">
        <v>31.2839319</v>
      </c>
      <c r="D116" s="76">
        <v>53.0867004</v>
      </c>
    </row>
    <row r="117">
      <c r="A117" s="74">
        <v>22002.0</v>
      </c>
      <c r="B117" s="83" t="s">
        <v>159</v>
      </c>
      <c r="C117" s="76">
        <v>27.8193405</v>
      </c>
      <c r="D117" s="76">
        <v>51.0289264</v>
      </c>
    </row>
    <row r="118">
      <c r="A118" s="74">
        <v>30101.0</v>
      </c>
      <c r="B118" s="83" t="s">
        <v>160</v>
      </c>
      <c r="C118" s="76">
        <v>98.0882728</v>
      </c>
      <c r="D118" s="76">
        <v>99.2529183</v>
      </c>
    </row>
    <row r="119">
      <c r="A119" s="74">
        <v>30201.0</v>
      </c>
      <c r="B119" s="83" t="s">
        <v>163</v>
      </c>
      <c r="C119" s="76">
        <v>38.3197525</v>
      </c>
      <c r="D119" s="76">
        <v>56.0828906</v>
      </c>
    </row>
    <row r="120">
      <c r="A120" s="74">
        <v>30202.0</v>
      </c>
      <c r="B120" s="83" t="s">
        <v>164</v>
      </c>
      <c r="C120" s="76">
        <v>35.3454653</v>
      </c>
      <c r="D120" s="76">
        <v>42.2263974</v>
      </c>
    </row>
    <row r="121">
      <c r="A121" s="74">
        <v>30203.0</v>
      </c>
      <c r="B121" s="83" t="s">
        <v>165</v>
      </c>
      <c r="C121" s="76">
        <v>42.5616118</v>
      </c>
      <c r="D121" s="76">
        <v>65.9603246</v>
      </c>
    </row>
    <row r="122">
      <c r="A122" s="74">
        <v>30301.0</v>
      </c>
      <c r="B122" s="83" t="s">
        <v>166</v>
      </c>
      <c r="C122" s="76">
        <v>24.4088417</v>
      </c>
      <c r="D122" s="76">
        <v>31.3614675</v>
      </c>
    </row>
    <row r="123">
      <c r="A123" s="74">
        <v>30302.0</v>
      </c>
      <c r="B123" s="83" t="s">
        <v>167</v>
      </c>
      <c r="C123" s="76">
        <v>14.3735709</v>
      </c>
      <c r="D123" s="76">
        <v>22.0062953</v>
      </c>
    </row>
    <row r="124">
      <c r="A124" s="74">
        <v>30303.0</v>
      </c>
      <c r="B124" s="83" t="s">
        <v>168</v>
      </c>
      <c r="C124" s="76">
        <v>9.7421857</v>
      </c>
      <c r="D124" s="76">
        <v>29.9876784</v>
      </c>
    </row>
    <row r="125">
      <c r="A125" s="74">
        <v>30401.0</v>
      </c>
      <c r="B125" s="83" t="s">
        <v>170</v>
      </c>
      <c r="C125" s="76">
        <v>56.8445476</v>
      </c>
      <c r="D125" s="76">
        <v>67.1532847</v>
      </c>
    </row>
    <row r="126">
      <c r="A126" s="74">
        <v>30402.0</v>
      </c>
      <c r="B126" s="83" t="s">
        <v>171</v>
      </c>
      <c r="C126" s="76">
        <v>20.0785744</v>
      </c>
      <c r="D126" s="76">
        <v>29.5253863</v>
      </c>
    </row>
    <row r="127">
      <c r="A127" s="74">
        <v>30403.0</v>
      </c>
      <c r="B127" s="83" t="s">
        <v>172</v>
      </c>
      <c r="C127" s="76">
        <v>69.9095691</v>
      </c>
      <c r="D127" s="76">
        <v>81.6901899</v>
      </c>
    </row>
    <row r="128">
      <c r="A128" s="74">
        <v>30404.0</v>
      </c>
      <c r="B128" s="83" t="s">
        <v>173</v>
      </c>
      <c r="C128" s="76">
        <v>15.4132712</v>
      </c>
      <c r="D128" s="76">
        <v>30.5753202</v>
      </c>
    </row>
    <row r="129">
      <c r="A129" s="74">
        <v>30501.0</v>
      </c>
      <c r="B129" s="83" t="s">
        <v>174</v>
      </c>
      <c r="C129" s="76">
        <v>68.9347522</v>
      </c>
      <c r="D129" s="76">
        <v>85.1260044</v>
      </c>
    </row>
    <row r="130">
      <c r="A130" s="74">
        <v>30502.0</v>
      </c>
      <c r="B130" s="83" t="s">
        <v>175</v>
      </c>
      <c r="C130" s="76">
        <v>22.4901408</v>
      </c>
      <c r="D130" s="76">
        <v>39.1096979</v>
      </c>
    </row>
    <row r="131">
      <c r="A131" s="74">
        <v>30601.0</v>
      </c>
      <c r="B131" s="83" t="s">
        <v>176</v>
      </c>
      <c r="C131" s="76">
        <v>9.2911877</v>
      </c>
      <c r="D131" s="76">
        <v>16.7960614</v>
      </c>
    </row>
    <row r="132">
      <c r="A132" s="74">
        <v>30602.0</v>
      </c>
      <c r="B132" s="83" t="s">
        <v>177</v>
      </c>
      <c r="C132" s="76">
        <v>5.0921339</v>
      </c>
      <c r="D132" s="76">
        <v>12.9565299</v>
      </c>
    </row>
    <row r="133">
      <c r="A133" s="74">
        <v>30701.0</v>
      </c>
      <c r="B133" s="83" t="s">
        <v>178</v>
      </c>
      <c r="C133" s="76">
        <v>64.9748849</v>
      </c>
      <c r="D133" s="76">
        <v>78.0402768</v>
      </c>
    </row>
    <row r="134">
      <c r="A134" s="74">
        <v>30702.0</v>
      </c>
      <c r="B134" s="83" t="s">
        <v>179</v>
      </c>
      <c r="C134" s="76">
        <v>41.1271173</v>
      </c>
      <c r="D134" s="76">
        <v>76.8937902</v>
      </c>
    </row>
    <row r="135">
      <c r="A135" s="74">
        <v>30703.0</v>
      </c>
      <c r="B135" s="83" t="s">
        <v>180</v>
      </c>
      <c r="C135" s="76">
        <v>21.4016173</v>
      </c>
      <c r="D135" s="76">
        <v>56.4561493</v>
      </c>
    </row>
    <row r="136">
      <c r="A136" s="74">
        <v>30801.0</v>
      </c>
      <c r="B136" s="83" t="s">
        <v>182</v>
      </c>
      <c r="C136" s="76">
        <v>86.9408669</v>
      </c>
      <c r="D136" s="76">
        <v>97.4371212</v>
      </c>
    </row>
    <row r="137">
      <c r="A137" s="74">
        <v>30802.0</v>
      </c>
      <c r="B137" s="83" t="s">
        <v>183</v>
      </c>
      <c r="C137" s="76">
        <v>48.2596291</v>
      </c>
      <c r="D137" s="76">
        <v>73.8232074</v>
      </c>
    </row>
    <row r="138">
      <c r="A138" s="74">
        <v>30803.0</v>
      </c>
      <c r="B138" s="83" t="s">
        <v>184</v>
      </c>
      <c r="C138" s="76">
        <v>86.0469667</v>
      </c>
      <c r="D138" s="76">
        <v>85.057318</v>
      </c>
    </row>
    <row r="139">
      <c r="A139" s="74">
        <v>30901.0</v>
      </c>
      <c r="B139" s="83" t="s">
        <v>185</v>
      </c>
      <c r="C139" s="76">
        <v>94.8421594</v>
      </c>
      <c r="D139" s="76">
        <v>98.176635</v>
      </c>
    </row>
    <row r="140">
      <c r="A140" s="74">
        <v>30902.0</v>
      </c>
      <c r="B140" s="83" t="s">
        <v>186</v>
      </c>
      <c r="C140" s="76">
        <v>80.9916342</v>
      </c>
      <c r="D140" s="76">
        <v>92.4332612</v>
      </c>
    </row>
    <row r="141">
      <c r="A141" s="74">
        <v>30903.0</v>
      </c>
      <c r="B141" s="83" t="s">
        <v>187</v>
      </c>
      <c r="C141" s="76">
        <v>88.8031182</v>
      </c>
      <c r="D141" s="76">
        <v>94.8329468</v>
      </c>
    </row>
    <row r="142">
      <c r="A142" s="74">
        <v>30904.0</v>
      </c>
      <c r="B142" s="83" t="s">
        <v>188</v>
      </c>
      <c r="C142" s="76">
        <v>89.0817404</v>
      </c>
      <c r="D142" s="76">
        <v>96.6047196</v>
      </c>
    </row>
    <row r="143">
      <c r="A143" s="74">
        <v>30905.0</v>
      </c>
      <c r="B143" s="83" t="s">
        <v>189</v>
      </c>
      <c r="C143" s="76">
        <v>97.9278768</v>
      </c>
      <c r="D143" s="76">
        <v>99.4876799</v>
      </c>
    </row>
    <row r="144">
      <c r="A144" s="74">
        <v>31001.0</v>
      </c>
      <c r="B144" s="83" t="s">
        <v>191</v>
      </c>
      <c r="C144" s="76">
        <v>88.8971808</v>
      </c>
      <c r="D144" s="76">
        <v>94.5565921</v>
      </c>
    </row>
    <row r="145">
      <c r="A145" s="74">
        <v>31002.0</v>
      </c>
      <c r="B145" s="83" t="s">
        <v>192</v>
      </c>
      <c r="C145" s="76">
        <v>46.4257028</v>
      </c>
      <c r="D145" s="76">
        <v>67.6863705</v>
      </c>
    </row>
    <row r="146">
      <c r="A146" s="74">
        <v>31003.0</v>
      </c>
      <c r="B146" s="83" t="s">
        <v>193</v>
      </c>
      <c r="C146" s="76">
        <v>45.7040173</v>
      </c>
      <c r="D146" s="76">
        <v>68.9732536</v>
      </c>
    </row>
    <row r="147">
      <c r="A147" s="74">
        <v>31101.0</v>
      </c>
      <c r="B147" s="83" t="s">
        <v>194</v>
      </c>
      <c r="C147" s="76">
        <v>11.4771607</v>
      </c>
      <c r="D147" s="76">
        <v>23.1462599</v>
      </c>
    </row>
    <row r="148">
      <c r="A148" s="74">
        <v>31201.0</v>
      </c>
      <c r="B148" s="83" t="s">
        <v>196</v>
      </c>
      <c r="C148" s="76">
        <v>22.8437263</v>
      </c>
      <c r="D148" s="76">
        <v>44.1272261</v>
      </c>
    </row>
    <row r="149">
      <c r="A149" s="74">
        <v>31202.0</v>
      </c>
      <c r="B149" s="83" t="s">
        <v>197</v>
      </c>
      <c r="C149" s="76">
        <v>20.9216682</v>
      </c>
      <c r="D149" s="76">
        <v>56.8273958</v>
      </c>
    </row>
    <row r="150">
      <c r="A150" s="74">
        <v>31203.0</v>
      </c>
      <c r="B150" s="83" t="s">
        <v>198</v>
      </c>
      <c r="C150" s="76">
        <v>22.3701731</v>
      </c>
      <c r="D150" s="76">
        <v>53.9630836</v>
      </c>
    </row>
    <row r="151">
      <c r="A151" s="74">
        <v>31204.0</v>
      </c>
      <c r="B151" s="83" t="s">
        <v>199</v>
      </c>
      <c r="C151" s="76">
        <v>59.8063311</v>
      </c>
      <c r="D151" s="76">
        <v>76.1646594</v>
      </c>
    </row>
    <row r="152">
      <c r="A152" s="74">
        <v>31205.0</v>
      </c>
      <c r="B152" s="83" t="s">
        <v>200</v>
      </c>
      <c r="C152" s="76">
        <v>54.7961044</v>
      </c>
      <c r="D152" s="76">
        <v>78.8956346</v>
      </c>
    </row>
    <row r="153">
      <c r="A153" s="74">
        <v>31206.0</v>
      </c>
      <c r="B153" s="83" t="s">
        <v>201</v>
      </c>
      <c r="C153" s="76">
        <v>59.5830185</v>
      </c>
      <c r="D153" s="76">
        <v>78.9740634</v>
      </c>
    </row>
    <row r="154">
      <c r="A154" s="74">
        <v>31301.0</v>
      </c>
      <c r="B154" s="83" t="s">
        <v>202</v>
      </c>
      <c r="C154" s="76">
        <v>39.7564985</v>
      </c>
      <c r="D154" s="76">
        <v>61.4077545</v>
      </c>
    </row>
    <row r="155">
      <c r="A155" s="74">
        <v>31302.0</v>
      </c>
      <c r="B155" s="83" t="s">
        <v>203</v>
      </c>
      <c r="C155" s="76">
        <v>7.9644379</v>
      </c>
      <c r="D155" s="76">
        <v>16.734378</v>
      </c>
    </row>
    <row r="156">
      <c r="A156" s="74">
        <v>31303.0</v>
      </c>
      <c r="B156" s="83" t="s">
        <v>204</v>
      </c>
      <c r="C156" s="76">
        <v>4.1288433</v>
      </c>
      <c r="D156" s="76">
        <v>14.1376332</v>
      </c>
    </row>
    <row r="157">
      <c r="A157" s="74">
        <v>31304.0</v>
      </c>
      <c r="B157" s="83" t="s">
        <v>205</v>
      </c>
      <c r="C157" s="76">
        <v>4.9493653</v>
      </c>
      <c r="D157" s="76">
        <v>11.0610611</v>
      </c>
    </row>
    <row r="158">
      <c r="A158" s="74">
        <v>31401.0</v>
      </c>
      <c r="B158" s="83" t="s">
        <v>206</v>
      </c>
      <c r="C158" s="76">
        <v>91.4857863</v>
      </c>
      <c r="D158" s="76">
        <v>97.2438429</v>
      </c>
    </row>
    <row r="159">
      <c r="A159" s="74">
        <v>31402.0</v>
      </c>
      <c r="B159" s="83" t="s">
        <v>207</v>
      </c>
      <c r="C159" s="76">
        <v>70.5831266</v>
      </c>
      <c r="D159" s="76">
        <v>84.8828957</v>
      </c>
    </row>
    <row r="160">
      <c r="A160" s="74">
        <v>31403.0</v>
      </c>
      <c r="B160" s="83" t="s">
        <v>208</v>
      </c>
      <c r="C160" s="76">
        <v>80.9430845</v>
      </c>
      <c r="D160" s="76">
        <v>92.8917982</v>
      </c>
    </row>
    <row r="161">
      <c r="A161" s="74">
        <v>31404.0</v>
      </c>
      <c r="B161" s="83" t="s">
        <v>209</v>
      </c>
      <c r="C161" s="76">
        <v>34.6450617</v>
      </c>
      <c r="D161" s="76">
        <v>70.3968254</v>
      </c>
    </row>
    <row r="162">
      <c r="A162" s="74">
        <v>31405.0</v>
      </c>
      <c r="B162" s="83" t="s">
        <v>210</v>
      </c>
      <c r="C162" s="76">
        <v>20.2411399</v>
      </c>
      <c r="D162" s="76">
        <v>52.8530108</v>
      </c>
    </row>
    <row r="163">
      <c r="A163" s="74">
        <v>31501.0</v>
      </c>
      <c r="B163" s="83" t="s">
        <v>211</v>
      </c>
      <c r="C163" s="76">
        <v>14.2317909</v>
      </c>
      <c r="D163" s="76">
        <v>20.6231814</v>
      </c>
    </row>
    <row r="164">
      <c r="A164" s="74">
        <v>31601.0</v>
      </c>
      <c r="B164" s="83" t="s">
        <v>212</v>
      </c>
      <c r="C164" s="76">
        <v>30.5445898</v>
      </c>
      <c r="D164" s="76">
        <v>59.8328417</v>
      </c>
    </row>
    <row r="165">
      <c r="A165" s="74">
        <v>31602.0</v>
      </c>
      <c r="B165" s="83" t="s">
        <v>213</v>
      </c>
      <c r="C165" s="76">
        <v>58.6088599</v>
      </c>
      <c r="D165" s="76">
        <v>80.1817345</v>
      </c>
    </row>
    <row r="166">
      <c r="A166" s="74">
        <v>40101.0</v>
      </c>
      <c r="B166" s="83" t="s">
        <v>214</v>
      </c>
      <c r="C166" s="76">
        <v>99.3854669</v>
      </c>
      <c r="D166" s="76">
        <v>99.7181816</v>
      </c>
    </row>
    <row r="167">
      <c r="A167" s="74">
        <v>40102.0</v>
      </c>
      <c r="B167" s="83" t="s">
        <v>215</v>
      </c>
      <c r="C167" s="76">
        <v>47.8394116</v>
      </c>
      <c r="D167" s="76">
        <v>70.0966509</v>
      </c>
    </row>
    <row r="168">
      <c r="A168" s="74">
        <v>40103.0</v>
      </c>
      <c r="B168" s="83" t="s">
        <v>216</v>
      </c>
      <c r="C168" s="76">
        <v>11.018711</v>
      </c>
      <c r="D168" s="76">
        <v>34.8397533</v>
      </c>
    </row>
    <row r="169">
      <c r="A169" s="74">
        <v>40104.0</v>
      </c>
      <c r="B169" s="83" t="s">
        <v>217</v>
      </c>
      <c r="C169" s="76">
        <v>49.9686176</v>
      </c>
      <c r="D169" s="76">
        <v>74.0800103</v>
      </c>
    </row>
    <row r="170">
      <c r="A170" s="74">
        <v>40201.0</v>
      </c>
      <c r="B170" s="83" t="s">
        <v>219</v>
      </c>
      <c r="C170" s="76">
        <v>53.205174</v>
      </c>
      <c r="D170" s="76">
        <v>62.5237246</v>
      </c>
    </row>
    <row r="171">
      <c r="A171" s="74">
        <v>40202.0</v>
      </c>
      <c r="B171" s="83" t="s">
        <v>220</v>
      </c>
      <c r="C171" s="76">
        <v>46.4945583</v>
      </c>
      <c r="D171" s="76">
        <v>62.2729936</v>
      </c>
    </row>
    <row r="172">
      <c r="A172" s="74">
        <v>40301.0</v>
      </c>
      <c r="B172" s="83" t="s">
        <v>222</v>
      </c>
      <c r="C172" s="76">
        <v>14.4755948</v>
      </c>
      <c r="D172" s="76">
        <v>33.0643636</v>
      </c>
    </row>
    <row r="173">
      <c r="A173" s="74">
        <v>40302.0</v>
      </c>
      <c r="B173" s="83" t="s">
        <v>223</v>
      </c>
      <c r="C173" s="76">
        <v>12.4724062</v>
      </c>
      <c r="D173" s="76">
        <v>30.8894231</v>
      </c>
    </row>
    <row r="174">
      <c r="A174" s="74">
        <v>40401.0</v>
      </c>
      <c r="B174" s="83" t="s">
        <v>225</v>
      </c>
      <c r="C174" s="76">
        <v>40.3890453</v>
      </c>
      <c r="D174" s="76">
        <v>34.8141147</v>
      </c>
    </row>
    <row r="175">
      <c r="A175" s="74">
        <v>40402.0</v>
      </c>
      <c r="B175" s="83" t="s">
        <v>226</v>
      </c>
      <c r="C175" s="76">
        <v>23.297561</v>
      </c>
      <c r="D175" s="76">
        <v>33.0275229</v>
      </c>
    </row>
    <row r="176">
      <c r="A176" s="74">
        <v>40501.0</v>
      </c>
      <c r="B176" s="83" t="s">
        <v>228</v>
      </c>
      <c r="C176" s="76">
        <v>94.1176471</v>
      </c>
      <c r="D176" s="76">
        <v>97.2736898</v>
      </c>
    </row>
    <row r="177">
      <c r="A177" s="74">
        <v>40502.0</v>
      </c>
      <c r="B177" s="83" t="s">
        <v>229</v>
      </c>
      <c r="C177" s="76">
        <v>14.5480563</v>
      </c>
      <c r="D177" s="76">
        <v>67.9418886</v>
      </c>
    </row>
    <row r="178">
      <c r="A178" s="74">
        <v>40503.0</v>
      </c>
      <c r="B178" s="83" t="s">
        <v>230</v>
      </c>
      <c r="C178" s="76">
        <v>25.2962391</v>
      </c>
      <c r="D178" s="76">
        <v>78.4708249</v>
      </c>
    </row>
    <row r="179">
      <c r="A179" s="74">
        <v>40504.0</v>
      </c>
      <c r="B179" s="83" t="s">
        <v>231</v>
      </c>
      <c r="C179" s="76">
        <v>7.0175439</v>
      </c>
      <c r="D179" s="76">
        <v>74.8853211</v>
      </c>
    </row>
    <row r="180">
      <c r="A180" s="74">
        <v>40505.0</v>
      </c>
      <c r="B180" s="83" t="s">
        <v>232</v>
      </c>
      <c r="C180" s="76">
        <v>43.4151786</v>
      </c>
      <c r="D180" s="76">
        <v>76.3726256</v>
      </c>
    </row>
    <row r="181">
      <c r="A181" s="74">
        <v>40601.0</v>
      </c>
      <c r="B181" s="83" t="s">
        <v>233</v>
      </c>
      <c r="C181" s="76">
        <v>58.1764952</v>
      </c>
      <c r="D181" s="76">
        <v>76.7035398</v>
      </c>
    </row>
    <row r="182">
      <c r="A182" s="74">
        <v>40602.0</v>
      </c>
      <c r="B182" s="83" t="s">
        <v>234</v>
      </c>
      <c r="C182" s="76">
        <v>69.4754653</v>
      </c>
      <c r="D182" s="76">
        <v>81.666263</v>
      </c>
    </row>
    <row r="183">
      <c r="A183" s="74">
        <v>40603.0</v>
      </c>
      <c r="B183" s="83" t="s">
        <v>235</v>
      </c>
      <c r="C183" s="76">
        <v>65.7439446</v>
      </c>
      <c r="D183" s="76">
        <v>82.9400057</v>
      </c>
    </row>
    <row r="184">
      <c r="A184" s="74">
        <v>40701.0</v>
      </c>
      <c r="B184" s="83" t="s">
        <v>237</v>
      </c>
      <c r="C184" s="76">
        <v>89.6294144</v>
      </c>
      <c r="D184" s="76">
        <v>93.7577447</v>
      </c>
    </row>
    <row r="185">
      <c r="A185" s="74">
        <v>40702.0</v>
      </c>
      <c r="B185" s="83" t="s">
        <v>238</v>
      </c>
      <c r="C185" s="76">
        <v>73.416649</v>
      </c>
      <c r="D185" s="76">
        <v>88.4450314</v>
      </c>
    </row>
    <row r="186">
      <c r="A186" s="74">
        <v>40801.0</v>
      </c>
      <c r="B186" s="83" t="s">
        <v>240</v>
      </c>
      <c r="C186" s="76">
        <v>38.9816003</v>
      </c>
      <c r="D186" s="76">
        <v>64.2902368</v>
      </c>
    </row>
    <row r="187">
      <c r="A187" s="74">
        <v>40802.0</v>
      </c>
      <c r="B187" s="83" t="s">
        <v>241</v>
      </c>
      <c r="C187" s="76">
        <v>37.1370003</v>
      </c>
      <c r="D187" s="76">
        <v>66.8130489</v>
      </c>
    </row>
    <row r="188">
      <c r="A188" s="74">
        <v>40901.0</v>
      </c>
      <c r="B188" s="83" t="s">
        <v>242</v>
      </c>
      <c r="C188" s="76">
        <v>31.6991786</v>
      </c>
      <c r="D188" s="76">
        <v>74.9588816</v>
      </c>
    </row>
    <row r="189">
      <c r="A189" s="74">
        <v>40902.0</v>
      </c>
      <c r="B189" s="83" t="s">
        <v>243</v>
      </c>
      <c r="C189" s="76">
        <v>71.0194731</v>
      </c>
      <c r="D189" s="76">
        <v>94.0493469</v>
      </c>
    </row>
    <row r="190">
      <c r="A190" s="74">
        <v>40903.0</v>
      </c>
      <c r="B190" s="83" t="s">
        <v>244</v>
      </c>
      <c r="C190" s="76">
        <v>46.966633</v>
      </c>
      <c r="D190" s="76">
        <v>63.457424</v>
      </c>
    </row>
    <row r="191">
      <c r="A191" s="74">
        <v>41001.0</v>
      </c>
      <c r="B191" s="83" t="s">
        <v>246</v>
      </c>
      <c r="C191" s="76">
        <v>20.8846192</v>
      </c>
      <c r="D191" s="76">
        <v>36.6683217</v>
      </c>
    </row>
    <row r="192">
      <c r="A192" s="74">
        <v>41101.0</v>
      </c>
      <c r="B192" s="83" t="s">
        <v>248</v>
      </c>
      <c r="C192" s="76">
        <v>62.1048574</v>
      </c>
      <c r="D192" s="76">
        <v>82.5390846</v>
      </c>
    </row>
    <row r="193">
      <c r="A193" s="74">
        <v>41201.0</v>
      </c>
      <c r="B193" s="83" t="s">
        <v>250</v>
      </c>
      <c r="C193" s="76">
        <v>19.1230442</v>
      </c>
      <c r="D193" s="76">
        <v>37.6590331</v>
      </c>
    </row>
    <row r="194">
      <c r="A194" s="74">
        <v>41202.0</v>
      </c>
      <c r="B194" s="83" t="s">
        <v>251</v>
      </c>
      <c r="C194" s="76">
        <v>12.493728</v>
      </c>
      <c r="D194" s="76">
        <v>52.9528209</v>
      </c>
    </row>
    <row r="195">
      <c r="A195" s="74">
        <v>41301.0</v>
      </c>
      <c r="B195" s="83" t="s">
        <v>196</v>
      </c>
      <c r="C195" s="76">
        <v>10.0820419</v>
      </c>
      <c r="D195" s="76">
        <v>27.589868</v>
      </c>
    </row>
    <row r="196">
      <c r="A196" s="74">
        <v>41401.0</v>
      </c>
      <c r="B196" s="83" t="s">
        <v>254</v>
      </c>
      <c r="C196" s="76">
        <v>44.9700966</v>
      </c>
      <c r="D196" s="76">
        <v>65.316154</v>
      </c>
    </row>
    <row r="197">
      <c r="A197" s="74">
        <v>41501.0</v>
      </c>
      <c r="B197" s="83" t="s">
        <v>256</v>
      </c>
      <c r="C197" s="76">
        <v>23.2741617</v>
      </c>
      <c r="D197" s="76">
        <v>58.9928058</v>
      </c>
    </row>
    <row r="198">
      <c r="A198" s="74">
        <v>41502.0</v>
      </c>
      <c r="B198" s="83" t="s">
        <v>257</v>
      </c>
      <c r="C198" s="76">
        <v>10.2874433</v>
      </c>
      <c r="D198" s="76">
        <v>67.8737233</v>
      </c>
    </row>
    <row r="199">
      <c r="A199" s="74">
        <v>41503.0</v>
      </c>
      <c r="B199" s="83" t="s">
        <v>221</v>
      </c>
      <c r="C199" s="76">
        <v>12.1718377</v>
      </c>
      <c r="D199" s="76">
        <v>50.3127793</v>
      </c>
    </row>
    <row r="200">
      <c r="A200" s="74">
        <v>41601.0</v>
      </c>
      <c r="B200" s="83" t="s">
        <v>259</v>
      </c>
      <c r="C200" s="76">
        <v>15.7914065</v>
      </c>
      <c r="D200" s="76">
        <v>35.8901357</v>
      </c>
    </row>
    <row r="201">
      <c r="A201" s="74">
        <v>50101.0</v>
      </c>
      <c r="B201" s="83" t="s">
        <v>260</v>
      </c>
      <c r="C201" s="76">
        <v>93.9836711</v>
      </c>
      <c r="D201" s="76">
        <v>95.4755444</v>
      </c>
    </row>
    <row r="202">
      <c r="A202" s="74">
        <v>50102.0</v>
      </c>
      <c r="B202" s="83" t="s">
        <v>262</v>
      </c>
      <c r="C202" s="76">
        <v>7.7852498</v>
      </c>
      <c r="D202" s="76">
        <v>14.2470507</v>
      </c>
    </row>
    <row r="203">
      <c r="A203" s="74">
        <v>50103.0</v>
      </c>
      <c r="B203" s="83" t="s">
        <v>263</v>
      </c>
      <c r="C203" s="76">
        <v>46.2793883</v>
      </c>
      <c r="D203" s="76">
        <v>64.2561983</v>
      </c>
    </row>
    <row r="204">
      <c r="A204" s="74">
        <v>50104.0</v>
      </c>
      <c r="B204" s="83" t="s">
        <v>264</v>
      </c>
      <c r="C204" s="76">
        <v>16.7091372</v>
      </c>
      <c r="D204" s="76">
        <v>32.5611326</v>
      </c>
    </row>
    <row r="205">
      <c r="A205" s="74">
        <v>50201.0</v>
      </c>
      <c r="B205" s="83" t="s">
        <v>266</v>
      </c>
      <c r="C205" s="76">
        <v>61.3391029</v>
      </c>
      <c r="D205" s="76">
        <v>71.3142701</v>
      </c>
    </row>
    <row r="206">
      <c r="A206" s="74">
        <v>50202.0</v>
      </c>
      <c r="B206" s="83" t="s">
        <v>267</v>
      </c>
      <c r="C206" s="76">
        <v>43.0003152</v>
      </c>
      <c r="D206" s="76">
        <v>58.3392203</v>
      </c>
    </row>
    <row r="207">
      <c r="A207" s="74">
        <v>50203.0</v>
      </c>
      <c r="B207" s="83" t="s">
        <v>268</v>
      </c>
      <c r="C207" s="76">
        <v>87.3459182</v>
      </c>
      <c r="D207" s="76">
        <v>92.0048232</v>
      </c>
    </row>
    <row r="208">
      <c r="A208" s="74">
        <v>50204.0</v>
      </c>
      <c r="B208" s="83" t="s">
        <v>269</v>
      </c>
      <c r="C208" s="76">
        <v>38.9731917</v>
      </c>
      <c r="D208" s="76">
        <v>58.2599119</v>
      </c>
    </row>
    <row r="209">
      <c r="A209" s="74">
        <v>50301.0</v>
      </c>
      <c r="B209" s="83" t="s">
        <v>271</v>
      </c>
      <c r="C209" s="76">
        <v>37.6724369</v>
      </c>
      <c r="D209" s="76">
        <v>53.5179617</v>
      </c>
    </row>
    <row r="210">
      <c r="A210" s="74">
        <v>50302.0</v>
      </c>
      <c r="B210" s="83" t="s">
        <v>272</v>
      </c>
      <c r="C210" s="76">
        <v>24.6261012</v>
      </c>
      <c r="D210" s="76">
        <v>44.5309929</v>
      </c>
    </row>
    <row r="211">
      <c r="A211" s="74">
        <v>50303.0</v>
      </c>
      <c r="B211" s="83" t="s">
        <v>273</v>
      </c>
      <c r="C211" s="76">
        <v>8.7653157</v>
      </c>
      <c r="D211" s="76">
        <v>13.599776</v>
      </c>
    </row>
    <row r="212">
      <c r="A212" s="74">
        <v>50401.0</v>
      </c>
      <c r="B212" s="83" t="s">
        <v>274</v>
      </c>
      <c r="C212" s="76">
        <v>33.1800613</v>
      </c>
      <c r="D212" s="76">
        <v>40.5276382</v>
      </c>
    </row>
    <row r="213">
      <c r="A213" s="74">
        <v>50402.0</v>
      </c>
      <c r="B213" s="83" t="s">
        <v>275</v>
      </c>
      <c r="C213" s="76">
        <v>10.2566549</v>
      </c>
      <c r="D213" s="76">
        <v>13.4553476</v>
      </c>
    </row>
    <row r="214">
      <c r="A214" s="74">
        <v>50403.0</v>
      </c>
      <c r="B214" s="83" t="s">
        <v>276</v>
      </c>
      <c r="C214" s="76">
        <v>14.2725845</v>
      </c>
      <c r="D214" s="76">
        <v>25.8000802</v>
      </c>
    </row>
    <row r="215">
      <c r="A215" s="74">
        <v>50404.0</v>
      </c>
      <c r="B215" s="83" t="s">
        <v>277</v>
      </c>
      <c r="C215" s="76">
        <v>13.1582239</v>
      </c>
      <c r="D215" s="76">
        <v>16.2096494</v>
      </c>
    </row>
    <row r="216">
      <c r="A216" s="74">
        <v>50405.0</v>
      </c>
      <c r="B216" s="83" t="s">
        <v>278</v>
      </c>
      <c r="C216" s="76">
        <v>15.6866714</v>
      </c>
      <c r="D216" s="76">
        <v>34.0815348</v>
      </c>
    </row>
    <row r="217">
      <c r="A217" s="74">
        <v>50501.0</v>
      </c>
      <c r="B217" s="83" t="s">
        <v>280</v>
      </c>
      <c r="C217" s="76">
        <v>10.9064013</v>
      </c>
      <c r="D217" s="76">
        <v>17.0467422</v>
      </c>
    </row>
    <row r="218">
      <c r="A218" s="74">
        <v>50502.0</v>
      </c>
      <c r="B218" s="83" t="s">
        <v>281</v>
      </c>
      <c r="C218" s="76">
        <v>14.6202117</v>
      </c>
      <c r="D218" s="76">
        <v>28.5064443</v>
      </c>
    </row>
    <row r="219">
      <c r="A219" s="74">
        <v>50601.0</v>
      </c>
      <c r="B219" s="83" t="s">
        <v>283</v>
      </c>
      <c r="C219" s="76">
        <v>33.7359407</v>
      </c>
      <c r="D219" s="76">
        <v>40.8707671</v>
      </c>
    </row>
    <row r="220">
      <c r="A220" s="74">
        <v>50602.0</v>
      </c>
      <c r="B220" s="83" t="s">
        <v>284</v>
      </c>
      <c r="C220" s="76">
        <v>17.2426962</v>
      </c>
      <c r="D220" s="76">
        <v>30.4248333</v>
      </c>
    </row>
    <row r="221">
      <c r="A221" s="74">
        <v>50701.0</v>
      </c>
      <c r="B221" s="83" t="s">
        <v>286</v>
      </c>
      <c r="C221" s="76">
        <v>15.9679089</v>
      </c>
      <c r="D221" s="76">
        <v>30.045053</v>
      </c>
    </row>
    <row r="222">
      <c r="A222" s="74">
        <v>50702.0</v>
      </c>
      <c r="B222" s="83" t="s">
        <v>287</v>
      </c>
      <c r="C222" s="76">
        <v>12.0787493</v>
      </c>
      <c r="D222" s="76">
        <v>18.7797903</v>
      </c>
    </row>
    <row r="223">
      <c r="A223" s="74">
        <v>50801.0</v>
      </c>
      <c r="B223" s="83" t="s">
        <v>289</v>
      </c>
      <c r="C223" s="76">
        <v>73.4991029</v>
      </c>
      <c r="D223" s="76">
        <v>82.8860427</v>
      </c>
    </row>
    <row r="224">
      <c r="A224" s="74">
        <v>50802.0</v>
      </c>
      <c r="B224" s="83" t="s">
        <v>290</v>
      </c>
      <c r="C224" s="76">
        <v>94.5789231</v>
      </c>
      <c r="D224" s="76">
        <v>95.8124132</v>
      </c>
    </row>
    <row r="225">
      <c r="A225" s="74">
        <v>50901.0</v>
      </c>
      <c r="B225" s="83" t="s">
        <v>292</v>
      </c>
      <c r="C225" s="76">
        <v>50.7770148</v>
      </c>
      <c r="D225" s="76">
        <v>82.4500275</v>
      </c>
    </row>
    <row r="226">
      <c r="A226" s="74">
        <v>50902.0</v>
      </c>
      <c r="B226" s="83" t="s">
        <v>293</v>
      </c>
      <c r="C226" s="76">
        <v>40.3015075</v>
      </c>
      <c r="D226" s="76">
        <v>75.6162558</v>
      </c>
    </row>
    <row r="227">
      <c r="A227" s="74">
        <v>51001.0</v>
      </c>
      <c r="B227" s="83" t="s">
        <v>295</v>
      </c>
      <c r="C227" s="76">
        <v>21.1792613</v>
      </c>
      <c r="D227" s="76">
        <v>47.7642981</v>
      </c>
    </row>
    <row r="228">
      <c r="A228" s="74">
        <v>51002.0</v>
      </c>
      <c r="B228" s="83" t="s">
        <v>296</v>
      </c>
      <c r="C228" s="76">
        <v>5.7021277</v>
      </c>
      <c r="D228" s="76">
        <v>31.4583333</v>
      </c>
    </row>
    <row r="229">
      <c r="A229" s="74">
        <v>51003.0</v>
      </c>
      <c r="B229" s="83" t="s">
        <v>297</v>
      </c>
      <c r="C229" s="76">
        <v>26.2214254</v>
      </c>
      <c r="D229" s="76">
        <v>44.7593583</v>
      </c>
    </row>
    <row r="230">
      <c r="A230" s="74">
        <v>51101.0</v>
      </c>
      <c r="B230" s="83" t="s">
        <v>299</v>
      </c>
      <c r="C230" s="76">
        <v>28.6043298</v>
      </c>
      <c r="D230" s="76">
        <v>46.7990351</v>
      </c>
    </row>
    <row r="231">
      <c r="A231" s="74">
        <v>51102.0</v>
      </c>
      <c r="B231" s="83" t="s">
        <v>300</v>
      </c>
      <c r="C231" s="76">
        <v>45.1042379</v>
      </c>
      <c r="D231" s="76">
        <v>66.8209015</v>
      </c>
    </row>
    <row r="232">
      <c r="A232" s="74">
        <v>51103.0</v>
      </c>
      <c r="B232" s="83" t="s">
        <v>301</v>
      </c>
      <c r="C232" s="76">
        <v>12.0768936</v>
      </c>
      <c r="D232" s="76">
        <v>17.8636555</v>
      </c>
    </row>
    <row r="233">
      <c r="A233" s="74">
        <v>51201.0</v>
      </c>
      <c r="B233" s="83" t="s">
        <v>303</v>
      </c>
      <c r="C233" s="76">
        <v>78.6599712</v>
      </c>
      <c r="D233" s="76">
        <v>92.5471754</v>
      </c>
    </row>
    <row r="234">
      <c r="A234" s="74">
        <v>51202.0</v>
      </c>
      <c r="B234" s="83" t="s">
        <v>304</v>
      </c>
      <c r="C234" s="76">
        <v>30.3159104</v>
      </c>
      <c r="D234" s="76">
        <v>56.0381492</v>
      </c>
    </row>
    <row r="235">
      <c r="A235" s="74">
        <v>51203.0</v>
      </c>
      <c r="B235" s="83" t="s">
        <v>305</v>
      </c>
      <c r="C235" s="76">
        <v>79.1353383</v>
      </c>
      <c r="D235" s="76">
        <v>86.0065638</v>
      </c>
    </row>
    <row r="236">
      <c r="A236" s="74">
        <v>51204.0</v>
      </c>
      <c r="B236" s="83" t="s">
        <v>306</v>
      </c>
      <c r="C236" s="76">
        <v>32.5350667</v>
      </c>
      <c r="D236" s="76">
        <v>48.505506</v>
      </c>
    </row>
    <row r="237">
      <c r="A237" s="74">
        <v>51301.0</v>
      </c>
      <c r="B237" s="83" t="s">
        <v>308</v>
      </c>
      <c r="C237" s="76">
        <v>11.468225</v>
      </c>
      <c r="D237" s="76">
        <v>16.7305586</v>
      </c>
    </row>
    <row r="238">
      <c r="A238" s="74">
        <v>51302.0</v>
      </c>
      <c r="B238" s="83" t="s">
        <v>309</v>
      </c>
      <c r="C238" s="76">
        <v>17.9204993</v>
      </c>
      <c r="D238" s="76">
        <v>24.5838084</v>
      </c>
    </row>
    <row r="239">
      <c r="A239" s="74">
        <v>51401.0</v>
      </c>
      <c r="B239" s="83" t="s">
        <v>311</v>
      </c>
      <c r="C239" s="76">
        <v>34.0452261</v>
      </c>
      <c r="D239" s="76">
        <v>75.8919722</v>
      </c>
    </row>
    <row r="240">
      <c r="A240" s="74">
        <v>51402.0</v>
      </c>
      <c r="B240" s="83" t="s">
        <v>312</v>
      </c>
      <c r="C240" s="76">
        <v>48.1370192</v>
      </c>
      <c r="D240" s="76">
        <v>76.1281884</v>
      </c>
    </row>
    <row r="241">
      <c r="A241" s="74">
        <v>51501.0</v>
      </c>
      <c r="B241" s="83" t="s">
        <v>314</v>
      </c>
      <c r="C241" s="76">
        <v>83.6893472</v>
      </c>
      <c r="D241" s="76">
        <v>91.4396563</v>
      </c>
    </row>
    <row r="242">
      <c r="A242" s="74">
        <v>51601.0</v>
      </c>
      <c r="B242" s="83" t="s">
        <v>316</v>
      </c>
      <c r="C242" s="76">
        <v>11.4424833</v>
      </c>
      <c r="D242" s="76">
        <v>65.6003937</v>
      </c>
    </row>
    <row r="243">
      <c r="A243" s="74">
        <v>60101.0</v>
      </c>
      <c r="B243" s="83" t="s">
        <v>317</v>
      </c>
      <c r="C243" s="76">
        <v>91.996834</v>
      </c>
      <c r="D243" s="76">
        <v>95.906526</v>
      </c>
    </row>
    <row r="244">
      <c r="A244" s="74">
        <v>60201.0</v>
      </c>
      <c r="B244" s="83" t="s">
        <v>319</v>
      </c>
      <c r="C244" s="76">
        <v>32.1066549</v>
      </c>
      <c r="D244" s="76">
        <v>55.6676355</v>
      </c>
    </row>
    <row r="245">
      <c r="A245" s="74">
        <v>60202.0</v>
      </c>
      <c r="B245" s="83" t="s">
        <v>320</v>
      </c>
      <c r="C245" s="76">
        <v>91.3431463</v>
      </c>
      <c r="D245" s="76">
        <v>97.1206161</v>
      </c>
    </row>
    <row r="246">
      <c r="A246" s="74">
        <v>60301.0</v>
      </c>
      <c r="B246" s="83" t="s">
        <v>322</v>
      </c>
      <c r="C246" s="76">
        <v>83.5555709</v>
      </c>
      <c r="D246" s="76">
        <v>90.807888</v>
      </c>
    </row>
    <row r="247">
      <c r="A247" s="74">
        <v>60302.0</v>
      </c>
      <c r="B247" s="83" t="s">
        <v>323</v>
      </c>
      <c r="C247" s="76">
        <v>47.5718457</v>
      </c>
      <c r="D247" s="76">
        <v>78.9912629</v>
      </c>
    </row>
    <row r="248">
      <c r="A248" s="74">
        <v>60303.0</v>
      </c>
      <c r="B248" s="83" t="s">
        <v>324</v>
      </c>
      <c r="C248" s="76">
        <v>75.9807997</v>
      </c>
      <c r="D248" s="76">
        <v>80.8757113</v>
      </c>
    </row>
    <row r="249">
      <c r="A249" s="74">
        <v>60401.0</v>
      </c>
      <c r="B249" s="83" t="s">
        <v>326</v>
      </c>
      <c r="C249" s="76">
        <v>47.2746114</v>
      </c>
      <c r="D249" s="76">
        <v>68.9709696</v>
      </c>
    </row>
    <row r="250">
      <c r="A250" s="74">
        <v>60402.0</v>
      </c>
      <c r="B250" s="83" t="s">
        <v>327</v>
      </c>
      <c r="C250" s="76">
        <v>22.3293482</v>
      </c>
      <c r="D250" s="76">
        <v>43.848112</v>
      </c>
    </row>
    <row r="251">
      <c r="A251" s="74">
        <v>60501.0</v>
      </c>
      <c r="B251" s="83" t="s">
        <v>329</v>
      </c>
      <c r="C251" s="76">
        <v>57.6913111</v>
      </c>
      <c r="D251" s="76">
        <v>81.5727427</v>
      </c>
    </row>
    <row r="252">
      <c r="A252" s="74">
        <v>60502.0</v>
      </c>
      <c r="B252" s="83" t="s">
        <v>330</v>
      </c>
      <c r="C252" s="76">
        <v>44.6685083</v>
      </c>
      <c r="D252" s="76">
        <v>68.600937</v>
      </c>
    </row>
    <row r="253">
      <c r="A253" s="74">
        <v>60601.0</v>
      </c>
      <c r="B253" s="83" t="s">
        <v>201</v>
      </c>
      <c r="C253" s="76">
        <v>35.8735225</v>
      </c>
      <c r="D253" s="76">
        <v>49.4486105</v>
      </c>
    </row>
    <row r="254">
      <c r="A254" s="74">
        <v>70101.0</v>
      </c>
      <c r="B254" s="83" t="s">
        <v>334</v>
      </c>
      <c r="C254" s="76">
        <v>98.7384462</v>
      </c>
      <c r="D254" s="76">
        <v>99.380804</v>
      </c>
    </row>
    <row r="255">
      <c r="A255" s="74">
        <v>70102.0</v>
      </c>
      <c r="B255" s="83" t="s">
        <v>335</v>
      </c>
      <c r="C255" s="76">
        <v>86.5024576</v>
      </c>
      <c r="D255" s="76">
        <v>95.9648856</v>
      </c>
    </row>
    <row r="256">
      <c r="A256" s="74">
        <v>70103.0</v>
      </c>
      <c r="B256" s="83" t="s">
        <v>336</v>
      </c>
      <c r="C256" s="76">
        <v>56.3660303</v>
      </c>
      <c r="D256" s="76">
        <v>86.9113634</v>
      </c>
    </row>
    <row r="257">
      <c r="A257" s="74">
        <v>70104.0</v>
      </c>
      <c r="B257" s="83" t="s">
        <v>337</v>
      </c>
      <c r="C257" s="76">
        <v>94.5997698</v>
      </c>
      <c r="D257" s="76">
        <v>98.3849167</v>
      </c>
    </row>
    <row r="258">
      <c r="A258" s="74">
        <v>70105.0</v>
      </c>
      <c r="B258" s="83" t="s">
        <v>338</v>
      </c>
      <c r="C258" s="76">
        <v>73.9125085</v>
      </c>
      <c r="D258" s="76">
        <v>87.7293305</v>
      </c>
    </row>
    <row r="259">
      <c r="A259" s="74">
        <v>70201.0</v>
      </c>
      <c r="B259" s="83" t="s">
        <v>339</v>
      </c>
      <c r="C259" s="76">
        <v>92.2321448</v>
      </c>
      <c r="D259" s="76">
        <v>97.4816504</v>
      </c>
    </row>
    <row r="260">
      <c r="A260" s="74">
        <v>70202.0</v>
      </c>
      <c r="B260" s="83" t="s">
        <v>340</v>
      </c>
      <c r="C260" s="76">
        <v>83.5446184</v>
      </c>
      <c r="D260" s="76">
        <v>94.505814</v>
      </c>
    </row>
    <row r="261">
      <c r="A261" s="74">
        <v>70301.0</v>
      </c>
      <c r="B261" s="83" t="s">
        <v>342</v>
      </c>
      <c r="C261" s="76">
        <v>37.716726</v>
      </c>
      <c r="D261" s="76">
        <v>61.2358254</v>
      </c>
    </row>
    <row r="262">
      <c r="A262" s="74">
        <v>70302.0</v>
      </c>
      <c r="B262" s="83" t="s">
        <v>343</v>
      </c>
      <c r="C262" s="76">
        <v>26.0515482</v>
      </c>
      <c r="D262" s="76">
        <v>46.1706638</v>
      </c>
    </row>
    <row r="263">
      <c r="A263" s="74">
        <v>70303.0</v>
      </c>
      <c r="B263" s="83" t="s">
        <v>344</v>
      </c>
      <c r="C263" s="76">
        <v>38.2447378</v>
      </c>
      <c r="D263" s="76">
        <v>51.214975</v>
      </c>
    </row>
    <row r="264">
      <c r="A264" s="74">
        <v>70401.0</v>
      </c>
      <c r="B264" s="83" t="s">
        <v>346</v>
      </c>
      <c r="C264" s="76">
        <v>57.2457966</v>
      </c>
      <c r="D264" s="76">
        <v>80.2690583</v>
      </c>
    </row>
    <row r="265">
      <c r="A265" s="74">
        <v>70402.0</v>
      </c>
      <c r="B265" s="83" t="s">
        <v>347</v>
      </c>
      <c r="C265" s="76">
        <v>72.2432101</v>
      </c>
      <c r="D265" s="76">
        <v>89.4810433</v>
      </c>
    </row>
    <row r="266">
      <c r="A266" s="74">
        <v>70403.0</v>
      </c>
      <c r="B266" s="83" t="s">
        <v>348</v>
      </c>
      <c r="C266" s="76">
        <v>66.9112387</v>
      </c>
      <c r="D266" s="76">
        <v>81.2577877</v>
      </c>
    </row>
    <row r="267">
      <c r="A267" s="74">
        <v>70404.0</v>
      </c>
      <c r="B267" s="83" t="s">
        <v>349</v>
      </c>
      <c r="C267" s="76">
        <v>76.133976</v>
      </c>
      <c r="D267" s="76">
        <v>88.7875483</v>
      </c>
    </row>
    <row r="268">
      <c r="A268" s="74">
        <v>70501.0</v>
      </c>
      <c r="B268" s="83" t="s">
        <v>351</v>
      </c>
      <c r="C268" s="76">
        <v>78.0389091</v>
      </c>
      <c r="D268" s="76">
        <v>77.6490231</v>
      </c>
    </row>
    <row r="269">
      <c r="A269" s="74">
        <v>70502.0</v>
      </c>
      <c r="B269" s="83" t="s">
        <v>352</v>
      </c>
      <c r="C269" s="76">
        <v>89.2717869</v>
      </c>
      <c r="D269" s="76">
        <v>90.5067754</v>
      </c>
    </row>
    <row r="270">
      <c r="A270" s="74">
        <v>70503.0</v>
      </c>
      <c r="B270" s="83" t="s">
        <v>353</v>
      </c>
      <c r="C270" s="76">
        <v>59.4980853</v>
      </c>
      <c r="D270" s="76">
        <v>80.7229603</v>
      </c>
    </row>
    <row r="271">
      <c r="A271" s="74">
        <v>70601.0</v>
      </c>
      <c r="B271" s="83" t="s">
        <v>355</v>
      </c>
      <c r="C271" s="76">
        <v>82.7058146</v>
      </c>
      <c r="D271" s="76">
        <v>93.9413297</v>
      </c>
    </row>
    <row r="272">
      <c r="A272" s="74">
        <v>70602.0</v>
      </c>
      <c r="B272" s="83" t="s">
        <v>356</v>
      </c>
      <c r="C272" s="76">
        <v>40.0508313</v>
      </c>
      <c r="D272" s="76">
        <v>74.9672719</v>
      </c>
    </row>
    <row r="273">
      <c r="A273" s="74">
        <v>70603.0</v>
      </c>
      <c r="B273" s="83" t="s">
        <v>357</v>
      </c>
      <c r="C273" s="76">
        <v>84.5507976</v>
      </c>
      <c r="D273" s="76">
        <v>92.9427655</v>
      </c>
    </row>
    <row r="274">
      <c r="A274" s="74">
        <v>70701.0</v>
      </c>
      <c r="B274" s="83" t="s">
        <v>359</v>
      </c>
      <c r="C274" s="76">
        <v>23.8885596</v>
      </c>
      <c r="D274" s="76">
        <v>41.9692737</v>
      </c>
    </row>
    <row r="275">
      <c r="A275" s="74">
        <v>70702.0</v>
      </c>
      <c r="B275" s="83" t="s">
        <v>360</v>
      </c>
      <c r="C275" s="76">
        <v>42.7998577</v>
      </c>
      <c r="D275" s="76">
        <v>50.5238032</v>
      </c>
    </row>
    <row r="276">
      <c r="A276" s="74">
        <v>70703.0</v>
      </c>
      <c r="B276" s="83" t="s">
        <v>361</v>
      </c>
      <c r="C276" s="76">
        <v>66.3202664</v>
      </c>
      <c r="D276" s="76">
        <v>82.4510768</v>
      </c>
    </row>
    <row r="277">
      <c r="A277" s="74">
        <v>70704.0</v>
      </c>
      <c r="B277" s="83" t="s">
        <v>362</v>
      </c>
      <c r="C277" s="76">
        <v>44.2368255</v>
      </c>
      <c r="D277" s="76">
        <v>57.4408343</v>
      </c>
    </row>
    <row r="278">
      <c r="A278" s="74">
        <v>70705.0</v>
      </c>
      <c r="B278" s="83" t="s">
        <v>363</v>
      </c>
      <c r="C278" s="76">
        <v>13.8288896</v>
      </c>
      <c r="D278" s="76">
        <v>30.1828192</v>
      </c>
    </row>
    <row r="279">
      <c r="A279" s="74">
        <v>70706.0</v>
      </c>
      <c r="B279" s="83" t="s">
        <v>364</v>
      </c>
      <c r="C279" s="76">
        <v>88.3092587</v>
      </c>
      <c r="D279" s="76">
        <v>89.0610524</v>
      </c>
    </row>
    <row r="280">
      <c r="A280" s="74">
        <v>70707.0</v>
      </c>
      <c r="B280" s="83" t="s">
        <v>365</v>
      </c>
      <c r="C280" s="76">
        <v>48.8843398</v>
      </c>
      <c r="D280" s="76">
        <v>79.1992374</v>
      </c>
    </row>
    <row r="281">
      <c r="A281" s="74">
        <v>70801.0</v>
      </c>
      <c r="B281" s="83" t="s">
        <v>367</v>
      </c>
      <c r="C281" s="76">
        <v>64.9069252</v>
      </c>
      <c r="D281" s="76">
        <v>75.8249641</v>
      </c>
    </row>
    <row r="282">
      <c r="A282" s="74">
        <v>70802.0</v>
      </c>
      <c r="B282" s="83" t="s">
        <v>368</v>
      </c>
      <c r="C282" s="76">
        <v>47.7019836</v>
      </c>
      <c r="D282" s="76">
        <v>79.2765957</v>
      </c>
    </row>
    <row r="283">
      <c r="A283" s="74">
        <v>70803.0</v>
      </c>
      <c r="B283" s="83" t="s">
        <v>369</v>
      </c>
      <c r="C283" s="76">
        <v>36.1454545</v>
      </c>
      <c r="D283" s="76">
        <v>61.0342316</v>
      </c>
    </row>
    <row r="284">
      <c r="A284" s="74">
        <v>70804.0</v>
      </c>
      <c r="B284" s="83" t="s">
        <v>370</v>
      </c>
      <c r="C284" s="76">
        <v>40.6539991</v>
      </c>
      <c r="D284" s="76">
        <v>58.3522727</v>
      </c>
    </row>
    <row r="285">
      <c r="A285" s="74">
        <v>70805.0</v>
      </c>
      <c r="B285" s="83" t="s">
        <v>371</v>
      </c>
      <c r="C285" s="76">
        <v>31.5917969</v>
      </c>
      <c r="D285" s="76">
        <v>45.9850374</v>
      </c>
    </row>
    <row r="286">
      <c r="A286" s="74">
        <v>70901.0</v>
      </c>
      <c r="B286" s="83" t="s">
        <v>373</v>
      </c>
      <c r="C286" s="76">
        <v>69.7138938</v>
      </c>
      <c r="D286" s="76">
        <v>83.3362599</v>
      </c>
    </row>
    <row r="287">
      <c r="A287" s="74">
        <v>70902.0</v>
      </c>
      <c r="B287" s="83" t="s">
        <v>374</v>
      </c>
      <c r="C287" s="76">
        <v>73.8652758</v>
      </c>
      <c r="D287" s="76">
        <v>84.7333053</v>
      </c>
    </row>
    <row r="288">
      <c r="A288" s="74">
        <v>70903.0</v>
      </c>
      <c r="B288" s="83" t="s">
        <v>375</v>
      </c>
      <c r="C288" s="76">
        <v>87.1704568</v>
      </c>
      <c r="D288" s="76">
        <v>86.7140689</v>
      </c>
    </row>
    <row r="289">
      <c r="A289" s="74">
        <v>70904.0</v>
      </c>
      <c r="B289" s="83" t="s">
        <v>376</v>
      </c>
      <c r="C289" s="76">
        <v>59.6206897</v>
      </c>
      <c r="D289" s="76">
        <v>73.0351858</v>
      </c>
    </row>
    <row r="290">
      <c r="A290" s="74">
        <v>71001.0</v>
      </c>
      <c r="B290" s="83" t="s">
        <v>378</v>
      </c>
      <c r="C290" s="76">
        <v>96.1872714</v>
      </c>
      <c r="D290" s="76">
        <v>98.8311208</v>
      </c>
    </row>
    <row r="291">
      <c r="A291" s="74">
        <v>71002.0</v>
      </c>
      <c r="B291" s="83" t="s">
        <v>379</v>
      </c>
      <c r="C291" s="76">
        <v>71.6855719</v>
      </c>
      <c r="D291" s="76">
        <v>88.8807384</v>
      </c>
    </row>
    <row r="292">
      <c r="A292" s="74">
        <v>71003.0</v>
      </c>
      <c r="B292" s="83" t="s">
        <v>380</v>
      </c>
      <c r="C292" s="76">
        <v>84.3387267</v>
      </c>
      <c r="D292" s="76">
        <v>94.4612817</v>
      </c>
    </row>
    <row r="293">
      <c r="A293" s="74">
        <v>71004.0</v>
      </c>
      <c r="B293" s="83" t="s">
        <v>381</v>
      </c>
      <c r="C293" s="76">
        <v>82.9599358</v>
      </c>
      <c r="D293" s="76">
        <v>95.4336452</v>
      </c>
    </row>
    <row r="294">
      <c r="A294" s="74">
        <v>71005.0</v>
      </c>
      <c r="B294" s="83" t="s">
        <v>280</v>
      </c>
      <c r="C294" s="76">
        <v>84.8791598</v>
      </c>
      <c r="D294" s="76">
        <v>96.1614472</v>
      </c>
    </row>
    <row r="295">
      <c r="A295" s="74">
        <v>71101.0</v>
      </c>
      <c r="B295" s="83" t="s">
        <v>383</v>
      </c>
      <c r="C295" s="76">
        <v>38.2303202</v>
      </c>
      <c r="D295" s="76">
        <v>53.0484894</v>
      </c>
    </row>
    <row r="296">
      <c r="A296" s="74">
        <v>71102.0</v>
      </c>
      <c r="B296" s="83" t="s">
        <v>384</v>
      </c>
      <c r="C296" s="76">
        <v>53.9122569</v>
      </c>
      <c r="D296" s="76">
        <v>74.4667371</v>
      </c>
    </row>
    <row r="297">
      <c r="A297" s="74">
        <v>71103.0</v>
      </c>
      <c r="B297" s="83" t="s">
        <v>387</v>
      </c>
      <c r="C297" s="76">
        <v>76.6516626</v>
      </c>
      <c r="D297" s="76">
        <v>85.838046</v>
      </c>
    </row>
    <row r="298">
      <c r="A298" s="74">
        <v>71104.0</v>
      </c>
      <c r="B298" s="83" t="s">
        <v>385</v>
      </c>
      <c r="C298" s="76">
        <v>60.2257622</v>
      </c>
      <c r="D298" s="76">
        <v>88.2095862</v>
      </c>
    </row>
    <row r="299">
      <c r="A299" s="74">
        <v>71105.0</v>
      </c>
      <c r="B299" s="83" t="s">
        <v>386</v>
      </c>
      <c r="C299" s="76">
        <v>14.6447409</v>
      </c>
      <c r="D299" s="76">
        <v>26.7677574</v>
      </c>
    </row>
    <row r="300">
      <c r="A300" s="74">
        <v>71106.0</v>
      </c>
      <c r="B300" s="83" t="s">
        <v>388</v>
      </c>
      <c r="C300" s="76">
        <v>86.0640301</v>
      </c>
      <c r="D300" s="76">
        <v>95.8559468</v>
      </c>
    </row>
    <row r="301">
      <c r="A301" s="74">
        <v>71201.0</v>
      </c>
      <c r="B301" s="83" t="s">
        <v>390</v>
      </c>
      <c r="C301" s="76">
        <v>48.65</v>
      </c>
      <c r="D301" s="76">
        <v>69.8214044</v>
      </c>
    </row>
    <row r="302">
      <c r="A302" s="74">
        <v>71301.0</v>
      </c>
      <c r="B302" s="83" t="s">
        <v>392</v>
      </c>
      <c r="C302" s="76">
        <v>64.7784668</v>
      </c>
      <c r="D302" s="76">
        <v>82.8817077</v>
      </c>
    </row>
    <row r="303">
      <c r="A303" s="74">
        <v>71302.0</v>
      </c>
      <c r="B303" s="83" t="s">
        <v>393</v>
      </c>
      <c r="C303" s="76">
        <v>77.1252154</v>
      </c>
      <c r="D303" s="76">
        <v>89.0415606</v>
      </c>
    </row>
    <row r="304">
      <c r="A304" s="74">
        <v>71401.0</v>
      </c>
      <c r="B304" s="83" t="s">
        <v>395</v>
      </c>
      <c r="C304" s="76">
        <v>78.9838842</v>
      </c>
      <c r="D304" s="76">
        <v>91.016182</v>
      </c>
    </row>
    <row r="305">
      <c r="A305" s="74">
        <v>71402.0</v>
      </c>
      <c r="B305" s="83" t="s">
        <v>396</v>
      </c>
      <c r="C305" s="76">
        <v>91.4204801</v>
      </c>
      <c r="D305" s="76">
        <v>96.8401816</v>
      </c>
    </row>
    <row r="306">
      <c r="A306" s="74">
        <v>71403.0</v>
      </c>
      <c r="B306" s="83" t="s">
        <v>397</v>
      </c>
      <c r="C306" s="76">
        <v>20.0528576</v>
      </c>
      <c r="D306" s="76">
        <v>62.0245689</v>
      </c>
    </row>
    <row r="307">
      <c r="A307" s="74">
        <v>71501.0</v>
      </c>
      <c r="B307" s="83" t="s">
        <v>399</v>
      </c>
      <c r="C307" s="76">
        <v>61.9423989</v>
      </c>
      <c r="D307" s="76">
        <v>70.8854322</v>
      </c>
    </row>
    <row r="308">
      <c r="A308" s="74">
        <v>71502.0</v>
      </c>
      <c r="B308" s="83" t="s">
        <v>400</v>
      </c>
      <c r="C308" s="76">
        <v>35.3435565</v>
      </c>
      <c r="D308" s="76">
        <v>51.1383263</v>
      </c>
    </row>
    <row r="309">
      <c r="A309" s="74">
        <v>71503.0</v>
      </c>
      <c r="B309" s="83" t="s">
        <v>330</v>
      </c>
      <c r="C309" s="76">
        <v>38.0973035</v>
      </c>
      <c r="D309" s="76">
        <v>59.5316327</v>
      </c>
    </row>
    <row r="310">
      <c r="A310" s="74">
        <v>80101.0</v>
      </c>
      <c r="B310" s="83" t="s">
        <v>402</v>
      </c>
      <c r="C310" s="76">
        <v>93.926489</v>
      </c>
      <c r="D310" s="76">
        <v>97.3951721</v>
      </c>
    </row>
    <row r="311">
      <c r="A311" s="74">
        <v>80102.0</v>
      </c>
      <c r="B311" s="83" t="s">
        <v>384</v>
      </c>
      <c r="C311" s="76">
        <v>27.9123414</v>
      </c>
      <c r="D311" s="76">
        <v>46.8527853</v>
      </c>
    </row>
    <row r="312">
      <c r="A312" s="74">
        <v>80201.0</v>
      </c>
      <c r="B312" s="83" t="s">
        <v>404</v>
      </c>
      <c r="C312" s="76">
        <v>69.2358603</v>
      </c>
      <c r="D312" s="76">
        <v>84.8365023</v>
      </c>
    </row>
    <row r="313">
      <c r="A313" s="74">
        <v>80202.0</v>
      </c>
      <c r="B313" s="83" t="s">
        <v>405</v>
      </c>
      <c r="C313" s="76">
        <v>79.5432825</v>
      </c>
      <c r="D313" s="76">
        <v>86.7067284</v>
      </c>
    </row>
    <row r="314">
      <c r="A314" s="74">
        <v>80301.0</v>
      </c>
      <c r="B314" s="83" t="s">
        <v>407</v>
      </c>
      <c r="C314" s="76">
        <v>38.1167667</v>
      </c>
      <c r="D314" s="76">
        <v>56.7182884</v>
      </c>
    </row>
    <row r="315">
      <c r="A315" s="74">
        <v>80302.0</v>
      </c>
      <c r="B315" s="83" t="s">
        <v>408</v>
      </c>
      <c r="C315" s="76">
        <v>45.8188241</v>
      </c>
      <c r="D315" s="76">
        <v>50.3303597</v>
      </c>
    </row>
    <row r="316">
      <c r="A316" s="74">
        <v>80303.0</v>
      </c>
      <c r="B316" s="83" t="s">
        <v>356</v>
      </c>
      <c r="C316" s="76">
        <v>42.9456522</v>
      </c>
      <c r="D316" s="76">
        <v>65.8532076</v>
      </c>
    </row>
    <row r="317">
      <c r="A317" s="74">
        <v>80304.0</v>
      </c>
      <c r="B317" s="83" t="s">
        <v>409</v>
      </c>
      <c r="C317" s="76">
        <v>64.0881518</v>
      </c>
      <c r="D317" s="76">
        <v>73.111364</v>
      </c>
    </row>
    <row r="318">
      <c r="A318" s="74">
        <v>80401.0</v>
      </c>
      <c r="B318" s="83" t="s">
        <v>411</v>
      </c>
      <c r="C318" s="76">
        <v>62.1626561</v>
      </c>
      <c r="D318" s="76">
        <v>73.0450003</v>
      </c>
    </row>
    <row r="319">
      <c r="A319" s="74">
        <v>80402.0</v>
      </c>
      <c r="B319" s="83" t="s">
        <v>412</v>
      </c>
      <c r="C319" s="76">
        <v>9.3629828</v>
      </c>
      <c r="D319" s="76">
        <v>29.5401705</v>
      </c>
    </row>
    <row r="320">
      <c r="A320" s="74">
        <v>80501.0</v>
      </c>
      <c r="B320" s="83" t="s">
        <v>342</v>
      </c>
      <c r="C320" s="76">
        <v>38.3064733</v>
      </c>
      <c r="D320" s="76">
        <v>55.1059362</v>
      </c>
    </row>
    <row r="321">
      <c r="A321" s="74">
        <v>80601.0</v>
      </c>
      <c r="B321" s="83" t="s">
        <v>415</v>
      </c>
      <c r="C321" s="76">
        <v>14.2201835</v>
      </c>
      <c r="D321" s="76">
        <v>36.376571</v>
      </c>
    </row>
    <row r="322">
      <c r="A322" s="74">
        <v>80602.0</v>
      </c>
      <c r="B322" s="83" t="s">
        <v>416</v>
      </c>
      <c r="C322" s="76">
        <v>28.8441868</v>
      </c>
      <c r="D322" s="76">
        <v>47.6655005</v>
      </c>
    </row>
    <row r="323">
      <c r="A323" s="74">
        <v>80701.0</v>
      </c>
      <c r="B323" s="83" t="s">
        <v>418</v>
      </c>
      <c r="C323" s="76">
        <v>45.96302</v>
      </c>
      <c r="D323" s="76">
        <v>75.8748589</v>
      </c>
    </row>
    <row r="324">
      <c r="A324" s="74">
        <v>80702.0</v>
      </c>
      <c r="B324" s="83" t="s">
        <v>387</v>
      </c>
      <c r="C324" s="76">
        <v>41.8792517</v>
      </c>
      <c r="D324" s="76">
        <v>65.5709992</v>
      </c>
    </row>
    <row r="325">
      <c r="A325" s="74">
        <v>80703.0</v>
      </c>
      <c r="B325" s="83" t="s">
        <v>419</v>
      </c>
      <c r="C325" s="76">
        <v>15.7451923</v>
      </c>
      <c r="D325" s="76">
        <v>66.603235</v>
      </c>
    </row>
    <row r="326">
      <c r="A326" s="74">
        <v>80801.0</v>
      </c>
      <c r="B326" s="83" t="s">
        <v>421</v>
      </c>
      <c r="C326" s="76">
        <v>43.5488283</v>
      </c>
      <c r="D326" s="76">
        <v>65.5274769</v>
      </c>
    </row>
    <row r="327">
      <c r="A327" s="74">
        <v>80802.0</v>
      </c>
      <c r="B327" s="83" t="s">
        <v>422</v>
      </c>
      <c r="C327" s="76">
        <v>36.109579</v>
      </c>
      <c r="D327" s="76">
        <v>51.2987013</v>
      </c>
    </row>
    <row r="328">
      <c r="A328" s="74">
        <v>80803.0</v>
      </c>
      <c r="B328" s="83" t="s">
        <v>423</v>
      </c>
      <c r="C328" s="76">
        <v>26.7637459</v>
      </c>
      <c r="D328" s="76">
        <v>58.2073197</v>
      </c>
    </row>
    <row r="329">
      <c r="A329" s="74">
        <v>80901.0</v>
      </c>
      <c r="B329" s="83" t="s">
        <v>425</v>
      </c>
      <c r="C329" s="76">
        <v>1.7296605</v>
      </c>
      <c r="D329" s="76">
        <v>9.0886012</v>
      </c>
    </row>
    <row r="330">
      <c r="A330" s="74">
        <v>90101.0</v>
      </c>
      <c r="B330" s="83" t="s">
        <v>428</v>
      </c>
      <c r="C330" s="76">
        <v>94.3648001</v>
      </c>
      <c r="D330" s="76">
        <v>98.3784733</v>
      </c>
    </row>
    <row r="331">
      <c r="A331" s="74">
        <v>90102.0</v>
      </c>
      <c r="B331" s="83" t="s">
        <v>429</v>
      </c>
      <c r="C331" s="76">
        <v>69.3820598</v>
      </c>
      <c r="D331" s="76">
        <v>90.6868193</v>
      </c>
    </row>
    <row r="332">
      <c r="A332" s="74">
        <v>90103.0</v>
      </c>
      <c r="B332" s="83" t="s">
        <v>430</v>
      </c>
      <c r="C332" s="76">
        <v>22.4817518</v>
      </c>
      <c r="D332" s="76">
        <v>59.595525</v>
      </c>
    </row>
    <row r="333">
      <c r="A333" s="74">
        <v>90104.0</v>
      </c>
      <c r="B333" s="83" t="s">
        <v>431</v>
      </c>
      <c r="C333" s="76">
        <v>44.6210616</v>
      </c>
      <c r="D333" s="76">
        <v>74.191652</v>
      </c>
    </row>
    <row r="334">
      <c r="A334" s="74">
        <v>90201.0</v>
      </c>
      <c r="B334" s="83" t="s">
        <v>433</v>
      </c>
      <c r="C334" s="76">
        <v>48.3345272</v>
      </c>
      <c r="D334" s="76">
        <v>78.2007938</v>
      </c>
    </row>
    <row r="335">
      <c r="A335" s="74">
        <v>90202.0</v>
      </c>
      <c r="B335" s="83" t="s">
        <v>280</v>
      </c>
      <c r="C335" s="76">
        <v>4.0685945</v>
      </c>
      <c r="D335" s="76">
        <v>11.0015408</v>
      </c>
    </row>
    <row r="336">
      <c r="A336" s="74">
        <v>90203.0</v>
      </c>
      <c r="B336" s="83" t="s">
        <v>434</v>
      </c>
      <c r="C336" s="76">
        <v>21.4857975</v>
      </c>
      <c r="D336" s="76">
        <v>78.5408266</v>
      </c>
    </row>
    <row r="337">
      <c r="A337" s="74">
        <v>90301.0</v>
      </c>
      <c r="B337" s="83" t="s">
        <v>436</v>
      </c>
      <c r="C337" s="76">
        <v>14.3826503</v>
      </c>
      <c r="D337" s="76">
        <v>49.2933619</v>
      </c>
    </row>
    <row r="338">
      <c r="A338" s="74">
        <v>90302.0</v>
      </c>
      <c r="B338" s="83" t="s">
        <v>329</v>
      </c>
      <c r="C338" s="76">
        <v>13.3854908</v>
      </c>
      <c r="D338" s="76">
        <v>56.0960202</v>
      </c>
    </row>
    <row r="339">
      <c r="A339" s="74">
        <v>90303.0</v>
      </c>
      <c r="B339" s="83" t="s">
        <v>437</v>
      </c>
      <c r="C339" s="76">
        <v>15.845983</v>
      </c>
      <c r="D339" s="76">
        <v>55.8386621</v>
      </c>
    </row>
    <row r="340">
      <c r="A340" s="74">
        <v>90401.0</v>
      </c>
      <c r="B340" s="83" t="s">
        <v>356</v>
      </c>
      <c r="C340" s="76">
        <v>23.9852399</v>
      </c>
      <c r="D340" s="76">
        <v>74.1489362</v>
      </c>
    </row>
    <row r="341">
      <c r="A341" s="74">
        <v>90402.0</v>
      </c>
      <c r="B341" s="83" t="s">
        <v>99</v>
      </c>
      <c r="C341" s="76">
        <v>10.1003764</v>
      </c>
      <c r="D341" s="76">
        <v>48.678501</v>
      </c>
    </row>
    <row r="342">
      <c r="A342" s="74">
        <v>90501.0</v>
      </c>
      <c r="B342" s="83" t="s">
        <v>440</v>
      </c>
      <c r="C342" s="76">
        <v>20.2939514</v>
      </c>
      <c r="D342" s="76">
        <v>59.3252705</v>
      </c>
    </row>
    <row r="343">
      <c r="A343" s="74">
        <v>90502.0</v>
      </c>
      <c r="B343" s="83" t="s">
        <v>441</v>
      </c>
      <c r="C343" s="76">
        <v>15.4123154</v>
      </c>
      <c r="D343" s="76">
        <v>43.2377876</v>
      </c>
    </row>
    <row r="344">
      <c r="A344" s="74">
        <v>90503.0</v>
      </c>
      <c r="B344" s="83" t="s">
        <v>442</v>
      </c>
      <c r="C344" s="76">
        <v>5.2658487</v>
      </c>
      <c r="D344" s="76">
        <v>42.5991189</v>
      </c>
    </row>
    <row r="345">
      <c r="A345" s="85"/>
      <c r="B345" s="85"/>
      <c r="C345" s="85"/>
      <c r="D345" s="85"/>
    </row>
    <row r="346">
      <c r="A346" s="85"/>
      <c r="B346" s="85"/>
      <c r="C346" s="85"/>
      <c r="D346" s="85"/>
    </row>
    <row r="347">
      <c r="A347" s="85"/>
      <c r="B347" s="85"/>
      <c r="C347" s="85"/>
      <c r="D347" s="85"/>
    </row>
    <row r="348">
      <c r="A348" s="85"/>
      <c r="B348" s="85"/>
      <c r="C348" s="85"/>
      <c r="D348" s="85"/>
    </row>
    <row r="349">
      <c r="A349" s="85"/>
      <c r="B349" s="85"/>
      <c r="C349" s="85"/>
      <c r="D349" s="85"/>
    </row>
    <row r="350">
      <c r="A350" s="85"/>
      <c r="B350" s="85"/>
      <c r="C350" s="85"/>
      <c r="D350" s="85"/>
    </row>
    <row r="351">
      <c r="A351" s="85"/>
      <c r="B351" s="85"/>
      <c r="C351" s="85"/>
      <c r="D351" s="85"/>
    </row>
    <row r="352">
      <c r="A352" s="85"/>
      <c r="B352" s="85"/>
      <c r="C352" s="85"/>
      <c r="D352" s="85"/>
    </row>
    <row r="353">
      <c r="A353" s="85"/>
      <c r="B353" s="85"/>
      <c r="C353" s="85"/>
      <c r="D353" s="85"/>
    </row>
    <row r="354">
      <c r="A354" s="85"/>
      <c r="B354" s="85"/>
      <c r="C354" s="85"/>
      <c r="D354" s="85"/>
    </row>
    <row r="355">
      <c r="A355" s="85"/>
      <c r="B355" s="85"/>
      <c r="C355" s="85"/>
      <c r="D355" s="85"/>
    </row>
    <row r="356">
      <c r="A356" s="85"/>
      <c r="B356" s="85"/>
      <c r="C356" s="85"/>
      <c r="D356" s="85"/>
    </row>
    <row r="357">
      <c r="A357" s="85"/>
      <c r="B357" s="85"/>
      <c r="C357" s="85"/>
      <c r="D357" s="85"/>
    </row>
    <row r="358">
      <c r="A358" s="85"/>
      <c r="B358" s="85"/>
      <c r="C358" s="85"/>
      <c r="D358" s="85"/>
    </row>
    <row r="359">
      <c r="A359" s="85"/>
      <c r="B359" s="85"/>
      <c r="C359" s="85"/>
      <c r="D359" s="85"/>
    </row>
    <row r="360">
      <c r="A360" s="85"/>
      <c r="B360" s="85"/>
      <c r="C360" s="85"/>
      <c r="D360" s="85"/>
    </row>
    <row r="361">
      <c r="A361" s="85"/>
      <c r="B361" s="85"/>
      <c r="C361" s="85"/>
      <c r="D361" s="85"/>
    </row>
    <row r="362">
      <c r="A362" s="85"/>
      <c r="B362" s="85"/>
      <c r="C362" s="85"/>
      <c r="D362" s="85"/>
    </row>
    <row r="363">
      <c r="A363" s="85"/>
      <c r="B363" s="85"/>
      <c r="C363" s="85"/>
      <c r="D363" s="85"/>
    </row>
    <row r="364">
      <c r="A364" s="85"/>
      <c r="B364" s="85"/>
      <c r="C364" s="85"/>
      <c r="D364" s="85"/>
    </row>
    <row r="365">
      <c r="A365" s="85"/>
      <c r="B365" s="85"/>
      <c r="C365" s="85"/>
      <c r="D365" s="85"/>
    </row>
    <row r="366">
      <c r="A366" s="85"/>
      <c r="B366" s="85"/>
      <c r="C366" s="85"/>
      <c r="D366" s="85"/>
    </row>
    <row r="367">
      <c r="A367" s="85"/>
      <c r="B367" s="85"/>
      <c r="C367" s="85"/>
      <c r="D367" s="85"/>
    </row>
    <row r="368">
      <c r="A368" s="85"/>
      <c r="B368" s="85"/>
      <c r="C368" s="85"/>
      <c r="D368" s="85"/>
    </row>
    <row r="369">
      <c r="A369" s="85"/>
      <c r="B369" s="85"/>
      <c r="C369" s="85"/>
      <c r="D369" s="85"/>
    </row>
    <row r="370">
      <c r="A370" s="85"/>
      <c r="B370" s="85"/>
      <c r="C370" s="85"/>
      <c r="D370" s="85"/>
    </row>
    <row r="371">
      <c r="A371" s="85"/>
      <c r="B371" s="85"/>
      <c r="C371" s="85"/>
      <c r="D371" s="85"/>
    </row>
    <row r="372">
      <c r="A372" s="85"/>
      <c r="B372" s="85"/>
      <c r="C372" s="85"/>
      <c r="D372" s="85"/>
    </row>
    <row r="373">
      <c r="A373" s="85"/>
      <c r="B373" s="85"/>
      <c r="C373" s="85"/>
      <c r="D373" s="85"/>
    </row>
    <row r="374">
      <c r="A374" s="85"/>
      <c r="B374" s="85"/>
      <c r="C374" s="85"/>
      <c r="D374" s="85"/>
    </row>
    <row r="375">
      <c r="A375" s="85"/>
      <c r="B375" s="85"/>
      <c r="C375" s="85"/>
      <c r="D375" s="85"/>
    </row>
    <row r="376">
      <c r="A376" s="85"/>
      <c r="B376" s="85"/>
      <c r="C376" s="85"/>
      <c r="D376" s="85"/>
    </row>
    <row r="377">
      <c r="A377" s="85"/>
      <c r="B377" s="85"/>
      <c r="C377" s="85"/>
      <c r="D377" s="85"/>
    </row>
    <row r="378">
      <c r="A378" s="85"/>
      <c r="B378" s="85"/>
      <c r="C378" s="85"/>
      <c r="D378" s="85"/>
    </row>
    <row r="379">
      <c r="A379" s="85"/>
      <c r="B379" s="85"/>
      <c r="C379" s="85"/>
      <c r="D379" s="85"/>
    </row>
    <row r="380">
      <c r="A380" s="85"/>
      <c r="B380" s="85"/>
      <c r="C380" s="85"/>
      <c r="D380" s="85"/>
    </row>
    <row r="381">
      <c r="A381" s="85"/>
      <c r="B381" s="85"/>
      <c r="C381" s="85"/>
      <c r="D381" s="85"/>
    </row>
    <row r="382">
      <c r="A382" s="85"/>
      <c r="B382" s="85"/>
      <c r="C382" s="85"/>
      <c r="D382" s="85"/>
    </row>
    <row r="383">
      <c r="A383" s="85"/>
      <c r="B383" s="85"/>
      <c r="C383" s="85"/>
      <c r="D383" s="85"/>
    </row>
    <row r="384">
      <c r="A384" s="85"/>
      <c r="B384" s="85"/>
      <c r="C384" s="85"/>
      <c r="D384" s="85"/>
    </row>
    <row r="385">
      <c r="A385" s="85"/>
      <c r="B385" s="85"/>
      <c r="C385" s="85"/>
      <c r="D385" s="85"/>
    </row>
    <row r="386">
      <c r="A386" s="85"/>
      <c r="B386" s="85"/>
      <c r="C386" s="85"/>
      <c r="D386" s="85"/>
    </row>
    <row r="387">
      <c r="A387" s="85"/>
      <c r="B387" s="85"/>
      <c r="C387" s="85"/>
      <c r="D387" s="85"/>
    </row>
    <row r="388">
      <c r="A388" s="85"/>
      <c r="B388" s="85"/>
      <c r="C388" s="85"/>
      <c r="D388" s="85"/>
    </row>
    <row r="389">
      <c r="A389" s="85"/>
      <c r="B389" s="85"/>
      <c r="C389" s="85"/>
      <c r="D389" s="85"/>
    </row>
    <row r="390">
      <c r="A390" s="85"/>
      <c r="B390" s="85"/>
      <c r="C390" s="85"/>
      <c r="D390" s="85"/>
    </row>
    <row r="391">
      <c r="A391" s="85"/>
      <c r="B391" s="85"/>
      <c r="C391" s="85"/>
      <c r="D391" s="85"/>
    </row>
    <row r="392">
      <c r="A392" s="85"/>
      <c r="B392" s="85"/>
      <c r="C392" s="85"/>
      <c r="D392" s="85"/>
    </row>
    <row r="393">
      <c r="A393" s="85"/>
      <c r="B393" s="85"/>
      <c r="C393" s="85"/>
      <c r="D393" s="85"/>
    </row>
    <row r="394">
      <c r="A394" s="85"/>
      <c r="B394" s="85"/>
      <c r="C394" s="85"/>
      <c r="D394" s="85"/>
    </row>
    <row r="395">
      <c r="A395" s="85"/>
      <c r="B395" s="85"/>
      <c r="C395" s="85"/>
      <c r="D395" s="85"/>
    </row>
    <row r="396">
      <c r="A396" s="85"/>
      <c r="B396" s="85"/>
      <c r="C396" s="85"/>
      <c r="D396" s="85"/>
    </row>
    <row r="397">
      <c r="A397" s="85"/>
      <c r="B397" s="85"/>
      <c r="C397" s="85"/>
      <c r="D397" s="85"/>
    </row>
    <row r="398">
      <c r="A398" s="85"/>
      <c r="B398" s="85"/>
      <c r="C398" s="85"/>
      <c r="D398" s="85"/>
    </row>
    <row r="399">
      <c r="A399" s="85"/>
      <c r="B399" s="85"/>
      <c r="C399" s="85"/>
      <c r="D399" s="85"/>
    </row>
    <row r="400">
      <c r="A400" s="85"/>
      <c r="B400" s="85"/>
      <c r="C400" s="85"/>
      <c r="D400" s="85"/>
    </row>
    <row r="401">
      <c r="A401" s="85"/>
      <c r="B401" s="85"/>
      <c r="C401" s="85"/>
      <c r="D401" s="85"/>
    </row>
    <row r="402">
      <c r="A402" s="85"/>
      <c r="B402" s="85"/>
      <c r="C402" s="85"/>
      <c r="D402" s="85"/>
    </row>
    <row r="403">
      <c r="A403" s="85"/>
      <c r="B403" s="85"/>
      <c r="C403" s="85"/>
      <c r="D403" s="85"/>
    </row>
    <row r="404">
      <c r="A404" s="85"/>
      <c r="B404" s="85"/>
      <c r="C404" s="85"/>
      <c r="D404" s="85"/>
    </row>
    <row r="405">
      <c r="A405" s="85"/>
      <c r="B405" s="85"/>
      <c r="C405" s="85"/>
      <c r="D405" s="85"/>
    </row>
    <row r="406">
      <c r="A406" s="85"/>
      <c r="B406" s="85"/>
      <c r="C406" s="85"/>
      <c r="D406" s="85"/>
    </row>
    <row r="407">
      <c r="A407" s="85"/>
      <c r="B407" s="85"/>
      <c r="C407" s="85"/>
      <c r="D407" s="85"/>
    </row>
    <row r="408">
      <c r="A408" s="85"/>
      <c r="B408" s="85"/>
      <c r="C408" s="85"/>
      <c r="D408" s="85"/>
    </row>
    <row r="409">
      <c r="A409" s="85"/>
      <c r="B409" s="85"/>
      <c r="C409" s="85"/>
      <c r="D409" s="85"/>
    </row>
    <row r="410">
      <c r="A410" s="85"/>
      <c r="B410" s="85"/>
      <c r="C410" s="85"/>
      <c r="D410" s="85"/>
    </row>
    <row r="411">
      <c r="A411" s="85"/>
      <c r="B411" s="85"/>
      <c r="C411" s="85"/>
      <c r="D411" s="85"/>
    </row>
    <row r="412">
      <c r="A412" s="85"/>
      <c r="B412" s="85"/>
      <c r="C412" s="85"/>
      <c r="D412" s="85"/>
    </row>
    <row r="413">
      <c r="A413" s="85"/>
      <c r="B413" s="85"/>
      <c r="C413" s="85"/>
      <c r="D413" s="85"/>
    </row>
    <row r="414">
      <c r="A414" s="85"/>
      <c r="B414" s="85"/>
      <c r="C414" s="85"/>
      <c r="D414" s="85"/>
    </row>
    <row r="415">
      <c r="A415" s="85"/>
      <c r="B415" s="85"/>
      <c r="C415" s="85"/>
      <c r="D415" s="85"/>
    </row>
    <row r="416">
      <c r="A416" s="85"/>
      <c r="B416" s="85"/>
      <c r="C416" s="85"/>
      <c r="D416" s="85"/>
    </row>
    <row r="417">
      <c r="A417" s="85"/>
      <c r="B417" s="85"/>
      <c r="C417" s="85"/>
      <c r="D417" s="85"/>
    </row>
    <row r="418">
      <c r="A418" s="85"/>
      <c r="B418" s="85"/>
      <c r="C418" s="85"/>
      <c r="D418" s="85"/>
    </row>
    <row r="419">
      <c r="A419" s="85"/>
      <c r="B419" s="85"/>
      <c r="C419" s="85"/>
      <c r="D419" s="85"/>
    </row>
    <row r="420">
      <c r="A420" s="85"/>
      <c r="B420" s="85"/>
      <c r="C420" s="85"/>
      <c r="D420" s="85"/>
    </row>
    <row r="421">
      <c r="A421" s="85"/>
      <c r="B421" s="85"/>
      <c r="C421" s="85"/>
      <c r="D421" s="85"/>
    </row>
    <row r="422">
      <c r="A422" s="85"/>
      <c r="B422" s="85"/>
      <c r="C422" s="85"/>
      <c r="D422" s="85"/>
    </row>
    <row r="423">
      <c r="A423" s="85"/>
      <c r="B423" s="85"/>
      <c r="C423" s="85"/>
      <c r="D423" s="85"/>
    </row>
    <row r="424">
      <c r="A424" s="85"/>
      <c r="B424" s="85"/>
      <c r="C424" s="85"/>
      <c r="D424" s="85"/>
    </row>
    <row r="425">
      <c r="A425" s="85"/>
      <c r="B425" s="85"/>
      <c r="C425" s="85"/>
      <c r="D425" s="85"/>
    </row>
    <row r="426">
      <c r="A426" s="85"/>
      <c r="B426" s="85"/>
      <c r="C426" s="85"/>
      <c r="D426" s="85"/>
    </row>
    <row r="427">
      <c r="A427" s="85"/>
      <c r="B427" s="85"/>
      <c r="C427" s="85"/>
      <c r="D427" s="85"/>
    </row>
    <row r="428">
      <c r="A428" s="85"/>
      <c r="B428" s="85"/>
      <c r="C428" s="85"/>
      <c r="D428" s="85"/>
    </row>
    <row r="429">
      <c r="A429" s="85"/>
      <c r="B429" s="85"/>
      <c r="C429" s="85"/>
      <c r="D429" s="85"/>
    </row>
    <row r="430">
      <c r="A430" s="85"/>
      <c r="B430" s="85"/>
      <c r="C430" s="85"/>
      <c r="D430" s="85"/>
    </row>
    <row r="431">
      <c r="A431" s="85"/>
      <c r="B431" s="85"/>
      <c r="C431" s="85"/>
      <c r="D431" s="85"/>
    </row>
    <row r="432">
      <c r="A432" s="85"/>
      <c r="B432" s="85"/>
      <c r="C432" s="85"/>
      <c r="D432" s="85"/>
    </row>
    <row r="433">
      <c r="A433" s="85"/>
      <c r="B433" s="85"/>
      <c r="C433" s="85"/>
      <c r="D433" s="85"/>
    </row>
    <row r="434">
      <c r="A434" s="85"/>
      <c r="B434" s="85"/>
      <c r="C434" s="85"/>
      <c r="D434" s="85"/>
    </row>
    <row r="435">
      <c r="A435" s="85"/>
      <c r="B435" s="85"/>
      <c r="C435" s="85"/>
      <c r="D435" s="85"/>
    </row>
    <row r="436">
      <c r="A436" s="85"/>
      <c r="B436" s="85"/>
      <c r="C436" s="85"/>
      <c r="D436" s="85"/>
    </row>
    <row r="437">
      <c r="A437" s="85"/>
      <c r="B437" s="85"/>
      <c r="C437" s="85"/>
      <c r="D437" s="85"/>
    </row>
    <row r="438">
      <c r="A438" s="85"/>
      <c r="B438" s="85"/>
      <c r="C438" s="85"/>
      <c r="D438" s="85"/>
    </row>
    <row r="439">
      <c r="A439" s="85"/>
      <c r="B439" s="85"/>
      <c r="C439" s="85"/>
      <c r="D439" s="85"/>
    </row>
    <row r="440">
      <c r="A440" s="85"/>
      <c r="B440" s="85"/>
      <c r="C440" s="85"/>
      <c r="D440" s="85"/>
    </row>
    <row r="441">
      <c r="A441" s="85"/>
      <c r="B441" s="85"/>
      <c r="C441" s="85"/>
      <c r="D441" s="85"/>
    </row>
    <row r="442">
      <c r="A442" s="85"/>
      <c r="B442" s="85"/>
      <c r="C442" s="85"/>
      <c r="D442" s="85"/>
    </row>
    <row r="443">
      <c r="A443" s="85"/>
      <c r="B443" s="85"/>
      <c r="C443" s="85"/>
      <c r="D443" s="85"/>
    </row>
    <row r="444">
      <c r="A444" s="85"/>
      <c r="B444" s="85"/>
      <c r="C444" s="85"/>
      <c r="D444" s="85"/>
    </row>
    <row r="445">
      <c r="A445" s="85"/>
      <c r="B445" s="85"/>
      <c r="C445" s="85"/>
      <c r="D445" s="85"/>
    </row>
    <row r="446">
      <c r="A446" s="85"/>
      <c r="B446" s="85"/>
      <c r="C446" s="85"/>
      <c r="D446" s="85"/>
    </row>
    <row r="447">
      <c r="A447" s="85"/>
      <c r="B447" s="85"/>
      <c r="C447" s="85"/>
      <c r="D447" s="85"/>
    </row>
    <row r="448">
      <c r="A448" s="85"/>
      <c r="B448" s="85"/>
      <c r="C448" s="85"/>
      <c r="D448" s="85"/>
    </row>
    <row r="449">
      <c r="A449" s="85"/>
      <c r="B449" s="85"/>
      <c r="C449" s="85"/>
      <c r="D449" s="85"/>
    </row>
    <row r="450">
      <c r="A450" s="85"/>
      <c r="B450" s="85"/>
      <c r="C450" s="85"/>
      <c r="D450" s="85"/>
    </row>
    <row r="451">
      <c r="A451" s="85"/>
      <c r="B451" s="85"/>
      <c r="C451" s="85"/>
      <c r="D451" s="85"/>
    </row>
    <row r="452">
      <c r="A452" s="85"/>
      <c r="B452" s="85"/>
      <c r="C452" s="85"/>
      <c r="D452" s="85"/>
    </row>
    <row r="453">
      <c r="A453" s="85"/>
      <c r="B453" s="85"/>
      <c r="C453" s="85"/>
      <c r="D453" s="85"/>
    </row>
    <row r="454">
      <c r="A454" s="85"/>
      <c r="B454" s="85"/>
      <c r="C454" s="85"/>
      <c r="D454" s="85"/>
    </row>
    <row r="455">
      <c r="A455" s="85"/>
      <c r="B455" s="85"/>
      <c r="C455" s="85"/>
      <c r="D455" s="85"/>
    </row>
    <row r="456">
      <c r="A456" s="85"/>
      <c r="B456" s="85"/>
      <c r="C456" s="85"/>
      <c r="D456" s="85"/>
    </row>
    <row r="457">
      <c r="A457" s="85"/>
      <c r="B457" s="85"/>
      <c r="C457" s="85"/>
      <c r="D457" s="85"/>
    </row>
    <row r="458">
      <c r="A458" s="85"/>
      <c r="B458" s="85"/>
      <c r="C458" s="85"/>
      <c r="D458" s="85"/>
    </row>
    <row r="459">
      <c r="A459" s="85"/>
      <c r="B459" s="85"/>
      <c r="C459" s="85"/>
      <c r="D459" s="85"/>
    </row>
    <row r="460">
      <c r="A460" s="85"/>
      <c r="B460" s="85"/>
      <c r="C460" s="85"/>
      <c r="D460" s="85"/>
    </row>
    <row r="461">
      <c r="A461" s="85"/>
      <c r="B461" s="85"/>
      <c r="C461" s="85"/>
      <c r="D461" s="85"/>
    </row>
    <row r="462">
      <c r="A462" s="85"/>
      <c r="B462" s="85"/>
      <c r="C462" s="85"/>
      <c r="D462" s="85"/>
    </row>
    <row r="463">
      <c r="A463" s="85"/>
      <c r="B463" s="85"/>
      <c r="C463" s="85"/>
      <c r="D463" s="85"/>
    </row>
    <row r="464">
      <c r="A464" s="85"/>
      <c r="B464" s="85"/>
      <c r="C464" s="85"/>
      <c r="D464" s="85"/>
    </row>
    <row r="465">
      <c r="A465" s="85"/>
      <c r="B465" s="85"/>
      <c r="C465" s="85"/>
      <c r="D465" s="85"/>
    </row>
    <row r="466">
      <c r="A466" s="85"/>
      <c r="B466" s="85"/>
      <c r="C466" s="85"/>
      <c r="D466" s="85"/>
    </row>
    <row r="467">
      <c r="A467" s="85"/>
      <c r="B467" s="85"/>
      <c r="C467" s="85"/>
      <c r="D467" s="85"/>
    </row>
    <row r="468">
      <c r="A468" s="85"/>
      <c r="B468" s="85"/>
      <c r="C468" s="85"/>
      <c r="D468" s="85"/>
    </row>
    <row r="469">
      <c r="A469" s="85"/>
      <c r="B469" s="85"/>
      <c r="C469" s="85"/>
      <c r="D469" s="85"/>
    </row>
    <row r="470">
      <c r="A470" s="85"/>
      <c r="B470" s="85"/>
      <c r="C470" s="85"/>
      <c r="D470" s="85"/>
    </row>
    <row r="471">
      <c r="A471" s="85"/>
      <c r="B471" s="85"/>
      <c r="C471" s="85"/>
      <c r="D471" s="85"/>
    </row>
    <row r="472">
      <c r="A472" s="85"/>
      <c r="B472" s="85"/>
      <c r="C472" s="85"/>
      <c r="D472" s="85"/>
    </row>
    <row r="473">
      <c r="A473" s="85"/>
      <c r="B473" s="85"/>
      <c r="C473" s="85"/>
      <c r="D473" s="85"/>
    </row>
    <row r="474">
      <c r="A474" s="85"/>
      <c r="B474" s="85"/>
      <c r="C474" s="85"/>
      <c r="D474" s="85"/>
    </row>
    <row r="475">
      <c r="A475" s="85"/>
      <c r="B475" s="85"/>
      <c r="C475" s="85"/>
      <c r="D475" s="85"/>
    </row>
    <row r="476">
      <c r="A476" s="85"/>
      <c r="B476" s="85"/>
      <c r="C476" s="85"/>
      <c r="D476" s="85"/>
    </row>
    <row r="477">
      <c r="A477" s="85"/>
      <c r="B477" s="85"/>
      <c r="C477" s="85"/>
      <c r="D477" s="85"/>
    </row>
    <row r="478">
      <c r="A478" s="85"/>
      <c r="B478" s="85"/>
      <c r="C478" s="85"/>
      <c r="D478" s="85"/>
    </row>
    <row r="479">
      <c r="A479" s="85"/>
      <c r="B479" s="85"/>
      <c r="C479" s="85"/>
      <c r="D479" s="85"/>
    </row>
    <row r="480">
      <c r="A480" s="85"/>
      <c r="B480" s="85"/>
      <c r="C480" s="85"/>
      <c r="D480" s="85"/>
    </row>
    <row r="481">
      <c r="A481" s="85"/>
      <c r="B481" s="85"/>
      <c r="C481" s="85"/>
      <c r="D481" s="85"/>
    </row>
    <row r="482">
      <c r="A482" s="85"/>
      <c r="B482" s="85"/>
      <c r="C482" s="85"/>
      <c r="D482" s="85"/>
    </row>
    <row r="483">
      <c r="A483" s="85"/>
      <c r="B483" s="85"/>
      <c r="C483" s="85"/>
      <c r="D483" s="85"/>
    </row>
    <row r="484">
      <c r="A484" s="85"/>
      <c r="B484" s="85"/>
      <c r="C484" s="85"/>
      <c r="D484" s="85"/>
    </row>
    <row r="485">
      <c r="A485" s="85"/>
      <c r="B485" s="85"/>
      <c r="C485" s="85"/>
      <c r="D485" s="85"/>
    </row>
    <row r="486">
      <c r="A486" s="85"/>
      <c r="B486" s="85"/>
      <c r="C486" s="85"/>
      <c r="D486" s="85"/>
    </row>
    <row r="487">
      <c r="A487" s="85"/>
      <c r="B487" s="85"/>
      <c r="C487" s="85"/>
      <c r="D487" s="85"/>
    </row>
    <row r="488">
      <c r="A488" s="85"/>
      <c r="B488" s="85"/>
      <c r="C488" s="85"/>
      <c r="D488" s="85"/>
    </row>
    <row r="489">
      <c r="A489" s="85"/>
      <c r="B489" s="85"/>
      <c r="C489" s="85"/>
      <c r="D489" s="85"/>
    </row>
    <row r="490">
      <c r="A490" s="85"/>
      <c r="B490" s="85"/>
      <c r="C490" s="85"/>
      <c r="D490" s="85"/>
    </row>
    <row r="491">
      <c r="A491" s="85"/>
      <c r="B491" s="85"/>
      <c r="C491" s="85"/>
      <c r="D491" s="85"/>
    </row>
    <row r="492">
      <c r="A492" s="85"/>
      <c r="B492" s="85"/>
      <c r="C492" s="85"/>
      <c r="D492" s="85"/>
    </row>
    <row r="493">
      <c r="A493" s="85"/>
      <c r="B493" s="85"/>
      <c r="C493" s="85"/>
      <c r="D493" s="85"/>
    </row>
    <row r="494">
      <c r="A494" s="85"/>
      <c r="B494" s="85"/>
      <c r="C494" s="85"/>
      <c r="D494" s="85"/>
    </row>
    <row r="495">
      <c r="A495" s="85"/>
      <c r="B495" s="85"/>
      <c r="C495" s="85"/>
      <c r="D495" s="85"/>
    </row>
    <row r="496">
      <c r="A496" s="85"/>
      <c r="B496" s="85"/>
      <c r="C496" s="85"/>
      <c r="D496" s="85"/>
    </row>
    <row r="497">
      <c r="A497" s="85"/>
      <c r="B497" s="85"/>
      <c r="C497" s="85"/>
      <c r="D497" s="85"/>
    </row>
    <row r="498">
      <c r="A498" s="85"/>
      <c r="B498" s="85"/>
      <c r="C498" s="85"/>
      <c r="D498" s="85"/>
    </row>
    <row r="499">
      <c r="A499" s="85"/>
      <c r="B499" s="85"/>
      <c r="C499" s="85"/>
      <c r="D499" s="85"/>
    </row>
    <row r="500">
      <c r="A500" s="85"/>
      <c r="B500" s="85"/>
      <c r="C500" s="85"/>
      <c r="D500" s="85"/>
    </row>
    <row r="501">
      <c r="A501" s="85"/>
      <c r="B501" s="85"/>
      <c r="C501" s="85"/>
      <c r="D501" s="85"/>
    </row>
    <row r="502">
      <c r="A502" s="85"/>
      <c r="B502" s="85"/>
      <c r="C502" s="85"/>
      <c r="D502" s="85"/>
    </row>
    <row r="503">
      <c r="A503" s="85"/>
      <c r="B503" s="85"/>
      <c r="C503" s="85"/>
      <c r="D503" s="85"/>
    </row>
    <row r="504">
      <c r="A504" s="85"/>
      <c r="B504" s="85"/>
      <c r="C504" s="85"/>
      <c r="D504" s="85"/>
    </row>
    <row r="505">
      <c r="A505" s="85"/>
      <c r="B505" s="85"/>
      <c r="C505" s="85"/>
      <c r="D505" s="85"/>
    </row>
    <row r="506">
      <c r="A506" s="85"/>
      <c r="B506" s="85"/>
      <c r="C506" s="85"/>
      <c r="D506" s="85"/>
    </row>
    <row r="507">
      <c r="A507" s="85"/>
      <c r="B507" s="85"/>
      <c r="C507" s="85"/>
      <c r="D507" s="85"/>
    </row>
    <row r="508">
      <c r="A508" s="85"/>
      <c r="B508" s="85"/>
      <c r="C508" s="85"/>
      <c r="D508" s="85"/>
    </row>
    <row r="509">
      <c r="A509" s="85"/>
      <c r="B509" s="85"/>
      <c r="C509" s="85"/>
      <c r="D509" s="85"/>
    </row>
    <row r="510">
      <c r="A510" s="85"/>
      <c r="B510" s="85"/>
      <c r="C510" s="85"/>
      <c r="D510" s="85"/>
    </row>
    <row r="511">
      <c r="A511" s="85"/>
      <c r="B511" s="85"/>
      <c r="C511" s="85"/>
      <c r="D511" s="85"/>
    </row>
    <row r="512">
      <c r="A512" s="85"/>
      <c r="B512" s="85"/>
      <c r="C512" s="85"/>
      <c r="D512" s="85"/>
    </row>
    <row r="513">
      <c r="A513" s="85"/>
      <c r="B513" s="85"/>
      <c r="C513" s="85"/>
      <c r="D513" s="85"/>
    </row>
    <row r="514">
      <c r="A514" s="85"/>
      <c r="B514" s="85"/>
      <c r="C514" s="85"/>
      <c r="D514" s="85"/>
    </row>
    <row r="515">
      <c r="A515" s="85"/>
      <c r="B515" s="85"/>
      <c r="C515" s="85"/>
      <c r="D515" s="85"/>
    </row>
    <row r="516">
      <c r="A516" s="85"/>
      <c r="B516" s="85"/>
      <c r="C516" s="85"/>
      <c r="D516" s="85"/>
    </row>
    <row r="517">
      <c r="A517" s="85"/>
      <c r="B517" s="85"/>
      <c r="C517" s="85"/>
      <c r="D517" s="85"/>
    </row>
    <row r="518">
      <c r="A518" s="85"/>
      <c r="B518" s="85"/>
      <c r="C518" s="85"/>
      <c r="D518" s="85"/>
    </row>
    <row r="519">
      <c r="A519" s="85"/>
      <c r="B519" s="85"/>
      <c r="C519" s="85"/>
      <c r="D519" s="85"/>
    </row>
    <row r="520">
      <c r="A520" s="85"/>
      <c r="B520" s="85"/>
      <c r="C520" s="85"/>
      <c r="D520" s="85"/>
    </row>
    <row r="521">
      <c r="A521" s="85"/>
      <c r="B521" s="85"/>
      <c r="C521" s="85"/>
      <c r="D521" s="85"/>
    </row>
    <row r="522">
      <c r="A522" s="85"/>
      <c r="B522" s="85"/>
      <c r="C522" s="85"/>
      <c r="D522" s="85"/>
    </row>
    <row r="523">
      <c r="A523" s="85"/>
      <c r="B523" s="85"/>
      <c r="C523" s="85"/>
      <c r="D523" s="85"/>
    </row>
    <row r="524">
      <c r="A524" s="85"/>
      <c r="B524" s="85"/>
      <c r="C524" s="85"/>
      <c r="D524" s="85"/>
    </row>
    <row r="525">
      <c r="A525" s="85"/>
      <c r="B525" s="85"/>
      <c r="C525" s="85"/>
      <c r="D525" s="85"/>
    </row>
    <row r="526">
      <c r="A526" s="85"/>
      <c r="B526" s="85"/>
      <c r="C526" s="85"/>
      <c r="D526" s="85"/>
    </row>
    <row r="527">
      <c r="A527" s="85"/>
      <c r="B527" s="85"/>
      <c r="C527" s="85"/>
      <c r="D527" s="85"/>
    </row>
    <row r="528">
      <c r="A528" s="85"/>
      <c r="B528" s="85"/>
      <c r="C528" s="85"/>
      <c r="D528" s="85"/>
    </row>
    <row r="529">
      <c r="A529" s="85"/>
      <c r="B529" s="85"/>
      <c r="C529" s="85"/>
      <c r="D529" s="85"/>
    </row>
    <row r="530">
      <c r="A530" s="85"/>
      <c r="B530" s="85"/>
      <c r="C530" s="85"/>
      <c r="D530" s="85"/>
    </row>
    <row r="531">
      <c r="A531" s="85"/>
      <c r="B531" s="85"/>
      <c r="C531" s="85"/>
      <c r="D531" s="85"/>
    </row>
    <row r="532">
      <c r="A532" s="85"/>
      <c r="B532" s="85"/>
      <c r="C532" s="85"/>
      <c r="D532" s="85"/>
    </row>
    <row r="533">
      <c r="A533" s="85"/>
      <c r="B533" s="85"/>
      <c r="C533" s="85"/>
      <c r="D533" s="85"/>
    </row>
    <row r="534">
      <c r="A534" s="85"/>
      <c r="B534" s="85"/>
      <c r="C534" s="85"/>
      <c r="D534" s="85"/>
    </row>
    <row r="535">
      <c r="A535" s="85"/>
      <c r="B535" s="85"/>
      <c r="C535" s="85"/>
      <c r="D535" s="85"/>
    </row>
    <row r="536">
      <c r="A536" s="85"/>
      <c r="B536" s="85"/>
      <c r="C536" s="85"/>
      <c r="D536" s="85"/>
    </row>
    <row r="537">
      <c r="A537" s="85"/>
      <c r="B537" s="85"/>
      <c r="C537" s="85"/>
      <c r="D537" s="85"/>
    </row>
    <row r="538">
      <c r="A538" s="85"/>
      <c r="B538" s="85"/>
      <c r="C538" s="85"/>
      <c r="D538" s="85"/>
    </row>
    <row r="539">
      <c r="A539" s="85"/>
      <c r="B539" s="85"/>
      <c r="C539" s="85"/>
      <c r="D539" s="85"/>
    </row>
    <row r="540">
      <c r="A540" s="85"/>
      <c r="B540" s="85"/>
      <c r="C540" s="85"/>
      <c r="D540" s="85"/>
    </row>
    <row r="541">
      <c r="A541" s="85"/>
      <c r="B541" s="85"/>
      <c r="C541" s="85"/>
      <c r="D541" s="85"/>
    </row>
    <row r="542">
      <c r="A542" s="85"/>
      <c r="B542" s="85"/>
      <c r="C542" s="85"/>
      <c r="D542" s="85"/>
    </row>
    <row r="543">
      <c r="A543" s="85"/>
      <c r="B543" s="85"/>
      <c r="C543" s="85"/>
      <c r="D543" s="85"/>
    </row>
    <row r="544">
      <c r="A544" s="85"/>
      <c r="B544" s="85"/>
      <c r="C544" s="85"/>
      <c r="D544" s="85"/>
    </row>
    <row r="545">
      <c r="A545" s="85"/>
      <c r="B545" s="85"/>
      <c r="C545" s="85"/>
      <c r="D545" s="85"/>
    </row>
    <row r="546">
      <c r="A546" s="85"/>
      <c r="B546" s="85"/>
      <c r="C546" s="85"/>
      <c r="D546" s="85"/>
    </row>
    <row r="547">
      <c r="A547" s="85"/>
      <c r="B547" s="85"/>
      <c r="C547" s="85"/>
      <c r="D547" s="85"/>
    </row>
    <row r="548">
      <c r="A548" s="85"/>
      <c r="B548" s="85"/>
      <c r="C548" s="85"/>
      <c r="D548" s="85"/>
    </row>
    <row r="549">
      <c r="A549" s="85"/>
      <c r="B549" s="85"/>
      <c r="C549" s="85"/>
      <c r="D549" s="85"/>
    </row>
    <row r="550">
      <c r="A550" s="85"/>
      <c r="B550" s="85"/>
      <c r="C550" s="85"/>
      <c r="D550" s="85"/>
    </row>
    <row r="551">
      <c r="A551" s="85"/>
      <c r="B551" s="85"/>
      <c r="C551" s="85"/>
      <c r="D551" s="85"/>
    </row>
    <row r="552">
      <c r="A552" s="85"/>
      <c r="B552" s="85"/>
      <c r="C552" s="85"/>
      <c r="D552" s="85"/>
    </row>
    <row r="553">
      <c r="A553" s="85"/>
      <c r="B553" s="85"/>
      <c r="C553" s="85"/>
      <c r="D553" s="85"/>
    </row>
    <row r="554">
      <c r="A554" s="85"/>
      <c r="B554" s="85"/>
      <c r="C554" s="85"/>
      <c r="D554" s="85"/>
    </row>
    <row r="555">
      <c r="A555" s="85"/>
      <c r="B555" s="85"/>
      <c r="C555" s="85"/>
      <c r="D555" s="85"/>
    </row>
    <row r="556">
      <c r="A556" s="85"/>
      <c r="B556" s="85"/>
      <c r="C556" s="85"/>
      <c r="D556" s="85"/>
    </row>
    <row r="557">
      <c r="A557" s="85"/>
      <c r="B557" s="85"/>
      <c r="C557" s="85"/>
      <c r="D557" s="85"/>
    </row>
    <row r="558">
      <c r="A558" s="85"/>
      <c r="B558" s="85"/>
      <c r="C558" s="85"/>
      <c r="D558" s="85"/>
    </row>
    <row r="559">
      <c r="A559" s="85"/>
      <c r="B559" s="85"/>
      <c r="C559" s="85"/>
      <c r="D559" s="85"/>
    </row>
    <row r="560">
      <c r="A560" s="85"/>
      <c r="B560" s="85"/>
      <c r="C560" s="85"/>
      <c r="D560" s="85"/>
    </row>
    <row r="561">
      <c r="A561" s="85"/>
      <c r="B561" s="85"/>
      <c r="C561" s="85"/>
      <c r="D561" s="85"/>
    </row>
    <row r="562">
      <c r="A562" s="85"/>
      <c r="B562" s="85"/>
      <c r="C562" s="85"/>
      <c r="D562" s="85"/>
    </row>
    <row r="563">
      <c r="A563" s="85"/>
      <c r="B563" s="85"/>
      <c r="C563" s="85"/>
      <c r="D563" s="85"/>
    </row>
    <row r="564">
      <c r="A564" s="85"/>
      <c r="B564" s="85"/>
      <c r="C564" s="85"/>
      <c r="D564" s="85"/>
    </row>
    <row r="565">
      <c r="A565" s="85"/>
      <c r="B565" s="85"/>
      <c r="C565" s="85"/>
      <c r="D565" s="85"/>
    </row>
    <row r="566">
      <c r="A566" s="85"/>
      <c r="B566" s="85"/>
      <c r="C566" s="85"/>
      <c r="D566" s="85"/>
    </row>
    <row r="567">
      <c r="A567" s="85"/>
      <c r="B567" s="85"/>
      <c r="C567" s="85"/>
      <c r="D567" s="85"/>
    </row>
    <row r="568">
      <c r="A568" s="85"/>
      <c r="B568" s="85"/>
      <c r="C568" s="85"/>
      <c r="D568" s="85"/>
    </row>
    <row r="569">
      <c r="A569" s="85"/>
      <c r="B569" s="85"/>
      <c r="C569" s="85"/>
      <c r="D569" s="85"/>
    </row>
    <row r="570">
      <c r="A570" s="85"/>
      <c r="B570" s="85"/>
      <c r="C570" s="85"/>
      <c r="D570" s="85"/>
    </row>
    <row r="571">
      <c r="A571" s="85"/>
      <c r="B571" s="85"/>
      <c r="C571" s="85"/>
      <c r="D571" s="85"/>
    </row>
    <row r="572">
      <c r="A572" s="85"/>
      <c r="B572" s="85"/>
      <c r="C572" s="85"/>
      <c r="D572" s="85"/>
    </row>
    <row r="573">
      <c r="A573" s="85"/>
      <c r="B573" s="85"/>
      <c r="C573" s="85"/>
      <c r="D573" s="85"/>
    </row>
    <row r="574">
      <c r="A574" s="85"/>
      <c r="B574" s="85"/>
      <c r="C574" s="85"/>
      <c r="D574" s="85"/>
    </row>
    <row r="575">
      <c r="A575" s="85"/>
      <c r="B575" s="85"/>
      <c r="C575" s="85"/>
      <c r="D575" s="85"/>
    </row>
    <row r="576">
      <c r="A576" s="85"/>
      <c r="B576" s="85"/>
      <c r="C576" s="85"/>
      <c r="D576" s="85"/>
    </row>
    <row r="577">
      <c r="A577" s="85"/>
      <c r="B577" s="85"/>
      <c r="C577" s="85"/>
      <c r="D577" s="85"/>
    </row>
    <row r="578">
      <c r="A578" s="85"/>
      <c r="B578" s="85"/>
      <c r="C578" s="85"/>
      <c r="D578" s="85"/>
    </row>
    <row r="579">
      <c r="A579" s="85"/>
      <c r="B579" s="85"/>
      <c r="C579" s="85"/>
      <c r="D579" s="85"/>
    </row>
    <row r="580">
      <c r="A580" s="85"/>
      <c r="B580" s="85"/>
      <c r="C580" s="85"/>
      <c r="D580" s="85"/>
    </row>
    <row r="581">
      <c r="A581" s="85"/>
      <c r="B581" s="85"/>
      <c r="C581" s="85"/>
      <c r="D581" s="85"/>
    </row>
    <row r="582">
      <c r="A582" s="85"/>
      <c r="B582" s="85"/>
      <c r="C582" s="85"/>
      <c r="D582" s="85"/>
    </row>
    <row r="583">
      <c r="A583" s="85"/>
      <c r="B583" s="85"/>
      <c r="C583" s="85"/>
      <c r="D583" s="85"/>
    </row>
    <row r="584">
      <c r="A584" s="85"/>
      <c r="B584" s="85"/>
      <c r="C584" s="85"/>
      <c r="D584" s="85"/>
    </row>
    <row r="585">
      <c r="A585" s="85"/>
      <c r="B585" s="85"/>
      <c r="C585" s="85"/>
      <c r="D585" s="85"/>
    </row>
    <row r="586">
      <c r="A586" s="85"/>
      <c r="B586" s="85"/>
      <c r="C586" s="85"/>
      <c r="D586" s="85"/>
    </row>
    <row r="587">
      <c r="A587" s="85"/>
      <c r="B587" s="85"/>
      <c r="C587" s="85"/>
      <c r="D587" s="85"/>
    </row>
    <row r="588">
      <c r="A588" s="85"/>
      <c r="B588" s="85"/>
      <c r="C588" s="85"/>
      <c r="D588" s="85"/>
    </row>
    <row r="589">
      <c r="A589" s="85"/>
      <c r="B589" s="85"/>
      <c r="C589" s="85"/>
      <c r="D589" s="85"/>
    </row>
    <row r="590">
      <c r="A590" s="85"/>
      <c r="B590" s="85"/>
      <c r="C590" s="85"/>
      <c r="D590" s="85"/>
    </row>
    <row r="591">
      <c r="A591" s="85"/>
      <c r="B591" s="85"/>
      <c r="C591" s="85"/>
      <c r="D591" s="85"/>
    </row>
    <row r="592">
      <c r="A592" s="85"/>
      <c r="B592" s="85"/>
      <c r="C592" s="85"/>
      <c r="D592" s="85"/>
    </row>
    <row r="593">
      <c r="A593" s="85"/>
      <c r="B593" s="85"/>
      <c r="C593" s="85"/>
      <c r="D593" s="85"/>
    </row>
    <row r="594">
      <c r="A594" s="85"/>
      <c r="B594" s="85"/>
      <c r="C594" s="85"/>
      <c r="D594" s="85"/>
    </row>
    <row r="595">
      <c r="A595" s="85"/>
      <c r="B595" s="85"/>
      <c r="C595" s="85"/>
      <c r="D595" s="85"/>
    </row>
    <row r="596">
      <c r="A596" s="85"/>
      <c r="B596" s="85"/>
      <c r="C596" s="85"/>
      <c r="D596" s="85"/>
    </row>
    <row r="597">
      <c r="A597" s="85"/>
      <c r="B597" s="85"/>
      <c r="C597" s="85"/>
      <c r="D597" s="85"/>
    </row>
    <row r="598">
      <c r="A598" s="85"/>
      <c r="B598" s="85"/>
      <c r="C598" s="85"/>
      <c r="D598" s="85"/>
    </row>
    <row r="599">
      <c r="A599" s="85"/>
      <c r="B599" s="85"/>
      <c r="C599" s="85"/>
      <c r="D599" s="85"/>
    </row>
    <row r="600">
      <c r="A600" s="85"/>
      <c r="B600" s="85"/>
      <c r="C600" s="85"/>
      <c r="D600" s="85"/>
    </row>
    <row r="601">
      <c r="A601" s="85"/>
      <c r="B601" s="85"/>
      <c r="C601" s="85"/>
      <c r="D601" s="85"/>
    </row>
    <row r="602">
      <c r="A602" s="85"/>
      <c r="B602" s="85"/>
      <c r="C602" s="85"/>
      <c r="D602" s="85"/>
    </row>
    <row r="603">
      <c r="A603" s="85"/>
      <c r="B603" s="85"/>
      <c r="C603" s="85"/>
      <c r="D603" s="85"/>
    </row>
    <row r="604">
      <c r="A604" s="85"/>
      <c r="B604" s="85"/>
      <c r="C604" s="85"/>
      <c r="D604" s="85"/>
    </row>
    <row r="605">
      <c r="A605" s="85"/>
      <c r="B605" s="85"/>
      <c r="C605" s="85"/>
      <c r="D605" s="85"/>
    </row>
    <row r="606">
      <c r="A606" s="85"/>
      <c r="B606" s="85"/>
      <c r="C606" s="85"/>
      <c r="D606" s="85"/>
    </row>
    <row r="607">
      <c r="A607" s="85"/>
      <c r="B607" s="85"/>
      <c r="C607" s="85"/>
      <c r="D607" s="85"/>
    </row>
    <row r="608">
      <c r="A608" s="85"/>
      <c r="B608" s="85"/>
      <c r="C608" s="85"/>
      <c r="D608" s="85"/>
    </row>
    <row r="609">
      <c r="A609" s="85"/>
      <c r="B609" s="85"/>
      <c r="C609" s="85"/>
      <c r="D609" s="85"/>
    </row>
    <row r="610">
      <c r="A610" s="85"/>
      <c r="B610" s="85"/>
      <c r="C610" s="85"/>
      <c r="D610" s="85"/>
    </row>
    <row r="611">
      <c r="A611" s="85"/>
      <c r="B611" s="85"/>
      <c r="C611" s="85"/>
      <c r="D611" s="85"/>
    </row>
    <row r="612">
      <c r="A612" s="85"/>
      <c r="B612" s="85"/>
      <c r="C612" s="85"/>
      <c r="D612" s="85"/>
    </row>
    <row r="613">
      <c r="A613" s="85"/>
      <c r="B613" s="85"/>
      <c r="C613" s="85"/>
      <c r="D613" s="85"/>
    </row>
    <row r="614">
      <c r="A614" s="85"/>
      <c r="B614" s="85"/>
      <c r="C614" s="85"/>
      <c r="D614" s="85"/>
    </row>
    <row r="615">
      <c r="A615" s="85"/>
      <c r="B615" s="85"/>
      <c r="C615" s="85"/>
      <c r="D615" s="85"/>
    </row>
    <row r="616">
      <c r="A616" s="85"/>
      <c r="B616" s="85"/>
      <c r="C616" s="85"/>
      <c r="D616" s="85"/>
    </row>
    <row r="617">
      <c r="A617" s="85"/>
      <c r="B617" s="85"/>
      <c r="C617" s="85"/>
      <c r="D617" s="85"/>
    </row>
    <row r="618">
      <c r="A618" s="85"/>
      <c r="B618" s="85"/>
      <c r="C618" s="85"/>
      <c r="D618" s="85"/>
    </row>
    <row r="619">
      <c r="A619" s="85"/>
      <c r="B619" s="85"/>
      <c r="C619" s="85"/>
      <c r="D619" s="85"/>
    </row>
    <row r="620">
      <c r="A620" s="85"/>
      <c r="B620" s="85"/>
      <c r="C620" s="85"/>
      <c r="D620" s="85"/>
    </row>
    <row r="621">
      <c r="A621" s="85"/>
      <c r="B621" s="85"/>
      <c r="C621" s="85"/>
      <c r="D621" s="85"/>
    </row>
    <row r="622">
      <c r="A622" s="85"/>
      <c r="B622" s="85"/>
      <c r="C622" s="85"/>
      <c r="D622" s="85"/>
    </row>
    <row r="623">
      <c r="A623" s="85"/>
      <c r="B623" s="85"/>
      <c r="C623" s="85"/>
      <c r="D623" s="85"/>
    </row>
    <row r="624">
      <c r="A624" s="85"/>
      <c r="B624" s="85"/>
      <c r="C624" s="85"/>
      <c r="D624" s="85"/>
    </row>
    <row r="625">
      <c r="A625" s="85"/>
      <c r="B625" s="85"/>
      <c r="C625" s="85"/>
      <c r="D625" s="85"/>
    </row>
    <row r="626">
      <c r="A626" s="85"/>
      <c r="B626" s="85"/>
      <c r="C626" s="85"/>
      <c r="D626" s="85"/>
    </row>
    <row r="627">
      <c r="A627" s="85"/>
      <c r="B627" s="85"/>
      <c r="C627" s="85"/>
      <c r="D627" s="85"/>
    </row>
    <row r="628">
      <c r="A628" s="85"/>
      <c r="B628" s="85"/>
      <c r="C628" s="85"/>
      <c r="D628" s="85"/>
    </row>
    <row r="629">
      <c r="A629" s="85"/>
      <c r="B629" s="85"/>
      <c r="C629" s="85"/>
      <c r="D629" s="85"/>
    </row>
    <row r="630">
      <c r="A630" s="85"/>
      <c r="B630" s="85"/>
      <c r="C630" s="85"/>
      <c r="D630" s="85"/>
    </row>
    <row r="631">
      <c r="A631" s="85"/>
      <c r="B631" s="85"/>
      <c r="C631" s="85"/>
      <c r="D631" s="85"/>
    </row>
    <row r="632">
      <c r="A632" s="85"/>
      <c r="B632" s="85"/>
      <c r="C632" s="85"/>
      <c r="D632" s="85"/>
    </row>
    <row r="633">
      <c r="A633" s="85"/>
      <c r="B633" s="85"/>
      <c r="C633" s="85"/>
      <c r="D633" s="85"/>
    </row>
    <row r="634">
      <c r="A634" s="85"/>
      <c r="B634" s="85"/>
      <c r="C634" s="85"/>
      <c r="D634" s="85"/>
    </row>
    <row r="635">
      <c r="A635" s="85"/>
      <c r="B635" s="85"/>
      <c r="C635" s="85"/>
      <c r="D635" s="85"/>
    </row>
    <row r="636">
      <c r="A636" s="85"/>
      <c r="B636" s="85"/>
      <c r="C636" s="85"/>
      <c r="D636" s="85"/>
    </row>
    <row r="637">
      <c r="A637" s="85"/>
      <c r="B637" s="85"/>
      <c r="C637" s="85"/>
      <c r="D637" s="85"/>
    </row>
    <row r="638">
      <c r="A638" s="85"/>
      <c r="B638" s="85"/>
      <c r="C638" s="85"/>
      <c r="D638" s="85"/>
    </row>
    <row r="639">
      <c r="A639" s="85"/>
      <c r="B639" s="85"/>
      <c r="C639" s="85"/>
      <c r="D639" s="85"/>
    </row>
    <row r="640">
      <c r="A640" s="85"/>
      <c r="B640" s="85"/>
      <c r="C640" s="85"/>
      <c r="D640" s="85"/>
    </row>
    <row r="641">
      <c r="A641" s="85"/>
      <c r="B641" s="85"/>
      <c r="C641" s="85"/>
      <c r="D641" s="85"/>
    </row>
    <row r="642">
      <c r="A642" s="85"/>
      <c r="B642" s="85"/>
      <c r="C642" s="85"/>
      <c r="D642" s="85"/>
    </row>
    <row r="643">
      <c r="A643" s="85"/>
      <c r="B643" s="85"/>
      <c r="C643" s="85"/>
      <c r="D643" s="85"/>
    </row>
    <row r="644">
      <c r="A644" s="85"/>
      <c r="B644" s="85"/>
      <c r="C644" s="85"/>
      <c r="D644" s="85"/>
    </row>
    <row r="645">
      <c r="A645" s="85"/>
      <c r="B645" s="85"/>
      <c r="C645" s="85"/>
      <c r="D645" s="85"/>
    </row>
    <row r="646">
      <c r="A646" s="85"/>
      <c r="B646" s="85"/>
      <c r="C646" s="85"/>
      <c r="D646" s="85"/>
    </row>
    <row r="647">
      <c r="A647" s="85"/>
      <c r="B647" s="85"/>
      <c r="C647" s="85"/>
      <c r="D647" s="85"/>
    </row>
    <row r="648">
      <c r="A648" s="85"/>
      <c r="B648" s="85"/>
      <c r="C648" s="85"/>
      <c r="D648" s="85"/>
    </row>
    <row r="649">
      <c r="A649" s="85"/>
      <c r="B649" s="85"/>
      <c r="C649" s="85"/>
      <c r="D649" s="85"/>
    </row>
    <row r="650">
      <c r="A650" s="85"/>
      <c r="B650" s="85"/>
      <c r="C650" s="85"/>
      <c r="D650" s="85"/>
    </row>
    <row r="651">
      <c r="A651" s="85"/>
      <c r="B651" s="85"/>
      <c r="C651" s="85"/>
      <c r="D651" s="85"/>
    </row>
    <row r="652">
      <c r="A652" s="85"/>
      <c r="B652" s="85"/>
      <c r="C652" s="85"/>
      <c r="D652" s="85"/>
    </row>
    <row r="653">
      <c r="A653" s="85"/>
      <c r="B653" s="85"/>
      <c r="C653" s="85"/>
      <c r="D653" s="85"/>
    </row>
    <row r="654">
      <c r="A654" s="85"/>
      <c r="B654" s="85"/>
      <c r="C654" s="85"/>
      <c r="D654" s="85"/>
    </row>
    <row r="655">
      <c r="A655" s="85"/>
      <c r="B655" s="85"/>
      <c r="C655" s="85"/>
      <c r="D655" s="85"/>
    </row>
    <row r="656">
      <c r="A656" s="85"/>
      <c r="B656" s="85"/>
      <c r="C656" s="85"/>
      <c r="D656" s="85"/>
    </row>
    <row r="657">
      <c r="A657" s="85"/>
      <c r="B657" s="85"/>
      <c r="C657" s="85"/>
      <c r="D657" s="85"/>
    </row>
    <row r="658">
      <c r="A658" s="85"/>
      <c r="B658" s="85"/>
      <c r="C658" s="85"/>
      <c r="D658" s="85"/>
    </row>
    <row r="659">
      <c r="A659" s="85"/>
      <c r="B659" s="85"/>
      <c r="C659" s="85"/>
      <c r="D659" s="85"/>
    </row>
    <row r="660">
      <c r="A660" s="85"/>
      <c r="B660" s="85"/>
      <c r="C660" s="85"/>
      <c r="D660" s="85"/>
    </row>
    <row r="661">
      <c r="A661" s="85"/>
      <c r="B661" s="85"/>
      <c r="C661" s="85"/>
      <c r="D661" s="85"/>
    </row>
    <row r="662">
      <c r="A662" s="85"/>
      <c r="B662" s="85"/>
      <c r="C662" s="85"/>
      <c r="D662" s="85"/>
    </row>
    <row r="663">
      <c r="A663" s="85"/>
      <c r="B663" s="85"/>
      <c r="C663" s="85"/>
      <c r="D663" s="85"/>
    </row>
    <row r="664">
      <c r="A664" s="85"/>
      <c r="B664" s="85"/>
      <c r="C664" s="85"/>
      <c r="D664" s="85"/>
    </row>
    <row r="665">
      <c r="A665" s="85"/>
      <c r="B665" s="85"/>
      <c r="C665" s="85"/>
      <c r="D665" s="85"/>
    </row>
    <row r="666">
      <c r="A666" s="85"/>
      <c r="B666" s="85"/>
      <c r="C666" s="85"/>
      <c r="D666" s="85"/>
    </row>
    <row r="667">
      <c r="A667" s="85"/>
      <c r="B667" s="85"/>
      <c r="C667" s="85"/>
      <c r="D667" s="85"/>
    </row>
    <row r="668">
      <c r="A668" s="85"/>
      <c r="B668" s="85"/>
      <c r="C668" s="85"/>
      <c r="D668" s="85"/>
    </row>
    <row r="669">
      <c r="A669" s="85"/>
      <c r="B669" s="85"/>
      <c r="C669" s="85"/>
      <c r="D669" s="85"/>
    </row>
    <row r="670">
      <c r="A670" s="85"/>
      <c r="B670" s="85"/>
      <c r="C670" s="85"/>
      <c r="D670" s="85"/>
    </row>
    <row r="671">
      <c r="A671" s="85"/>
      <c r="B671" s="85"/>
      <c r="C671" s="85"/>
      <c r="D671" s="85"/>
    </row>
    <row r="672">
      <c r="A672" s="85"/>
      <c r="B672" s="85"/>
      <c r="C672" s="85"/>
      <c r="D672" s="85"/>
    </row>
    <row r="673">
      <c r="A673" s="85"/>
      <c r="B673" s="85"/>
      <c r="C673" s="85"/>
      <c r="D673" s="85"/>
    </row>
    <row r="674">
      <c r="A674" s="85"/>
      <c r="B674" s="85"/>
      <c r="C674" s="85"/>
      <c r="D674" s="85"/>
    </row>
    <row r="675">
      <c r="A675" s="85"/>
      <c r="B675" s="85"/>
      <c r="C675" s="85"/>
      <c r="D675" s="85"/>
    </row>
    <row r="676">
      <c r="A676" s="85"/>
      <c r="B676" s="85"/>
      <c r="C676" s="85"/>
      <c r="D676" s="85"/>
    </row>
    <row r="677">
      <c r="A677" s="85"/>
      <c r="B677" s="85"/>
      <c r="C677" s="85"/>
      <c r="D677" s="85"/>
    </row>
    <row r="678">
      <c r="A678" s="85"/>
      <c r="B678" s="85"/>
      <c r="C678" s="85"/>
      <c r="D678" s="85"/>
    </row>
    <row r="679">
      <c r="A679" s="85"/>
      <c r="B679" s="85"/>
      <c r="C679" s="85"/>
      <c r="D679" s="85"/>
    </row>
    <row r="680">
      <c r="A680" s="85"/>
      <c r="B680" s="85"/>
      <c r="C680" s="85"/>
      <c r="D680" s="85"/>
    </row>
    <row r="681">
      <c r="A681" s="85"/>
      <c r="B681" s="85"/>
      <c r="C681" s="85"/>
      <c r="D681" s="85"/>
    </row>
    <row r="682">
      <c r="A682" s="85"/>
      <c r="B682" s="85"/>
      <c r="C682" s="85"/>
      <c r="D682" s="85"/>
    </row>
    <row r="683">
      <c r="A683" s="85"/>
      <c r="B683" s="85"/>
      <c r="C683" s="85"/>
      <c r="D683" s="85"/>
    </row>
    <row r="684">
      <c r="A684" s="85"/>
      <c r="B684" s="85"/>
      <c r="C684" s="85"/>
      <c r="D684" s="85"/>
    </row>
    <row r="685">
      <c r="A685" s="85"/>
      <c r="B685" s="85"/>
      <c r="C685" s="85"/>
      <c r="D685" s="85"/>
    </row>
    <row r="686">
      <c r="A686" s="85"/>
      <c r="B686" s="85"/>
      <c r="C686" s="85"/>
      <c r="D686" s="85"/>
    </row>
    <row r="687">
      <c r="A687" s="85"/>
      <c r="B687" s="85"/>
      <c r="C687" s="85"/>
      <c r="D687" s="85"/>
    </row>
    <row r="688">
      <c r="A688" s="85"/>
      <c r="B688" s="85"/>
      <c r="C688" s="85"/>
      <c r="D688" s="85"/>
    </row>
    <row r="689">
      <c r="A689" s="85"/>
      <c r="B689" s="85"/>
      <c r="C689" s="85"/>
      <c r="D689" s="85"/>
    </row>
    <row r="690">
      <c r="A690" s="85"/>
      <c r="B690" s="85"/>
      <c r="C690" s="85"/>
      <c r="D690" s="85"/>
    </row>
    <row r="691">
      <c r="A691" s="85"/>
      <c r="B691" s="85"/>
      <c r="C691" s="85"/>
      <c r="D691" s="85"/>
    </row>
    <row r="692">
      <c r="A692" s="85"/>
      <c r="B692" s="85"/>
      <c r="C692" s="85"/>
      <c r="D692" s="85"/>
    </row>
    <row r="693">
      <c r="A693" s="85"/>
      <c r="B693" s="85"/>
      <c r="C693" s="85"/>
      <c r="D693" s="85"/>
    </row>
    <row r="694">
      <c r="A694" s="85"/>
      <c r="B694" s="85"/>
      <c r="C694" s="85"/>
      <c r="D694" s="85"/>
    </row>
    <row r="695">
      <c r="A695" s="85"/>
      <c r="B695" s="85"/>
      <c r="C695" s="85"/>
      <c r="D695" s="85"/>
    </row>
    <row r="696">
      <c r="A696" s="85"/>
      <c r="B696" s="85"/>
      <c r="C696" s="85"/>
      <c r="D696" s="85"/>
    </row>
    <row r="697">
      <c r="A697" s="85"/>
      <c r="B697" s="85"/>
      <c r="C697" s="85"/>
      <c r="D697" s="85"/>
    </row>
    <row r="698">
      <c r="A698" s="85"/>
      <c r="B698" s="85"/>
      <c r="C698" s="85"/>
      <c r="D698" s="85"/>
    </row>
    <row r="699">
      <c r="A699" s="85"/>
      <c r="B699" s="85"/>
      <c r="C699" s="85"/>
      <c r="D699" s="85"/>
    </row>
    <row r="700">
      <c r="A700" s="85"/>
      <c r="B700" s="85"/>
      <c r="C700" s="85"/>
      <c r="D700" s="85"/>
    </row>
    <row r="701">
      <c r="A701" s="85"/>
      <c r="B701" s="85"/>
      <c r="C701" s="85"/>
      <c r="D701" s="85"/>
    </row>
    <row r="702">
      <c r="A702" s="85"/>
      <c r="B702" s="85"/>
      <c r="C702" s="85"/>
      <c r="D702" s="85"/>
    </row>
    <row r="703">
      <c r="A703" s="85"/>
      <c r="B703" s="85"/>
      <c r="C703" s="85"/>
      <c r="D703" s="85"/>
    </row>
    <row r="704">
      <c r="A704" s="85"/>
      <c r="B704" s="85"/>
      <c r="C704" s="85"/>
      <c r="D704" s="85"/>
    </row>
    <row r="705">
      <c r="A705" s="85"/>
      <c r="B705" s="85"/>
      <c r="C705" s="85"/>
      <c r="D705" s="85"/>
    </row>
    <row r="706">
      <c r="A706" s="85"/>
      <c r="B706" s="85"/>
      <c r="C706" s="85"/>
      <c r="D706" s="85"/>
    </row>
    <row r="707">
      <c r="A707" s="85"/>
      <c r="B707" s="85"/>
      <c r="C707" s="85"/>
      <c r="D707" s="85"/>
    </row>
    <row r="708">
      <c r="A708" s="85"/>
      <c r="B708" s="85"/>
      <c r="C708" s="85"/>
      <c r="D708" s="85"/>
    </row>
    <row r="709">
      <c r="A709" s="85"/>
      <c r="B709" s="85"/>
      <c r="C709" s="85"/>
      <c r="D709" s="85"/>
    </row>
    <row r="710">
      <c r="A710" s="85"/>
      <c r="B710" s="85"/>
      <c r="C710" s="85"/>
      <c r="D710" s="85"/>
    </row>
    <row r="711">
      <c r="A711" s="85"/>
      <c r="B711" s="85"/>
      <c r="C711" s="85"/>
      <c r="D711" s="85"/>
    </row>
    <row r="712">
      <c r="A712" s="85"/>
      <c r="B712" s="85"/>
      <c r="C712" s="85"/>
      <c r="D712" s="85"/>
    </row>
    <row r="713">
      <c r="A713" s="85"/>
      <c r="B713" s="85"/>
      <c r="C713" s="85"/>
      <c r="D713" s="85"/>
    </row>
    <row r="714">
      <c r="A714" s="85"/>
      <c r="B714" s="85"/>
      <c r="C714" s="85"/>
      <c r="D714" s="85"/>
    </row>
    <row r="715">
      <c r="A715" s="85"/>
      <c r="B715" s="85"/>
      <c r="C715" s="85"/>
      <c r="D715" s="85"/>
    </row>
    <row r="716">
      <c r="A716" s="85"/>
      <c r="B716" s="85"/>
      <c r="C716" s="85"/>
      <c r="D716" s="85"/>
    </row>
    <row r="717">
      <c r="A717" s="85"/>
      <c r="B717" s="85"/>
      <c r="C717" s="85"/>
      <c r="D717" s="85"/>
    </row>
    <row r="718">
      <c r="A718" s="85"/>
      <c r="B718" s="85"/>
      <c r="C718" s="85"/>
      <c r="D718" s="85"/>
    </row>
    <row r="719">
      <c r="A719" s="85"/>
      <c r="B719" s="85"/>
      <c r="C719" s="85"/>
      <c r="D719" s="85"/>
    </row>
    <row r="720">
      <c r="A720" s="85"/>
      <c r="B720" s="85"/>
      <c r="C720" s="85"/>
      <c r="D720" s="85"/>
    </row>
    <row r="721">
      <c r="A721" s="85"/>
      <c r="B721" s="85"/>
      <c r="C721" s="85"/>
      <c r="D721" s="85"/>
    </row>
    <row r="722">
      <c r="A722" s="85"/>
      <c r="B722" s="85"/>
      <c r="C722" s="85"/>
      <c r="D722" s="85"/>
    </row>
    <row r="723">
      <c r="A723" s="85"/>
      <c r="B723" s="85"/>
      <c r="C723" s="85"/>
      <c r="D723" s="85"/>
    </row>
    <row r="724">
      <c r="A724" s="85"/>
      <c r="B724" s="85"/>
      <c r="C724" s="85"/>
      <c r="D724" s="85"/>
    </row>
    <row r="725">
      <c r="A725" s="85"/>
      <c r="B725" s="85"/>
      <c r="C725" s="85"/>
      <c r="D725" s="85"/>
    </row>
    <row r="726">
      <c r="A726" s="85"/>
      <c r="B726" s="85"/>
      <c r="C726" s="85"/>
      <c r="D726" s="85"/>
    </row>
    <row r="727">
      <c r="A727" s="85"/>
      <c r="B727" s="85"/>
      <c r="C727" s="85"/>
      <c r="D727" s="85"/>
    </row>
    <row r="728">
      <c r="A728" s="85"/>
      <c r="B728" s="85"/>
      <c r="C728" s="85"/>
      <c r="D728" s="85"/>
    </row>
    <row r="729">
      <c r="A729" s="85"/>
      <c r="B729" s="85"/>
      <c r="C729" s="85"/>
      <c r="D729" s="85"/>
    </row>
    <row r="730">
      <c r="A730" s="85"/>
      <c r="B730" s="85"/>
      <c r="C730" s="85"/>
      <c r="D730" s="85"/>
    </row>
    <row r="731">
      <c r="A731" s="85"/>
      <c r="B731" s="85"/>
      <c r="C731" s="85"/>
      <c r="D731" s="85"/>
    </row>
    <row r="732">
      <c r="A732" s="85"/>
      <c r="B732" s="85"/>
      <c r="C732" s="85"/>
      <c r="D732" s="85"/>
    </row>
    <row r="733">
      <c r="A733" s="85"/>
      <c r="B733" s="85"/>
      <c r="C733" s="85"/>
      <c r="D733" s="85"/>
    </row>
    <row r="734">
      <c r="A734" s="85"/>
      <c r="B734" s="85"/>
      <c r="C734" s="85"/>
      <c r="D734" s="85"/>
    </row>
    <row r="735">
      <c r="A735" s="85"/>
      <c r="B735" s="85"/>
      <c r="C735" s="85"/>
      <c r="D735" s="85"/>
    </row>
    <row r="736">
      <c r="A736" s="85"/>
      <c r="B736" s="85"/>
      <c r="C736" s="85"/>
      <c r="D736" s="85"/>
    </row>
    <row r="737">
      <c r="A737" s="85"/>
      <c r="B737" s="85"/>
      <c r="C737" s="85"/>
      <c r="D737" s="85"/>
    </row>
    <row r="738">
      <c r="A738" s="85"/>
      <c r="B738" s="85"/>
      <c r="C738" s="85"/>
      <c r="D738" s="85"/>
    </row>
    <row r="739">
      <c r="A739" s="85"/>
      <c r="B739" s="85"/>
      <c r="C739" s="85"/>
      <c r="D739" s="85"/>
    </row>
    <row r="740">
      <c r="A740" s="85"/>
      <c r="B740" s="85"/>
      <c r="C740" s="85"/>
      <c r="D740" s="85"/>
    </row>
    <row r="741">
      <c r="A741" s="85"/>
      <c r="B741" s="85"/>
      <c r="C741" s="85"/>
      <c r="D741" s="85"/>
    </row>
    <row r="742">
      <c r="A742" s="85"/>
      <c r="B742" s="85"/>
      <c r="C742" s="85"/>
      <c r="D742" s="85"/>
    </row>
    <row r="743">
      <c r="A743" s="85"/>
      <c r="B743" s="85"/>
      <c r="C743" s="85"/>
      <c r="D743" s="85"/>
    </row>
    <row r="744">
      <c r="A744" s="85"/>
      <c r="B744" s="85"/>
      <c r="C744" s="85"/>
      <c r="D744" s="85"/>
    </row>
    <row r="745">
      <c r="A745" s="85"/>
      <c r="B745" s="85"/>
      <c r="C745" s="85"/>
      <c r="D745" s="85"/>
    </row>
    <row r="746">
      <c r="A746" s="85"/>
      <c r="B746" s="85"/>
      <c r="C746" s="85"/>
      <c r="D746" s="85"/>
    </row>
    <row r="747">
      <c r="A747" s="85"/>
      <c r="B747" s="85"/>
      <c r="C747" s="85"/>
      <c r="D747" s="85"/>
    </row>
    <row r="748">
      <c r="A748" s="85"/>
      <c r="B748" s="85"/>
      <c r="C748" s="85"/>
      <c r="D748" s="85"/>
    </row>
    <row r="749">
      <c r="A749" s="85"/>
      <c r="B749" s="85"/>
      <c r="C749" s="85"/>
      <c r="D749" s="85"/>
    </row>
    <row r="750">
      <c r="A750" s="85"/>
      <c r="B750" s="85"/>
      <c r="C750" s="85"/>
      <c r="D750" s="85"/>
    </row>
    <row r="751">
      <c r="A751" s="85"/>
      <c r="B751" s="85"/>
      <c r="C751" s="85"/>
      <c r="D751" s="85"/>
    </row>
    <row r="752">
      <c r="A752" s="85"/>
      <c r="B752" s="85"/>
      <c r="C752" s="85"/>
      <c r="D752" s="85"/>
    </row>
    <row r="753">
      <c r="A753" s="85"/>
      <c r="B753" s="85"/>
      <c r="C753" s="85"/>
      <c r="D753" s="85"/>
    </row>
    <row r="754">
      <c r="A754" s="85"/>
      <c r="B754" s="85"/>
      <c r="C754" s="85"/>
      <c r="D754" s="85"/>
    </row>
    <row r="755">
      <c r="A755" s="85"/>
      <c r="B755" s="85"/>
      <c r="C755" s="85"/>
      <c r="D755" s="85"/>
    </row>
    <row r="756">
      <c r="A756" s="85"/>
      <c r="B756" s="85"/>
      <c r="C756" s="85"/>
      <c r="D756" s="85"/>
    </row>
    <row r="757">
      <c r="A757" s="85"/>
      <c r="B757" s="85"/>
      <c r="C757" s="85"/>
      <c r="D757" s="85"/>
    </row>
    <row r="758">
      <c r="A758" s="85"/>
      <c r="B758" s="85"/>
      <c r="C758" s="85"/>
      <c r="D758" s="85"/>
    </row>
    <row r="759">
      <c r="A759" s="85"/>
      <c r="B759" s="85"/>
      <c r="C759" s="85"/>
      <c r="D759" s="85"/>
    </row>
    <row r="760">
      <c r="A760" s="85"/>
      <c r="B760" s="85"/>
      <c r="C760" s="85"/>
      <c r="D760" s="85"/>
    </row>
    <row r="761">
      <c r="A761" s="85"/>
      <c r="B761" s="85"/>
      <c r="C761" s="85"/>
      <c r="D761" s="85"/>
    </row>
    <row r="762">
      <c r="A762" s="85"/>
      <c r="B762" s="85"/>
      <c r="C762" s="85"/>
      <c r="D762" s="85"/>
    </row>
    <row r="763">
      <c r="A763" s="85"/>
      <c r="B763" s="85"/>
      <c r="C763" s="85"/>
      <c r="D763" s="85"/>
    </row>
    <row r="764">
      <c r="A764" s="85"/>
      <c r="B764" s="85"/>
      <c r="C764" s="85"/>
      <c r="D764" s="85"/>
    </row>
    <row r="765">
      <c r="A765" s="85"/>
      <c r="B765" s="85"/>
      <c r="C765" s="85"/>
      <c r="D765" s="85"/>
    </row>
    <row r="766">
      <c r="A766" s="85"/>
      <c r="B766" s="85"/>
      <c r="C766" s="85"/>
      <c r="D766" s="85"/>
    </row>
    <row r="767">
      <c r="A767" s="85"/>
      <c r="B767" s="85"/>
      <c r="C767" s="85"/>
      <c r="D767" s="85"/>
    </row>
    <row r="768">
      <c r="A768" s="85"/>
      <c r="B768" s="85"/>
      <c r="C768" s="85"/>
      <c r="D768" s="85"/>
    </row>
    <row r="769">
      <c r="A769" s="85"/>
      <c r="B769" s="85"/>
      <c r="C769" s="85"/>
      <c r="D769" s="85"/>
    </row>
    <row r="770">
      <c r="A770" s="85"/>
      <c r="B770" s="85"/>
      <c r="C770" s="85"/>
      <c r="D770" s="85"/>
    </row>
    <row r="771">
      <c r="A771" s="85"/>
      <c r="B771" s="85"/>
      <c r="C771" s="85"/>
      <c r="D771" s="85"/>
    </row>
    <row r="772">
      <c r="A772" s="85"/>
      <c r="B772" s="85"/>
      <c r="C772" s="85"/>
      <c r="D772" s="85"/>
    </row>
    <row r="773">
      <c r="A773" s="85"/>
      <c r="B773" s="85"/>
      <c r="C773" s="85"/>
      <c r="D773" s="85"/>
    </row>
    <row r="774">
      <c r="A774" s="85"/>
      <c r="B774" s="85"/>
      <c r="C774" s="85"/>
      <c r="D774" s="85"/>
    </row>
    <row r="775">
      <c r="A775" s="85"/>
      <c r="B775" s="85"/>
      <c r="C775" s="85"/>
      <c r="D775" s="85"/>
    </row>
    <row r="776">
      <c r="A776" s="85"/>
      <c r="B776" s="85"/>
      <c r="C776" s="85"/>
      <c r="D776" s="85"/>
    </row>
    <row r="777">
      <c r="A777" s="85"/>
      <c r="B777" s="85"/>
      <c r="C777" s="85"/>
      <c r="D777" s="85"/>
    </row>
    <row r="778">
      <c r="A778" s="85"/>
      <c r="B778" s="85"/>
      <c r="C778" s="85"/>
      <c r="D778" s="85"/>
    </row>
    <row r="779">
      <c r="A779" s="85"/>
      <c r="B779" s="85"/>
      <c r="C779" s="85"/>
      <c r="D779" s="85"/>
    </row>
    <row r="780">
      <c r="A780" s="85"/>
      <c r="B780" s="85"/>
      <c r="C780" s="85"/>
      <c r="D780" s="85"/>
    </row>
    <row r="781">
      <c r="A781" s="85"/>
      <c r="B781" s="85"/>
      <c r="C781" s="85"/>
      <c r="D781" s="85"/>
    </row>
    <row r="782">
      <c r="A782" s="85"/>
      <c r="B782" s="85"/>
      <c r="C782" s="85"/>
      <c r="D782" s="85"/>
    </row>
    <row r="783">
      <c r="A783" s="85"/>
      <c r="B783" s="85"/>
      <c r="C783" s="85"/>
      <c r="D783" s="85"/>
    </row>
    <row r="784">
      <c r="A784" s="85"/>
      <c r="B784" s="85"/>
      <c r="C784" s="85"/>
      <c r="D784" s="85"/>
    </row>
    <row r="785">
      <c r="A785" s="85"/>
      <c r="B785" s="85"/>
      <c r="C785" s="85"/>
      <c r="D785" s="85"/>
    </row>
    <row r="786">
      <c r="A786" s="85"/>
      <c r="B786" s="85"/>
      <c r="C786" s="85"/>
      <c r="D786" s="85"/>
    </row>
    <row r="787">
      <c r="A787" s="85"/>
      <c r="B787" s="85"/>
      <c r="C787" s="85"/>
      <c r="D787" s="85"/>
    </row>
    <row r="788">
      <c r="A788" s="85"/>
      <c r="B788" s="85"/>
      <c r="C788" s="85"/>
      <c r="D788" s="85"/>
    </row>
    <row r="789">
      <c r="A789" s="85"/>
      <c r="B789" s="85"/>
      <c r="C789" s="85"/>
      <c r="D789" s="85"/>
    </row>
    <row r="790">
      <c r="A790" s="85"/>
      <c r="B790" s="85"/>
      <c r="C790" s="85"/>
      <c r="D790" s="85"/>
    </row>
    <row r="791">
      <c r="A791" s="85"/>
      <c r="B791" s="85"/>
      <c r="C791" s="85"/>
      <c r="D791" s="85"/>
    </row>
    <row r="792">
      <c r="A792" s="85"/>
      <c r="B792" s="85"/>
      <c r="C792" s="85"/>
      <c r="D792" s="85"/>
    </row>
    <row r="793">
      <c r="A793" s="85"/>
      <c r="B793" s="85"/>
      <c r="C793" s="85"/>
      <c r="D793" s="85"/>
    </row>
    <row r="794">
      <c r="A794" s="85"/>
      <c r="B794" s="85"/>
      <c r="C794" s="85"/>
      <c r="D794" s="85"/>
    </row>
    <row r="795">
      <c r="A795" s="85"/>
      <c r="B795" s="85"/>
      <c r="C795" s="85"/>
      <c r="D795" s="85"/>
    </row>
    <row r="796">
      <c r="A796" s="85"/>
      <c r="B796" s="85"/>
      <c r="C796" s="85"/>
      <c r="D796" s="85"/>
    </row>
    <row r="797">
      <c r="A797" s="85"/>
      <c r="B797" s="85"/>
      <c r="C797" s="85"/>
      <c r="D797" s="85"/>
    </row>
    <row r="798">
      <c r="A798" s="85"/>
      <c r="B798" s="85"/>
      <c r="C798" s="85"/>
      <c r="D798" s="85"/>
    </row>
    <row r="799">
      <c r="A799" s="85"/>
      <c r="B799" s="85"/>
      <c r="C799" s="85"/>
      <c r="D799" s="85"/>
    </row>
    <row r="800">
      <c r="A800" s="85"/>
      <c r="B800" s="85"/>
      <c r="C800" s="85"/>
      <c r="D800" s="85"/>
    </row>
    <row r="801">
      <c r="A801" s="85"/>
      <c r="B801" s="85"/>
      <c r="C801" s="85"/>
      <c r="D801" s="85"/>
    </row>
    <row r="802">
      <c r="A802" s="85"/>
      <c r="B802" s="85"/>
      <c r="C802" s="85"/>
      <c r="D802" s="85"/>
    </row>
    <row r="803">
      <c r="A803" s="85"/>
      <c r="B803" s="85"/>
      <c r="C803" s="85"/>
      <c r="D803" s="85"/>
    </row>
    <row r="804">
      <c r="A804" s="85"/>
      <c r="B804" s="85"/>
      <c r="C804" s="85"/>
      <c r="D804" s="85"/>
    </row>
    <row r="805">
      <c r="A805" s="85"/>
      <c r="B805" s="85"/>
      <c r="C805" s="85"/>
      <c r="D805" s="85"/>
    </row>
    <row r="806">
      <c r="A806" s="85"/>
      <c r="B806" s="85"/>
      <c r="C806" s="85"/>
      <c r="D806" s="85"/>
    </row>
    <row r="807">
      <c r="A807" s="85"/>
      <c r="B807" s="85"/>
      <c r="C807" s="85"/>
      <c r="D807" s="85"/>
    </row>
    <row r="808">
      <c r="A808" s="85"/>
      <c r="B808" s="85"/>
      <c r="C808" s="85"/>
      <c r="D808" s="85"/>
    </row>
    <row r="809">
      <c r="A809" s="85"/>
      <c r="B809" s="85"/>
      <c r="C809" s="85"/>
      <c r="D809" s="85"/>
    </row>
    <row r="810">
      <c r="A810" s="85"/>
      <c r="B810" s="85"/>
      <c r="C810" s="85"/>
      <c r="D810" s="85"/>
    </row>
    <row r="811">
      <c r="A811" s="85"/>
      <c r="B811" s="85"/>
      <c r="C811" s="85"/>
      <c r="D811" s="85"/>
    </row>
    <row r="812">
      <c r="A812" s="85"/>
      <c r="B812" s="85"/>
      <c r="C812" s="85"/>
      <c r="D812" s="85"/>
    </row>
    <row r="813">
      <c r="A813" s="85"/>
      <c r="B813" s="85"/>
      <c r="C813" s="85"/>
      <c r="D813" s="85"/>
    </row>
    <row r="814">
      <c r="A814" s="85"/>
      <c r="B814" s="85"/>
      <c r="C814" s="85"/>
      <c r="D814" s="85"/>
    </row>
    <row r="815">
      <c r="A815" s="85"/>
      <c r="B815" s="85"/>
      <c r="C815" s="85"/>
      <c r="D815" s="85"/>
    </row>
    <row r="816">
      <c r="A816" s="85"/>
      <c r="B816" s="85"/>
      <c r="C816" s="85"/>
      <c r="D816" s="85"/>
    </row>
    <row r="817">
      <c r="A817" s="85"/>
      <c r="B817" s="85"/>
      <c r="C817" s="85"/>
      <c r="D817" s="85"/>
    </row>
    <row r="818">
      <c r="A818" s="85"/>
      <c r="B818" s="85"/>
      <c r="C818" s="85"/>
      <c r="D818" s="85"/>
    </row>
    <row r="819">
      <c r="A819" s="85"/>
      <c r="B819" s="85"/>
      <c r="C819" s="85"/>
      <c r="D819" s="85"/>
    </row>
    <row r="820">
      <c r="A820" s="85"/>
      <c r="B820" s="85"/>
      <c r="C820" s="85"/>
      <c r="D820" s="85"/>
    </row>
    <row r="821">
      <c r="A821" s="85"/>
      <c r="B821" s="85"/>
      <c r="C821" s="85"/>
      <c r="D821" s="85"/>
    </row>
    <row r="822">
      <c r="A822" s="85"/>
      <c r="B822" s="85"/>
      <c r="C822" s="85"/>
      <c r="D822" s="85"/>
    </row>
    <row r="823">
      <c r="A823" s="85"/>
      <c r="B823" s="85"/>
      <c r="C823" s="85"/>
      <c r="D823" s="85"/>
    </row>
    <row r="824">
      <c r="A824" s="85"/>
      <c r="B824" s="85"/>
      <c r="C824" s="85"/>
      <c r="D824" s="85"/>
    </row>
    <row r="825">
      <c r="A825" s="85"/>
      <c r="B825" s="85"/>
      <c r="C825" s="85"/>
      <c r="D825" s="85"/>
    </row>
    <row r="826">
      <c r="A826" s="85"/>
      <c r="B826" s="85"/>
      <c r="C826" s="85"/>
      <c r="D826" s="85"/>
    </row>
    <row r="827">
      <c r="A827" s="85"/>
      <c r="B827" s="85"/>
      <c r="C827" s="85"/>
      <c r="D827" s="85"/>
    </row>
    <row r="828">
      <c r="A828" s="85"/>
      <c r="B828" s="85"/>
      <c r="C828" s="85"/>
      <c r="D828" s="85"/>
    </row>
    <row r="829">
      <c r="A829" s="85"/>
      <c r="B829" s="85"/>
      <c r="C829" s="85"/>
      <c r="D829" s="85"/>
    </row>
    <row r="830">
      <c r="A830" s="85"/>
      <c r="B830" s="85"/>
      <c r="C830" s="85"/>
      <c r="D830" s="85"/>
    </row>
    <row r="831">
      <c r="A831" s="85"/>
      <c r="B831" s="85"/>
      <c r="C831" s="85"/>
      <c r="D831" s="85"/>
    </row>
    <row r="832">
      <c r="A832" s="85"/>
      <c r="B832" s="85"/>
      <c r="C832" s="85"/>
      <c r="D832" s="85"/>
    </row>
    <row r="833">
      <c r="A833" s="85"/>
      <c r="B833" s="85"/>
      <c r="C833" s="85"/>
      <c r="D833" s="85"/>
    </row>
    <row r="834">
      <c r="A834" s="85"/>
      <c r="B834" s="85"/>
      <c r="C834" s="85"/>
      <c r="D834" s="85"/>
    </row>
    <row r="835">
      <c r="A835" s="85"/>
      <c r="B835" s="85"/>
      <c r="C835" s="85"/>
      <c r="D835" s="85"/>
    </row>
    <row r="836">
      <c r="A836" s="85"/>
      <c r="B836" s="85"/>
      <c r="C836" s="85"/>
      <c r="D836" s="85"/>
    </row>
    <row r="837">
      <c r="A837" s="85"/>
      <c r="B837" s="85"/>
      <c r="C837" s="85"/>
      <c r="D837" s="85"/>
    </row>
    <row r="838">
      <c r="A838" s="85"/>
      <c r="B838" s="85"/>
      <c r="C838" s="85"/>
      <c r="D838" s="85"/>
    </row>
    <row r="839">
      <c r="A839" s="85"/>
      <c r="B839" s="85"/>
      <c r="C839" s="85"/>
      <c r="D839" s="85"/>
    </row>
    <row r="840">
      <c r="A840" s="85"/>
      <c r="B840" s="85"/>
      <c r="C840" s="85"/>
      <c r="D840" s="85"/>
    </row>
    <row r="841">
      <c r="A841" s="85"/>
      <c r="B841" s="85"/>
      <c r="C841" s="85"/>
      <c r="D841" s="85"/>
    </row>
    <row r="842">
      <c r="A842" s="85"/>
      <c r="B842" s="85"/>
      <c r="C842" s="85"/>
      <c r="D842" s="85"/>
    </row>
    <row r="843">
      <c r="A843" s="85"/>
      <c r="B843" s="85"/>
      <c r="C843" s="85"/>
      <c r="D843" s="85"/>
    </row>
    <row r="844">
      <c r="A844" s="85"/>
      <c r="B844" s="85"/>
      <c r="C844" s="85"/>
      <c r="D844" s="85"/>
    </row>
    <row r="845">
      <c r="A845" s="85"/>
      <c r="B845" s="85"/>
      <c r="C845" s="85"/>
      <c r="D845" s="85"/>
    </row>
    <row r="846">
      <c r="A846" s="85"/>
      <c r="B846" s="85"/>
      <c r="C846" s="85"/>
      <c r="D846" s="85"/>
    </row>
    <row r="847">
      <c r="A847" s="85"/>
      <c r="B847" s="85"/>
      <c r="C847" s="85"/>
      <c r="D847" s="85"/>
    </row>
    <row r="848">
      <c r="A848" s="85"/>
      <c r="B848" s="85"/>
      <c r="C848" s="85"/>
      <c r="D848" s="85"/>
    </row>
    <row r="849">
      <c r="A849" s="85"/>
      <c r="B849" s="85"/>
      <c r="C849" s="85"/>
      <c r="D849" s="85"/>
    </row>
    <row r="850">
      <c r="A850" s="85"/>
      <c r="B850" s="85"/>
      <c r="C850" s="85"/>
      <c r="D850" s="85"/>
    </row>
    <row r="851">
      <c r="A851" s="85"/>
      <c r="B851" s="85"/>
      <c r="C851" s="85"/>
      <c r="D851" s="85"/>
    </row>
    <row r="852">
      <c r="A852" s="85"/>
      <c r="B852" s="85"/>
      <c r="C852" s="85"/>
      <c r="D852" s="85"/>
    </row>
    <row r="853">
      <c r="A853" s="85"/>
      <c r="B853" s="85"/>
      <c r="C853" s="85"/>
      <c r="D853" s="85"/>
    </row>
    <row r="854">
      <c r="A854" s="85"/>
      <c r="B854" s="85"/>
      <c r="C854" s="85"/>
      <c r="D854" s="85"/>
    </row>
    <row r="855">
      <c r="A855" s="85"/>
      <c r="B855" s="85"/>
      <c r="C855" s="85"/>
      <c r="D855" s="85"/>
    </row>
    <row r="856">
      <c r="A856" s="85"/>
      <c r="B856" s="85"/>
      <c r="C856" s="85"/>
      <c r="D856" s="85"/>
    </row>
    <row r="857">
      <c r="A857" s="85"/>
      <c r="B857" s="85"/>
      <c r="C857" s="85"/>
      <c r="D857" s="85"/>
    </row>
    <row r="858">
      <c r="A858" s="85"/>
      <c r="B858" s="85"/>
      <c r="C858" s="85"/>
      <c r="D858" s="85"/>
    </row>
    <row r="859">
      <c r="A859" s="85"/>
      <c r="B859" s="85"/>
      <c r="C859" s="85"/>
      <c r="D859" s="85"/>
    </row>
    <row r="860">
      <c r="A860" s="85"/>
      <c r="B860" s="85"/>
      <c r="C860" s="85"/>
      <c r="D860" s="85"/>
    </row>
    <row r="861">
      <c r="A861" s="85"/>
      <c r="B861" s="85"/>
      <c r="C861" s="85"/>
      <c r="D861" s="85"/>
    </row>
    <row r="862">
      <c r="A862" s="85"/>
      <c r="B862" s="85"/>
      <c r="C862" s="85"/>
      <c r="D862" s="85"/>
    </row>
    <row r="863">
      <c r="A863" s="85"/>
      <c r="B863" s="85"/>
      <c r="C863" s="85"/>
      <c r="D863" s="85"/>
    </row>
    <row r="864">
      <c r="A864" s="85"/>
      <c r="B864" s="85"/>
      <c r="C864" s="85"/>
      <c r="D864" s="85"/>
    </row>
    <row r="865">
      <c r="A865" s="85"/>
      <c r="B865" s="85"/>
      <c r="C865" s="85"/>
      <c r="D865" s="85"/>
    </row>
    <row r="866">
      <c r="A866" s="85"/>
      <c r="B866" s="85"/>
      <c r="C866" s="85"/>
      <c r="D866" s="85"/>
    </row>
    <row r="867">
      <c r="A867" s="85"/>
      <c r="B867" s="85"/>
      <c r="C867" s="85"/>
      <c r="D867" s="85"/>
    </row>
    <row r="868">
      <c r="A868" s="85"/>
      <c r="B868" s="85"/>
      <c r="C868" s="85"/>
      <c r="D868" s="85"/>
    </row>
    <row r="869">
      <c r="A869" s="85"/>
      <c r="B869" s="85"/>
      <c r="C869" s="85"/>
      <c r="D869" s="85"/>
    </row>
    <row r="870">
      <c r="A870" s="85"/>
      <c r="B870" s="85"/>
      <c r="C870" s="85"/>
      <c r="D870" s="85"/>
    </row>
    <row r="871">
      <c r="A871" s="85"/>
      <c r="B871" s="85"/>
      <c r="C871" s="85"/>
      <c r="D871" s="85"/>
    </row>
    <row r="872">
      <c r="A872" s="85"/>
      <c r="B872" s="85"/>
      <c r="C872" s="85"/>
      <c r="D872" s="85"/>
    </row>
    <row r="873">
      <c r="A873" s="85"/>
      <c r="B873" s="85"/>
      <c r="C873" s="85"/>
      <c r="D873" s="85"/>
    </row>
    <row r="874">
      <c r="A874" s="85"/>
      <c r="B874" s="85"/>
      <c r="C874" s="85"/>
      <c r="D874" s="85"/>
    </row>
    <row r="875">
      <c r="A875" s="85"/>
      <c r="B875" s="85"/>
      <c r="C875" s="85"/>
      <c r="D875" s="85"/>
    </row>
    <row r="876">
      <c r="A876" s="85"/>
      <c r="B876" s="85"/>
      <c r="C876" s="85"/>
      <c r="D876" s="85"/>
    </row>
    <row r="877">
      <c r="A877" s="85"/>
      <c r="B877" s="85"/>
      <c r="C877" s="85"/>
      <c r="D877" s="85"/>
    </row>
    <row r="878">
      <c r="A878" s="85"/>
      <c r="B878" s="85"/>
      <c r="C878" s="85"/>
      <c r="D878" s="85"/>
    </row>
    <row r="879">
      <c r="A879" s="85"/>
      <c r="B879" s="85"/>
      <c r="C879" s="85"/>
      <c r="D879" s="85"/>
    </row>
    <row r="880">
      <c r="A880" s="85"/>
      <c r="B880" s="85"/>
      <c r="C880" s="85"/>
      <c r="D880" s="85"/>
    </row>
    <row r="881">
      <c r="A881" s="85"/>
      <c r="B881" s="85"/>
      <c r="C881" s="85"/>
      <c r="D881" s="85"/>
    </row>
    <row r="882">
      <c r="A882" s="85"/>
      <c r="B882" s="85"/>
      <c r="C882" s="85"/>
      <c r="D882" s="85"/>
    </row>
    <row r="883">
      <c r="A883" s="85"/>
      <c r="B883" s="85"/>
      <c r="C883" s="85"/>
      <c r="D883" s="85"/>
    </row>
    <row r="884">
      <c r="A884" s="85"/>
      <c r="B884" s="85"/>
      <c r="C884" s="85"/>
      <c r="D884" s="85"/>
    </row>
    <row r="885">
      <c r="A885" s="85"/>
      <c r="B885" s="85"/>
      <c r="C885" s="85"/>
      <c r="D885" s="85"/>
    </row>
    <row r="886">
      <c r="A886" s="85"/>
      <c r="B886" s="85"/>
      <c r="C886" s="85"/>
      <c r="D886" s="85"/>
    </row>
    <row r="887">
      <c r="A887" s="85"/>
      <c r="B887" s="85"/>
      <c r="C887" s="85"/>
      <c r="D887" s="85"/>
    </row>
    <row r="888">
      <c r="A888" s="85"/>
      <c r="B888" s="85"/>
      <c r="C888" s="85"/>
      <c r="D888" s="85"/>
    </row>
    <row r="889">
      <c r="A889" s="85"/>
      <c r="B889" s="85"/>
      <c r="C889" s="85"/>
      <c r="D889" s="85"/>
    </row>
    <row r="890">
      <c r="A890" s="85"/>
      <c r="B890" s="85"/>
      <c r="C890" s="85"/>
      <c r="D890" s="85"/>
    </row>
    <row r="891">
      <c r="A891" s="85"/>
      <c r="B891" s="85"/>
      <c r="C891" s="85"/>
      <c r="D891" s="85"/>
    </row>
    <row r="892">
      <c r="A892" s="85"/>
      <c r="B892" s="85"/>
      <c r="C892" s="85"/>
      <c r="D892" s="85"/>
    </row>
    <row r="893">
      <c r="A893" s="85"/>
      <c r="B893" s="85"/>
      <c r="C893" s="85"/>
      <c r="D893" s="85"/>
    </row>
    <row r="894">
      <c r="A894" s="85"/>
      <c r="B894" s="85"/>
      <c r="C894" s="85"/>
      <c r="D894" s="85"/>
    </row>
    <row r="895">
      <c r="A895" s="85"/>
      <c r="B895" s="85"/>
      <c r="C895" s="85"/>
      <c r="D895" s="85"/>
    </row>
    <row r="896">
      <c r="A896" s="85"/>
      <c r="B896" s="85"/>
      <c r="C896" s="85"/>
      <c r="D896" s="85"/>
    </row>
    <row r="897">
      <c r="A897" s="85"/>
      <c r="B897" s="85"/>
      <c r="C897" s="85"/>
      <c r="D897" s="85"/>
    </row>
    <row r="898">
      <c r="A898" s="85"/>
      <c r="B898" s="85"/>
      <c r="C898" s="85"/>
      <c r="D898" s="85"/>
    </row>
    <row r="899">
      <c r="A899" s="85"/>
      <c r="B899" s="85"/>
      <c r="C899" s="85"/>
      <c r="D899" s="85"/>
    </row>
    <row r="900">
      <c r="A900" s="85"/>
      <c r="B900" s="85"/>
      <c r="C900" s="85"/>
      <c r="D900" s="85"/>
    </row>
    <row r="901">
      <c r="A901" s="85"/>
      <c r="B901" s="85"/>
      <c r="C901" s="85"/>
      <c r="D901" s="85"/>
    </row>
    <row r="902">
      <c r="A902" s="85"/>
      <c r="B902" s="85"/>
      <c r="C902" s="85"/>
      <c r="D902" s="85"/>
    </row>
    <row r="903">
      <c r="A903" s="85"/>
      <c r="B903" s="85"/>
      <c r="C903" s="85"/>
      <c r="D903" s="85"/>
    </row>
    <row r="904">
      <c r="A904" s="85"/>
      <c r="B904" s="85"/>
      <c r="C904" s="85"/>
      <c r="D904" s="85"/>
    </row>
    <row r="905">
      <c r="A905" s="85"/>
      <c r="B905" s="85"/>
      <c r="C905" s="85"/>
      <c r="D905" s="85"/>
    </row>
    <row r="906">
      <c r="A906" s="85"/>
      <c r="B906" s="85"/>
      <c r="C906" s="85"/>
      <c r="D906" s="85"/>
    </row>
    <row r="907">
      <c r="A907" s="85"/>
      <c r="B907" s="85"/>
      <c r="C907" s="85"/>
      <c r="D907" s="85"/>
    </row>
    <row r="908">
      <c r="A908" s="85"/>
      <c r="B908" s="85"/>
      <c r="C908" s="85"/>
      <c r="D908" s="85"/>
    </row>
    <row r="909">
      <c r="A909" s="85"/>
      <c r="B909" s="85"/>
      <c r="C909" s="85"/>
      <c r="D909" s="85"/>
    </row>
    <row r="910">
      <c r="A910" s="85"/>
      <c r="B910" s="85"/>
      <c r="C910" s="85"/>
      <c r="D910" s="85"/>
    </row>
    <row r="911">
      <c r="A911" s="85"/>
      <c r="B911" s="85"/>
      <c r="C911" s="85"/>
      <c r="D911" s="85"/>
    </row>
    <row r="912">
      <c r="A912" s="85"/>
      <c r="B912" s="85"/>
      <c r="C912" s="85"/>
      <c r="D912" s="85"/>
    </row>
    <row r="913">
      <c r="A913" s="85"/>
      <c r="B913" s="85"/>
      <c r="C913" s="85"/>
      <c r="D913" s="85"/>
    </row>
    <row r="914">
      <c r="A914" s="85"/>
      <c r="B914" s="85"/>
      <c r="C914" s="85"/>
      <c r="D914" s="85"/>
    </row>
    <row r="915">
      <c r="A915" s="85"/>
      <c r="B915" s="85"/>
      <c r="C915" s="85"/>
      <c r="D915" s="85"/>
    </row>
    <row r="916">
      <c r="A916" s="85"/>
      <c r="B916" s="85"/>
      <c r="C916" s="85"/>
      <c r="D916" s="85"/>
    </row>
    <row r="917">
      <c r="A917" s="85"/>
      <c r="B917" s="85"/>
      <c r="C917" s="85"/>
      <c r="D917" s="85"/>
    </row>
    <row r="918">
      <c r="A918" s="85"/>
      <c r="B918" s="85"/>
      <c r="C918" s="85"/>
      <c r="D918" s="85"/>
    </row>
    <row r="919">
      <c r="A919" s="85"/>
      <c r="B919" s="85"/>
      <c r="C919" s="85"/>
      <c r="D919" s="85"/>
    </row>
    <row r="920">
      <c r="A920" s="85"/>
      <c r="B920" s="85"/>
      <c r="C920" s="85"/>
      <c r="D920" s="85"/>
    </row>
    <row r="921">
      <c r="A921" s="85"/>
      <c r="B921" s="85"/>
      <c r="C921" s="85"/>
      <c r="D921" s="85"/>
    </row>
    <row r="922">
      <c r="A922" s="85"/>
      <c r="B922" s="85"/>
      <c r="C922" s="85"/>
      <c r="D922" s="85"/>
    </row>
    <row r="923">
      <c r="A923" s="85"/>
      <c r="B923" s="85"/>
      <c r="C923" s="85"/>
      <c r="D923" s="85"/>
    </row>
    <row r="924">
      <c r="A924" s="85"/>
      <c r="B924" s="85"/>
      <c r="C924" s="85"/>
      <c r="D924" s="85"/>
    </row>
    <row r="925">
      <c r="A925" s="85"/>
      <c r="B925" s="85"/>
      <c r="C925" s="85"/>
      <c r="D925" s="85"/>
    </row>
    <row r="926">
      <c r="A926" s="85"/>
      <c r="B926" s="85"/>
      <c r="C926" s="85"/>
      <c r="D926" s="85"/>
    </row>
    <row r="927">
      <c r="A927" s="85"/>
      <c r="B927" s="85"/>
      <c r="C927" s="85"/>
      <c r="D927" s="85"/>
    </row>
    <row r="928">
      <c r="A928" s="85"/>
      <c r="B928" s="85"/>
      <c r="C928" s="85"/>
      <c r="D928" s="85"/>
    </row>
    <row r="929">
      <c r="A929" s="85"/>
      <c r="B929" s="85"/>
      <c r="C929" s="85"/>
      <c r="D929" s="85"/>
    </row>
    <row r="930">
      <c r="A930" s="85"/>
      <c r="B930" s="85"/>
      <c r="C930" s="85"/>
      <c r="D930" s="85"/>
    </row>
    <row r="931">
      <c r="A931" s="85"/>
      <c r="B931" s="85"/>
      <c r="C931" s="85"/>
      <c r="D931" s="85"/>
    </row>
    <row r="932">
      <c r="A932" s="85"/>
      <c r="B932" s="85"/>
      <c r="C932" s="85"/>
      <c r="D932" s="85"/>
    </row>
    <row r="933">
      <c r="A933" s="85"/>
      <c r="B933" s="85"/>
      <c r="C933" s="85"/>
      <c r="D933" s="85"/>
    </row>
    <row r="934">
      <c r="A934" s="85"/>
      <c r="B934" s="85"/>
      <c r="C934" s="85"/>
      <c r="D934" s="85"/>
    </row>
    <row r="935">
      <c r="A935" s="85"/>
      <c r="B935" s="85"/>
      <c r="C935" s="85"/>
      <c r="D935" s="85"/>
    </row>
    <row r="936">
      <c r="A936" s="85"/>
      <c r="B936" s="85"/>
      <c r="C936" s="85"/>
      <c r="D936" s="85"/>
    </row>
    <row r="937">
      <c r="A937" s="85"/>
      <c r="B937" s="85"/>
      <c r="C937" s="85"/>
      <c r="D937" s="85"/>
    </row>
    <row r="938">
      <c r="A938" s="85"/>
      <c r="B938" s="85"/>
      <c r="C938" s="85"/>
      <c r="D938" s="85"/>
    </row>
    <row r="939">
      <c r="A939" s="85"/>
      <c r="B939" s="85"/>
      <c r="C939" s="85"/>
      <c r="D939" s="85"/>
    </row>
    <row r="940">
      <c r="A940" s="85"/>
      <c r="B940" s="85"/>
      <c r="C940" s="85"/>
      <c r="D940" s="85"/>
    </row>
    <row r="941">
      <c r="A941" s="85"/>
      <c r="B941" s="85"/>
      <c r="C941" s="85"/>
      <c r="D941" s="85"/>
    </row>
    <row r="942">
      <c r="A942" s="85"/>
      <c r="B942" s="85"/>
      <c r="C942" s="85"/>
      <c r="D942" s="85"/>
    </row>
    <row r="943">
      <c r="A943" s="85"/>
      <c r="B943" s="85"/>
      <c r="C943" s="85"/>
      <c r="D943" s="85"/>
    </row>
    <row r="944">
      <c r="A944" s="85"/>
      <c r="B944" s="85"/>
      <c r="C944" s="85"/>
      <c r="D944" s="85"/>
    </row>
    <row r="945">
      <c r="A945" s="85"/>
      <c r="B945" s="85"/>
      <c r="C945" s="85"/>
      <c r="D945" s="85"/>
    </row>
    <row r="946">
      <c r="A946" s="85"/>
      <c r="B946" s="85"/>
      <c r="C946" s="85"/>
      <c r="D946" s="85"/>
    </row>
    <row r="947">
      <c r="A947" s="85"/>
      <c r="B947" s="85"/>
      <c r="C947" s="85"/>
      <c r="D947" s="85"/>
    </row>
    <row r="948">
      <c r="A948" s="85"/>
      <c r="B948" s="85"/>
      <c r="C948" s="85"/>
      <c r="D948" s="85"/>
    </row>
    <row r="949">
      <c r="A949" s="85"/>
      <c r="B949" s="85"/>
      <c r="C949" s="85"/>
      <c r="D949" s="85"/>
    </row>
    <row r="950">
      <c r="A950" s="85"/>
      <c r="B950" s="85"/>
      <c r="C950" s="85"/>
      <c r="D950" s="85"/>
    </row>
    <row r="951">
      <c r="A951" s="85"/>
      <c r="B951" s="85"/>
      <c r="C951" s="85"/>
      <c r="D951" s="85"/>
    </row>
    <row r="952">
      <c r="A952" s="85"/>
      <c r="B952" s="85"/>
      <c r="C952" s="85"/>
      <c r="D952" s="85"/>
    </row>
    <row r="953">
      <c r="A953" s="85"/>
      <c r="B953" s="85"/>
      <c r="C953" s="85"/>
      <c r="D953" s="85"/>
    </row>
    <row r="954">
      <c r="A954" s="85"/>
      <c r="B954" s="85"/>
      <c r="C954" s="85"/>
      <c r="D954" s="85"/>
    </row>
    <row r="955">
      <c r="A955" s="85"/>
      <c r="B955" s="85"/>
      <c r="C955" s="85"/>
      <c r="D955" s="85"/>
    </row>
    <row r="956">
      <c r="A956" s="85"/>
      <c r="B956" s="85"/>
      <c r="C956" s="85"/>
      <c r="D956" s="85"/>
    </row>
    <row r="957">
      <c r="A957" s="85"/>
      <c r="B957" s="85"/>
      <c r="C957" s="85"/>
      <c r="D957" s="85"/>
    </row>
    <row r="958">
      <c r="A958" s="85"/>
      <c r="B958" s="85"/>
      <c r="C958" s="85"/>
      <c r="D958" s="85"/>
    </row>
    <row r="959">
      <c r="A959" s="85"/>
      <c r="B959" s="85"/>
      <c r="C959" s="85"/>
      <c r="D959" s="85"/>
    </row>
    <row r="960">
      <c r="A960" s="85"/>
      <c r="B960" s="85"/>
      <c r="C960" s="85"/>
      <c r="D960" s="85"/>
    </row>
    <row r="961">
      <c r="A961" s="85"/>
      <c r="B961" s="85"/>
      <c r="C961" s="85"/>
      <c r="D961" s="85"/>
    </row>
    <row r="962">
      <c r="A962" s="85"/>
      <c r="B962" s="85"/>
      <c r="C962" s="85"/>
      <c r="D962" s="85"/>
    </row>
    <row r="963">
      <c r="A963" s="85"/>
      <c r="B963" s="85"/>
      <c r="C963" s="85"/>
      <c r="D963" s="85"/>
    </row>
    <row r="964">
      <c r="A964" s="85"/>
      <c r="B964" s="85"/>
      <c r="C964" s="85"/>
      <c r="D964" s="85"/>
    </row>
    <row r="965">
      <c r="A965" s="85"/>
      <c r="B965" s="85"/>
      <c r="C965" s="85"/>
      <c r="D965" s="85"/>
    </row>
    <row r="966">
      <c r="A966" s="85"/>
      <c r="B966" s="85"/>
      <c r="C966" s="85"/>
      <c r="D966" s="85"/>
    </row>
    <row r="967">
      <c r="A967" s="85"/>
      <c r="B967" s="85"/>
      <c r="C967" s="85"/>
      <c r="D967" s="85"/>
    </row>
    <row r="968">
      <c r="A968" s="85"/>
      <c r="B968" s="85"/>
      <c r="C968" s="85"/>
      <c r="D968" s="85"/>
    </row>
    <row r="969">
      <c r="A969" s="85"/>
      <c r="B969" s="85"/>
      <c r="C969" s="85"/>
      <c r="D969" s="85"/>
    </row>
    <row r="970">
      <c r="A970" s="85"/>
      <c r="B970" s="85"/>
      <c r="C970" s="85"/>
      <c r="D970" s="85"/>
    </row>
    <row r="971">
      <c r="A971" s="85"/>
      <c r="B971" s="85"/>
      <c r="C971" s="85"/>
      <c r="D971" s="85"/>
    </row>
    <row r="972">
      <c r="A972" s="85"/>
      <c r="B972" s="85"/>
      <c r="C972" s="85"/>
      <c r="D972" s="85"/>
    </row>
    <row r="973">
      <c r="A973" s="85"/>
      <c r="B973" s="85"/>
      <c r="C973" s="85"/>
      <c r="D973" s="85"/>
    </row>
    <row r="974">
      <c r="A974" s="85"/>
      <c r="B974" s="85"/>
      <c r="C974" s="85"/>
      <c r="D974" s="85"/>
    </row>
    <row r="975">
      <c r="A975" s="85"/>
      <c r="B975" s="85"/>
      <c r="C975" s="85"/>
      <c r="D975" s="85"/>
    </row>
    <row r="976">
      <c r="A976" s="85"/>
      <c r="B976" s="85"/>
      <c r="C976" s="85"/>
      <c r="D976" s="85"/>
    </row>
    <row r="977">
      <c r="A977" s="85"/>
      <c r="B977" s="85"/>
      <c r="C977" s="85"/>
      <c r="D977" s="85"/>
    </row>
    <row r="978">
      <c r="A978" s="85"/>
      <c r="B978" s="85"/>
      <c r="C978" s="85"/>
      <c r="D978" s="85"/>
    </row>
    <row r="979">
      <c r="A979" s="85"/>
      <c r="B979" s="85"/>
      <c r="C979" s="85"/>
      <c r="D979" s="85"/>
    </row>
    <row r="980">
      <c r="A980" s="85"/>
      <c r="B980" s="85"/>
      <c r="C980" s="85"/>
      <c r="D980" s="85"/>
    </row>
    <row r="981">
      <c r="A981" s="85"/>
      <c r="B981" s="85"/>
      <c r="C981" s="85"/>
      <c r="D981" s="85"/>
    </row>
    <row r="982">
      <c r="A982" s="85"/>
      <c r="B982" s="85"/>
      <c r="C982" s="85"/>
      <c r="D982" s="85"/>
    </row>
    <row r="983">
      <c r="A983" s="85"/>
      <c r="B983" s="85"/>
      <c r="C983" s="85"/>
      <c r="D983" s="85"/>
    </row>
    <row r="984">
      <c r="A984" s="85"/>
      <c r="B984" s="85"/>
      <c r="C984" s="85"/>
      <c r="D984" s="85"/>
    </row>
    <row r="985">
      <c r="A985" s="85"/>
      <c r="B985" s="85"/>
      <c r="C985" s="85"/>
      <c r="D985" s="85"/>
    </row>
    <row r="986">
      <c r="A986" s="85"/>
      <c r="B986" s="85"/>
      <c r="C986" s="85"/>
      <c r="D986" s="85"/>
    </row>
    <row r="987">
      <c r="A987" s="85"/>
      <c r="B987" s="85"/>
      <c r="C987" s="85"/>
      <c r="D987" s="85"/>
    </row>
    <row r="988">
      <c r="A988" s="85"/>
      <c r="B988" s="85"/>
      <c r="C988" s="85"/>
      <c r="D988" s="85"/>
    </row>
    <row r="989">
      <c r="A989" s="85"/>
      <c r="B989" s="85"/>
      <c r="C989" s="85"/>
      <c r="D989" s="85"/>
    </row>
    <row r="990">
      <c r="A990" s="85"/>
      <c r="B990" s="85"/>
      <c r="C990" s="85"/>
      <c r="D990" s="85"/>
    </row>
    <row r="991">
      <c r="A991" s="85"/>
      <c r="B991" s="85"/>
      <c r="C991" s="85"/>
      <c r="D991" s="85"/>
    </row>
    <row r="992">
      <c r="A992" s="85"/>
      <c r="B992" s="85"/>
      <c r="C992" s="85"/>
      <c r="D992" s="85"/>
    </row>
    <row r="993">
      <c r="A993" s="85"/>
      <c r="B993" s="85"/>
      <c r="C993" s="85"/>
      <c r="D993" s="85"/>
    </row>
    <row r="994">
      <c r="A994" s="85"/>
      <c r="B994" s="85"/>
      <c r="C994" s="85"/>
      <c r="D994" s="85"/>
    </row>
    <row r="995">
      <c r="A995" s="85"/>
      <c r="B995" s="85"/>
      <c r="C995" s="85"/>
      <c r="D995" s="85"/>
    </row>
    <row r="996">
      <c r="A996" s="85"/>
      <c r="B996" s="85"/>
      <c r="C996" s="85"/>
      <c r="D996" s="85"/>
    </row>
    <row r="997">
      <c r="A997" s="85"/>
      <c r="B997" s="85"/>
      <c r="C997" s="85"/>
      <c r="D997" s="85"/>
    </row>
    <row r="998">
      <c r="A998" s="85"/>
      <c r="B998" s="85"/>
      <c r="C998" s="85"/>
      <c r="D998" s="85"/>
    </row>
    <row r="999">
      <c r="A999" s="85"/>
      <c r="B999" s="85"/>
      <c r="C999" s="85"/>
      <c r="D999" s="85"/>
    </row>
    <row r="1000">
      <c r="A1000" s="85"/>
      <c r="B1000" s="85"/>
      <c r="C1000" s="85"/>
      <c r="D1000" s="85"/>
    </row>
  </sheetData>
  <autoFilter ref="$A$1:$D$344"/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70" t="s">
        <v>449</v>
      </c>
      <c r="B1" s="70" t="s">
        <v>450</v>
      </c>
      <c r="C1" s="87" t="s">
        <v>459</v>
      </c>
      <c r="D1" s="87" t="s">
        <v>460</v>
      </c>
    </row>
    <row r="2">
      <c r="A2" s="74">
        <v>10101.0</v>
      </c>
      <c r="B2" s="74" t="s">
        <v>20</v>
      </c>
      <c r="C2" s="81">
        <v>19714.000022960012</v>
      </c>
      <c r="D2" s="81">
        <v>15146.999903279997</v>
      </c>
    </row>
    <row r="3">
      <c r="A3" s="74">
        <v>10102.0</v>
      </c>
      <c r="B3" s="74" t="s">
        <v>21</v>
      </c>
      <c r="C3" s="81">
        <v>4212.999996099999</v>
      </c>
      <c r="D3" s="81">
        <v>2286.999995809</v>
      </c>
    </row>
    <row r="4">
      <c r="A4" s="74">
        <v>10103.0</v>
      </c>
      <c r="B4" s="74" t="s">
        <v>22</v>
      </c>
      <c r="C4" s="81">
        <v>15640.000001325</v>
      </c>
      <c r="D4" s="81">
        <v>12351.999998855</v>
      </c>
    </row>
    <row r="5">
      <c r="A5" s="74">
        <v>10201.0</v>
      </c>
      <c r="B5" s="74" t="s">
        <v>23</v>
      </c>
      <c r="C5" s="81">
        <v>9267.000002715</v>
      </c>
      <c r="D5" s="81">
        <v>6258.000002048</v>
      </c>
    </row>
    <row r="6">
      <c r="A6" s="74">
        <v>10202.0</v>
      </c>
      <c r="B6" s="74" t="s">
        <v>24</v>
      </c>
      <c r="C6" s="81">
        <v>12283.999997353</v>
      </c>
      <c r="D6" s="81">
        <v>11376.000007851</v>
      </c>
    </row>
    <row r="7">
      <c r="A7" s="74">
        <v>10301.0</v>
      </c>
      <c r="B7" s="74" t="s">
        <v>25</v>
      </c>
      <c r="C7" s="81">
        <v>7377.999999396001</v>
      </c>
      <c r="D7" s="81">
        <v>8538.000000372002</v>
      </c>
    </row>
    <row r="8">
      <c r="A8" s="74">
        <v>10302.0</v>
      </c>
      <c r="B8" s="74" t="s">
        <v>26</v>
      </c>
      <c r="C8" s="81">
        <v>9597.000003916</v>
      </c>
      <c r="D8" s="81">
        <v>8479.000005887</v>
      </c>
    </row>
    <row r="9">
      <c r="A9" s="74">
        <v>10303.0</v>
      </c>
      <c r="B9" s="74" t="s">
        <v>27</v>
      </c>
      <c r="C9" s="81">
        <v>5441.999996279999</v>
      </c>
      <c r="D9" s="81">
        <v>4500.999999475</v>
      </c>
    </row>
    <row r="10">
      <c r="A10" s="74">
        <v>10304.0</v>
      </c>
      <c r="B10" s="74" t="s">
        <v>28</v>
      </c>
      <c r="C10" s="81">
        <v>6440.00000276</v>
      </c>
      <c r="D10" s="81">
        <v>6659.999998296</v>
      </c>
    </row>
    <row r="11">
      <c r="A11" s="74">
        <v>10401.0</v>
      </c>
      <c r="B11" s="74" t="s">
        <v>30</v>
      </c>
      <c r="C11" s="81">
        <v>6744.000002262001</v>
      </c>
      <c r="D11" s="81">
        <v>4548.000002090999</v>
      </c>
    </row>
    <row r="12">
      <c r="A12" s="74">
        <v>10402.0</v>
      </c>
      <c r="B12" s="74" t="s">
        <v>29</v>
      </c>
      <c r="C12" s="81">
        <v>6537.999999447</v>
      </c>
      <c r="D12" s="81">
        <v>5641.000001392</v>
      </c>
    </row>
    <row r="13">
      <c r="A13" s="74">
        <v>10403.0</v>
      </c>
      <c r="B13" s="74" t="s">
        <v>31</v>
      </c>
      <c r="C13" s="81">
        <v>5469.000001668</v>
      </c>
      <c r="D13" s="81">
        <v>4715.000002888</v>
      </c>
    </row>
    <row r="14">
      <c r="A14" s="74">
        <v>10404.0</v>
      </c>
      <c r="B14" s="74" t="s">
        <v>32</v>
      </c>
      <c r="C14" s="81">
        <v>3368.999999959</v>
      </c>
      <c r="D14" s="81">
        <v>2114.000001772</v>
      </c>
    </row>
    <row r="15">
      <c r="A15" s="74">
        <v>10405.0</v>
      </c>
      <c r="B15" s="74" t="s">
        <v>33</v>
      </c>
      <c r="C15" s="81">
        <v>3471.0000011459997</v>
      </c>
      <c r="D15" s="81">
        <v>4315.000001864</v>
      </c>
    </row>
    <row r="16">
      <c r="A16" s="74">
        <v>10501.0</v>
      </c>
      <c r="B16" s="74" t="s">
        <v>35</v>
      </c>
      <c r="C16" s="81">
        <v>11165.000010822001</v>
      </c>
      <c r="D16" s="81">
        <v>7798.999989067001</v>
      </c>
    </row>
    <row r="17">
      <c r="A17" s="74">
        <v>10502.0</v>
      </c>
      <c r="B17" s="74" t="s">
        <v>36</v>
      </c>
      <c r="C17" s="81">
        <v>5975.000003205</v>
      </c>
      <c r="D17" s="81">
        <v>4368.0000004720005</v>
      </c>
    </row>
    <row r="18">
      <c r="A18" s="74">
        <v>10601.0</v>
      </c>
      <c r="B18" s="74" t="s">
        <v>38</v>
      </c>
      <c r="C18" s="81">
        <v>12104.999998580999</v>
      </c>
      <c r="D18" s="81">
        <v>7143.00000549</v>
      </c>
    </row>
    <row r="19">
      <c r="A19" s="74">
        <v>10602.0</v>
      </c>
      <c r="B19" s="74" t="s">
        <v>37</v>
      </c>
      <c r="C19" s="81">
        <v>6851.99999995</v>
      </c>
      <c r="D19" s="81">
        <v>3828.999999773</v>
      </c>
    </row>
    <row r="20">
      <c r="A20" s="74">
        <v>10701.0</v>
      </c>
      <c r="B20" s="74" t="s">
        <v>40</v>
      </c>
      <c r="C20" s="81">
        <v>8004.000002264</v>
      </c>
      <c r="D20" s="81">
        <v>5645.999997803001</v>
      </c>
    </row>
    <row r="21">
      <c r="A21" s="74">
        <v>10702.0</v>
      </c>
      <c r="B21" s="74" t="s">
        <v>41</v>
      </c>
      <c r="C21" s="81">
        <v>24279.00000702</v>
      </c>
      <c r="D21" s="81">
        <v>14899.00000631</v>
      </c>
    </row>
    <row r="22">
      <c r="A22" s="74">
        <v>10703.0</v>
      </c>
      <c r="B22" s="74" t="s">
        <v>42</v>
      </c>
      <c r="C22" s="81">
        <v>10242.99999834</v>
      </c>
      <c r="D22" s="81">
        <v>10024.000002709</v>
      </c>
    </row>
    <row r="23">
      <c r="A23" s="74">
        <v>10704.0</v>
      </c>
      <c r="B23" s="74" t="s">
        <v>43</v>
      </c>
      <c r="C23" s="81">
        <v>10735.000005472</v>
      </c>
      <c r="D23" s="81">
        <v>7094.00000394</v>
      </c>
    </row>
    <row r="24">
      <c r="A24" s="74">
        <v>10801.0</v>
      </c>
      <c r="B24" s="74" t="s">
        <v>45</v>
      </c>
      <c r="C24" s="81">
        <v>7454.000005016</v>
      </c>
      <c r="D24" s="81">
        <v>4931.99999715</v>
      </c>
    </row>
    <row r="25">
      <c r="A25" s="74">
        <v>10901.0</v>
      </c>
      <c r="B25" s="74" t="s">
        <v>47</v>
      </c>
      <c r="C25" s="81">
        <v>2443.999999141</v>
      </c>
      <c r="D25" s="81">
        <v>2614.0000004999997</v>
      </c>
    </row>
    <row r="26">
      <c r="A26" s="74">
        <v>10902.0</v>
      </c>
      <c r="B26" s="74" t="s">
        <v>48</v>
      </c>
      <c r="C26" s="81">
        <v>12278.999995158</v>
      </c>
      <c r="D26" s="81">
        <v>7514.0000039999995</v>
      </c>
    </row>
    <row r="27">
      <c r="A27" s="74">
        <v>10903.0</v>
      </c>
      <c r="B27" s="74" t="s">
        <v>49</v>
      </c>
      <c r="C27" s="81">
        <v>2942.999999225</v>
      </c>
      <c r="D27" s="81">
        <v>2922.999999539</v>
      </c>
    </row>
    <row r="28">
      <c r="A28" s="74">
        <v>11001.0</v>
      </c>
      <c r="B28" s="74" t="s">
        <v>51</v>
      </c>
      <c r="C28" s="81">
        <v>5827.000001628</v>
      </c>
      <c r="D28" s="81">
        <v>5544.999996426</v>
      </c>
    </row>
    <row r="29">
      <c r="A29" s="74">
        <v>11002.0</v>
      </c>
      <c r="B29" s="74" t="s">
        <v>52</v>
      </c>
      <c r="C29" s="81">
        <v>2151.000001144</v>
      </c>
      <c r="D29" s="81">
        <v>1682.0000004059998</v>
      </c>
    </row>
    <row r="30">
      <c r="A30" s="74">
        <v>11003.0</v>
      </c>
      <c r="B30" s="74" t="s">
        <v>53</v>
      </c>
      <c r="C30" s="81">
        <v>4604.000000072</v>
      </c>
      <c r="D30" s="81">
        <v>3100.9999967920003</v>
      </c>
    </row>
    <row r="31">
      <c r="A31" s="74">
        <v>20101.0</v>
      </c>
      <c r="B31" s="74" t="s">
        <v>56</v>
      </c>
      <c r="C31" s="81">
        <v>6139.000083664898</v>
      </c>
      <c r="D31" s="81">
        <v>4872.999989225995</v>
      </c>
    </row>
    <row r="32">
      <c r="A32" s="74">
        <v>20102.0</v>
      </c>
      <c r="B32" s="83" t="s">
        <v>57</v>
      </c>
      <c r="C32" s="81">
        <v>10700.000002478999</v>
      </c>
      <c r="D32" s="81">
        <v>6945.000006050999</v>
      </c>
    </row>
    <row r="33">
      <c r="A33" s="74">
        <v>20103.0</v>
      </c>
      <c r="B33" s="83" t="s">
        <v>58</v>
      </c>
      <c r="C33" s="81">
        <v>5112.999995440001</v>
      </c>
      <c r="D33" s="81">
        <v>4025.999994869999</v>
      </c>
    </row>
    <row r="34">
      <c r="A34" s="74">
        <v>20104.0</v>
      </c>
      <c r="B34" s="83" t="s">
        <v>59</v>
      </c>
      <c r="C34" s="81">
        <v>3140.999991970002</v>
      </c>
      <c r="D34" s="81">
        <v>2369.000007486</v>
      </c>
    </row>
    <row r="35">
      <c r="A35" s="74">
        <v>20105.0</v>
      </c>
      <c r="B35" s="83" t="s">
        <v>60</v>
      </c>
      <c r="C35" s="81">
        <v>6344.000110310037</v>
      </c>
      <c r="D35" s="81">
        <v>3048.000053309952</v>
      </c>
    </row>
    <row r="36">
      <c r="A36" s="74">
        <v>20201.0</v>
      </c>
      <c r="B36" s="83" t="s">
        <v>62</v>
      </c>
      <c r="C36" s="81">
        <v>20052.000005616002</v>
      </c>
      <c r="D36" s="81">
        <v>9255.000016808</v>
      </c>
    </row>
    <row r="37">
      <c r="A37" s="74">
        <v>20202.0</v>
      </c>
      <c r="B37" s="83" t="s">
        <v>63</v>
      </c>
      <c r="C37" s="81">
        <v>10762.000001316</v>
      </c>
      <c r="D37" s="81">
        <v>9481.99999824</v>
      </c>
    </row>
    <row r="38">
      <c r="A38" s="74">
        <v>20203.0</v>
      </c>
      <c r="B38" s="83" t="s">
        <v>67</v>
      </c>
      <c r="C38" s="81">
        <v>2285.000002</v>
      </c>
      <c r="D38" s="81">
        <v>1908.99999862</v>
      </c>
    </row>
    <row r="39">
      <c r="A39" s="74">
        <v>20204.0</v>
      </c>
      <c r="B39" s="83" t="s">
        <v>64</v>
      </c>
      <c r="C39" s="81">
        <v>3917.000001153</v>
      </c>
      <c r="D39" s="81">
        <v>1857.0000005579996</v>
      </c>
    </row>
    <row r="40">
      <c r="A40" s="74">
        <v>20205.0</v>
      </c>
      <c r="B40" s="83" t="s">
        <v>65</v>
      </c>
      <c r="C40" s="81">
        <v>6662.000000764</v>
      </c>
      <c r="D40" s="81">
        <v>4608.99999625</v>
      </c>
    </row>
    <row r="41">
      <c r="A41" s="74">
        <v>20206.0</v>
      </c>
      <c r="B41" s="83" t="s">
        <v>66</v>
      </c>
      <c r="C41" s="81">
        <v>921.0000010879999</v>
      </c>
      <c r="D41" s="81">
        <v>769.0000004439999</v>
      </c>
    </row>
    <row r="42">
      <c r="A42" s="74">
        <v>20301.0</v>
      </c>
      <c r="B42" s="83" t="s">
        <v>69</v>
      </c>
      <c r="C42" s="81">
        <v>7198.000002463999</v>
      </c>
      <c r="D42" s="81">
        <v>6654.999996161</v>
      </c>
    </row>
    <row r="43">
      <c r="A43" s="74">
        <v>20302.0</v>
      </c>
      <c r="B43" s="83" t="s">
        <v>70</v>
      </c>
      <c r="C43" s="81">
        <v>12681.99999276</v>
      </c>
      <c r="D43" s="81">
        <v>10145.99999322</v>
      </c>
    </row>
    <row r="44">
      <c r="A44" s="74">
        <v>20303.0</v>
      </c>
      <c r="B44" s="83" t="s">
        <v>71</v>
      </c>
      <c r="C44" s="81">
        <v>9332.000003496</v>
      </c>
      <c r="D44" s="81">
        <v>10093.000000764001</v>
      </c>
    </row>
    <row r="45">
      <c r="A45" s="74">
        <v>20304.0</v>
      </c>
      <c r="B45" s="83" t="s">
        <v>72</v>
      </c>
      <c r="C45" s="81">
        <v>3233.999999412</v>
      </c>
      <c r="D45" s="81">
        <v>3001.000001296</v>
      </c>
    </row>
    <row r="46">
      <c r="A46" s="74">
        <v>20305.0</v>
      </c>
      <c r="B46" s="83" t="s">
        <v>73</v>
      </c>
      <c r="C46" s="81">
        <v>2266.999999628</v>
      </c>
      <c r="D46" s="81">
        <v>2589.000000246</v>
      </c>
    </row>
    <row r="47">
      <c r="A47" s="74">
        <v>20306.0</v>
      </c>
      <c r="B47" s="83" t="s">
        <v>74</v>
      </c>
      <c r="C47" s="81">
        <v>3294.9999975220003</v>
      </c>
      <c r="D47" s="81">
        <v>1188.000001986</v>
      </c>
    </row>
    <row r="48">
      <c r="A48" s="74">
        <v>20307.0</v>
      </c>
      <c r="B48" s="83" t="s">
        <v>75</v>
      </c>
      <c r="C48" s="81">
        <v>364.999999772</v>
      </c>
      <c r="D48" s="81">
        <v>2240.000000872</v>
      </c>
    </row>
    <row r="49">
      <c r="A49" s="74">
        <v>20308.0</v>
      </c>
      <c r="B49" s="83" t="s">
        <v>76</v>
      </c>
      <c r="C49" s="81">
        <v>6848.9999965530005</v>
      </c>
      <c r="D49" s="81">
        <v>6690.0000003820005</v>
      </c>
    </row>
    <row r="50">
      <c r="A50" s="74">
        <v>20401.0</v>
      </c>
      <c r="B50" s="83" t="s">
        <v>78</v>
      </c>
      <c r="C50" s="81">
        <v>8670.999996408</v>
      </c>
      <c r="D50" s="81">
        <v>9139.999998606</v>
      </c>
    </row>
    <row r="51">
      <c r="A51" s="74">
        <v>20402.0</v>
      </c>
      <c r="B51" s="83" t="s">
        <v>79</v>
      </c>
      <c r="C51" s="81">
        <v>13534.000007568</v>
      </c>
      <c r="D51" s="81">
        <v>12939.999996125</v>
      </c>
    </row>
    <row r="52">
      <c r="A52" s="74">
        <v>20403.0</v>
      </c>
      <c r="B52" s="83" t="s">
        <v>80</v>
      </c>
      <c r="C52" s="81">
        <v>11829.999997503</v>
      </c>
      <c r="D52" s="81">
        <v>11056.000007931998</v>
      </c>
    </row>
    <row r="53">
      <c r="A53" s="74">
        <v>20404.0</v>
      </c>
      <c r="B53" s="83" t="s">
        <v>81</v>
      </c>
      <c r="C53" s="81">
        <v>4658.999999885</v>
      </c>
      <c r="D53" s="81">
        <v>3701.999999744</v>
      </c>
    </row>
    <row r="54">
      <c r="A54" s="74">
        <v>20405.0</v>
      </c>
      <c r="B54" s="83" t="s">
        <v>82</v>
      </c>
      <c r="C54" s="81">
        <v>5286.000001152001</v>
      </c>
      <c r="D54" s="81">
        <v>4382.000000203</v>
      </c>
    </row>
    <row r="55">
      <c r="A55" s="74">
        <v>20501.0</v>
      </c>
      <c r="B55" s="83" t="s">
        <v>84</v>
      </c>
      <c r="C55" s="81">
        <v>10531.00000503</v>
      </c>
      <c r="D55" s="81">
        <v>14106.000003617999</v>
      </c>
    </row>
    <row r="56">
      <c r="A56" s="74">
        <v>20502.0</v>
      </c>
      <c r="B56" s="83" t="s">
        <v>85</v>
      </c>
      <c r="C56" s="81">
        <v>7704.000001827</v>
      </c>
      <c r="D56" s="81">
        <v>7212.999999975</v>
      </c>
    </row>
    <row r="57">
      <c r="A57" s="74">
        <v>20503.0</v>
      </c>
      <c r="B57" s="83" t="s">
        <v>86</v>
      </c>
      <c r="C57" s="81">
        <v>4356.000001114</v>
      </c>
      <c r="D57" s="81">
        <v>3635.9999995629996</v>
      </c>
    </row>
    <row r="58">
      <c r="A58" s="74">
        <v>20601.0</v>
      </c>
      <c r="B58" s="83" t="s">
        <v>88</v>
      </c>
      <c r="C58" s="81">
        <v>15608.000000069998</v>
      </c>
      <c r="D58" s="81">
        <v>15681.000000543001</v>
      </c>
    </row>
    <row r="59">
      <c r="A59" s="74">
        <v>20602.0</v>
      </c>
      <c r="B59" s="83" t="s">
        <v>89</v>
      </c>
      <c r="C59" s="81">
        <v>5575.999998010999</v>
      </c>
      <c r="D59" s="81">
        <v>2988.999992195999</v>
      </c>
    </row>
    <row r="60">
      <c r="A60" s="74">
        <v>20603.0</v>
      </c>
      <c r="B60" s="83" t="s">
        <v>90</v>
      </c>
      <c r="C60" s="81">
        <v>4885.000000226</v>
      </c>
      <c r="D60" s="81">
        <v>4933.000004468</v>
      </c>
    </row>
    <row r="61">
      <c r="A61" s="74">
        <v>20604.0</v>
      </c>
      <c r="B61" s="83" t="s">
        <v>91</v>
      </c>
      <c r="C61" s="81">
        <v>2112.99999984</v>
      </c>
      <c r="D61" s="81">
        <v>3277.000000746</v>
      </c>
    </row>
    <row r="62">
      <c r="A62" s="74">
        <v>20605.0</v>
      </c>
      <c r="B62" s="83" t="s">
        <v>92</v>
      </c>
      <c r="C62" s="81">
        <v>3186.0000006279997</v>
      </c>
      <c r="D62" s="81">
        <v>2468.9999983440002</v>
      </c>
    </row>
    <row r="63">
      <c r="A63" s="74">
        <v>20606.0</v>
      </c>
      <c r="B63" s="83" t="s">
        <v>93</v>
      </c>
      <c r="C63" s="81">
        <v>737.0000008019997</v>
      </c>
      <c r="D63" s="81">
        <v>354.00000262699996</v>
      </c>
    </row>
    <row r="64">
      <c r="A64" s="74">
        <v>20607.0</v>
      </c>
      <c r="B64" s="83" t="s">
        <v>94</v>
      </c>
      <c r="C64" s="81">
        <v>2166.000002175999</v>
      </c>
      <c r="D64" s="81">
        <v>1188.0000065999993</v>
      </c>
    </row>
    <row r="65">
      <c r="A65" s="74">
        <v>20608.0</v>
      </c>
      <c r="B65" s="83" t="s">
        <v>95</v>
      </c>
      <c r="C65" s="81">
        <v>5067.000003648</v>
      </c>
      <c r="D65" s="81">
        <v>4894.9999982</v>
      </c>
    </row>
    <row r="66">
      <c r="A66" s="74">
        <v>20701.0</v>
      </c>
      <c r="B66" s="83" t="s">
        <v>97</v>
      </c>
      <c r="C66" s="81">
        <v>12023.999996486</v>
      </c>
      <c r="D66" s="81">
        <v>10132.000004061</v>
      </c>
    </row>
    <row r="67">
      <c r="A67" s="74">
        <v>20702.0</v>
      </c>
      <c r="B67" s="83" t="s">
        <v>98</v>
      </c>
      <c r="C67" s="81">
        <v>3031.999997184</v>
      </c>
      <c r="D67" s="81">
        <v>1249.0000033679999</v>
      </c>
    </row>
    <row r="68">
      <c r="A68" s="74">
        <v>20801.0</v>
      </c>
      <c r="B68" s="83" t="s">
        <v>100</v>
      </c>
      <c r="C68" s="81">
        <v>10792.000027752001</v>
      </c>
      <c r="D68" s="81">
        <v>5428.000047546986</v>
      </c>
    </row>
    <row r="69">
      <c r="A69" s="74">
        <v>20802.0</v>
      </c>
      <c r="B69" s="83" t="s">
        <v>101</v>
      </c>
      <c r="C69" s="81">
        <v>3281.99999763</v>
      </c>
      <c r="D69" s="81">
        <v>1089.0000006600012</v>
      </c>
    </row>
    <row r="70">
      <c r="A70" s="74">
        <v>20803.0</v>
      </c>
      <c r="B70" s="83" t="s">
        <v>102</v>
      </c>
      <c r="C70" s="81">
        <v>8118.999999366</v>
      </c>
      <c r="D70" s="81">
        <v>4236.000001864999</v>
      </c>
    </row>
    <row r="71">
      <c r="A71" s="74">
        <v>20804.0</v>
      </c>
      <c r="B71" s="83" t="s">
        <v>103</v>
      </c>
      <c r="C71" s="81">
        <v>1644.9999990299993</v>
      </c>
      <c r="D71" s="81">
        <v>666.9999996319993</v>
      </c>
    </row>
    <row r="72">
      <c r="A72" s="74">
        <v>20805.0</v>
      </c>
      <c r="B72" s="83" t="s">
        <v>104</v>
      </c>
      <c r="C72" s="81">
        <v>5171.000000724</v>
      </c>
      <c r="D72" s="81">
        <v>4657.999997952</v>
      </c>
    </row>
    <row r="73">
      <c r="A73" s="74">
        <v>20806.0</v>
      </c>
      <c r="B73" s="83" t="s">
        <v>105</v>
      </c>
      <c r="C73" s="81">
        <v>11880.99999394</v>
      </c>
      <c r="D73" s="81">
        <v>8547.00000475</v>
      </c>
    </row>
    <row r="74">
      <c r="A74" s="74">
        <v>20807.0</v>
      </c>
      <c r="B74" s="83" t="s">
        <v>106</v>
      </c>
      <c r="C74" s="81">
        <v>2625.9999976439994</v>
      </c>
      <c r="D74" s="81">
        <v>685.9999986000003</v>
      </c>
    </row>
    <row r="75">
      <c r="A75" s="74">
        <v>20901.0</v>
      </c>
      <c r="B75" s="83" t="s">
        <v>108</v>
      </c>
      <c r="C75" s="81">
        <v>7965.999996122</v>
      </c>
      <c r="D75" s="81">
        <v>5013.000000741001</v>
      </c>
    </row>
    <row r="76">
      <c r="A76" s="74">
        <v>20902.0</v>
      </c>
      <c r="B76" s="83" t="s">
        <v>109</v>
      </c>
      <c r="C76" s="81">
        <v>10107.999998</v>
      </c>
      <c r="D76" s="81">
        <v>8452.000001526</v>
      </c>
    </row>
    <row r="77">
      <c r="A77" s="74">
        <v>20903.0</v>
      </c>
      <c r="B77" s="83" t="s">
        <v>110</v>
      </c>
      <c r="C77" s="81">
        <v>5472.000001832</v>
      </c>
      <c r="D77" s="81">
        <v>5932.00000183</v>
      </c>
    </row>
    <row r="78">
      <c r="A78" s="74">
        <v>20904.0</v>
      </c>
      <c r="B78" s="83" t="s">
        <v>111</v>
      </c>
      <c r="C78" s="81">
        <v>2557.999999632</v>
      </c>
      <c r="D78" s="81">
        <v>2041.000001376</v>
      </c>
    </row>
    <row r="79">
      <c r="A79" s="74">
        <v>20905.0</v>
      </c>
      <c r="B79" s="83" t="s">
        <v>112</v>
      </c>
      <c r="C79" s="81">
        <v>6960.000004412001</v>
      </c>
      <c r="D79" s="81">
        <v>4976.999999416001</v>
      </c>
    </row>
    <row r="80">
      <c r="A80" s="74">
        <v>21001.0</v>
      </c>
      <c r="B80" s="83" t="s">
        <v>113</v>
      </c>
      <c r="C80" s="81">
        <v>13353.999997052</v>
      </c>
      <c r="D80" s="81">
        <v>14236.999997346</v>
      </c>
    </row>
    <row r="81">
      <c r="A81" s="74">
        <v>21002.0</v>
      </c>
      <c r="B81" s="83" t="s">
        <v>114</v>
      </c>
      <c r="C81" s="81">
        <v>3079.9999968780003</v>
      </c>
      <c r="D81" s="81">
        <v>3047.9999954700006</v>
      </c>
    </row>
    <row r="82">
      <c r="A82" s="74">
        <v>21003.0</v>
      </c>
      <c r="B82" s="83" t="s">
        <v>115</v>
      </c>
      <c r="C82" s="81">
        <v>5263.9999997919995</v>
      </c>
      <c r="D82" s="81">
        <v>2897.0000024639994</v>
      </c>
    </row>
    <row r="83">
      <c r="A83" s="74">
        <v>21004.0</v>
      </c>
      <c r="B83" s="83" t="s">
        <v>116</v>
      </c>
      <c r="C83" s="81">
        <v>12162.999998165</v>
      </c>
      <c r="D83" s="81">
        <v>12683.9999897</v>
      </c>
    </row>
    <row r="84">
      <c r="A84" s="74">
        <v>21005.0</v>
      </c>
      <c r="B84" s="83" t="s">
        <v>117</v>
      </c>
      <c r="C84" s="81">
        <v>6330.000000911999</v>
      </c>
      <c r="D84" s="81">
        <v>6196.000001660001</v>
      </c>
    </row>
    <row r="85">
      <c r="A85" s="74">
        <v>21006.0</v>
      </c>
      <c r="B85" s="83" t="s">
        <v>118</v>
      </c>
      <c r="C85" s="81">
        <v>3595.0000019999998</v>
      </c>
      <c r="D85" s="81">
        <v>3424.0000018399996</v>
      </c>
    </row>
    <row r="86">
      <c r="A86" s="74">
        <v>21101.0</v>
      </c>
      <c r="B86" s="83" t="s">
        <v>120</v>
      </c>
      <c r="C86" s="81">
        <v>7028.999995800001</v>
      </c>
      <c r="D86" s="81">
        <v>3430.9999988479976</v>
      </c>
    </row>
    <row r="87">
      <c r="A87" s="74">
        <v>21102.0</v>
      </c>
      <c r="B87" s="83" t="s">
        <v>121</v>
      </c>
      <c r="C87" s="81">
        <v>9721.999992276</v>
      </c>
      <c r="D87" s="81">
        <v>7680.9999927849985</v>
      </c>
    </row>
    <row r="88">
      <c r="A88" s="74">
        <v>21103.0</v>
      </c>
      <c r="B88" s="83" t="s">
        <v>122</v>
      </c>
      <c r="C88" s="81">
        <v>2735.9999993679994</v>
      </c>
      <c r="D88" s="81">
        <v>2046.000003264</v>
      </c>
    </row>
    <row r="89">
      <c r="A89" s="74">
        <v>21104.0</v>
      </c>
      <c r="B89" s="83" t="s">
        <v>123</v>
      </c>
      <c r="C89" s="81">
        <v>14270.000001600001</v>
      </c>
      <c r="D89" s="81">
        <v>9683.9999894</v>
      </c>
    </row>
    <row r="90">
      <c r="A90" s="74">
        <v>21105.0</v>
      </c>
      <c r="B90" s="83" t="s">
        <v>124</v>
      </c>
      <c r="C90" s="81">
        <v>26912.999996388</v>
      </c>
      <c r="D90" s="81">
        <v>18080.00000612</v>
      </c>
    </row>
    <row r="91">
      <c r="A91" s="74">
        <v>21201.0</v>
      </c>
      <c r="B91" s="83" t="s">
        <v>126</v>
      </c>
      <c r="C91" s="81">
        <v>15431.000004585001</v>
      </c>
      <c r="D91" s="81">
        <v>7011.999981096</v>
      </c>
    </row>
    <row r="92">
      <c r="A92" s="74">
        <v>21202.0</v>
      </c>
      <c r="B92" s="83" t="s">
        <v>127</v>
      </c>
      <c r="C92" s="81">
        <v>14470.000002507</v>
      </c>
      <c r="D92" s="81">
        <v>10197.000010775999</v>
      </c>
    </row>
    <row r="93">
      <c r="A93" s="74">
        <v>21203.0</v>
      </c>
      <c r="B93" s="83" t="s">
        <v>128</v>
      </c>
      <c r="C93" s="81">
        <v>8563.000002986</v>
      </c>
      <c r="D93" s="81">
        <v>3427.999990712</v>
      </c>
    </row>
    <row r="94">
      <c r="A94" s="74">
        <v>21204.0</v>
      </c>
      <c r="B94" s="83" t="s">
        <v>129</v>
      </c>
      <c r="C94" s="81">
        <v>3069.999998315</v>
      </c>
      <c r="D94" s="81">
        <v>1583.9999990039996</v>
      </c>
    </row>
    <row r="95">
      <c r="A95" s="74">
        <v>21301.0</v>
      </c>
      <c r="B95" s="83" t="s">
        <v>131</v>
      </c>
      <c r="C95" s="81">
        <v>15952.99999316</v>
      </c>
      <c r="D95" s="81">
        <v>9737.999986449999</v>
      </c>
    </row>
    <row r="96">
      <c r="A96" s="74">
        <v>21302.0</v>
      </c>
      <c r="B96" s="83" t="s">
        <v>132</v>
      </c>
      <c r="C96" s="81">
        <v>5742.999999644</v>
      </c>
      <c r="D96" s="81">
        <v>3146.999995524</v>
      </c>
    </row>
    <row r="97">
      <c r="A97" s="74">
        <v>21303.0</v>
      </c>
      <c r="B97" s="83" t="s">
        <v>133</v>
      </c>
      <c r="C97" s="81">
        <v>4489.000000999</v>
      </c>
      <c r="D97" s="81">
        <v>3054.000002878999</v>
      </c>
    </row>
    <row r="98">
      <c r="A98" s="74">
        <v>21304.0</v>
      </c>
      <c r="B98" s="83" t="s">
        <v>134</v>
      </c>
      <c r="C98" s="81">
        <v>6024.999999588001</v>
      </c>
      <c r="D98" s="81">
        <v>2713.999992477</v>
      </c>
    </row>
    <row r="99">
      <c r="A99" s="74">
        <v>21305.0</v>
      </c>
      <c r="B99" s="83" t="s">
        <v>135</v>
      </c>
      <c r="C99" s="81">
        <v>5319.999992863999</v>
      </c>
      <c r="D99" s="81">
        <v>2997.000009860996</v>
      </c>
    </row>
    <row r="100">
      <c r="A100" s="74">
        <v>21306.0</v>
      </c>
      <c r="B100" s="83" t="s">
        <v>136</v>
      </c>
      <c r="C100" s="81">
        <v>4075.9999965300003</v>
      </c>
      <c r="D100" s="81">
        <v>1527.9999941250007</v>
      </c>
    </row>
    <row r="101">
      <c r="A101" s="74">
        <v>21307.0</v>
      </c>
      <c r="B101" s="83" t="s">
        <v>137</v>
      </c>
      <c r="C101" s="81">
        <v>1370.9999976530003</v>
      </c>
      <c r="D101" s="81">
        <v>520.9999985000004</v>
      </c>
    </row>
    <row r="102">
      <c r="A102" s="74">
        <v>21401.0</v>
      </c>
      <c r="B102" s="83" t="s">
        <v>139</v>
      </c>
      <c r="C102" s="81">
        <v>10074.999995938</v>
      </c>
      <c r="D102" s="81">
        <v>8657.000008611998</v>
      </c>
    </row>
    <row r="103">
      <c r="A103" s="74">
        <v>21402.0</v>
      </c>
      <c r="B103" s="83" t="s">
        <v>140</v>
      </c>
      <c r="C103" s="81">
        <v>5940.000003835001</v>
      </c>
      <c r="D103" s="81">
        <v>3468.9999971200014</v>
      </c>
    </row>
    <row r="104">
      <c r="A104" s="74">
        <v>21501.0</v>
      </c>
      <c r="B104" s="83" t="s">
        <v>142</v>
      </c>
      <c r="C104" s="81">
        <v>5467.000003575</v>
      </c>
      <c r="D104" s="81">
        <v>5390.999999811</v>
      </c>
    </row>
    <row r="105">
      <c r="A105" s="74">
        <v>21502.0</v>
      </c>
      <c r="B105" s="83" t="s">
        <v>143</v>
      </c>
      <c r="C105" s="81">
        <v>4727.999995992001</v>
      </c>
      <c r="D105" s="81">
        <v>2719.000003579</v>
      </c>
    </row>
    <row r="106">
      <c r="A106" s="74">
        <v>21601.0</v>
      </c>
      <c r="B106" s="83" t="s">
        <v>145</v>
      </c>
      <c r="C106" s="81">
        <v>11575.999995471</v>
      </c>
      <c r="D106" s="81">
        <v>10817.999997285</v>
      </c>
    </row>
    <row r="107">
      <c r="A107" s="74">
        <v>21602.0</v>
      </c>
      <c r="B107" s="83" t="s">
        <v>146</v>
      </c>
      <c r="C107" s="81">
        <v>2992.999999725</v>
      </c>
      <c r="D107" s="81">
        <v>3584.999999022</v>
      </c>
    </row>
    <row r="108">
      <c r="A108" s="74">
        <v>21701.0</v>
      </c>
      <c r="B108" s="83" t="s">
        <v>148</v>
      </c>
      <c r="C108" s="81">
        <v>6103.999996499999</v>
      </c>
      <c r="D108" s="81">
        <v>5842.000004136</v>
      </c>
    </row>
    <row r="109">
      <c r="A109" s="74">
        <v>21702.0</v>
      </c>
      <c r="B109" s="83" t="s">
        <v>149</v>
      </c>
      <c r="C109" s="81">
        <v>3711.9999973839995</v>
      </c>
      <c r="D109" s="81">
        <v>3543.99999603</v>
      </c>
    </row>
    <row r="110">
      <c r="A110" s="74">
        <v>21703.0</v>
      </c>
      <c r="B110" s="83" t="s">
        <v>150</v>
      </c>
      <c r="C110" s="81">
        <v>4349.9999979389995</v>
      </c>
      <c r="D110" s="81">
        <v>3682.999996476</v>
      </c>
    </row>
    <row r="111">
      <c r="A111" s="74">
        <v>21801.0</v>
      </c>
      <c r="B111" s="83" t="s">
        <v>152</v>
      </c>
      <c r="C111" s="81">
        <v>6940.000000476</v>
      </c>
      <c r="D111" s="81">
        <v>5031.000001920001</v>
      </c>
    </row>
    <row r="112">
      <c r="A112" s="74">
        <v>21802.0</v>
      </c>
      <c r="B112" s="83" t="s">
        <v>153</v>
      </c>
      <c r="C112" s="81">
        <v>5818.999996614</v>
      </c>
      <c r="D112" s="81">
        <v>3743.9999996670003</v>
      </c>
    </row>
    <row r="113">
      <c r="A113" s="74">
        <v>21803.0</v>
      </c>
      <c r="B113" s="83" t="s">
        <v>154</v>
      </c>
      <c r="C113" s="81">
        <v>1802.0</v>
      </c>
      <c r="D113" s="81">
        <v>1385.0000007600001</v>
      </c>
    </row>
    <row r="114">
      <c r="A114" s="74">
        <v>21901.0</v>
      </c>
      <c r="B114" s="83" t="s">
        <v>156</v>
      </c>
      <c r="C114" s="81">
        <v>3877.0000000620003</v>
      </c>
      <c r="D114" s="81">
        <v>4332.999999408</v>
      </c>
    </row>
    <row r="115">
      <c r="A115" s="74">
        <v>21902.0</v>
      </c>
      <c r="B115" s="83" t="s">
        <v>157</v>
      </c>
      <c r="C115" s="81">
        <v>2145.000000524</v>
      </c>
      <c r="D115" s="81">
        <v>1931.000002191</v>
      </c>
    </row>
    <row r="116">
      <c r="A116" s="74">
        <v>22001.0</v>
      </c>
      <c r="B116" s="83" t="s">
        <v>158</v>
      </c>
      <c r="C116" s="81">
        <v>33541.000000291</v>
      </c>
      <c r="D116" s="81">
        <v>26832.999972212</v>
      </c>
    </row>
    <row r="117">
      <c r="A117" s="74">
        <v>22002.0</v>
      </c>
      <c r="B117" s="83" t="s">
        <v>159</v>
      </c>
      <c r="C117" s="81">
        <v>7815.000004064999</v>
      </c>
      <c r="D117" s="81">
        <v>5045.000002272</v>
      </c>
    </row>
    <row r="118">
      <c r="A118" s="74">
        <v>30101.0</v>
      </c>
      <c r="B118" s="83" t="s">
        <v>160</v>
      </c>
      <c r="C118" s="81">
        <v>11780.999752728036</v>
      </c>
      <c r="D118" s="81">
        <v>4840.999766196008</v>
      </c>
    </row>
    <row r="119">
      <c r="A119" s="74">
        <v>30201.0</v>
      </c>
      <c r="B119" s="83" t="s">
        <v>163</v>
      </c>
      <c r="C119" s="81">
        <v>14154.999998775</v>
      </c>
      <c r="D119" s="81">
        <v>10003.000008038</v>
      </c>
    </row>
    <row r="120">
      <c r="A120" s="74">
        <v>30202.0</v>
      </c>
      <c r="B120" s="83" t="s">
        <v>164</v>
      </c>
      <c r="C120" s="81">
        <v>4370.000000373</v>
      </c>
      <c r="D120" s="81">
        <v>3689.9999980619996</v>
      </c>
    </row>
    <row r="121">
      <c r="A121" s="74">
        <v>30203.0</v>
      </c>
      <c r="B121" s="83" t="s">
        <v>165</v>
      </c>
      <c r="C121" s="81">
        <v>3193.000000038</v>
      </c>
      <c r="D121" s="81">
        <v>2265.000001115999</v>
      </c>
    </row>
    <row r="122">
      <c r="A122" s="74">
        <v>30301.0</v>
      </c>
      <c r="B122" s="83" t="s">
        <v>166</v>
      </c>
      <c r="C122" s="81">
        <v>17645.999993552</v>
      </c>
      <c r="D122" s="81">
        <v>14817.000010775</v>
      </c>
    </row>
    <row r="123">
      <c r="A123" s="74">
        <v>30302.0</v>
      </c>
      <c r="B123" s="83" t="s">
        <v>167</v>
      </c>
      <c r="C123" s="81">
        <v>10860.000002753</v>
      </c>
      <c r="D123" s="81">
        <v>11398.000004858</v>
      </c>
    </row>
    <row r="124">
      <c r="A124" s="74">
        <v>30303.0</v>
      </c>
      <c r="B124" s="83" t="s">
        <v>168</v>
      </c>
      <c r="C124" s="81">
        <v>15824.000003076</v>
      </c>
      <c r="D124" s="81">
        <v>13637.000001248</v>
      </c>
    </row>
    <row r="125">
      <c r="A125" s="74">
        <v>30401.0</v>
      </c>
      <c r="B125" s="83" t="s">
        <v>170</v>
      </c>
      <c r="C125" s="81">
        <v>3347.9999971920006</v>
      </c>
      <c r="D125" s="81">
        <v>3509.9999969579994</v>
      </c>
    </row>
    <row r="126">
      <c r="A126" s="74">
        <v>30402.0</v>
      </c>
      <c r="B126" s="83" t="s">
        <v>171</v>
      </c>
      <c r="C126" s="81">
        <v>5696.000002512</v>
      </c>
      <c r="D126" s="81">
        <v>5108.000000976001</v>
      </c>
    </row>
    <row r="127">
      <c r="A127" s="74">
        <v>30403.0</v>
      </c>
      <c r="B127" s="83" t="s">
        <v>172</v>
      </c>
      <c r="C127" s="81">
        <v>5091.000003970999</v>
      </c>
      <c r="D127" s="81">
        <v>5254.000008195002</v>
      </c>
    </row>
    <row r="128">
      <c r="A128" s="74">
        <v>30404.0</v>
      </c>
      <c r="B128" s="83" t="s">
        <v>173</v>
      </c>
      <c r="C128" s="81">
        <v>3633.00000196</v>
      </c>
      <c r="D128" s="81">
        <v>3414.999999362</v>
      </c>
    </row>
    <row r="129">
      <c r="A129" s="74">
        <v>30501.0</v>
      </c>
      <c r="B129" s="83" t="s">
        <v>174</v>
      </c>
      <c r="C129" s="81">
        <v>2890.000002833999</v>
      </c>
      <c r="D129" s="81">
        <v>1628.999998112</v>
      </c>
    </row>
    <row r="130">
      <c r="A130" s="74">
        <v>30502.0</v>
      </c>
      <c r="B130" s="83" t="s">
        <v>175</v>
      </c>
      <c r="C130" s="81">
        <v>6879.0000039999995</v>
      </c>
      <c r="D130" s="81">
        <v>4979.000002717</v>
      </c>
    </row>
    <row r="131">
      <c r="A131" s="74">
        <v>30601.0</v>
      </c>
      <c r="B131" s="83" t="s">
        <v>176</v>
      </c>
      <c r="C131" s="81">
        <v>9470.00000412</v>
      </c>
      <c r="D131" s="81">
        <v>8787.999994932</v>
      </c>
    </row>
    <row r="132">
      <c r="A132" s="74">
        <v>30602.0</v>
      </c>
      <c r="B132" s="83" t="s">
        <v>177</v>
      </c>
      <c r="C132" s="81">
        <v>9580.000004133999</v>
      </c>
      <c r="D132" s="81">
        <v>9271.000000351</v>
      </c>
    </row>
    <row r="133">
      <c r="A133" s="74">
        <v>30701.0</v>
      </c>
      <c r="B133" s="83" t="s">
        <v>178</v>
      </c>
      <c r="C133" s="81">
        <v>6693.999997911998</v>
      </c>
      <c r="D133" s="81">
        <v>4220.000007344001</v>
      </c>
    </row>
    <row r="134">
      <c r="A134" s="74">
        <v>30702.0</v>
      </c>
      <c r="B134" s="83" t="s">
        <v>179</v>
      </c>
      <c r="C134" s="81">
        <v>3719.0000001589997</v>
      </c>
      <c r="D134" s="81">
        <v>1760.0000004659996</v>
      </c>
    </row>
    <row r="135">
      <c r="A135" s="74">
        <v>30703.0</v>
      </c>
      <c r="B135" s="83" t="s">
        <v>180</v>
      </c>
      <c r="C135" s="81">
        <v>2915.9999981700003</v>
      </c>
      <c r="D135" s="81">
        <v>1703.0000008769998</v>
      </c>
    </row>
    <row r="136">
      <c r="A136" s="74">
        <v>30801.0</v>
      </c>
      <c r="B136" s="83" t="s">
        <v>182</v>
      </c>
      <c r="C136" s="81">
        <v>2829.0000034529985</v>
      </c>
      <c r="D136" s="81">
        <v>536.9999949639969</v>
      </c>
    </row>
    <row r="137">
      <c r="A137" s="74">
        <v>30802.0</v>
      </c>
      <c r="B137" s="83" t="s">
        <v>183</v>
      </c>
      <c r="C137" s="81">
        <v>3627.0000000900004</v>
      </c>
      <c r="D137" s="81">
        <v>1913.0000032079997</v>
      </c>
    </row>
    <row r="138">
      <c r="A138" s="74">
        <v>30803.0</v>
      </c>
      <c r="B138" s="83" t="s">
        <v>184</v>
      </c>
      <c r="C138" s="81">
        <v>713.00000163</v>
      </c>
      <c r="D138" s="81">
        <v>1121.0000036400006</v>
      </c>
    </row>
    <row r="139">
      <c r="A139" s="74">
        <v>30901.0</v>
      </c>
      <c r="B139" s="83" t="s">
        <v>185</v>
      </c>
      <c r="C139" s="81">
        <v>6925.999936085995</v>
      </c>
      <c r="D139" s="81">
        <v>2987.0000756999943</v>
      </c>
    </row>
    <row r="140">
      <c r="A140" s="74">
        <v>30902.0</v>
      </c>
      <c r="B140" s="83" t="s">
        <v>186</v>
      </c>
      <c r="C140" s="81">
        <v>7747.999983738002</v>
      </c>
      <c r="D140" s="81">
        <v>4194.999990719996</v>
      </c>
    </row>
    <row r="141">
      <c r="A141" s="74">
        <v>30903.0</v>
      </c>
      <c r="B141" s="83" t="s">
        <v>187</v>
      </c>
      <c r="C141" s="81">
        <v>5888.999982710004</v>
      </c>
      <c r="D141" s="81">
        <v>3140.9999697479943</v>
      </c>
    </row>
    <row r="142">
      <c r="A142" s="74">
        <v>30904.0</v>
      </c>
      <c r="B142" s="83" t="s">
        <v>188</v>
      </c>
      <c r="C142" s="81">
        <v>5585.999976552004</v>
      </c>
      <c r="D142" s="81">
        <v>1869.000001788001</v>
      </c>
    </row>
    <row r="143">
      <c r="A143" s="74">
        <v>30905.0</v>
      </c>
      <c r="B143" s="83" t="s">
        <v>189</v>
      </c>
      <c r="C143" s="81">
        <v>1059.000003823996</v>
      </c>
      <c r="D143" s="81">
        <v>336.0000143840007</v>
      </c>
    </row>
    <row r="144">
      <c r="A144" s="74">
        <v>31001.0</v>
      </c>
      <c r="B144" s="83" t="s">
        <v>191</v>
      </c>
      <c r="C144" s="81">
        <v>18745.999937279994</v>
      </c>
      <c r="D144" s="81">
        <v>11640.999964544986</v>
      </c>
    </row>
    <row r="145">
      <c r="A145" s="74">
        <v>31002.0</v>
      </c>
      <c r="B145" s="83" t="s">
        <v>192</v>
      </c>
      <c r="C145" s="81">
        <v>10005.0000021</v>
      </c>
      <c r="D145" s="81">
        <v>6865.999996160002</v>
      </c>
    </row>
    <row r="146">
      <c r="A146" s="74">
        <v>31003.0</v>
      </c>
      <c r="B146" s="83" t="s">
        <v>193</v>
      </c>
      <c r="C146" s="81">
        <v>37316.000030229</v>
      </c>
      <c r="D146" s="81">
        <v>28211.999966591997</v>
      </c>
    </row>
    <row r="147">
      <c r="A147" s="74">
        <v>31101.0</v>
      </c>
      <c r="B147" s="83" t="s">
        <v>194</v>
      </c>
      <c r="C147" s="81">
        <v>21549.999999192</v>
      </c>
      <c r="D147" s="81">
        <v>18842.999997718</v>
      </c>
    </row>
    <row r="148">
      <c r="A148" s="74">
        <v>31201.0</v>
      </c>
      <c r="B148" s="83" t="s">
        <v>196</v>
      </c>
      <c r="C148" s="81">
        <v>11172.999994497</v>
      </c>
      <c r="D148" s="81">
        <v>8063.000001509</v>
      </c>
    </row>
    <row r="149">
      <c r="A149" s="74">
        <v>31202.0</v>
      </c>
      <c r="B149" s="83" t="s">
        <v>197</v>
      </c>
      <c r="C149" s="81">
        <v>7944.999995946</v>
      </c>
      <c r="D149" s="81">
        <v>5005.000004906</v>
      </c>
    </row>
    <row r="150">
      <c r="A150" s="74">
        <v>31203.0</v>
      </c>
      <c r="B150" s="83" t="s">
        <v>198</v>
      </c>
      <c r="C150" s="81">
        <v>8162.000000266</v>
      </c>
      <c r="D150" s="81">
        <v>5512.000000572</v>
      </c>
    </row>
    <row r="151">
      <c r="A151" s="74">
        <v>31204.0</v>
      </c>
      <c r="B151" s="83" t="s">
        <v>199</v>
      </c>
      <c r="C151" s="81">
        <v>8177.000001016</v>
      </c>
      <c r="D151" s="81">
        <v>6155.0000031380005</v>
      </c>
    </row>
    <row r="152">
      <c r="A152" s="74">
        <v>31205.0</v>
      </c>
      <c r="B152" s="83" t="s">
        <v>200</v>
      </c>
      <c r="C152" s="81">
        <v>20330.000007144</v>
      </c>
      <c r="D152" s="81">
        <v>13139.999985348004</v>
      </c>
    </row>
    <row r="153">
      <c r="A153" s="74">
        <v>31206.0</v>
      </c>
      <c r="B153" s="83" t="s">
        <v>201</v>
      </c>
      <c r="C153" s="81">
        <v>11766.999993909998</v>
      </c>
      <c r="D153" s="81">
        <v>9120.000000249995</v>
      </c>
    </row>
    <row r="154">
      <c r="A154" s="74">
        <v>31301.0</v>
      </c>
      <c r="B154" s="83" t="s">
        <v>202</v>
      </c>
      <c r="C154" s="81">
        <v>11727.00000199</v>
      </c>
      <c r="D154" s="81">
        <v>7494.999998555</v>
      </c>
    </row>
    <row r="155">
      <c r="A155" s="74">
        <v>31302.0</v>
      </c>
      <c r="B155" s="83" t="s">
        <v>203</v>
      </c>
      <c r="C155" s="81">
        <v>4968.999997779</v>
      </c>
      <c r="D155" s="81">
        <v>4304.00000118</v>
      </c>
    </row>
    <row r="156">
      <c r="A156" s="74">
        <v>31303.0</v>
      </c>
      <c r="B156" s="83" t="s">
        <v>204</v>
      </c>
      <c r="C156" s="81">
        <v>3274.000001305</v>
      </c>
      <c r="D156" s="81">
        <v>2981.999998964</v>
      </c>
    </row>
    <row r="157">
      <c r="A157" s="74">
        <v>31304.0</v>
      </c>
      <c r="B157" s="83" t="s">
        <v>205</v>
      </c>
      <c r="C157" s="81">
        <v>6663.999998817</v>
      </c>
      <c r="D157" s="81">
        <v>7107.999996888</v>
      </c>
    </row>
    <row r="158">
      <c r="A158" s="74">
        <v>31401.0</v>
      </c>
      <c r="B158" s="83" t="s">
        <v>206</v>
      </c>
      <c r="C158" s="81">
        <v>2432.0000012679993</v>
      </c>
      <c r="D158" s="81">
        <v>949.000012671997</v>
      </c>
    </row>
    <row r="159">
      <c r="A159" s="74">
        <v>31402.0</v>
      </c>
      <c r="B159" s="83" t="s">
        <v>207</v>
      </c>
      <c r="C159" s="81">
        <v>2370.99999604</v>
      </c>
      <c r="D159" s="81">
        <v>1277.9999975219998</v>
      </c>
    </row>
    <row r="160">
      <c r="A160" s="74">
        <v>31403.0</v>
      </c>
      <c r="B160" s="83" t="s">
        <v>208</v>
      </c>
      <c r="C160" s="81">
        <v>2538.00000629</v>
      </c>
      <c r="D160" s="81">
        <v>923.0000037299997</v>
      </c>
    </row>
    <row r="161">
      <c r="A161" s="74">
        <v>31404.0</v>
      </c>
      <c r="B161" s="83" t="s">
        <v>209</v>
      </c>
      <c r="C161" s="81">
        <v>847.000000368</v>
      </c>
      <c r="D161" s="81">
        <v>372.9999999600001</v>
      </c>
    </row>
    <row r="162">
      <c r="A162" s="74">
        <v>31405.0</v>
      </c>
      <c r="B162" s="83" t="s">
        <v>210</v>
      </c>
      <c r="C162" s="81">
        <v>2183.000000937</v>
      </c>
      <c r="D162" s="81">
        <v>1792.999999276</v>
      </c>
    </row>
    <row r="163">
      <c r="A163" s="74">
        <v>31501.0</v>
      </c>
      <c r="B163" s="83" t="s">
        <v>211</v>
      </c>
      <c r="C163" s="81">
        <v>6134.999996923</v>
      </c>
      <c r="D163" s="81">
        <v>6546.999998128</v>
      </c>
    </row>
    <row r="164">
      <c r="A164" s="74">
        <v>31601.0</v>
      </c>
      <c r="B164" s="83" t="s">
        <v>212</v>
      </c>
      <c r="C164" s="81">
        <v>14602.99999455</v>
      </c>
      <c r="D164" s="81">
        <v>7352.999998398</v>
      </c>
    </row>
    <row r="165">
      <c r="A165" s="74">
        <v>31602.0</v>
      </c>
      <c r="B165" s="83" t="s">
        <v>213</v>
      </c>
      <c r="C165" s="81">
        <v>8325.000008313</v>
      </c>
      <c r="D165" s="81">
        <v>5169.000007710001</v>
      </c>
    </row>
    <row r="166">
      <c r="A166" s="74">
        <v>40101.0</v>
      </c>
      <c r="B166" s="83" t="s">
        <v>214</v>
      </c>
      <c r="C166" s="81">
        <v>1589.9999256230076</v>
      </c>
      <c r="D166" s="81">
        <v>816.999996152008</v>
      </c>
    </row>
    <row r="167">
      <c r="A167" s="74">
        <v>40102.0</v>
      </c>
      <c r="B167" s="83" t="s">
        <v>215</v>
      </c>
      <c r="C167" s="81">
        <v>11913.999996444001</v>
      </c>
      <c r="D167" s="81">
        <v>6652.000007294999</v>
      </c>
    </row>
    <row r="168">
      <c r="A168" s="74">
        <v>40103.0</v>
      </c>
      <c r="B168" s="83" t="s">
        <v>216</v>
      </c>
      <c r="C168" s="81">
        <v>7704.00000162</v>
      </c>
      <c r="D168" s="81">
        <v>6445.000001097</v>
      </c>
    </row>
    <row r="169">
      <c r="A169" s="74">
        <v>40104.0</v>
      </c>
      <c r="B169" s="83" t="s">
        <v>217</v>
      </c>
      <c r="C169" s="81">
        <v>6377.000000704</v>
      </c>
      <c r="D169" s="81">
        <v>4042.9999934059997</v>
      </c>
    </row>
    <row r="170">
      <c r="A170" s="74">
        <v>40201.0</v>
      </c>
      <c r="B170" s="83" t="s">
        <v>219</v>
      </c>
      <c r="C170" s="81">
        <v>13096.00000436</v>
      </c>
      <c r="D170" s="81">
        <v>13032.000007596002</v>
      </c>
    </row>
    <row r="171">
      <c r="A171" s="74">
        <v>40202.0</v>
      </c>
      <c r="B171" s="83" t="s">
        <v>220</v>
      </c>
      <c r="C171" s="81">
        <v>2114.0000015670003</v>
      </c>
      <c r="D171" s="81">
        <v>1931.9999977439998</v>
      </c>
    </row>
    <row r="172">
      <c r="A172" s="74">
        <v>40301.0</v>
      </c>
      <c r="B172" s="83" t="s">
        <v>222</v>
      </c>
      <c r="C172" s="81">
        <v>7656.999997556</v>
      </c>
      <c r="D172" s="81">
        <v>10618.000002132</v>
      </c>
    </row>
    <row r="173">
      <c r="A173" s="74">
        <v>40302.0</v>
      </c>
      <c r="B173" s="83" t="s">
        <v>223</v>
      </c>
      <c r="C173" s="81">
        <v>1585.999999656</v>
      </c>
      <c r="D173" s="81">
        <v>1724.9999994240002</v>
      </c>
    </row>
    <row r="174">
      <c r="A174" s="74">
        <v>40401.0</v>
      </c>
      <c r="B174" s="83" t="s">
        <v>225</v>
      </c>
      <c r="C174" s="81">
        <v>2329.000000129</v>
      </c>
      <c r="D174" s="81">
        <v>4137.9999988439995</v>
      </c>
    </row>
    <row r="175">
      <c r="A175" s="74">
        <v>40402.0</v>
      </c>
      <c r="B175" s="83" t="s">
        <v>226</v>
      </c>
      <c r="C175" s="81">
        <v>3930.9999987499996</v>
      </c>
      <c r="D175" s="81">
        <v>3723.000001989</v>
      </c>
    </row>
    <row r="176">
      <c r="A176" s="74">
        <v>40501.0</v>
      </c>
      <c r="B176" s="83" t="s">
        <v>228</v>
      </c>
      <c r="C176" s="81">
        <v>37.99999973399997</v>
      </c>
      <c r="D176" s="81">
        <v>102.99999935599999</v>
      </c>
    </row>
    <row r="177">
      <c r="A177" s="74">
        <v>40502.0</v>
      </c>
      <c r="B177" s="83" t="s">
        <v>229</v>
      </c>
      <c r="C177" s="81">
        <v>3582.999999341</v>
      </c>
      <c r="D177" s="81">
        <v>1324.00000082</v>
      </c>
    </row>
    <row r="178">
      <c r="A178" s="74">
        <v>40503.0</v>
      </c>
      <c r="B178" s="83" t="s">
        <v>230</v>
      </c>
      <c r="C178" s="81">
        <v>1449.9999990689998</v>
      </c>
      <c r="D178" s="81">
        <v>321.0000007410001</v>
      </c>
    </row>
    <row r="179">
      <c r="A179" s="74">
        <v>40504.0</v>
      </c>
      <c r="B179" s="83" t="s">
        <v>231</v>
      </c>
      <c r="C179" s="81">
        <v>476.99999979300003</v>
      </c>
      <c r="D179" s="81">
        <v>219.00000000800003</v>
      </c>
    </row>
    <row r="180">
      <c r="A180" s="74">
        <v>40505.0</v>
      </c>
      <c r="B180" s="83" t="s">
        <v>232</v>
      </c>
      <c r="C180" s="81">
        <v>1520.999999232</v>
      </c>
      <c r="D180" s="81">
        <v>907.9999981919996</v>
      </c>
    </row>
    <row r="181">
      <c r="A181" s="74">
        <v>40601.0</v>
      </c>
      <c r="B181" s="83" t="s">
        <v>233</v>
      </c>
      <c r="C181" s="81">
        <v>2999.999999304</v>
      </c>
      <c r="D181" s="81">
        <v>2106.00000208</v>
      </c>
    </row>
    <row r="182">
      <c r="A182" s="74">
        <v>40602.0</v>
      </c>
      <c r="B182" s="83" t="s">
        <v>234</v>
      </c>
      <c r="C182" s="81">
        <v>1804.00000077</v>
      </c>
      <c r="D182" s="81">
        <v>757.0000007299996</v>
      </c>
    </row>
    <row r="183">
      <c r="A183" s="74">
        <v>40603.0</v>
      </c>
      <c r="B183" s="83" t="s">
        <v>235</v>
      </c>
      <c r="C183" s="81">
        <v>1089.000001166</v>
      </c>
      <c r="D183" s="81">
        <v>599.999999531</v>
      </c>
    </row>
    <row r="184">
      <c r="A184" s="74">
        <v>40701.0</v>
      </c>
      <c r="B184" s="83" t="s">
        <v>237</v>
      </c>
      <c r="C184" s="81">
        <v>2499.000012032</v>
      </c>
      <c r="D184" s="81">
        <v>1209.0000065040003</v>
      </c>
    </row>
    <row r="185">
      <c r="A185" s="74">
        <v>40702.0</v>
      </c>
      <c r="B185" s="83" t="s">
        <v>238</v>
      </c>
      <c r="C185" s="81">
        <v>1255.0000007099993</v>
      </c>
      <c r="D185" s="81">
        <v>699.9999977879997</v>
      </c>
    </row>
    <row r="186">
      <c r="A186" s="74">
        <v>40801.0</v>
      </c>
      <c r="B186" s="83" t="s">
        <v>240</v>
      </c>
      <c r="C186" s="81">
        <v>7130.000004945</v>
      </c>
      <c r="D186" s="81">
        <v>5639.999999808</v>
      </c>
    </row>
    <row r="187">
      <c r="A187" s="74">
        <v>40802.0</v>
      </c>
      <c r="B187" s="83" t="s">
        <v>241</v>
      </c>
      <c r="C187" s="81">
        <v>1840.000001219</v>
      </c>
      <c r="D187" s="81">
        <v>1058.000001068</v>
      </c>
    </row>
    <row r="188">
      <c r="A188" s="74">
        <v>40901.0</v>
      </c>
      <c r="B188" s="83" t="s">
        <v>242</v>
      </c>
      <c r="C188" s="81">
        <v>5322.0000034879995</v>
      </c>
      <c r="D188" s="81">
        <v>3653.9999969280016</v>
      </c>
    </row>
    <row r="189">
      <c r="A189" s="74">
        <v>40902.0</v>
      </c>
      <c r="B189" s="83" t="s">
        <v>243</v>
      </c>
      <c r="C189" s="81">
        <v>252.99999983700002</v>
      </c>
      <c r="D189" s="81">
        <v>81.9999997179998</v>
      </c>
    </row>
    <row r="190">
      <c r="A190" s="74">
        <v>40903.0</v>
      </c>
      <c r="B190" s="83" t="s">
        <v>244</v>
      </c>
      <c r="C190" s="81">
        <v>1048.99999926</v>
      </c>
      <c r="D190" s="81">
        <v>854.0000011199998</v>
      </c>
    </row>
    <row r="191">
      <c r="A191" s="74">
        <v>41001.0</v>
      </c>
      <c r="B191" s="83" t="s">
        <v>246</v>
      </c>
      <c r="C191" s="81">
        <v>7906.000003344</v>
      </c>
      <c r="D191" s="81">
        <v>7653.000005772</v>
      </c>
    </row>
    <row r="192">
      <c r="A192" s="74">
        <v>41101.0</v>
      </c>
      <c r="B192" s="83" t="s">
        <v>248</v>
      </c>
      <c r="C192" s="81">
        <v>1965.9999980879998</v>
      </c>
      <c r="D192" s="81">
        <v>926.9999985860004</v>
      </c>
    </row>
    <row r="193">
      <c r="A193" s="74">
        <v>41201.0</v>
      </c>
      <c r="B193" s="83" t="s">
        <v>250</v>
      </c>
      <c r="C193" s="81">
        <v>4187.000001766</v>
      </c>
      <c r="D193" s="81">
        <v>3919.999998672</v>
      </c>
    </row>
    <row r="194">
      <c r="A194" s="74">
        <v>41202.0</v>
      </c>
      <c r="B194" s="83" t="s">
        <v>251</v>
      </c>
      <c r="C194" s="81">
        <v>1744.0000009599999</v>
      </c>
      <c r="D194" s="81">
        <v>1425.9999985210002</v>
      </c>
    </row>
    <row r="195">
      <c r="A195" s="74">
        <v>41301.0</v>
      </c>
      <c r="B195" s="83" t="s">
        <v>196</v>
      </c>
      <c r="C195" s="81">
        <v>4932.000001785</v>
      </c>
      <c r="D195" s="81">
        <v>4774.00000276</v>
      </c>
    </row>
    <row r="196">
      <c r="A196" s="74">
        <v>41401.0</v>
      </c>
      <c r="B196" s="83" t="s">
        <v>254</v>
      </c>
      <c r="C196" s="81">
        <v>7177.000001428</v>
      </c>
      <c r="D196" s="81">
        <v>4657.000002420002</v>
      </c>
    </row>
    <row r="197">
      <c r="A197" s="74">
        <v>41501.0</v>
      </c>
      <c r="B197" s="83" t="s">
        <v>256</v>
      </c>
      <c r="C197" s="81">
        <v>389.000000181</v>
      </c>
      <c r="D197" s="81">
        <v>512.999999442</v>
      </c>
    </row>
    <row r="198">
      <c r="A198" s="74">
        <v>41502.0</v>
      </c>
      <c r="B198" s="83" t="s">
        <v>257</v>
      </c>
      <c r="C198" s="81">
        <v>592.999999787</v>
      </c>
      <c r="D198" s="81">
        <v>346.00000005900006</v>
      </c>
    </row>
    <row r="199">
      <c r="A199" s="74">
        <v>41503.0</v>
      </c>
      <c r="B199" s="83" t="s">
        <v>221</v>
      </c>
      <c r="C199" s="81">
        <v>736.000000074</v>
      </c>
      <c r="D199" s="81">
        <v>555.999999633</v>
      </c>
    </row>
    <row r="200">
      <c r="A200" s="74">
        <v>41601.0</v>
      </c>
      <c r="B200" s="83" t="s">
        <v>259</v>
      </c>
      <c r="C200" s="81">
        <v>4586.00000201</v>
      </c>
      <c r="D200" s="81">
        <v>3827.999997353</v>
      </c>
    </row>
    <row r="201">
      <c r="A201" s="74">
        <v>50101.0</v>
      </c>
      <c r="B201" s="83" t="s">
        <v>260</v>
      </c>
      <c r="C201" s="81">
        <v>11245.000020412</v>
      </c>
      <c r="D201" s="81">
        <v>9636.99993888801</v>
      </c>
    </row>
    <row r="202">
      <c r="A202" s="74">
        <v>50102.0</v>
      </c>
      <c r="B202" s="83" t="s">
        <v>262</v>
      </c>
      <c r="C202" s="81">
        <v>24956.999994128</v>
      </c>
      <c r="D202" s="81">
        <v>24713.999988260002</v>
      </c>
    </row>
    <row r="203">
      <c r="A203" s="74">
        <v>50103.0</v>
      </c>
      <c r="B203" s="83" t="s">
        <v>263</v>
      </c>
      <c r="C203" s="81">
        <v>4706.999997154</v>
      </c>
      <c r="D203" s="81">
        <v>4325.000005700002</v>
      </c>
    </row>
    <row r="204">
      <c r="A204" s="74">
        <v>50104.0</v>
      </c>
      <c r="B204" s="83" t="s">
        <v>264</v>
      </c>
      <c r="C204" s="81">
        <v>2288.000001116</v>
      </c>
      <c r="D204" s="81">
        <v>2095.999998792</v>
      </c>
    </row>
    <row r="205">
      <c r="A205" s="74">
        <v>50201.0</v>
      </c>
      <c r="B205" s="83" t="s">
        <v>266</v>
      </c>
      <c r="C205" s="81">
        <v>8309.000004732</v>
      </c>
      <c r="D205" s="81">
        <v>6310.0000061030005</v>
      </c>
    </row>
    <row r="206">
      <c r="A206" s="74">
        <v>50202.0</v>
      </c>
      <c r="B206" s="83" t="s">
        <v>267</v>
      </c>
      <c r="C206" s="81">
        <v>9042.99999352</v>
      </c>
      <c r="D206" s="81">
        <v>6487.000007086999</v>
      </c>
    </row>
    <row r="207">
      <c r="A207" s="74">
        <v>50203.0</v>
      </c>
      <c r="B207" s="83" t="s">
        <v>268</v>
      </c>
      <c r="C207" s="81">
        <v>5061.000015910002</v>
      </c>
      <c r="D207" s="81">
        <v>3248.999996216</v>
      </c>
    </row>
    <row r="208">
      <c r="A208" s="74">
        <v>50204.0</v>
      </c>
      <c r="B208" s="83" t="s">
        <v>269</v>
      </c>
      <c r="C208" s="81">
        <v>4826.000000364</v>
      </c>
      <c r="D208" s="81">
        <v>3410.9999995320004</v>
      </c>
    </row>
    <row r="209">
      <c r="A209" s="74">
        <v>50301.0</v>
      </c>
      <c r="B209" s="83" t="s">
        <v>271</v>
      </c>
      <c r="C209" s="81">
        <v>20919.000003253</v>
      </c>
      <c r="D209" s="81">
        <v>14686.000000884997</v>
      </c>
    </row>
    <row r="210">
      <c r="A210" s="74">
        <v>50302.0</v>
      </c>
      <c r="B210" s="83" t="s">
        <v>272</v>
      </c>
      <c r="C210" s="81">
        <v>7358.000000856</v>
      </c>
      <c r="D210" s="81">
        <v>5055.9999971649995</v>
      </c>
    </row>
    <row r="211">
      <c r="A211" s="74">
        <v>50303.0</v>
      </c>
      <c r="B211" s="83" t="s">
        <v>273</v>
      </c>
      <c r="C211" s="81">
        <v>10648.000004653</v>
      </c>
      <c r="D211" s="81">
        <v>12344.00000288</v>
      </c>
    </row>
    <row r="212">
      <c r="A212" s="74">
        <v>50401.0</v>
      </c>
      <c r="B212" s="83" t="s">
        <v>274</v>
      </c>
      <c r="C212" s="81">
        <v>10027.000001322001</v>
      </c>
      <c r="D212" s="81">
        <v>9467.99999856</v>
      </c>
    </row>
    <row r="213">
      <c r="A213" s="74">
        <v>50402.0</v>
      </c>
      <c r="B213" s="83" t="s">
        <v>275</v>
      </c>
      <c r="C213" s="81">
        <v>18811.999999862</v>
      </c>
      <c r="D213" s="81">
        <v>14516.999993575999</v>
      </c>
    </row>
    <row r="214">
      <c r="A214" s="74">
        <v>50403.0</v>
      </c>
      <c r="B214" s="83" t="s">
        <v>276</v>
      </c>
      <c r="C214" s="81">
        <v>22386.000009515</v>
      </c>
      <c r="D214" s="81">
        <v>24043.000012794</v>
      </c>
    </row>
    <row r="215">
      <c r="A215" s="74">
        <v>50404.0</v>
      </c>
      <c r="B215" s="83" t="s">
        <v>277</v>
      </c>
      <c r="C215" s="81">
        <v>13885.99999839</v>
      </c>
      <c r="D215" s="81">
        <v>12070.00000393</v>
      </c>
    </row>
    <row r="216">
      <c r="A216" s="74">
        <v>50405.0</v>
      </c>
      <c r="B216" s="83" t="s">
        <v>278</v>
      </c>
      <c r="C216" s="81">
        <v>16661.999997932</v>
      </c>
      <c r="D216" s="81">
        <v>13743.9999942</v>
      </c>
    </row>
    <row r="217">
      <c r="A217" s="74">
        <v>50501.0</v>
      </c>
      <c r="B217" s="83" t="s">
        <v>280</v>
      </c>
      <c r="C217" s="81">
        <v>26499.999997328</v>
      </c>
      <c r="D217" s="81">
        <v>23426.00000272</v>
      </c>
    </row>
    <row r="218">
      <c r="A218" s="74">
        <v>50502.0</v>
      </c>
      <c r="B218" s="83" t="s">
        <v>281</v>
      </c>
      <c r="C218" s="81">
        <v>9115.999996791</v>
      </c>
      <c r="D218" s="81">
        <v>7543.9999974639995</v>
      </c>
    </row>
    <row r="219">
      <c r="A219" s="74">
        <v>50601.0</v>
      </c>
      <c r="B219" s="83" t="s">
        <v>283</v>
      </c>
      <c r="C219" s="81">
        <v>20737.999998528</v>
      </c>
      <c r="D219" s="81">
        <v>17112.00000126</v>
      </c>
    </row>
    <row r="220">
      <c r="A220" s="74">
        <v>50602.0</v>
      </c>
      <c r="B220" s="83" t="s">
        <v>284</v>
      </c>
      <c r="C220" s="81">
        <v>8668.000000012</v>
      </c>
      <c r="D220" s="81">
        <v>6993.000005017</v>
      </c>
    </row>
    <row r="221">
      <c r="A221" s="74">
        <v>50701.0</v>
      </c>
      <c r="B221" s="83" t="s">
        <v>286</v>
      </c>
      <c r="C221" s="81">
        <v>16235.00000052</v>
      </c>
      <c r="D221" s="81">
        <v>11955.99999177</v>
      </c>
    </row>
    <row r="222">
      <c r="A222" s="74">
        <v>50702.0</v>
      </c>
      <c r="B222" s="83" t="s">
        <v>287</v>
      </c>
      <c r="C222" s="81">
        <v>7591.999997945</v>
      </c>
      <c r="D222" s="81">
        <v>6815.999998024</v>
      </c>
    </row>
    <row r="223">
      <c r="A223" s="74">
        <v>50801.0</v>
      </c>
      <c r="B223" s="83" t="s">
        <v>289</v>
      </c>
      <c r="C223" s="81">
        <v>11521.000005253998</v>
      </c>
      <c r="D223" s="81">
        <v>7563.000010015996</v>
      </c>
    </row>
    <row r="224">
      <c r="A224" s="74">
        <v>50802.0</v>
      </c>
      <c r="B224" s="83" t="s">
        <v>290</v>
      </c>
      <c r="C224" s="81">
        <v>589.0000051850002</v>
      </c>
      <c r="D224" s="81">
        <v>392.0000003480018</v>
      </c>
    </row>
    <row r="225">
      <c r="A225" s="74">
        <v>50901.0</v>
      </c>
      <c r="B225" s="83" t="s">
        <v>292</v>
      </c>
      <c r="C225" s="81">
        <v>5448.000001935999</v>
      </c>
      <c r="D225" s="81">
        <v>1914.0000008499992</v>
      </c>
    </row>
    <row r="226">
      <c r="A226" s="74">
        <v>50902.0</v>
      </c>
      <c r="B226" s="83" t="s">
        <v>293</v>
      </c>
      <c r="C226" s="81">
        <v>594.000000375</v>
      </c>
      <c r="D226" s="81">
        <v>366.0000004419999</v>
      </c>
    </row>
    <row r="227">
      <c r="A227" s="74">
        <v>51001.0</v>
      </c>
      <c r="B227" s="83" t="s">
        <v>295</v>
      </c>
      <c r="C227" s="81">
        <v>2325.999999037</v>
      </c>
      <c r="D227" s="81">
        <v>1506.9999998150001</v>
      </c>
    </row>
    <row r="228">
      <c r="A228" s="74">
        <v>51002.0</v>
      </c>
      <c r="B228" s="83" t="s">
        <v>296</v>
      </c>
      <c r="C228" s="81">
        <v>1107.999999525</v>
      </c>
      <c r="D228" s="81">
        <v>658.00000032</v>
      </c>
    </row>
    <row r="229">
      <c r="A229" s="74">
        <v>51003.0</v>
      </c>
      <c r="B229" s="83" t="s">
        <v>297</v>
      </c>
      <c r="C229" s="81">
        <v>1645.9999993259999</v>
      </c>
      <c r="D229" s="81">
        <v>1032.99999979</v>
      </c>
    </row>
    <row r="230">
      <c r="A230" s="74">
        <v>51101.0</v>
      </c>
      <c r="B230" s="83" t="s">
        <v>299</v>
      </c>
      <c r="C230" s="81">
        <v>15500.000000420001</v>
      </c>
      <c r="D230" s="81">
        <v>8600.999995383001</v>
      </c>
    </row>
    <row r="231">
      <c r="A231" s="74">
        <v>51102.0</v>
      </c>
      <c r="B231" s="83" t="s">
        <v>300</v>
      </c>
      <c r="C231" s="81">
        <v>6424.999996184</v>
      </c>
      <c r="D231" s="81">
        <v>4158.999996974999</v>
      </c>
    </row>
    <row r="232">
      <c r="A232" s="74">
        <v>51103.0</v>
      </c>
      <c r="B232" s="83" t="s">
        <v>301</v>
      </c>
      <c r="C232" s="81">
        <v>13767.000000112</v>
      </c>
      <c r="D232" s="81">
        <v>11710.999998809999</v>
      </c>
    </row>
    <row r="233">
      <c r="A233" s="74">
        <v>51201.0</v>
      </c>
      <c r="B233" s="83" t="s">
        <v>303</v>
      </c>
      <c r="C233" s="81">
        <v>6077.000001376</v>
      </c>
      <c r="D233" s="81">
        <v>2504.000009108</v>
      </c>
    </row>
    <row r="234">
      <c r="A234" s="74">
        <v>51202.0</v>
      </c>
      <c r="B234" s="83" t="s">
        <v>304</v>
      </c>
      <c r="C234" s="81">
        <v>6065.99999968</v>
      </c>
      <c r="D234" s="81">
        <v>3411.0000035720004</v>
      </c>
    </row>
    <row r="235">
      <c r="A235" s="74">
        <v>51203.0</v>
      </c>
      <c r="B235" s="83" t="s">
        <v>305</v>
      </c>
      <c r="C235" s="81">
        <v>2220.0000048799993</v>
      </c>
      <c r="D235" s="81">
        <v>2003.9999982020017</v>
      </c>
    </row>
    <row r="236">
      <c r="A236" s="74">
        <v>51204.0</v>
      </c>
      <c r="B236" s="83" t="s">
        <v>306</v>
      </c>
      <c r="C236" s="81">
        <v>3944.0000007179997</v>
      </c>
      <c r="D236" s="81">
        <v>2946.0000017400002</v>
      </c>
    </row>
    <row r="237">
      <c r="A237" s="74">
        <v>51301.0</v>
      </c>
      <c r="B237" s="83" t="s">
        <v>308</v>
      </c>
      <c r="C237" s="81">
        <v>3635.99999925</v>
      </c>
      <c r="D237" s="81">
        <v>3040.999999928</v>
      </c>
    </row>
    <row r="238">
      <c r="A238" s="74">
        <v>51302.0</v>
      </c>
      <c r="B238" s="83" t="s">
        <v>309</v>
      </c>
      <c r="C238" s="81">
        <v>4997.000002616</v>
      </c>
      <c r="D238" s="81">
        <v>3307.00000166</v>
      </c>
    </row>
    <row r="239">
      <c r="A239" s="74">
        <v>51401.0</v>
      </c>
      <c r="B239" s="83" t="s">
        <v>311</v>
      </c>
      <c r="C239" s="81">
        <v>2625.00000122</v>
      </c>
      <c r="D239" s="81">
        <v>973.0000020080001</v>
      </c>
    </row>
    <row r="240">
      <c r="A240" s="74">
        <v>51402.0</v>
      </c>
      <c r="B240" s="83" t="s">
        <v>312</v>
      </c>
      <c r="C240" s="81">
        <v>863.000000512</v>
      </c>
      <c r="D240" s="81">
        <v>364.99999936400013</v>
      </c>
    </row>
    <row r="241">
      <c r="A241" s="74">
        <v>51501.0</v>
      </c>
      <c r="B241" s="83" t="s">
        <v>314</v>
      </c>
      <c r="C241" s="81">
        <v>7086.000002432003</v>
      </c>
      <c r="D241" s="81">
        <v>4103.999976654006</v>
      </c>
    </row>
    <row r="242">
      <c r="A242" s="74">
        <v>51601.0</v>
      </c>
      <c r="B242" s="83" t="s">
        <v>316</v>
      </c>
      <c r="C242" s="81">
        <v>1454.999999381</v>
      </c>
      <c r="D242" s="81">
        <v>699.0000000160001</v>
      </c>
    </row>
    <row r="243">
      <c r="A243" s="74">
        <v>60101.0</v>
      </c>
      <c r="B243" s="83" t="s">
        <v>317</v>
      </c>
      <c r="C243" s="81">
        <v>15774.000091019989</v>
      </c>
      <c r="D243" s="81">
        <v>9496.000050459988</v>
      </c>
    </row>
    <row r="244">
      <c r="A244" s="74">
        <v>60201.0</v>
      </c>
      <c r="B244" s="83" t="s">
        <v>319</v>
      </c>
      <c r="C244" s="81">
        <v>12324.000002551998</v>
      </c>
      <c r="D244" s="81">
        <v>7778.999998814999</v>
      </c>
    </row>
    <row r="245">
      <c r="A245" s="74">
        <v>60202.0</v>
      </c>
      <c r="B245" s="83" t="s">
        <v>320</v>
      </c>
      <c r="C245" s="81">
        <v>2822.999991569999</v>
      </c>
      <c r="D245" s="81">
        <v>1031.999983599002</v>
      </c>
    </row>
    <row r="246">
      <c r="A246" s="74">
        <v>60301.0</v>
      </c>
      <c r="B246" s="83" t="s">
        <v>322</v>
      </c>
      <c r="C246" s="81">
        <v>14317.999973078986</v>
      </c>
      <c r="D246" s="81">
        <v>8670.000038400001</v>
      </c>
    </row>
    <row r="247">
      <c r="A247" s="74">
        <v>60302.0</v>
      </c>
      <c r="B247" s="83" t="s">
        <v>323</v>
      </c>
      <c r="C247" s="81">
        <v>6823.000000602</v>
      </c>
      <c r="D247" s="81">
        <v>3174.0000010680014</v>
      </c>
    </row>
    <row r="248">
      <c r="A248" s="74">
        <v>60303.0</v>
      </c>
      <c r="B248" s="83" t="s">
        <v>324</v>
      </c>
      <c r="C248" s="81">
        <v>8956.999983873</v>
      </c>
      <c r="D248" s="81">
        <v>8469.000007907998</v>
      </c>
    </row>
    <row r="249">
      <c r="A249" s="74">
        <v>60401.0</v>
      </c>
      <c r="B249" s="83" t="s">
        <v>326</v>
      </c>
      <c r="C249" s="81">
        <v>7631.99999985</v>
      </c>
      <c r="D249" s="81">
        <v>4905.999996544</v>
      </c>
    </row>
    <row r="250">
      <c r="A250" s="74">
        <v>60402.0</v>
      </c>
      <c r="B250" s="83" t="s">
        <v>327</v>
      </c>
      <c r="C250" s="81">
        <v>4028.0000023479997</v>
      </c>
      <c r="D250" s="81">
        <v>2647.00000032</v>
      </c>
    </row>
    <row r="251">
      <c r="A251" s="74">
        <v>60501.0</v>
      </c>
      <c r="B251" s="83" t="s">
        <v>329</v>
      </c>
      <c r="C251" s="81">
        <v>9797.000001684</v>
      </c>
      <c r="D251" s="81">
        <v>5548.999990748998</v>
      </c>
    </row>
    <row r="252">
      <c r="A252" s="74">
        <v>60502.0</v>
      </c>
      <c r="B252" s="83" t="s">
        <v>330</v>
      </c>
      <c r="C252" s="81">
        <v>6008.99999862</v>
      </c>
      <c r="D252" s="81">
        <v>2948.9999969599994</v>
      </c>
    </row>
    <row r="253">
      <c r="A253" s="74">
        <v>60601.0</v>
      </c>
      <c r="B253" s="83" t="s">
        <v>201</v>
      </c>
      <c r="C253" s="81">
        <v>12858.000003525001</v>
      </c>
      <c r="D253" s="81">
        <v>10313.999999685</v>
      </c>
    </row>
    <row r="254">
      <c r="A254" s="74">
        <v>70101.0</v>
      </c>
      <c r="B254" s="83" t="s">
        <v>334</v>
      </c>
      <c r="C254" s="81">
        <v>17570.000392126152</v>
      </c>
      <c r="D254" s="81">
        <v>9680.999428839888</v>
      </c>
    </row>
    <row r="255">
      <c r="A255" s="74">
        <v>70102.0</v>
      </c>
      <c r="B255" s="83" t="s">
        <v>335</v>
      </c>
      <c r="C255" s="81">
        <v>7332.000007103998</v>
      </c>
      <c r="D255" s="81">
        <v>4237.999952031998</v>
      </c>
    </row>
    <row r="256">
      <c r="A256" s="74">
        <v>70103.0</v>
      </c>
      <c r="B256" s="83" t="s">
        <v>336</v>
      </c>
      <c r="C256" s="81">
        <v>6627.999997429999</v>
      </c>
      <c r="D256" s="81">
        <v>2974.000008252002</v>
      </c>
    </row>
    <row r="257">
      <c r="A257" s="74">
        <v>70104.0</v>
      </c>
      <c r="B257" s="83" t="s">
        <v>337</v>
      </c>
      <c r="C257" s="81">
        <v>4737.999970574005</v>
      </c>
      <c r="D257" s="81">
        <v>2354.000060582999</v>
      </c>
    </row>
    <row r="258">
      <c r="A258" s="74">
        <v>70105.0</v>
      </c>
      <c r="B258" s="83" t="s">
        <v>338</v>
      </c>
      <c r="C258" s="81">
        <v>12719.999980485001</v>
      </c>
      <c r="D258" s="81">
        <v>6694.999985894996</v>
      </c>
    </row>
    <row r="259">
      <c r="A259" s="74">
        <v>70201.0</v>
      </c>
      <c r="B259" s="83" t="s">
        <v>339</v>
      </c>
      <c r="C259" s="81">
        <v>7323.999953872</v>
      </c>
      <c r="D259" s="81">
        <v>3732.9999790719885</v>
      </c>
    </row>
    <row r="260">
      <c r="A260" s="74">
        <v>70202.0</v>
      </c>
      <c r="B260" s="83" t="s">
        <v>340</v>
      </c>
      <c r="C260" s="81">
        <v>1986.0000053040003</v>
      </c>
      <c r="D260" s="81">
        <v>566.9999951999998</v>
      </c>
    </row>
    <row r="261">
      <c r="A261" s="74">
        <v>70301.0</v>
      </c>
      <c r="B261" s="83" t="s">
        <v>342</v>
      </c>
      <c r="C261" s="81">
        <v>31648.00001762</v>
      </c>
      <c r="D261" s="81">
        <v>25193.999997778003</v>
      </c>
    </row>
    <row r="262">
      <c r="A262" s="74">
        <v>70302.0</v>
      </c>
      <c r="B262" s="83" t="s">
        <v>343</v>
      </c>
      <c r="C262" s="81">
        <v>8263.000004132</v>
      </c>
      <c r="D262" s="81">
        <v>8125.000006028</v>
      </c>
    </row>
    <row r="263">
      <c r="A263" s="74">
        <v>70303.0</v>
      </c>
      <c r="B263" s="83" t="s">
        <v>344</v>
      </c>
      <c r="C263" s="81">
        <v>3461.999998932</v>
      </c>
      <c r="D263" s="81">
        <v>4196.000000249999</v>
      </c>
    </row>
    <row r="264">
      <c r="A264" s="74">
        <v>70401.0</v>
      </c>
      <c r="B264" s="83" t="s">
        <v>346</v>
      </c>
      <c r="C264" s="81">
        <v>5340.00000466</v>
      </c>
      <c r="D264" s="81">
        <v>2551.999999478001</v>
      </c>
    </row>
    <row r="265">
      <c r="A265" s="74">
        <v>70402.0</v>
      </c>
      <c r="B265" s="83" t="s">
        <v>347</v>
      </c>
      <c r="C265" s="81">
        <v>5437.000005612001</v>
      </c>
      <c r="D265" s="81">
        <v>1955.9999983650014</v>
      </c>
    </row>
    <row r="266">
      <c r="A266" s="74">
        <v>70403.0</v>
      </c>
      <c r="B266" s="83" t="s">
        <v>348</v>
      </c>
      <c r="C266" s="81">
        <v>16190.000016477003</v>
      </c>
      <c r="D266" s="81">
        <v>10529.000025894005</v>
      </c>
    </row>
    <row r="267">
      <c r="A267" s="74">
        <v>70404.0</v>
      </c>
      <c r="B267" s="83" t="s">
        <v>349</v>
      </c>
      <c r="C267" s="81">
        <v>1931.0000018399996</v>
      </c>
      <c r="D267" s="81">
        <v>1131.0000029790008</v>
      </c>
    </row>
    <row r="268">
      <c r="A268" s="74">
        <v>70501.0</v>
      </c>
      <c r="B268" s="83" t="s">
        <v>351</v>
      </c>
      <c r="C268" s="81">
        <v>4774.999994386999</v>
      </c>
      <c r="D268" s="81">
        <v>8969.000010432002</v>
      </c>
    </row>
    <row r="269">
      <c r="A269" s="74">
        <v>70502.0</v>
      </c>
      <c r="B269" s="83" t="s">
        <v>352</v>
      </c>
      <c r="C269" s="81">
        <v>3879.0000105670006</v>
      </c>
      <c r="D269" s="81">
        <v>4981.000015374004</v>
      </c>
    </row>
    <row r="270">
      <c r="A270" s="74">
        <v>70503.0</v>
      </c>
      <c r="B270" s="83" t="s">
        <v>353</v>
      </c>
      <c r="C270" s="81">
        <v>5923.000005727999</v>
      </c>
      <c r="D270" s="81">
        <v>3380.999992982999</v>
      </c>
    </row>
    <row r="271">
      <c r="A271" s="74">
        <v>70601.0</v>
      </c>
      <c r="B271" s="83" t="s">
        <v>355</v>
      </c>
      <c r="C271" s="81">
        <v>3004.0000039800016</v>
      </c>
      <c r="D271" s="81">
        <v>1232.9999927530007</v>
      </c>
    </row>
    <row r="272">
      <c r="A272" s="74">
        <v>70602.0</v>
      </c>
      <c r="B272" s="83" t="s">
        <v>356</v>
      </c>
      <c r="C272" s="81">
        <v>11322.000000682001</v>
      </c>
      <c r="D272" s="81">
        <v>4397.999999889</v>
      </c>
    </row>
    <row r="273">
      <c r="A273" s="74">
        <v>70603.0</v>
      </c>
      <c r="B273" s="83" t="s">
        <v>357</v>
      </c>
      <c r="C273" s="81">
        <v>920.00000292</v>
      </c>
      <c r="D273" s="81">
        <v>417.999999435001</v>
      </c>
    </row>
    <row r="274">
      <c r="A274" s="74">
        <v>70701.0</v>
      </c>
      <c r="B274" s="83" t="s">
        <v>359</v>
      </c>
      <c r="C274" s="81">
        <v>3851.999998644</v>
      </c>
      <c r="D274" s="81">
        <v>3324.000002464</v>
      </c>
    </row>
    <row r="275">
      <c r="A275" s="74">
        <v>70702.0</v>
      </c>
      <c r="B275" s="83" t="s">
        <v>360</v>
      </c>
      <c r="C275" s="81">
        <v>17688.000003429</v>
      </c>
      <c r="D275" s="81">
        <v>18655.000003439996</v>
      </c>
    </row>
    <row r="276">
      <c r="A276" s="74">
        <v>70703.0</v>
      </c>
      <c r="B276" s="83" t="s">
        <v>361</v>
      </c>
      <c r="C276" s="81">
        <v>8394.000005128</v>
      </c>
      <c r="D276" s="81">
        <v>5532.9999957280015</v>
      </c>
    </row>
    <row r="277">
      <c r="A277" s="74">
        <v>70704.0</v>
      </c>
      <c r="B277" s="83" t="s">
        <v>362</v>
      </c>
      <c r="C277" s="81">
        <v>2656.000001435</v>
      </c>
      <c r="D277" s="81">
        <v>2122.000001802</v>
      </c>
    </row>
    <row r="278">
      <c r="A278" s="74">
        <v>70705.0</v>
      </c>
      <c r="B278" s="83" t="s">
        <v>363</v>
      </c>
      <c r="C278" s="81">
        <v>10213.000004608</v>
      </c>
      <c r="D278" s="81">
        <v>9891.000003936</v>
      </c>
    </row>
    <row r="279">
      <c r="A279" s="74">
        <v>70706.0</v>
      </c>
      <c r="B279" s="83" t="s">
        <v>364</v>
      </c>
      <c r="C279" s="81">
        <v>3812.000015690999</v>
      </c>
      <c r="D279" s="81">
        <v>3423.999988276002</v>
      </c>
    </row>
    <row r="280">
      <c r="A280" s="74">
        <v>70707.0</v>
      </c>
      <c r="B280" s="83" t="s">
        <v>365</v>
      </c>
      <c r="C280" s="81">
        <v>2497.00000077</v>
      </c>
      <c r="D280" s="81">
        <v>1090.99999837</v>
      </c>
    </row>
    <row r="281">
      <c r="A281" s="74">
        <v>70801.0</v>
      </c>
      <c r="B281" s="83" t="s">
        <v>367</v>
      </c>
      <c r="C281" s="81">
        <v>5863.0000068360005</v>
      </c>
      <c r="D281" s="81">
        <v>4044.000005352</v>
      </c>
    </row>
    <row r="282">
      <c r="A282" s="74">
        <v>70802.0</v>
      </c>
      <c r="B282" s="83" t="s">
        <v>368</v>
      </c>
      <c r="C282" s="81">
        <v>1080.999998988</v>
      </c>
      <c r="D282" s="81">
        <v>487.00000105000004</v>
      </c>
    </row>
    <row r="283">
      <c r="A283" s="74">
        <v>70803.0</v>
      </c>
      <c r="B283" s="83" t="s">
        <v>369</v>
      </c>
      <c r="C283" s="81">
        <v>1756.00000125</v>
      </c>
      <c r="D283" s="81">
        <v>1070.000000264</v>
      </c>
    </row>
    <row r="284">
      <c r="A284" s="74">
        <v>70804.0</v>
      </c>
      <c r="B284" s="83" t="s">
        <v>370</v>
      </c>
      <c r="C284" s="81">
        <v>1343.000000367</v>
      </c>
      <c r="D284" s="81">
        <v>733.0000004800002</v>
      </c>
    </row>
    <row r="285">
      <c r="A285" s="74">
        <v>70805.0</v>
      </c>
      <c r="B285" s="83" t="s">
        <v>371</v>
      </c>
      <c r="C285" s="81">
        <v>1400.999999488</v>
      </c>
      <c r="D285" s="81">
        <v>1083.00000013</v>
      </c>
    </row>
    <row r="286">
      <c r="A286" s="74">
        <v>70901.0</v>
      </c>
      <c r="B286" s="83" t="s">
        <v>373</v>
      </c>
      <c r="C286" s="81">
        <v>3090.999998772001</v>
      </c>
      <c r="D286" s="81">
        <v>1897.9999973899994</v>
      </c>
    </row>
    <row r="287">
      <c r="A287" s="74">
        <v>70902.0</v>
      </c>
      <c r="B287" s="83" t="s">
        <v>374</v>
      </c>
      <c r="C287" s="81">
        <v>2354.9999976619993</v>
      </c>
      <c r="D287" s="81">
        <v>1454.0000032280004</v>
      </c>
    </row>
    <row r="288">
      <c r="A288" s="74">
        <v>70903.0</v>
      </c>
      <c r="B288" s="83" t="s">
        <v>375</v>
      </c>
      <c r="C288" s="81">
        <v>1275.0000032160006</v>
      </c>
      <c r="D288" s="81">
        <v>1662.9999957870004</v>
      </c>
    </row>
    <row r="289">
      <c r="A289" s="74">
        <v>70904.0</v>
      </c>
      <c r="B289" s="83" t="s">
        <v>376</v>
      </c>
      <c r="C289" s="81">
        <v>1170.9999987</v>
      </c>
      <c r="D289" s="81">
        <v>819.9999998220001</v>
      </c>
    </row>
    <row r="290">
      <c r="A290" s="74">
        <v>71001.0</v>
      </c>
      <c r="B290" s="83" t="s">
        <v>378</v>
      </c>
      <c r="C290" s="81">
        <v>4045.000026312002</v>
      </c>
      <c r="D290" s="81">
        <v>1421.999990760014</v>
      </c>
    </row>
    <row r="291">
      <c r="A291" s="74">
        <v>71002.0</v>
      </c>
      <c r="B291" s="83" t="s">
        <v>379</v>
      </c>
      <c r="C291" s="81">
        <v>3918.999993321</v>
      </c>
      <c r="D291" s="81">
        <v>1819.0000051440002</v>
      </c>
    </row>
    <row r="292">
      <c r="A292" s="74">
        <v>71003.0</v>
      </c>
      <c r="B292" s="83" t="s">
        <v>380</v>
      </c>
      <c r="C292" s="81">
        <v>3561.9999993519996</v>
      </c>
      <c r="D292" s="81">
        <v>1260.9999953609986</v>
      </c>
    </row>
    <row r="293">
      <c r="A293" s="74">
        <v>71004.0</v>
      </c>
      <c r="B293" s="83" t="s">
        <v>381</v>
      </c>
      <c r="C293" s="81">
        <v>2334.999997326</v>
      </c>
      <c r="D293" s="81">
        <v>575.9999944719984</v>
      </c>
    </row>
    <row r="294">
      <c r="A294" s="74">
        <v>71005.0</v>
      </c>
      <c r="B294" s="83" t="s">
        <v>280</v>
      </c>
      <c r="C294" s="81">
        <v>2390.0000020120006</v>
      </c>
      <c r="D294" s="81">
        <v>505.00000636799996</v>
      </c>
    </row>
    <row r="295">
      <c r="A295" s="74">
        <v>71101.0</v>
      </c>
      <c r="B295" s="83" t="s">
        <v>383</v>
      </c>
      <c r="C295" s="81">
        <v>11323.000004138</v>
      </c>
      <c r="D295" s="81">
        <v>13768.999998556</v>
      </c>
    </row>
    <row r="296">
      <c r="A296" s="74">
        <v>71102.0</v>
      </c>
      <c r="B296" s="83" t="s">
        <v>384</v>
      </c>
      <c r="C296" s="81">
        <v>6113.999999646</v>
      </c>
      <c r="D296" s="81">
        <v>3626.9999949449993</v>
      </c>
    </row>
    <row r="297">
      <c r="A297" s="74">
        <v>71103.0</v>
      </c>
      <c r="B297" s="83" t="s">
        <v>387</v>
      </c>
      <c r="C297" s="81">
        <v>1607.9999967380008</v>
      </c>
      <c r="D297" s="81">
        <v>1176.9999969399996</v>
      </c>
    </row>
    <row r="298">
      <c r="A298" s="74">
        <v>71104.0</v>
      </c>
      <c r="B298" s="83" t="s">
        <v>385</v>
      </c>
      <c r="C298" s="81">
        <v>18251.999984042</v>
      </c>
      <c r="D298" s="81">
        <v>4964.000018075996</v>
      </c>
    </row>
    <row r="299">
      <c r="A299" s="74">
        <v>71105.0</v>
      </c>
      <c r="B299" s="83" t="s">
        <v>386</v>
      </c>
      <c r="C299" s="81">
        <v>5502.000001586</v>
      </c>
      <c r="D299" s="81">
        <v>4587.99999889</v>
      </c>
    </row>
    <row r="300">
      <c r="A300" s="74">
        <v>71106.0</v>
      </c>
      <c r="B300" s="83" t="s">
        <v>388</v>
      </c>
      <c r="C300" s="81">
        <v>2960.0000067600013</v>
      </c>
      <c r="D300" s="81">
        <v>985.0000051079987</v>
      </c>
    </row>
    <row r="301">
      <c r="A301" s="74">
        <v>71201.0</v>
      </c>
      <c r="B301" s="83" t="s">
        <v>390</v>
      </c>
      <c r="C301" s="81">
        <v>7189.0</v>
      </c>
      <c r="D301" s="81">
        <v>4461.0000015919995</v>
      </c>
    </row>
    <row r="302">
      <c r="A302" s="74">
        <v>71301.0</v>
      </c>
      <c r="B302" s="83" t="s">
        <v>392</v>
      </c>
      <c r="C302" s="81">
        <v>5509.000007811999</v>
      </c>
      <c r="D302" s="81">
        <v>2886.9999963949995</v>
      </c>
    </row>
    <row r="303">
      <c r="A303" s="74">
        <v>71302.0</v>
      </c>
      <c r="B303" s="83" t="s">
        <v>393</v>
      </c>
      <c r="C303" s="81">
        <v>1592.9999995440003</v>
      </c>
      <c r="D303" s="81">
        <v>646.0000026300004</v>
      </c>
    </row>
    <row r="304">
      <c r="A304" s="74">
        <v>71401.0</v>
      </c>
      <c r="B304" s="83" t="s">
        <v>395</v>
      </c>
      <c r="C304" s="81">
        <v>3846.999997189998</v>
      </c>
      <c r="D304" s="81">
        <v>1449.0000052199994</v>
      </c>
    </row>
    <row r="305">
      <c r="A305" s="74">
        <v>71402.0</v>
      </c>
      <c r="B305" s="83" t="s">
        <v>396</v>
      </c>
      <c r="C305" s="81">
        <v>1333.0000068629997</v>
      </c>
      <c r="D305" s="81">
        <v>535.9999951919999</v>
      </c>
    </row>
    <row r="306">
      <c r="A306" s="74">
        <v>71403.0</v>
      </c>
      <c r="B306" s="83" t="s">
        <v>397</v>
      </c>
      <c r="C306" s="81">
        <v>4840.000000896</v>
      </c>
      <c r="D306" s="81">
        <v>3214.9999969259998</v>
      </c>
    </row>
    <row r="307">
      <c r="A307" s="74">
        <v>71501.0</v>
      </c>
      <c r="B307" s="83" t="s">
        <v>399</v>
      </c>
      <c r="C307" s="81">
        <v>9870.999997307</v>
      </c>
      <c r="D307" s="81">
        <v>9733.000015540001</v>
      </c>
    </row>
    <row r="308">
      <c r="A308" s="74">
        <v>71502.0</v>
      </c>
      <c r="B308" s="83" t="s">
        <v>400</v>
      </c>
      <c r="C308" s="81">
        <v>4384.99999817</v>
      </c>
      <c r="D308" s="81">
        <v>3111.999997953</v>
      </c>
    </row>
    <row r="309">
      <c r="A309" s="74">
        <v>71503.0</v>
      </c>
      <c r="B309" s="83" t="s">
        <v>330</v>
      </c>
      <c r="C309" s="81">
        <v>8563.000006844999</v>
      </c>
      <c r="D309" s="81">
        <v>6774.000002347</v>
      </c>
    </row>
    <row r="310">
      <c r="A310" s="74">
        <v>80101.0</v>
      </c>
      <c r="B310" s="83" t="s">
        <v>402</v>
      </c>
      <c r="C310" s="81">
        <v>6104.000025219997</v>
      </c>
      <c r="D310" s="81">
        <v>3179.999948599012</v>
      </c>
    </row>
    <row r="311">
      <c r="A311" s="74">
        <v>80102.0</v>
      </c>
      <c r="B311" s="83" t="s">
        <v>384</v>
      </c>
      <c r="C311" s="81">
        <v>3750.0000003719997</v>
      </c>
      <c r="D311" s="81">
        <v>4112.000001339</v>
      </c>
    </row>
    <row r="312">
      <c r="A312" s="74">
        <v>80201.0</v>
      </c>
      <c r="B312" s="83" t="s">
        <v>404</v>
      </c>
      <c r="C312" s="81">
        <v>26495.000033831006</v>
      </c>
      <c r="D312" s="81">
        <v>16221.000029597999</v>
      </c>
    </row>
    <row r="313">
      <c r="A313" s="74">
        <v>80202.0</v>
      </c>
      <c r="B313" s="83" t="s">
        <v>405</v>
      </c>
      <c r="C313" s="81">
        <v>8134.000012349999</v>
      </c>
      <c r="D313" s="81">
        <v>5286.999980752</v>
      </c>
    </row>
    <row r="314">
      <c r="A314" s="74">
        <v>80301.0</v>
      </c>
      <c r="B314" s="83" t="s">
        <v>407</v>
      </c>
      <c r="C314" s="81">
        <v>7939.000000057</v>
      </c>
      <c r="D314" s="81">
        <v>4835.000002836001</v>
      </c>
    </row>
    <row r="315">
      <c r="A315" s="74">
        <v>80302.0</v>
      </c>
      <c r="B315" s="83" t="s">
        <v>408</v>
      </c>
      <c r="C315" s="81">
        <v>21472.00000917</v>
      </c>
      <c r="D315" s="81">
        <v>22327.000011253</v>
      </c>
    </row>
    <row r="316">
      <c r="A316" s="74">
        <v>80303.0</v>
      </c>
      <c r="B316" s="83" t="s">
        <v>356</v>
      </c>
      <c r="C316" s="81">
        <v>5248.9999976</v>
      </c>
      <c r="D316" s="81">
        <v>3694.000001831999</v>
      </c>
    </row>
    <row r="317">
      <c r="A317" s="74">
        <v>80304.0</v>
      </c>
      <c r="B317" s="83" t="s">
        <v>409</v>
      </c>
      <c r="C317" s="81">
        <v>6453.0000030579995</v>
      </c>
      <c r="D317" s="81">
        <v>5434.999994680002</v>
      </c>
    </row>
    <row r="318">
      <c r="A318" s="74">
        <v>80401.0</v>
      </c>
      <c r="B318" s="83" t="s">
        <v>411</v>
      </c>
      <c r="C318" s="81">
        <v>6211.000001184999</v>
      </c>
      <c r="D318" s="81">
        <v>4773.999996867</v>
      </c>
    </row>
    <row r="319">
      <c r="A319" s="74">
        <v>80402.0</v>
      </c>
      <c r="B319" s="83" t="s">
        <v>412</v>
      </c>
      <c r="C319" s="81">
        <v>5420.999998732</v>
      </c>
      <c r="D319" s="81">
        <v>5454.99999989</v>
      </c>
    </row>
    <row r="320">
      <c r="A320" s="74">
        <v>80501.0</v>
      </c>
      <c r="B320" s="83" t="s">
        <v>342</v>
      </c>
      <c r="C320" s="81">
        <v>11446.000008651</v>
      </c>
      <c r="D320" s="81">
        <v>9408.000009927999</v>
      </c>
    </row>
    <row r="321">
      <c r="A321" s="74">
        <v>80601.0</v>
      </c>
      <c r="B321" s="83" t="s">
        <v>415</v>
      </c>
      <c r="C321" s="81">
        <v>3178.99999949</v>
      </c>
      <c r="D321" s="81">
        <v>2683.00000093</v>
      </c>
    </row>
    <row r="322">
      <c r="A322" s="74">
        <v>80602.0</v>
      </c>
      <c r="B322" s="83" t="s">
        <v>416</v>
      </c>
      <c r="C322" s="81">
        <v>8348.000004624</v>
      </c>
      <c r="D322" s="81">
        <v>7779.00000568</v>
      </c>
    </row>
    <row r="323">
      <c r="A323" s="74">
        <v>80701.0</v>
      </c>
      <c r="B323" s="83" t="s">
        <v>418</v>
      </c>
      <c r="C323" s="81">
        <v>3507.000002</v>
      </c>
      <c r="D323" s="81">
        <v>1495.999999610999</v>
      </c>
    </row>
    <row r="324">
      <c r="A324" s="74">
        <v>80702.0</v>
      </c>
      <c r="B324" s="83" t="s">
        <v>387</v>
      </c>
      <c r="C324" s="81">
        <v>2734.000000032</v>
      </c>
      <c r="D324" s="81">
        <v>1833.0000025919999</v>
      </c>
    </row>
    <row r="325">
      <c r="A325" s="74">
        <v>80703.0</v>
      </c>
      <c r="B325" s="83" t="s">
        <v>419</v>
      </c>
      <c r="C325" s="81">
        <v>701.000000064</v>
      </c>
      <c r="D325" s="81">
        <v>351.0000001500001</v>
      </c>
    </row>
    <row r="326">
      <c r="A326" s="74">
        <v>80801.0</v>
      </c>
      <c r="B326" s="83" t="s">
        <v>421</v>
      </c>
      <c r="C326" s="81">
        <v>6191.0000003390005</v>
      </c>
      <c r="D326" s="81">
        <v>4297.000004415001</v>
      </c>
    </row>
    <row r="327">
      <c r="A327" s="74">
        <v>80802.0</v>
      </c>
      <c r="B327" s="83" t="s">
        <v>422</v>
      </c>
      <c r="C327" s="81">
        <v>3474.99999819</v>
      </c>
      <c r="D327" s="81">
        <v>3449.9999999080005</v>
      </c>
    </row>
    <row r="328">
      <c r="A328" s="74">
        <v>80803.0</v>
      </c>
      <c r="B328" s="83" t="s">
        <v>423</v>
      </c>
      <c r="C328" s="81">
        <v>2917.000000803</v>
      </c>
      <c r="D328" s="81">
        <v>1907.0000020889997</v>
      </c>
    </row>
    <row r="329">
      <c r="A329" s="74">
        <v>80901.0</v>
      </c>
      <c r="B329" s="83" t="s">
        <v>425</v>
      </c>
      <c r="C329" s="81">
        <v>3067.99999919</v>
      </c>
      <c r="D329" s="81">
        <v>3580.999998732</v>
      </c>
    </row>
    <row r="330">
      <c r="A330" s="74">
        <v>90101.0</v>
      </c>
      <c r="B330" s="83" t="s">
        <v>428</v>
      </c>
      <c r="C330" s="81">
        <v>2385.9999896590016</v>
      </c>
      <c r="D330" s="81">
        <v>831.0000032160024</v>
      </c>
    </row>
    <row r="331">
      <c r="A331" s="74">
        <v>90102.0</v>
      </c>
      <c r="B331" s="83" t="s">
        <v>429</v>
      </c>
      <c r="C331" s="81">
        <v>2304.0000000500004</v>
      </c>
      <c r="D331" s="81">
        <v>837.9999993860001</v>
      </c>
    </row>
    <row r="332">
      <c r="A332" s="74">
        <v>90103.0</v>
      </c>
      <c r="B332" s="83" t="s">
        <v>430</v>
      </c>
      <c r="C332" s="81">
        <v>1593.00000051</v>
      </c>
      <c r="D332" s="81">
        <v>938.9999989999999</v>
      </c>
    </row>
    <row r="333">
      <c r="A333" s="74">
        <v>90104.0</v>
      </c>
      <c r="B333" s="83" t="s">
        <v>431</v>
      </c>
      <c r="C333" s="81">
        <v>1950.9999998320002</v>
      </c>
      <c r="D333" s="81">
        <v>877.9999989599996</v>
      </c>
    </row>
    <row r="334">
      <c r="A334" s="74">
        <v>90201.0</v>
      </c>
      <c r="B334" s="83" t="s">
        <v>433</v>
      </c>
      <c r="C334" s="81">
        <v>2885.000001152</v>
      </c>
      <c r="D334" s="81">
        <v>1482.9999977859998</v>
      </c>
    </row>
    <row r="335">
      <c r="A335" s="74">
        <v>90202.0</v>
      </c>
      <c r="B335" s="83" t="s">
        <v>280</v>
      </c>
      <c r="C335" s="81">
        <v>2852.99999957</v>
      </c>
      <c r="D335" s="81">
        <v>2888.00000104</v>
      </c>
    </row>
    <row r="336">
      <c r="A336" s="74">
        <v>90203.0</v>
      </c>
      <c r="B336" s="83" t="s">
        <v>434</v>
      </c>
      <c r="C336" s="81">
        <v>4312.0000013</v>
      </c>
      <c r="D336" s="81">
        <v>1703.000001024</v>
      </c>
    </row>
    <row r="337">
      <c r="A337" s="74">
        <v>90301.0</v>
      </c>
      <c r="B337" s="83" t="s">
        <v>436</v>
      </c>
      <c r="C337" s="81">
        <v>6435.000003452</v>
      </c>
      <c r="D337" s="81">
        <v>5919.999998175</v>
      </c>
    </row>
    <row r="338">
      <c r="A338" s="74">
        <v>90302.0</v>
      </c>
      <c r="B338" s="83" t="s">
        <v>329</v>
      </c>
      <c r="C338" s="81">
        <v>6088.99999676</v>
      </c>
      <c r="D338" s="81">
        <v>4170.000001404001</v>
      </c>
    </row>
    <row r="339">
      <c r="A339" s="74">
        <v>90303.0</v>
      </c>
      <c r="B339" s="83" t="s">
        <v>437</v>
      </c>
      <c r="C339" s="81">
        <v>6818.99999751</v>
      </c>
      <c r="D339" s="81">
        <v>4488.999997535</v>
      </c>
    </row>
    <row r="340">
      <c r="A340" s="74">
        <v>90401.0</v>
      </c>
      <c r="B340" s="83" t="s">
        <v>356</v>
      </c>
      <c r="C340" s="81">
        <v>1647.999998968</v>
      </c>
      <c r="D340" s="81">
        <v>728.9999991600002</v>
      </c>
    </row>
    <row r="341">
      <c r="A341" s="74">
        <v>90402.0</v>
      </c>
      <c r="B341" s="83" t="s">
        <v>99</v>
      </c>
      <c r="C341" s="81">
        <v>1433.000000184</v>
      </c>
      <c r="D341" s="81">
        <v>1300.99999965</v>
      </c>
    </row>
    <row r="342">
      <c r="A342" s="74">
        <v>90501.0</v>
      </c>
      <c r="B342" s="83" t="s">
        <v>440</v>
      </c>
      <c r="C342" s="81">
        <v>1409.999999734</v>
      </c>
      <c r="D342" s="81">
        <v>639.000000445</v>
      </c>
    </row>
    <row r="343">
      <c r="A343" s="74">
        <v>90502.0</v>
      </c>
      <c r="B343" s="83" t="s">
        <v>441</v>
      </c>
      <c r="C343" s="81">
        <v>2349.000001342</v>
      </c>
      <c r="D343" s="81">
        <v>1406.000001148</v>
      </c>
    </row>
    <row r="344">
      <c r="A344" s="74">
        <v>90503.0</v>
      </c>
      <c r="B344" s="83" t="s">
        <v>442</v>
      </c>
      <c r="C344" s="81">
        <v>1852.999999428</v>
      </c>
      <c r="D344" s="81">
        <v>1303.00000097</v>
      </c>
    </row>
    <row r="345">
      <c r="A345" s="85"/>
      <c r="B345" s="85"/>
    </row>
    <row r="346">
      <c r="A346" s="85"/>
      <c r="B346" s="85"/>
    </row>
    <row r="347">
      <c r="A347" s="85"/>
      <c r="B347" s="85"/>
    </row>
    <row r="348">
      <c r="A348" s="85"/>
      <c r="B348" s="85"/>
    </row>
    <row r="349">
      <c r="A349" s="85"/>
      <c r="B349" s="85"/>
    </row>
    <row r="350">
      <c r="A350" s="85"/>
      <c r="B350" s="85"/>
    </row>
    <row r="351">
      <c r="A351" s="85"/>
      <c r="B351" s="85"/>
    </row>
    <row r="352">
      <c r="A352" s="85"/>
      <c r="B352" s="85"/>
    </row>
    <row r="353">
      <c r="A353" s="85"/>
      <c r="B353" s="85"/>
    </row>
    <row r="354">
      <c r="A354" s="85"/>
      <c r="B354" s="85"/>
    </row>
    <row r="355">
      <c r="A355" s="85"/>
      <c r="B355" s="85"/>
    </row>
    <row r="356">
      <c r="A356" s="85"/>
      <c r="B356" s="85"/>
    </row>
    <row r="357">
      <c r="A357" s="85"/>
      <c r="B357" s="85"/>
    </row>
    <row r="358">
      <c r="A358" s="85"/>
      <c r="B358" s="85"/>
    </row>
    <row r="359">
      <c r="A359" s="85"/>
      <c r="B359" s="85"/>
    </row>
    <row r="360">
      <c r="A360" s="85"/>
      <c r="B360" s="85"/>
    </row>
    <row r="361">
      <c r="A361" s="85"/>
      <c r="B361" s="85"/>
    </row>
    <row r="362">
      <c r="A362" s="85"/>
      <c r="B362" s="85"/>
    </row>
    <row r="363">
      <c r="A363" s="85"/>
      <c r="B363" s="85"/>
    </row>
    <row r="364">
      <c r="A364" s="85"/>
      <c r="B364" s="85"/>
    </row>
    <row r="365">
      <c r="A365" s="85"/>
      <c r="B365" s="85"/>
    </row>
    <row r="366">
      <c r="A366" s="85"/>
      <c r="B366" s="85"/>
    </row>
    <row r="367">
      <c r="A367" s="85"/>
      <c r="B367" s="85"/>
    </row>
    <row r="368">
      <c r="A368" s="85"/>
      <c r="B368" s="85"/>
    </row>
    <row r="369">
      <c r="A369" s="85"/>
      <c r="B369" s="85"/>
    </row>
    <row r="370">
      <c r="A370" s="85"/>
      <c r="B370" s="85"/>
    </row>
    <row r="371">
      <c r="A371" s="85"/>
      <c r="B371" s="85"/>
    </row>
    <row r="372">
      <c r="A372" s="85"/>
      <c r="B372" s="85"/>
    </row>
    <row r="373">
      <c r="A373" s="85"/>
      <c r="B373" s="85"/>
    </row>
    <row r="374">
      <c r="A374" s="85"/>
      <c r="B374" s="85"/>
    </row>
    <row r="375">
      <c r="A375" s="85"/>
      <c r="B375" s="85"/>
    </row>
    <row r="376">
      <c r="A376" s="85"/>
      <c r="B376" s="85"/>
    </row>
    <row r="377">
      <c r="A377" s="85"/>
      <c r="B377" s="85"/>
    </row>
    <row r="378">
      <c r="A378" s="85"/>
      <c r="B378" s="85"/>
    </row>
    <row r="379">
      <c r="A379" s="85"/>
      <c r="B379" s="85"/>
    </row>
    <row r="380">
      <c r="A380" s="85"/>
      <c r="B380" s="85"/>
    </row>
    <row r="381">
      <c r="A381" s="85"/>
      <c r="B381" s="85"/>
    </row>
    <row r="382">
      <c r="A382" s="85"/>
      <c r="B382" s="85"/>
    </row>
    <row r="383">
      <c r="A383" s="85"/>
      <c r="B383" s="85"/>
    </row>
    <row r="384">
      <c r="A384" s="85"/>
      <c r="B384" s="85"/>
    </row>
    <row r="385">
      <c r="A385" s="85"/>
      <c r="B385" s="85"/>
    </row>
    <row r="386">
      <c r="A386" s="85"/>
      <c r="B386" s="85"/>
    </row>
    <row r="387">
      <c r="A387" s="85"/>
      <c r="B387" s="85"/>
    </row>
    <row r="388">
      <c r="A388" s="85"/>
      <c r="B388" s="85"/>
    </row>
    <row r="389">
      <c r="A389" s="85"/>
      <c r="B389" s="85"/>
    </row>
    <row r="390">
      <c r="A390" s="85"/>
      <c r="B390" s="85"/>
    </row>
    <row r="391">
      <c r="A391" s="85"/>
      <c r="B391" s="85"/>
    </row>
    <row r="392">
      <c r="A392" s="85"/>
      <c r="B392" s="85"/>
    </row>
    <row r="393">
      <c r="A393" s="85"/>
      <c r="B393" s="85"/>
    </row>
    <row r="394">
      <c r="A394" s="85"/>
      <c r="B394" s="85"/>
    </row>
    <row r="395">
      <c r="A395" s="85"/>
      <c r="B395" s="85"/>
    </row>
    <row r="396">
      <c r="A396" s="85"/>
      <c r="B396" s="85"/>
    </row>
    <row r="397">
      <c r="A397" s="85"/>
      <c r="B397" s="85"/>
    </row>
    <row r="398">
      <c r="A398" s="85"/>
      <c r="B398" s="85"/>
    </row>
    <row r="399">
      <c r="A399" s="85"/>
      <c r="B399" s="85"/>
    </row>
    <row r="400">
      <c r="A400" s="85"/>
      <c r="B400" s="85"/>
    </row>
    <row r="401">
      <c r="A401" s="85"/>
      <c r="B401" s="85"/>
    </row>
    <row r="402">
      <c r="A402" s="85"/>
      <c r="B402" s="85"/>
    </row>
    <row r="403">
      <c r="A403" s="85"/>
      <c r="B403" s="85"/>
    </row>
    <row r="404">
      <c r="A404" s="85"/>
      <c r="B404" s="85"/>
    </row>
    <row r="405">
      <c r="A405" s="85"/>
      <c r="B405" s="85"/>
    </row>
    <row r="406">
      <c r="A406" s="85"/>
      <c r="B406" s="85"/>
    </row>
    <row r="407">
      <c r="A407" s="85"/>
      <c r="B407" s="85"/>
    </row>
    <row r="408">
      <c r="A408" s="85"/>
      <c r="B408" s="85"/>
    </row>
    <row r="409">
      <c r="A409" s="85"/>
      <c r="B409" s="85"/>
    </row>
    <row r="410">
      <c r="A410" s="85"/>
      <c r="B410" s="85"/>
    </row>
    <row r="411">
      <c r="A411" s="85"/>
      <c r="B411" s="85"/>
    </row>
    <row r="412">
      <c r="A412" s="85"/>
      <c r="B412" s="85"/>
    </row>
    <row r="413">
      <c r="A413" s="85"/>
      <c r="B413" s="85"/>
    </row>
    <row r="414">
      <c r="A414" s="85"/>
      <c r="B414" s="85"/>
    </row>
    <row r="415">
      <c r="A415" s="85"/>
      <c r="B415" s="85"/>
    </row>
    <row r="416">
      <c r="A416" s="85"/>
      <c r="B416" s="85"/>
    </row>
    <row r="417">
      <c r="A417" s="85"/>
      <c r="B417" s="85"/>
    </row>
    <row r="418">
      <c r="A418" s="85"/>
      <c r="B418" s="85"/>
    </row>
    <row r="419">
      <c r="A419" s="85"/>
      <c r="B419" s="85"/>
    </row>
    <row r="420">
      <c r="A420" s="85"/>
      <c r="B420" s="85"/>
    </row>
    <row r="421">
      <c r="A421" s="85"/>
      <c r="B421" s="85"/>
    </row>
    <row r="422">
      <c r="A422" s="85"/>
      <c r="B422" s="85"/>
    </row>
    <row r="423">
      <c r="A423" s="85"/>
      <c r="B423" s="85"/>
    </row>
    <row r="424">
      <c r="A424" s="85"/>
      <c r="B424" s="85"/>
    </row>
    <row r="425">
      <c r="A425" s="85"/>
      <c r="B425" s="85"/>
    </row>
    <row r="426">
      <c r="A426" s="85"/>
      <c r="B426" s="85"/>
    </row>
    <row r="427">
      <c r="A427" s="85"/>
      <c r="B427" s="85"/>
    </row>
    <row r="428">
      <c r="A428" s="85"/>
      <c r="B428" s="85"/>
    </row>
    <row r="429">
      <c r="A429" s="85"/>
      <c r="B429" s="85"/>
    </row>
    <row r="430">
      <c r="A430" s="85"/>
      <c r="B430" s="85"/>
    </row>
    <row r="431">
      <c r="A431" s="85"/>
      <c r="B431" s="85"/>
    </row>
    <row r="432">
      <c r="A432" s="85"/>
      <c r="B432" s="85"/>
    </row>
    <row r="433">
      <c r="A433" s="85"/>
      <c r="B433" s="85"/>
    </row>
    <row r="434">
      <c r="A434" s="85"/>
      <c r="B434" s="85"/>
    </row>
    <row r="435">
      <c r="A435" s="85"/>
      <c r="B435" s="85"/>
    </row>
    <row r="436">
      <c r="A436" s="85"/>
      <c r="B436" s="85"/>
    </row>
    <row r="437">
      <c r="A437" s="85"/>
      <c r="B437" s="85"/>
    </row>
    <row r="438">
      <c r="A438" s="85"/>
      <c r="B438" s="85"/>
    </row>
    <row r="439">
      <c r="A439" s="85"/>
      <c r="B439" s="85"/>
    </row>
    <row r="440">
      <c r="A440" s="85"/>
      <c r="B440" s="85"/>
    </row>
    <row r="441">
      <c r="A441" s="85"/>
      <c r="B441" s="85"/>
    </row>
    <row r="442">
      <c r="A442" s="85"/>
      <c r="B442" s="85"/>
    </row>
    <row r="443">
      <c r="A443" s="85"/>
      <c r="B443" s="85"/>
    </row>
    <row r="444">
      <c r="A444" s="85"/>
      <c r="B444" s="85"/>
    </row>
    <row r="445">
      <c r="A445" s="85"/>
      <c r="B445" s="85"/>
    </row>
    <row r="446">
      <c r="A446" s="85"/>
      <c r="B446" s="85"/>
    </row>
    <row r="447">
      <c r="A447" s="85"/>
      <c r="B447" s="85"/>
    </row>
    <row r="448">
      <c r="A448" s="85"/>
      <c r="B448" s="85"/>
    </row>
    <row r="449">
      <c r="A449" s="85"/>
      <c r="B449" s="85"/>
    </row>
    <row r="450">
      <c r="A450" s="85"/>
      <c r="B450" s="85"/>
    </row>
    <row r="451">
      <c r="A451" s="85"/>
      <c r="B451" s="85"/>
    </row>
    <row r="452">
      <c r="A452" s="85"/>
      <c r="B452" s="85"/>
    </row>
    <row r="453">
      <c r="A453" s="85"/>
      <c r="B453" s="85"/>
    </row>
    <row r="454">
      <c r="A454" s="85"/>
      <c r="B454" s="85"/>
    </row>
    <row r="455">
      <c r="A455" s="85"/>
      <c r="B455" s="85"/>
    </row>
    <row r="456">
      <c r="A456" s="85"/>
      <c r="B456" s="85"/>
    </row>
    <row r="457">
      <c r="A457" s="85"/>
      <c r="B457" s="85"/>
    </row>
    <row r="458">
      <c r="A458" s="85"/>
      <c r="B458" s="85"/>
    </row>
    <row r="459">
      <c r="A459" s="85"/>
      <c r="B459" s="85"/>
    </row>
    <row r="460">
      <c r="A460" s="85"/>
      <c r="B460" s="85"/>
    </row>
    <row r="461">
      <c r="A461" s="85"/>
      <c r="B461" s="85"/>
    </row>
    <row r="462">
      <c r="A462" s="85"/>
      <c r="B462" s="85"/>
    </row>
    <row r="463">
      <c r="A463" s="85"/>
      <c r="B463" s="85"/>
    </row>
    <row r="464">
      <c r="A464" s="85"/>
      <c r="B464" s="85"/>
    </row>
    <row r="465">
      <c r="A465" s="85"/>
      <c r="B465" s="85"/>
    </row>
    <row r="466">
      <c r="A466" s="85"/>
      <c r="B466" s="85"/>
    </row>
    <row r="467">
      <c r="A467" s="85"/>
      <c r="B467" s="85"/>
    </row>
    <row r="468">
      <c r="A468" s="85"/>
      <c r="B468" s="85"/>
    </row>
    <row r="469">
      <c r="A469" s="85"/>
      <c r="B469" s="85"/>
    </row>
    <row r="470">
      <c r="A470" s="85"/>
      <c r="B470" s="85"/>
    </row>
    <row r="471">
      <c r="A471" s="85"/>
      <c r="B471" s="85"/>
    </row>
    <row r="472">
      <c r="A472" s="85"/>
      <c r="B472" s="85"/>
    </row>
    <row r="473">
      <c r="A473" s="85"/>
      <c r="B473" s="85"/>
    </row>
    <row r="474">
      <c r="A474" s="85"/>
      <c r="B474" s="85"/>
    </row>
    <row r="475">
      <c r="A475" s="85"/>
      <c r="B475" s="85"/>
    </row>
    <row r="476">
      <c r="A476" s="85"/>
      <c r="B476" s="85"/>
    </row>
    <row r="477">
      <c r="A477" s="85"/>
      <c r="B477" s="85"/>
    </row>
    <row r="478">
      <c r="A478" s="85"/>
      <c r="B478" s="85"/>
    </row>
    <row r="479">
      <c r="A479" s="85"/>
      <c r="B479" s="85"/>
    </row>
    <row r="480">
      <c r="A480" s="85"/>
      <c r="B480" s="85"/>
    </row>
    <row r="481">
      <c r="A481" s="85"/>
      <c r="B481" s="85"/>
    </row>
    <row r="482">
      <c r="A482" s="85"/>
      <c r="B482" s="85"/>
    </row>
    <row r="483">
      <c r="A483" s="85"/>
      <c r="B483" s="85"/>
    </row>
    <row r="484">
      <c r="A484" s="85"/>
      <c r="B484" s="85"/>
    </row>
    <row r="485">
      <c r="A485" s="85"/>
      <c r="B485" s="85"/>
    </row>
    <row r="486">
      <c r="A486" s="85"/>
      <c r="B486" s="85"/>
    </row>
    <row r="487">
      <c r="A487" s="85"/>
      <c r="B487" s="85"/>
    </row>
    <row r="488">
      <c r="A488" s="85"/>
      <c r="B488" s="85"/>
    </row>
    <row r="489">
      <c r="A489" s="85"/>
      <c r="B489" s="85"/>
    </row>
    <row r="490">
      <c r="A490" s="85"/>
      <c r="B490" s="85"/>
    </row>
    <row r="491">
      <c r="A491" s="85"/>
      <c r="B491" s="85"/>
    </row>
    <row r="492">
      <c r="A492" s="85"/>
      <c r="B492" s="85"/>
    </row>
    <row r="493">
      <c r="A493" s="85"/>
      <c r="B493" s="85"/>
    </row>
    <row r="494">
      <c r="A494" s="85"/>
      <c r="B494" s="85"/>
    </row>
    <row r="495">
      <c r="A495" s="85"/>
      <c r="B495" s="85"/>
    </row>
    <row r="496">
      <c r="A496" s="85"/>
      <c r="B496" s="85"/>
    </row>
    <row r="497">
      <c r="A497" s="85"/>
      <c r="B497" s="85"/>
    </row>
    <row r="498">
      <c r="A498" s="85"/>
      <c r="B498" s="85"/>
    </row>
    <row r="499">
      <c r="A499" s="85"/>
      <c r="B499" s="85"/>
    </row>
    <row r="500">
      <c r="A500" s="85"/>
      <c r="B500" s="85"/>
    </row>
    <row r="501">
      <c r="A501" s="85"/>
      <c r="B501" s="85"/>
    </row>
    <row r="502">
      <c r="A502" s="85"/>
      <c r="B502" s="85"/>
    </row>
    <row r="503">
      <c r="A503" s="85"/>
      <c r="B503" s="85"/>
    </row>
    <row r="504">
      <c r="A504" s="85"/>
      <c r="B504" s="85"/>
    </row>
    <row r="505">
      <c r="A505" s="85"/>
      <c r="B505" s="85"/>
    </row>
    <row r="506">
      <c r="A506" s="85"/>
      <c r="B506" s="85"/>
    </row>
    <row r="507">
      <c r="A507" s="85"/>
      <c r="B507" s="85"/>
    </row>
    <row r="508">
      <c r="A508" s="85"/>
      <c r="B508" s="85"/>
    </row>
    <row r="509">
      <c r="A509" s="85"/>
      <c r="B509" s="85"/>
    </row>
    <row r="510">
      <c r="A510" s="85"/>
      <c r="B510" s="85"/>
    </row>
    <row r="511">
      <c r="A511" s="85"/>
      <c r="B511" s="85"/>
    </row>
    <row r="512">
      <c r="A512" s="85"/>
      <c r="B512" s="85"/>
    </row>
    <row r="513">
      <c r="A513" s="85"/>
      <c r="B513" s="85"/>
    </row>
    <row r="514">
      <c r="A514" s="85"/>
      <c r="B514" s="85"/>
    </row>
    <row r="515">
      <c r="A515" s="85"/>
      <c r="B515" s="85"/>
    </row>
    <row r="516">
      <c r="A516" s="85"/>
      <c r="B516" s="85"/>
    </row>
    <row r="517">
      <c r="A517" s="85"/>
      <c r="B517" s="85"/>
    </row>
    <row r="518">
      <c r="A518" s="85"/>
      <c r="B518" s="85"/>
    </row>
    <row r="519">
      <c r="A519" s="85"/>
      <c r="B519" s="85"/>
    </row>
    <row r="520">
      <c r="A520" s="85"/>
      <c r="B520" s="85"/>
    </row>
    <row r="521">
      <c r="A521" s="85"/>
      <c r="B521" s="85"/>
    </row>
    <row r="522">
      <c r="A522" s="85"/>
      <c r="B522" s="85"/>
    </row>
    <row r="523">
      <c r="A523" s="85"/>
      <c r="B523" s="85"/>
    </row>
    <row r="524">
      <c r="A524" s="85"/>
      <c r="B524" s="85"/>
    </row>
    <row r="525">
      <c r="A525" s="85"/>
      <c r="B525" s="85"/>
    </row>
    <row r="526">
      <c r="A526" s="85"/>
      <c r="B526" s="85"/>
    </row>
    <row r="527">
      <c r="A527" s="85"/>
      <c r="B527" s="85"/>
    </row>
    <row r="528">
      <c r="A528" s="85"/>
      <c r="B528" s="85"/>
    </row>
    <row r="529">
      <c r="A529" s="85"/>
      <c r="B529" s="85"/>
    </row>
    <row r="530">
      <c r="A530" s="85"/>
      <c r="B530" s="85"/>
    </row>
    <row r="531">
      <c r="A531" s="85"/>
      <c r="B531" s="85"/>
    </row>
    <row r="532">
      <c r="A532" s="85"/>
      <c r="B532" s="85"/>
    </row>
    <row r="533">
      <c r="A533" s="85"/>
      <c r="B533" s="85"/>
    </row>
    <row r="534">
      <c r="A534" s="85"/>
      <c r="B534" s="85"/>
    </row>
    <row r="535">
      <c r="A535" s="85"/>
      <c r="B535" s="85"/>
    </row>
    <row r="536">
      <c r="A536" s="85"/>
      <c r="B536" s="85"/>
    </row>
    <row r="537">
      <c r="A537" s="85"/>
      <c r="B537" s="85"/>
    </row>
    <row r="538">
      <c r="A538" s="85"/>
      <c r="B538" s="85"/>
    </row>
    <row r="539">
      <c r="A539" s="85"/>
      <c r="B539" s="85"/>
    </row>
    <row r="540">
      <c r="A540" s="85"/>
      <c r="B540" s="85"/>
    </row>
    <row r="541">
      <c r="A541" s="85"/>
      <c r="B541" s="85"/>
    </row>
    <row r="542">
      <c r="A542" s="85"/>
      <c r="B542" s="85"/>
    </row>
    <row r="543">
      <c r="A543" s="85"/>
      <c r="B543" s="85"/>
    </row>
    <row r="544">
      <c r="A544" s="85"/>
      <c r="B544" s="85"/>
    </row>
    <row r="545">
      <c r="A545" s="85"/>
      <c r="B545" s="85"/>
    </row>
    <row r="546">
      <c r="A546" s="85"/>
      <c r="B546" s="85"/>
    </row>
    <row r="547">
      <c r="A547" s="85"/>
      <c r="B547" s="85"/>
    </row>
    <row r="548">
      <c r="A548" s="85"/>
      <c r="B548" s="85"/>
    </row>
    <row r="549">
      <c r="A549" s="85"/>
      <c r="B549" s="85"/>
    </row>
    <row r="550">
      <c r="A550" s="85"/>
      <c r="B550" s="85"/>
    </row>
    <row r="551">
      <c r="A551" s="85"/>
      <c r="B551" s="85"/>
    </row>
    <row r="552">
      <c r="A552" s="85"/>
      <c r="B552" s="85"/>
    </row>
    <row r="553">
      <c r="A553" s="85"/>
      <c r="B553" s="85"/>
    </row>
    <row r="554">
      <c r="A554" s="85"/>
      <c r="B554" s="85"/>
    </row>
    <row r="555">
      <c r="A555" s="85"/>
      <c r="B555" s="85"/>
    </row>
    <row r="556">
      <c r="A556" s="85"/>
      <c r="B556" s="85"/>
    </row>
    <row r="557">
      <c r="A557" s="85"/>
      <c r="B557" s="85"/>
    </row>
    <row r="558">
      <c r="A558" s="85"/>
      <c r="B558" s="85"/>
    </row>
    <row r="559">
      <c r="A559" s="85"/>
      <c r="B559" s="85"/>
    </row>
    <row r="560">
      <c r="A560" s="85"/>
      <c r="B560" s="85"/>
    </row>
    <row r="561">
      <c r="A561" s="85"/>
      <c r="B561" s="85"/>
    </row>
    <row r="562">
      <c r="A562" s="85"/>
      <c r="B562" s="85"/>
    </row>
    <row r="563">
      <c r="A563" s="85"/>
      <c r="B563" s="85"/>
    </row>
    <row r="564">
      <c r="A564" s="85"/>
      <c r="B564" s="85"/>
    </row>
    <row r="565">
      <c r="A565" s="85"/>
      <c r="B565" s="85"/>
    </row>
    <row r="566">
      <c r="A566" s="85"/>
      <c r="B566" s="85"/>
    </row>
    <row r="567">
      <c r="A567" s="85"/>
      <c r="B567" s="85"/>
    </row>
    <row r="568">
      <c r="A568" s="85"/>
      <c r="B568" s="85"/>
    </row>
    <row r="569">
      <c r="A569" s="85"/>
      <c r="B569" s="85"/>
    </row>
    <row r="570">
      <c r="A570" s="85"/>
      <c r="B570" s="85"/>
    </row>
    <row r="571">
      <c r="A571" s="85"/>
      <c r="B571" s="85"/>
    </row>
    <row r="572">
      <c r="A572" s="85"/>
      <c r="B572" s="85"/>
    </row>
    <row r="573">
      <c r="A573" s="85"/>
      <c r="B573" s="85"/>
    </row>
    <row r="574">
      <c r="A574" s="85"/>
      <c r="B574" s="85"/>
    </row>
    <row r="575">
      <c r="A575" s="85"/>
      <c r="B575" s="85"/>
    </row>
    <row r="576">
      <c r="A576" s="85"/>
      <c r="B576" s="85"/>
    </row>
    <row r="577">
      <c r="A577" s="85"/>
      <c r="B577" s="85"/>
    </row>
    <row r="578">
      <c r="A578" s="85"/>
      <c r="B578" s="85"/>
    </row>
    <row r="579">
      <c r="A579" s="85"/>
      <c r="B579" s="85"/>
    </row>
    <row r="580">
      <c r="A580" s="85"/>
      <c r="B580" s="85"/>
    </row>
    <row r="581">
      <c r="A581" s="85"/>
      <c r="B581" s="85"/>
    </row>
    <row r="582">
      <c r="A582" s="85"/>
      <c r="B582" s="85"/>
    </row>
    <row r="583">
      <c r="A583" s="85"/>
      <c r="B583" s="85"/>
    </row>
    <row r="584">
      <c r="A584" s="85"/>
      <c r="B584" s="85"/>
    </row>
    <row r="585">
      <c r="A585" s="85"/>
      <c r="B585" s="85"/>
    </row>
    <row r="586">
      <c r="A586" s="85"/>
      <c r="B586" s="85"/>
    </row>
    <row r="587">
      <c r="A587" s="85"/>
      <c r="B587" s="85"/>
    </row>
    <row r="588">
      <c r="A588" s="85"/>
      <c r="B588" s="85"/>
    </row>
    <row r="589">
      <c r="A589" s="85"/>
      <c r="B589" s="85"/>
    </row>
    <row r="590">
      <c r="A590" s="85"/>
      <c r="B590" s="85"/>
    </row>
    <row r="591">
      <c r="A591" s="85"/>
      <c r="B591" s="85"/>
    </row>
    <row r="592">
      <c r="A592" s="85"/>
      <c r="B592" s="85"/>
    </row>
    <row r="593">
      <c r="A593" s="85"/>
      <c r="B593" s="85"/>
    </row>
    <row r="594">
      <c r="A594" s="85"/>
      <c r="B594" s="85"/>
    </row>
    <row r="595">
      <c r="A595" s="85"/>
      <c r="B595" s="85"/>
    </row>
    <row r="596">
      <c r="A596" s="85"/>
      <c r="B596" s="85"/>
    </row>
    <row r="597">
      <c r="A597" s="85"/>
      <c r="B597" s="85"/>
    </row>
    <row r="598">
      <c r="A598" s="85"/>
      <c r="B598" s="85"/>
    </row>
    <row r="599">
      <c r="A599" s="85"/>
      <c r="B599" s="85"/>
    </row>
    <row r="600">
      <c r="A600" s="85"/>
      <c r="B600" s="85"/>
    </row>
    <row r="601">
      <c r="A601" s="85"/>
      <c r="B601" s="85"/>
    </row>
    <row r="602">
      <c r="A602" s="85"/>
      <c r="B602" s="85"/>
    </row>
    <row r="603">
      <c r="A603" s="85"/>
      <c r="B603" s="85"/>
    </row>
    <row r="604">
      <c r="A604" s="85"/>
      <c r="B604" s="85"/>
    </row>
    <row r="605">
      <c r="A605" s="85"/>
      <c r="B605" s="85"/>
    </row>
    <row r="606">
      <c r="A606" s="85"/>
      <c r="B606" s="85"/>
    </row>
    <row r="607">
      <c r="A607" s="85"/>
      <c r="B607" s="85"/>
    </row>
    <row r="608">
      <c r="A608" s="85"/>
      <c r="B608" s="85"/>
    </row>
    <row r="609">
      <c r="A609" s="85"/>
      <c r="B609" s="85"/>
    </row>
    <row r="610">
      <c r="A610" s="85"/>
      <c r="B610" s="85"/>
    </row>
    <row r="611">
      <c r="A611" s="85"/>
      <c r="B611" s="85"/>
    </row>
    <row r="612">
      <c r="A612" s="85"/>
      <c r="B612" s="85"/>
    </row>
    <row r="613">
      <c r="A613" s="85"/>
      <c r="B613" s="85"/>
    </row>
    <row r="614">
      <c r="A614" s="85"/>
      <c r="B614" s="85"/>
    </row>
    <row r="615">
      <c r="A615" s="85"/>
      <c r="B615" s="85"/>
    </row>
    <row r="616">
      <c r="A616" s="85"/>
      <c r="B616" s="85"/>
    </row>
    <row r="617">
      <c r="A617" s="85"/>
      <c r="B617" s="85"/>
    </row>
    <row r="618">
      <c r="A618" s="85"/>
      <c r="B618" s="85"/>
    </row>
    <row r="619">
      <c r="A619" s="85"/>
      <c r="B619" s="85"/>
    </row>
    <row r="620">
      <c r="A620" s="85"/>
      <c r="B620" s="85"/>
    </row>
    <row r="621">
      <c r="A621" s="85"/>
      <c r="B621" s="85"/>
    </row>
    <row r="622">
      <c r="A622" s="85"/>
      <c r="B622" s="85"/>
    </row>
    <row r="623">
      <c r="A623" s="85"/>
      <c r="B623" s="85"/>
    </row>
    <row r="624">
      <c r="A624" s="85"/>
      <c r="B624" s="85"/>
    </row>
    <row r="625">
      <c r="A625" s="85"/>
      <c r="B625" s="85"/>
    </row>
    <row r="626">
      <c r="A626" s="85"/>
      <c r="B626" s="85"/>
    </row>
    <row r="627">
      <c r="A627" s="85"/>
      <c r="B627" s="85"/>
    </row>
    <row r="628">
      <c r="A628" s="85"/>
      <c r="B628" s="85"/>
    </row>
    <row r="629">
      <c r="A629" s="85"/>
      <c r="B629" s="85"/>
    </row>
    <row r="630">
      <c r="A630" s="85"/>
      <c r="B630" s="85"/>
    </row>
    <row r="631">
      <c r="A631" s="85"/>
      <c r="B631" s="85"/>
    </row>
    <row r="632">
      <c r="A632" s="85"/>
      <c r="B632" s="85"/>
    </row>
    <row r="633">
      <c r="A633" s="85"/>
      <c r="B633" s="85"/>
    </row>
    <row r="634">
      <c r="A634" s="85"/>
      <c r="B634" s="85"/>
    </row>
    <row r="635">
      <c r="A635" s="85"/>
      <c r="B635" s="85"/>
    </row>
    <row r="636">
      <c r="A636" s="85"/>
      <c r="B636" s="85"/>
    </row>
    <row r="637">
      <c r="A637" s="85"/>
      <c r="B637" s="85"/>
    </row>
    <row r="638">
      <c r="A638" s="85"/>
      <c r="B638" s="85"/>
    </row>
    <row r="639">
      <c r="A639" s="85"/>
      <c r="B639" s="85"/>
    </row>
    <row r="640">
      <c r="A640" s="85"/>
      <c r="B640" s="85"/>
    </row>
    <row r="641">
      <c r="A641" s="85"/>
      <c r="B641" s="85"/>
    </row>
    <row r="642">
      <c r="A642" s="85"/>
      <c r="B642" s="85"/>
    </row>
    <row r="643">
      <c r="A643" s="85"/>
      <c r="B643" s="85"/>
    </row>
    <row r="644">
      <c r="A644" s="85"/>
      <c r="B644" s="85"/>
    </row>
    <row r="645">
      <c r="A645" s="85"/>
      <c r="B645" s="85"/>
    </row>
    <row r="646">
      <c r="A646" s="85"/>
      <c r="B646" s="85"/>
    </row>
    <row r="647">
      <c r="A647" s="85"/>
      <c r="B647" s="85"/>
    </row>
    <row r="648">
      <c r="A648" s="85"/>
      <c r="B648" s="85"/>
    </row>
    <row r="649">
      <c r="A649" s="85"/>
      <c r="B649" s="85"/>
    </row>
    <row r="650">
      <c r="A650" s="85"/>
      <c r="B650" s="85"/>
    </row>
    <row r="651">
      <c r="A651" s="85"/>
      <c r="B651" s="85"/>
    </row>
    <row r="652">
      <c r="A652" s="85"/>
      <c r="B652" s="85"/>
    </row>
    <row r="653">
      <c r="A653" s="85"/>
      <c r="B653" s="85"/>
    </row>
    <row r="654">
      <c r="A654" s="85"/>
      <c r="B654" s="85"/>
    </row>
    <row r="655">
      <c r="A655" s="85"/>
      <c r="B655" s="85"/>
    </row>
    <row r="656">
      <c r="A656" s="85"/>
      <c r="B656" s="85"/>
    </row>
    <row r="657">
      <c r="A657" s="85"/>
      <c r="B657" s="85"/>
    </row>
    <row r="658">
      <c r="A658" s="85"/>
      <c r="B658" s="85"/>
    </row>
    <row r="659">
      <c r="A659" s="85"/>
      <c r="B659" s="85"/>
    </row>
    <row r="660">
      <c r="A660" s="85"/>
      <c r="B660" s="85"/>
    </row>
    <row r="661">
      <c r="A661" s="85"/>
      <c r="B661" s="85"/>
    </row>
    <row r="662">
      <c r="A662" s="85"/>
      <c r="B662" s="85"/>
    </row>
    <row r="663">
      <c r="A663" s="85"/>
      <c r="B663" s="85"/>
    </row>
    <row r="664">
      <c r="A664" s="85"/>
      <c r="B664" s="85"/>
    </row>
    <row r="665">
      <c r="A665" s="85"/>
      <c r="B665" s="85"/>
    </row>
    <row r="666">
      <c r="A666" s="85"/>
      <c r="B666" s="85"/>
    </row>
    <row r="667">
      <c r="A667" s="85"/>
      <c r="B667" s="85"/>
    </row>
    <row r="668">
      <c r="A668" s="85"/>
      <c r="B668" s="85"/>
    </row>
    <row r="669">
      <c r="A669" s="85"/>
      <c r="B669" s="85"/>
    </row>
    <row r="670">
      <c r="A670" s="85"/>
      <c r="B670" s="85"/>
    </row>
    <row r="671">
      <c r="A671" s="85"/>
      <c r="B671" s="85"/>
    </row>
    <row r="672">
      <c r="A672" s="85"/>
      <c r="B672" s="85"/>
    </row>
    <row r="673">
      <c r="A673" s="85"/>
      <c r="B673" s="85"/>
    </row>
    <row r="674">
      <c r="A674" s="85"/>
      <c r="B674" s="85"/>
    </row>
    <row r="675">
      <c r="A675" s="85"/>
      <c r="B675" s="85"/>
    </row>
    <row r="676">
      <c r="A676" s="85"/>
      <c r="B676" s="85"/>
    </row>
    <row r="677">
      <c r="A677" s="85"/>
      <c r="B677" s="85"/>
    </row>
    <row r="678">
      <c r="A678" s="85"/>
      <c r="B678" s="85"/>
    </row>
    <row r="679">
      <c r="A679" s="85"/>
      <c r="B679" s="85"/>
    </row>
    <row r="680">
      <c r="A680" s="85"/>
      <c r="B680" s="85"/>
    </row>
    <row r="681">
      <c r="A681" s="85"/>
      <c r="B681" s="85"/>
    </row>
    <row r="682">
      <c r="A682" s="85"/>
      <c r="B682" s="85"/>
    </row>
    <row r="683">
      <c r="A683" s="85"/>
      <c r="B683" s="85"/>
    </row>
    <row r="684">
      <c r="A684" s="85"/>
      <c r="B684" s="85"/>
    </row>
    <row r="685">
      <c r="A685" s="85"/>
      <c r="B685" s="85"/>
    </row>
    <row r="686">
      <c r="A686" s="85"/>
      <c r="B686" s="85"/>
    </row>
    <row r="687">
      <c r="A687" s="85"/>
      <c r="B687" s="85"/>
    </row>
    <row r="688">
      <c r="A688" s="85"/>
      <c r="B688" s="85"/>
    </row>
    <row r="689">
      <c r="A689" s="85"/>
      <c r="B689" s="85"/>
    </row>
    <row r="690">
      <c r="A690" s="85"/>
      <c r="B690" s="85"/>
    </row>
    <row r="691">
      <c r="A691" s="85"/>
      <c r="B691" s="85"/>
    </row>
    <row r="692">
      <c r="A692" s="85"/>
      <c r="B692" s="85"/>
    </row>
    <row r="693">
      <c r="A693" s="85"/>
      <c r="B693" s="85"/>
    </row>
    <row r="694">
      <c r="A694" s="85"/>
      <c r="B694" s="85"/>
    </row>
    <row r="695">
      <c r="A695" s="85"/>
      <c r="B695" s="85"/>
    </row>
    <row r="696">
      <c r="A696" s="85"/>
      <c r="B696" s="85"/>
    </row>
    <row r="697">
      <c r="A697" s="85"/>
      <c r="B697" s="85"/>
    </row>
    <row r="698">
      <c r="A698" s="85"/>
      <c r="B698" s="85"/>
    </row>
    <row r="699">
      <c r="A699" s="85"/>
      <c r="B699" s="85"/>
    </row>
    <row r="700">
      <c r="A700" s="85"/>
      <c r="B700" s="85"/>
    </row>
    <row r="701">
      <c r="A701" s="85"/>
      <c r="B701" s="85"/>
    </row>
    <row r="702">
      <c r="A702" s="85"/>
      <c r="B702" s="85"/>
    </row>
    <row r="703">
      <c r="A703" s="85"/>
      <c r="B703" s="85"/>
    </row>
    <row r="704">
      <c r="A704" s="85"/>
      <c r="B704" s="85"/>
    </row>
    <row r="705">
      <c r="A705" s="85"/>
      <c r="B705" s="85"/>
    </row>
    <row r="706">
      <c r="A706" s="85"/>
      <c r="B706" s="85"/>
    </row>
    <row r="707">
      <c r="A707" s="85"/>
      <c r="B707" s="85"/>
    </row>
    <row r="708">
      <c r="A708" s="85"/>
      <c r="B708" s="85"/>
    </row>
    <row r="709">
      <c r="A709" s="85"/>
      <c r="B709" s="85"/>
    </row>
    <row r="710">
      <c r="A710" s="85"/>
      <c r="B710" s="85"/>
    </row>
    <row r="711">
      <c r="A711" s="85"/>
      <c r="B711" s="85"/>
    </row>
    <row r="712">
      <c r="A712" s="85"/>
      <c r="B712" s="85"/>
    </row>
    <row r="713">
      <c r="A713" s="85"/>
      <c r="B713" s="85"/>
    </row>
    <row r="714">
      <c r="A714" s="85"/>
      <c r="B714" s="85"/>
    </row>
    <row r="715">
      <c r="A715" s="85"/>
      <c r="B715" s="85"/>
    </row>
    <row r="716">
      <c r="A716" s="85"/>
      <c r="B716" s="85"/>
    </row>
    <row r="717">
      <c r="A717" s="85"/>
      <c r="B717" s="85"/>
    </row>
    <row r="718">
      <c r="A718" s="85"/>
      <c r="B718" s="85"/>
    </row>
    <row r="719">
      <c r="A719" s="85"/>
      <c r="B719" s="85"/>
    </row>
    <row r="720">
      <c r="A720" s="85"/>
      <c r="B720" s="85"/>
    </row>
    <row r="721">
      <c r="A721" s="85"/>
      <c r="B721" s="85"/>
    </row>
    <row r="722">
      <c r="A722" s="85"/>
      <c r="B722" s="85"/>
    </row>
    <row r="723">
      <c r="A723" s="85"/>
      <c r="B723" s="85"/>
    </row>
    <row r="724">
      <c r="A724" s="85"/>
      <c r="B724" s="85"/>
    </row>
    <row r="725">
      <c r="A725" s="85"/>
      <c r="B725" s="85"/>
    </row>
    <row r="726">
      <c r="A726" s="85"/>
      <c r="B726" s="85"/>
    </row>
    <row r="727">
      <c r="A727" s="85"/>
      <c r="B727" s="85"/>
    </row>
    <row r="728">
      <c r="A728" s="85"/>
      <c r="B728" s="85"/>
    </row>
    <row r="729">
      <c r="A729" s="85"/>
      <c r="B729" s="85"/>
    </row>
    <row r="730">
      <c r="A730" s="85"/>
      <c r="B730" s="85"/>
    </row>
    <row r="731">
      <c r="A731" s="85"/>
      <c r="B731" s="85"/>
    </row>
    <row r="732">
      <c r="A732" s="85"/>
      <c r="B732" s="85"/>
    </row>
    <row r="733">
      <c r="A733" s="85"/>
      <c r="B733" s="85"/>
    </row>
    <row r="734">
      <c r="A734" s="85"/>
      <c r="B734" s="85"/>
    </row>
    <row r="735">
      <c r="A735" s="85"/>
      <c r="B735" s="85"/>
    </row>
    <row r="736">
      <c r="A736" s="85"/>
      <c r="B736" s="85"/>
    </row>
    <row r="737">
      <c r="A737" s="85"/>
      <c r="B737" s="85"/>
    </row>
    <row r="738">
      <c r="A738" s="85"/>
      <c r="B738" s="85"/>
    </row>
    <row r="739">
      <c r="A739" s="85"/>
      <c r="B739" s="85"/>
    </row>
    <row r="740">
      <c r="A740" s="85"/>
      <c r="B740" s="85"/>
    </row>
    <row r="741">
      <c r="A741" s="85"/>
      <c r="B741" s="85"/>
    </row>
    <row r="742">
      <c r="A742" s="85"/>
      <c r="B742" s="85"/>
    </row>
    <row r="743">
      <c r="A743" s="85"/>
      <c r="B743" s="85"/>
    </row>
    <row r="744">
      <c r="A744" s="85"/>
      <c r="B744" s="85"/>
    </row>
    <row r="745">
      <c r="A745" s="85"/>
      <c r="B745" s="85"/>
    </row>
    <row r="746">
      <c r="A746" s="85"/>
      <c r="B746" s="85"/>
    </row>
    <row r="747">
      <c r="A747" s="85"/>
      <c r="B747" s="85"/>
    </row>
    <row r="748">
      <c r="A748" s="85"/>
      <c r="B748" s="85"/>
    </row>
    <row r="749">
      <c r="A749" s="85"/>
      <c r="B749" s="85"/>
    </row>
    <row r="750">
      <c r="A750" s="85"/>
      <c r="B750" s="85"/>
    </row>
    <row r="751">
      <c r="A751" s="85"/>
      <c r="B751" s="85"/>
    </row>
    <row r="752">
      <c r="A752" s="85"/>
      <c r="B752" s="85"/>
    </row>
    <row r="753">
      <c r="A753" s="85"/>
      <c r="B753" s="85"/>
    </row>
    <row r="754">
      <c r="A754" s="85"/>
      <c r="B754" s="85"/>
    </row>
    <row r="755">
      <c r="A755" s="85"/>
      <c r="B755" s="85"/>
    </row>
    <row r="756">
      <c r="A756" s="85"/>
      <c r="B756" s="85"/>
    </row>
    <row r="757">
      <c r="A757" s="85"/>
      <c r="B757" s="85"/>
    </row>
    <row r="758">
      <c r="A758" s="85"/>
      <c r="B758" s="85"/>
    </row>
    <row r="759">
      <c r="A759" s="85"/>
      <c r="B759" s="85"/>
    </row>
    <row r="760">
      <c r="A760" s="85"/>
      <c r="B760" s="85"/>
    </row>
    <row r="761">
      <c r="A761" s="85"/>
      <c r="B761" s="85"/>
    </row>
    <row r="762">
      <c r="A762" s="85"/>
      <c r="B762" s="85"/>
    </row>
    <row r="763">
      <c r="A763" s="85"/>
      <c r="B763" s="85"/>
    </row>
    <row r="764">
      <c r="A764" s="85"/>
      <c r="B764" s="85"/>
    </row>
    <row r="765">
      <c r="A765" s="85"/>
      <c r="B765" s="85"/>
    </row>
    <row r="766">
      <c r="A766" s="85"/>
      <c r="B766" s="85"/>
    </row>
    <row r="767">
      <c r="A767" s="85"/>
      <c r="B767" s="85"/>
    </row>
    <row r="768">
      <c r="A768" s="85"/>
      <c r="B768" s="85"/>
    </row>
    <row r="769">
      <c r="A769" s="85"/>
      <c r="B769" s="85"/>
    </row>
    <row r="770">
      <c r="A770" s="85"/>
      <c r="B770" s="85"/>
    </row>
    <row r="771">
      <c r="A771" s="85"/>
      <c r="B771" s="85"/>
    </row>
    <row r="772">
      <c r="A772" s="85"/>
      <c r="B772" s="85"/>
    </row>
    <row r="773">
      <c r="A773" s="85"/>
      <c r="B773" s="85"/>
    </row>
    <row r="774">
      <c r="A774" s="85"/>
      <c r="B774" s="85"/>
    </row>
    <row r="775">
      <c r="A775" s="85"/>
      <c r="B775" s="85"/>
    </row>
    <row r="776">
      <c r="A776" s="85"/>
      <c r="B776" s="85"/>
    </row>
    <row r="777">
      <c r="A777" s="85"/>
      <c r="B777" s="85"/>
    </row>
    <row r="778">
      <c r="A778" s="85"/>
      <c r="B778" s="85"/>
    </row>
    <row r="779">
      <c r="A779" s="85"/>
      <c r="B779" s="85"/>
    </row>
    <row r="780">
      <c r="A780" s="85"/>
      <c r="B780" s="85"/>
    </row>
    <row r="781">
      <c r="A781" s="85"/>
      <c r="B781" s="85"/>
    </row>
    <row r="782">
      <c r="A782" s="85"/>
      <c r="B782" s="85"/>
    </row>
    <row r="783">
      <c r="A783" s="85"/>
      <c r="B783" s="85"/>
    </row>
    <row r="784">
      <c r="A784" s="85"/>
      <c r="B784" s="85"/>
    </row>
    <row r="785">
      <c r="A785" s="85"/>
      <c r="B785" s="85"/>
    </row>
    <row r="786">
      <c r="A786" s="85"/>
      <c r="B786" s="85"/>
    </row>
    <row r="787">
      <c r="A787" s="85"/>
      <c r="B787" s="85"/>
    </row>
    <row r="788">
      <c r="A788" s="85"/>
      <c r="B788" s="85"/>
    </row>
    <row r="789">
      <c r="A789" s="85"/>
      <c r="B789" s="85"/>
    </row>
    <row r="790">
      <c r="A790" s="85"/>
      <c r="B790" s="85"/>
    </row>
    <row r="791">
      <c r="A791" s="85"/>
      <c r="B791" s="85"/>
    </row>
    <row r="792">
      <c r="A792" s="85"/>
      <c r="B792" s="85"/>
    </row>
    <row r="793">
      <c r="A793" s="85"/>
      <c r="B793" s="85"/>
    </row>
    <row r="794">
      <c r="A794" s="85"/>
      <c r="B794" s="85"/>
    </row>
    <row r="795">
      <c r="A795" s="85"/>
      <c r="B795" s="85"/>
    </row>
    <row r="796">
      <c r="A796" s="85"/>
      <c r="B796" s="85"/>
    </row>
    <row r="797">
      <c r="A797" s="85"/>
      <c r="B797" s="85"/>
    </row>
    <row r="798">
      <c r="A798" s="85"/>
      <c r="B798" s="85"/>
    </row>
    <row r="799">
      <c r="A799" s="85"/>
      <c r="B799" s="85"/>
    </row>
    <row r="800">
      <c r="A800" s="85"/>
      <c r="B800" s="85"/>
    </row>
    <row r="801">
      <c r="A801" s="85"/>
      <c r="B801" s="85"/>
    </row>
    <row r="802">
      <c r="A802" s="85"/>
      <c r="B802" s="85"/>
    </row>
    <row r="803">
      <c r="A803" s="85"/>
      <c r="B803" s="85"/>
    </row>
    <row r="804">
      <c r="A804" s="85"/>
      <c r="B804" s="85"/>
    </row>
    <row r="805">
      <c r="A805" s="85"/>
      <c r="B805" s="85"/>
    </row>
    <row r="806">
      <c r="A806" s="85"/>
      <c r="B806" s="85"/>
    </row>
    <row r="807">
      <c r="A807" s="85"/>
      <c r="B807" s="85"/>
    </row>
    <row r="808">
      <c r="A808" s="85"/>
      <c r="B808" s="85"/>
    </row>
    <row r="809">
      <c r="A809" s="85"/>
      <c r="B809" s="85"/>
    </row>
    <row r="810">
      <c r="A810" s="85"/>
      <c r="B810" s="85"/>
    </row>
    <row r="811">
      <c r="A811" s="85"/>
      <c r="B811" s="85"/>
    </row>
    <row r="812">
      <c r="A812" s="85"/>
      <c r="B812" s="85"/>
    </row>
    <row r="813">
      <c r="A813" s="85"/>
      <c r="B813" s="85"/>
    </row>
    <row r="814">
      <c r="A814" s="85"/>
      <c r="B814" s="85"/>
    </row>
    <row r="815">
      <c r="A815" s="85"/>
      <c r="B815" s="85"/>
    </row>
    <row r="816">
      <c r="A816" s="85"/>
      <c r="B816" s="85"/>
    </row>
    <row r="817">
      <c r="A817" s="85"/>
      <c r="B817" s="85"/>
    </row>
    <row r="818">
      <c r="A818" s="85"/>
      <c r="B818" s="85"/>
    </row>
    <row r="819">
      <c r="A819" s="85"/>
      <c r="B819" s="85"/>
    </row>
    <row r="820">
      <c r="A820" s="85"/>
      <c r="B820" s="85"/>
    </row>
    <row r="821">
      <c r="A821" s="85"/>
      <c r="B821" s="85"/>
    </row>
    <row r="822">
      <c r="A822" s="85"/>
      <c r="B822" s="85"/>
    </row>
    <row r="823">
      <c r="A823" s="85"/>
      <c r="B823" s="85"/>
    </row>
    <row r="824">
      <c r="A824" s="85"/>
      <c r="B824" s="85"/>
    </row>
    <row r="825">
      <c r="A825" s="85"/>
      <c r="B825" s="85"/>
    </row>
    <row r="826">
      <c r="A826" s="85"/>
      <c r="B826" s="85"/>
    </row>
    <row r="827">
      <c r="A827" s="85"/>
      <c r="B827" s="85"/>
    </row>
    <row r="828">
      <c r="A828" s="85"/>
      <c r="B828" s="85"/>
    </row>
    <row r="829">
      <c r="A829" s="85"/>
      <c r="B829" s="85"/>
    </row>
    <row r="830">
      <c r="A830" s="85"/>
      <c r="B830" s="85"/>
    </row>
    <row r="831">
      <c r="A831" s="85"/>
      <c r="B831" s="85"/>
    </row>
    <row r="832">
      <c r="A832" s="85"/>
      <c r="B832" s="85"/>
    </row>
    <row r="833">
      <c r="A833" s="85"/>
      <c r="B833" s="85"/>
    </row>
    <row r="834">
      <c r="A834" s="85"/>
      <c r="B834" s="85"/>
    </row>
    <row r="835">
      <c r="A835" s="85"/>
      <c r="B835" s="85"/>
    </row>
    <row r="836">
      <c r="A836" s="85"/>
      <c r="B836" s="85"/>
    </row>
    <row r="837">
      <c r="A837" s="85"/>
      <c r="B837" s="85"/>
    </row>
    <row r="838">
      <c r="A838" s="85"/>
      <c r="B838" s="85"/>
    </row>
    <row r="839">
      <c r="A839" s="85"/>
      <c r="B839" s="85"/>
    </row>
    <row r="840">
      <c r="A840" s="85"/>
      <c r="B840" s="85"/>
    </row>
    <row r="841">
      <c r="A841" s="85"/>
      <c r="B841" s="85"/>
    </row>
    <row r="842">
      <c r="A842" s="85"/>
      <c r="B842" s="85"/>
    </row>
    <row r="843">
      <c r="A843" s="85"/>
      <c r="B843" s="85"/>
    </row>
    <row r="844">
      <c r="A844" s="85"/>
      <c r="B844" s="85"/>
    </row>
    <row r="845">
      <c r="A845" s="85"/>
      <c r="B845" s="85"/>
    </row>
    <row r="846">
      <c r="A846" s="85"/>
      <c r="B846" s="85"/>
    </row>
    <row r="847">
      <c r="A847" s="85"/>
      <c r="B847" s="85"/>
    </row>
    <row r="848">
      <c r="A848" s="85"/>
      <c r="B848" s="85"/>
    </row>
    <row r="849">
      <c r="A849" s="85"/>
      <c r="B849" s="85"/>
    </row>
    <row r="850">
      <c r="A850" s="85"/>
      <c r="B850" s="85"/>
    </row>
    <row r="851">
      <c r="A851" s="85"/>
      <c r="B851" s="85"/>
    </row>
    <row r="852">
      <c r="A852" s="85"/>
      <c r="B852" s="85"/>
    </row>
    <row r="853">
      <c r="A853" s="85"/>
      <c r="B853" s="85"/>
    </row>
    <row r="854">
      <c r="A854" s="85"/>
      <c r="B854" s="85"/>
    </row>
    <row r="855">
      <c r="A855" s="85"/>
      <c r="B855" s="85"/>
    </row>
    <row r="856">
      <c r="A856" s="85"/>
      <c r="B856" s="85"/>
    </row>
    <row r="857">
      <c r="A857" s="85"/>
      <c r="B857" s="85"/>
    </row>
    <row r="858">
      <c r="A858" s="85"/>
      <c r="B858" s="85"/>
    </row>
    <row r="859">
      <c r="A859" s="85"/>
      <c r="B859" s="85"/>
    </row>
    <row r="860">
      <c r="A860" s="85"/>
      <c r="B860" s="85"/>
    </row>
    <row r="861">
      <c r="A861" s="85"/>
      <c r="B861" s="85"/>
    </row>
    <row r="862">
      <c r="A862" s="85"/>
      <c r="B862" s="85"/>
    </row>
    <row r="863">
      <c r="A863" s="85"/>
      <c r="B863" s="85"/>
    </row>
    <row r="864">
      <c r="A864" s="85"/>
      <c r="B864" s="85"/>
    </row>
    <row r="865">
      <c r="A865" s="85"/>
      <c r="B865" s="85"/>
    </row>
    <row r="866">
      <c r="A866" s="85"/>
      <c r="B866" s="85"/>
    </row>
    <row r="867">
      <c r="A867" s="85"/>
      <c r="B867" s="85"/>
    </row>
    <row r="868">
      <c r="A868" s="85"/>
      <c r="B868" s="85"/>
    </row>
    <row r="869">
      <c r="A869" s="85"/>
      <c r="B869" s="85"/>
    </row>
    <row r="870">
      <c r="A870" s="85"/>
      <c r="B870" s="85"/>
    </row>
    <row r="871">
      <c r="A871" s="85"/>
      <c r="B871" s="85"/>
    </row>
    <row r="872">
      <c r="A872" s="85"/>
      <c r="B872" s="85"/>
    </row>
    <row r="873">
      <c r="A873" s="85"/>
      <c r="B873" s="85"/>
    </row>
    <row r="874">
      <c r="A874" s="85"/>
      <c r="B874" s="85"/>
    </row>
    <row r="875">
      <c r="A875" s="85"/>
      <c r="B875" s="85"/>
    </row>
    <row r="876">
      <c r="A876" s="85"/>
      <c r="B876" s="85"/>
    </row>
    <row r="877">
      <c r="A877" s="85"/>
      <c r="B877" s="85"/>
    </row>
    <row r="878">
      <c r="A878" s="85"/>
      <c r="B878" s="85"/>
    </row>
    <row r="879">
      <c r="A879" s="85"/>
      <c r="B879" s="85"/>
    </row>
    <row r="880">
      <c r="A880" s="85"/>
      <c r="B880" s="85"/>
    </row>
    <row r="881">
      <c r="A881" s="85"/>
      <c r="B881" s="85"/>
    </row>
    <row r="882">
      <c r="A882" s="85"/>
      <c r="B882" s="85"/>
    </row>
    <row r="883">
      <c r="A883" s="85"/>
      <c r="B883" s="85"/>
    </row>
    <row r="884">
      <c r="A884" s="85"/>
      <c r="B884" s="85"/>
    </row>
    <row r="885">
      <c r="A885" s="85"/>
      <c r="B885" s="85"/>
    </row>
    <row r="886">
      <c r="A886" s="85"/>
      <c r="B886" s="85"/>
    </row>
    <row r="887">
      <c r="A887" s="85"/>
      <c r="B887" s="85"/>
    </row>
    <row r="888">
      <c r="A888" s="85"/>
      <c r="B888" s="85"/>
    </row>
    <row r="889">
      <c r="A889" s="85"/>
      <c r="B889" s="85"/>
    </row>
    <row r="890">
      <c r="A890" s="85"/>
      <c r="B890" s="85"/>
    </row>
    <row r="891">
      <c r="A891" s="85"/>
      <c r="B891" s="85"/>
    </row>
    <row r="892">
      <c r="A892" s="85"/>
      <c r="B892" s="85"/>
    </row>
    <row r="893">
      <c r="A893" s="85"/>
      <c r="B893" s="85"/>
    </row>
    <row r="894">
      <c r="A894" s="85"/>
      <c r="B894" s="85"/>
    </row>
    <row r="895">
      <c r="A895" s="85"/>
      <c r="B895" s="85"/>
    </row>
    <row r="896">
      <c r="A896" s="85"/>
      <c r="B896" s="85"/>
    </row>
    <row r="897">
      <c r="A897" s="85"/>
      <c r="B897" s="85"/>
    </row>
    <row r="898">
      <c r="A898" s="85"/>
      <c r="B898" s="85"/>
    </row>
    <row r="899">
      <c r="A899" s="85"/>
      <c r="B899" s="85"/>
    </row>
    <row r="900">
      <c r="A900" s="85"/>
      <c r="B900" s="85"/>
    </row>
    <row r="901">
      <c r="A901" s="85"/>
      <c r="B901" s="85"/>
    </row>
    <row r="902">
      <c r="A902" s="85"/>
      <c r="B902" s="85"/>
    </row>
    <row r="903">
      <c r="A903" s="85"/>
      <c r="B903" s="85"/>
    </row>
    <row r="904">
      <c r="A904" s="85"/>
      <c r="B904" s="85"/>
    </row>
    <row r="905">
      <c r="A905" s="85"/>
      <c r="B905" s="85"/>
    </row>
    <row r="906">
      <c r="A906" s="85"/>
      <c r="B906" s="85"/>
    </row>
    <row r="907">
      <c r="A907" s="85"/>
      <c r="B907" s="85"/>
    </row>
    <row r="908">
      <c r="A908" s="85"/>
      <c r="B908" s="85"/>
    </row>
    <row r="909">
      <c r="A909" s="85"/>
      <c r="B909" s="85"/>
    </row>
    <row r="910">
      <c r="A910" s="85"/>
      <c r="B910" s="85"/>
    </row>
    <row r="911">
      <c r="A911" s="85"/>
      <c r="B911" s="85"/>
    </row>
    <row r="912">
      <c r="A912" s="85"/>
      <c r="B912" s="85"/>
    </row>
    <row r="913">
      <c r="A913" s="85"/>
      <c r="B913" s="85"/>
    </row>
    <row r="914">
      <c r="A914" s="85"/>
      <c r="B914" s="85"/>
    </row>
    <row r="915">
      <c r="A915" s="85"/>
      <c r="B915" s="85"/>
    </row>
    <row r="916">
      <c r="A916" s="85"/>
      <c r="B916" s="85"/>
    </row>
    <row r="917">
      <c r="A917" s="85"/>
      <c r="B917" s="85"/>
    </row>
    <row r="918">
      <c r="A918" s="85"/>
      <c r="B918" s="85"/>
    </row>
    <row r="919">
      <c r="A919" s="85"/>
      <c r="B919" s="85"/>
    </row>
    <row r="920">
      <c r="A920" s="85"/>
      <c r="B920" s="85"/>
    </row>
    <row r="921">
      <c r="A921" s="85"/>
      <c r="B921" s="85"/>
    </row>
    <row r="922">
      <c r="A922" s="85"/>
      <c r="B922" s="85"/>
    </row>
    <row r="923">
      <c r="A923" s="85"/>
      <c r="B923" s="85"/>
    </row>
    <row r="924">
      <c r="A924" s="85"/>
      <c r="B924" s="85"/>
    </row>
    <row r="925">
      <c r="A925" s="85"/>
      <c r="B925" s="85"/>
    </row>
    <row r="926">
      <c r="A926" s="85"/>
      <c r="B926" s="85"/>
    </row>
    <row r="927">
      <c r="A927" s="85"/>
      <c r="B927" s="85"/>
    </row>
    <row r="928">
      <c r="A928" s="85"/>
      <c r="B928" s="85"/>
    </row>
    <row r="929">
      <c r="A929" s="85"/>
      <c r="B929" s="85"/>
    </row>
    <row r="930">
      <c r="A930" s="85"/>
      <c r="B930" s="85"/>
    </row>
    <row r="931">
      <c r="A931" s="85"/>
      <c r="B931" s="85"/>
    </row>
    <row r="932">
      <c r="A932" s="85"/>
      <c r="B932" s="85"/>
    </row>
    <row r="933">
      <c r="A933" s="85"/>
      <c r="B933" s="85"/>
    </row>
    <row r="934">
      <c r="A934" s="85"/>
      <c r="B934" s="85"/>
    </row>
    <row r="935">
      <c r="A935" s="85"/>
      <c r="B935" s="85"/>
    </row>
    <row r="936">
      <c r="A936" s="85"/>
      <c r="B936" s="85"/>
    </row>
    <row r="937">
      <c r="A937" s="85"/>
      <c r="B937" s="85"/>
    </row>
    <row r="938">
      <c r="A938" s="85"/>
      <c r="B938" s="85"/>
    </row>
    <row r="939">
      <c r="A939" s="85"/>
      <c r="B939" s="85"/>
    </row>
    <row r="940">
      <c r="A940" s="85"/>
      <c r="B940" s="85"/>
    </row>
    <row r="941">
      <c r="A941" s="85"/>
      <c r="B941" s="85"/>
    </row>
    <row r="942">
      <c r="A942" s="85"/>
      <c r="B942" s="85"/>
    </row>
    <row r="943">
      <c r="A943" s="85"/>
      <c r="B943" s="85"/>
    </row>
    <row r="944">
      <c r="A944" s="85"/>
      <c r="B944" s="85"/>
    </row>
    <row r="945">
      <c r="A945" s="85"/>
      <c r="B945" s="85"/>
    </row>
    <row r="946">
      <c r="A946" s="85"/>
      <c r="B946" s="85"/>
    </row>
    <row r="947">
      <c r="A947" s="85"/>
      <c r="B947" s="85"/>
    </row>
    <row r="948">
      <c r="A948" s="85"/>
      <c r="B948" s="85"/>
    </row>
    <row r="949">
      <c r="A949" s="85"/>
      <c r="B949" s="85"/>
    </row>
    <row r="950">
      <c r="A950" s="85"/>
      <c r="B950" s="85"/>
    </row>
    <row r="951">
      <c r="A951" s="85"/>
      <c r="B951" s="85"/>
    </row>
    <row r="952">
      <c r="A952" s="85"/>
      <c r="B952" s="85"/>
    </row>
    <row r="953">
      <c r="A953" s="85"/>
      <c r="B953" s="85"/>
    </row>
    <row r="954">
      <c r="A954" s="85"/>
      <c r="B954" s="85"/>
    </row>
    <row r="955">
      <c r="A955" s="85"/>
      <c r="B955" s="85"/>
    </row>
    <row r="956">
      <c r="A956" s="85"/>
      <c r="B956" s="85"/>
    </row>
    <row r="957">
      <c r="A957" s="85"/>
      <c r="B957" s="85"/>
    </row>
    <row r="958">
      <c r="A958" s="85"/>
      <c r="B958" s="85"/>
    </row>
    <row r="959">
      <c r="A959" s="85"/>
      <c r="B959" s="85"/>
    </row>
    <row r="960">
      <c r="A960" s="85"/>
      <c r="B960" s="85"/>
    </row>
    <row r="961">
      <c r="A961" s="85"/>
      <c r="B961" s="85"/>
    </row>
    <row r="962">
      <c r="A962" s="85"/>
      <c r="B962" s="85"/>
    </row>
    <row r="963">
      <c r="A963" s="85"/>
      <c r="B963" s="85"/>
    </row>
    <row r="964">
      <c r="A964" s="85"/>
      <c r="B964" s="85"/>
    </row>
    <row r="965">
      <c r="A965" s="85"/>
      <c r="B965" s="85"/>
    </row>
    <row r="966">
      <c r="A966" s="85"/>
      <c r="B966" s="85"/>
    </row>
    <row r="967">
      <c r="A967" s="85"/>
      <c r="B967" s="85"/>
    </row>
    <row r="968">
      <c r="A968" s="85"/>
      <c r="B968" s="85"/>
    </row>
    <row r="969">
      <c r="A969" s="85"/>
      <c r="B969" s="85"/>
    </row>
    <row r="970">
      <c r="A970" s="85"/>
      <c r="B970" s="85"/>
    </row>
    <row r="971">
      <c r="A971" s="85"/>
      <c r="B971" s="85"/>
    </row>
    <row r="972">
      <c r="A972" s="85"/>
      <c r="B972" s="85"/>
    </row>
    <row r="973">
      <c r="A973" s="85"/>
      <c r="B973" s="85"/>
    </row>
    <row r="974">
      <c r="A974" s="85"/>
      <c r="B974" s="85"/>
    </row>
    <row r="975">
      <c r="A975" s="85"/>
      <c r="B975" s="85"/>
    </row>
    <row r="976">
      <c r="A976" s="85"/>
      <c r="B976" s="85"/>
    </row>
    <row r="977">
      <c r="A977" s="85"/>
      <c r="B977" s="85"/>
    </row>
    <row r="978">
      <c r="A978" s="85"/>
      <c r="B978" s="85"/>
    </row>
    <row r="979">
      <c r="A979" s="85"/>
      <c r="B979" s="85"/>
    </row>
    <row r="980">
      <c r="A980" s="85"/>
      <c r="B980" s="85"/>
    </row>
    <row r="981">
      <c r="A981" s="85"/>
      <c r="B981" s="85"/>
    </row>
    <row r="982">
      <c r="A982" s="85"/>
      <c r="B982" s="85"/>
    </row>
    <row r="983">
      <c r="A983" s="85"/>
      <c r="B983" s="85"/>
    </row>
    <row r="984">
      <c r="A984" s="85"/>
      <c r="B984" s="85"/>
    </row>
    <row r="985">
      <c r="A985" s="85"/>
      <c r="B985" s="85"/>
    </row>
    <row r="986">
      <c r="A986" s="85"/>
      <c r="B986" s="85"/>
    </row>
    <row r="987">
      <c r="A987" s="85"/>
      <c r="B987" s="85"/>
    </row>
    <row r="988">
      <c r="A988" s="85"/>
      <c r="B988" s="85"/>
    </row>
    <row r="989">
      <c r="A989" s="85"/>
      <c r="B989" s="85"/>
    </row>
    <row r="990">
      <c r="A990" s="85"/>
      <c r="B990" s="85"/>
    </row>
    <row r="991">
      <c r="A991" s="85"/>
      <c r="B991" s="85"/>
    </row>
    <row r="992">
      <c r="A992" s="85"/>
      <c r="B992" s="85"/>
    </row>
    <row r="993">
      <c r="A993" s="85"/>
      <c r="B993" s="85"/>
    </row>
    <row r="994">
      <c r="A994" s="85"/>
      <c r="B994" s="85"/>
    </row>
    <row r="995">
      <c r="A995" s="85"/>
      <c r="B995" s="85"/>
    </row>
    <row r="996">
      <c r="A996" s="85"/>
      <c r="B996" s="85"/>
    </row>
    <row r="997">
      <c r="A997" s="85"/>
      <c r="B997" s="85"/>
    </row>
    <row r="998">
      <c r="A998" s="85"/>
      <c r="B998" s="85"/>
    </row>
    <row r="999">
      <c r="A999" s="85"/>
      <c r="B999" s="85"/>
    </row>
    <row r="1000">
      <c r="A1000" s="85"/>
      <c r="B1000" s="8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89" t="s">
        <v>461</v>
      </c>
      <c r="B1" s="89" t="s">
        <v>15</v>
      </c>
      <c r="C1" s="87" t="s">
        <v>457</v>
      </c>
      <c r="D1" s="87" t="s">
        <v>458</v>
      </c>
    </row>
    <row r="2">
      <c r="A2" s="90">
        <v>1.0</v>
      </c>
      <c r="B2" s="90" t="s">
        <v>16</v>
      </c>
      <c r="C2" s="91">
        <v>56.8404013</v>
      </c>
      <c r="D2" s="91">
        <v>68.4312158</v>
      </c>
    </row>
    <row r="3">
      <c r="A3" s="90">
        <v>2.0</v>
      </c>
      <c r="B3" s="90" t="s">
        <v>54</v>
      </c>
      <c r="C3" s="91">
        <v>76.4584707</v>
      </c>
      <c r="D3" s="91">
        <v>83.6404045</v>
      </c>
    </row>
    <row r="4">
      <c r="A4" s="90">
        <v>3.0</v>
      </c>
      <c r="B4" s="90" t="s">
        <v>160</v>
      </c>
      <c r="C4" s="91">
        <v>77.1345747</v>
      </c>
      <c r="D4" s="91">
        <v>85.5086292</v>
      </c>
    </row>
    <row r="5">
      <c r="A5" s="90">
        <v>4.0</v>
      </c>
      <c r="B5" s="90" t="s">
        <v>214</v>
      </c>
      <c r="C5" s="91">
        <v>74.1756628</v>
      </c>
      <c r="D5" s="91">
        <v>81.8355658</v>
      </c>
    </row>
    <row r="6">
      <c r="A6" s="90">
        <v>5.0</v>
      </c>
      <c r="B6" s="90" t="s">
        <v>260</v>
      </c>
      <c r="C6" s="91">
        <v>53.3567614</v>
      </c>
      <c r="D6" s="91">
        <v>64.2048506</v>
      </c>
    </row>
    <row r="7">
      <c r="A7" s="90">
        <v>6.0</v>
      </c>
      <c r="B7" s="90" t="s">
        <v>317</v>
      </c>
      <c r="C7" s="91">
        <v>77.9190389</v>
      </c>
      <c r="D7" s="91">
        <v>87.4911455</v>
      </c>
    </row>
    <row r="8">
      <c r="A8" s="90">
        <v>7.0</v>
      </c>
      <c r="B8" s="90" t="s">
        <v>332</v>
      </c>
      <c r="C8" s="91">
        <v>86.7807035</v>
      </c>
      <c r="D8" s="91">
        <v>92.3384266</v>
      </c>
    </row>
    <row r="9">
      <c r="A9" s="90">
        <v>8.0</v>
      </c>
      <c r="B9" s="90" t="s">
        <v>401</v>
      </c>
      <c r="C9" s="91">
        <v>64.5796384</v>
      </c>
      <c r="D9" s="91">
        <v>76.139445</v>
      </c>
    </row>
    <row r="10">
      <c r="A10" s="92">
        <v>9.0</v>
      </c>
      <c r="B10" s="92" t="s">
        <v>426</v>
      </c>
      <c r="C10" s="93">
        <v>54.768717</v>
      </c>
      <c r="D10" s="93">
        <v>76.752227</v>
      </c>
    </row>
    <row r="11" ht="15.0" customHeight="1">
      <c r="A11" s="90">
        <v>10.0</v>
      </c>
      <c r="B11" s="90" t="s">
        <v>321</v>
      </c>
      <c r="C11" s="82">
        <v>78.0904683873557</v>
      </c>
      <c r="D11" s="82">
        <v>86.78502651232435</v>
      </c>
    </row>
    <row r="12" ht="15.0" customHeight="1">
      <c r="A12" s="90">
        <v>11.0</v>
      </c>
      <c r="B12" s="90" t="s">
        <v>12</v>
      </c>
      <c r="C12" s="82">
        <v>75.4705261</v>
      </c>
      <c r="D12" s="82">
        <v>83.7582429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70" t="s">
        <v>461</v>
      </c>
      <c r="B1" s="70" t="s">
        <v>15</v>
      </c>
      <c r="C1" s="87" t="s">
        <v>459</v>
      </c>
      <c r="D1" s="87" t="s">
        <v>460</v>
      </c>
    </row>
    <row r="2">
      <c r="A2" s="94">
        <v>1.0</v>
      </c>
      <c r="B2" s="94" t="s">
        <v>16</v>
      </c>
      <c r="C2" s="81">
        <v>242626.00005192</v>
      </c>
      <c r="D2" s="81">
        <v>186044.000238018</v>
      </c>
    </row>
    <row r="3">
      <c r="A3" s="94">
        <v>2.0</v>
      </c>
      <c r="B3" s="94" t="s">
        <v>54</v>
      </c>
      <c r="C3" s="81">
        <v>624653.9988450089</v>
      </c>
      <c r="D3" s="81">
        <v>482149.99857599987</v>
      </c>
    </row>
    <row r="4">
      <c r="A4" s="94">
        <v>3.0</v>
      </c>
      <c r="B4" s="94" t="s">
        <v>160</v>
      </c>
      <c r="C4" s="81">
        <v>393360.9997177429</v>
      </c>
      <c r="D4" s="81">
        <v>285218.00077593606</v>
      </c>
    </row>
    <row r="5">
      <c r="A5" s="94">
        <v>4.0</v>
      </c>
      <c r="B5" s="94" t="s">
        <v>214</v>
      </c>
      <c r="C5" s="81">
        <v>124823.99980317603</v>
      </c>
      <c r="D5" s="81">
        <v>101259.99982434598</v>
      </c>
    </row>
    <row r="6">
      <c r="A6" s="94">
        <v>5.0</v>
      </c>
      <c r="B6" s="94" t="s">
        <v>260</v>
      </c>
      <c r="C6" s="81">
        <v>377875.9996264259</v>
      </c>
      <c r="D6" s="81">
        <v>301261.9999922321</v>
      </c>
    </row>
    <row r="7">
      <c r="A7" s="94">
        <v>6.0</v>
      </c>
      <c r="B7" s="94" t="s">
        <v>317</v>
      </c>
      <c r="C7" s="81">
        <v>101342.99987417099</v>
      </c>
      <c r="D7" s="81">
        <v>64985.00019003998</v>
      </c>
      <c r="F7" s="64"/>
      <c r="G7" s="64"/>
    </row>
    <row r="8">
      <c r="A8" s="94">
        <v>7.0</v>
      </c>
      <c r="B8" s="94" t="s">
        <v>332</v>
      </c>
      <c r="C8" s="81">
        <v>337980.00089590484</v>
      </c>
      <c r="D8" s="81">
        <v>232102.99905616185</v>
      </c>
    </row>
    <row r="9">
      <c r="A9" s="94">
        <v>8.0</v>
      </c>
      <c r="B9" s="94" t="s">
        <v>401</v>
      </c>
      <c r="C9" s="81">
        <v>142793.99995785602</v>
      </c>
      <c r="D9" s="81">
        <v>112104.99997870001</v>
      </c>
    </row>
    <row r="10">
      <c r="A10" s="94">
        <v>9.0</v>
      </c>
      <c r="B10" s="94" t="s">
        <v>426</v>
      </c>
      <c r="C10" s="81">
        <v>46319.99998181</v>
      </c>
      <c r="D10" s="81">
        <v>29516.999944909985</v>
      </c>
    </row>
    <row r="11" ht="15.0" customHeight="1">
      <c r="A11" s="90">
        <v>10.0</v>
      </c>
      <c r="B11" s="90" t="s">
        <v>321</v>
      </c>
      <c r="C11" s="81">
        <v>30097.999957553984</v>
      </c>
      <c r="D11" s="81">
        <v>20313.000047376</v>
      </c>
    </row>
    <row r="12" ht="15.0" customHeight="1">
      <c r="A12" s="90">
        <v>11.0</v>
      </c>
      <c r="B12" s="90" t="s">
        <v>12</v>
      </c>
      <c r="C12" s="81">
        <v>2391777.995640831</v>
      </c>
      <c r="D12" s="81">
        <v>1794643.995159328</v>
      </c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outlinePr summaryBelow="0" summaryRight="0"/>
    <pageSetUpPr/>
  </sheetPr>
  <sheetViews>
    <sheetView workbookViewId="0"/>
  </sheetViews>
  <sheetFormatPr customHeight="1" defaultColWidth="14.43" defaultRowHeight="15.0"/>
  <cols>
    <col customWidth="1" min="11" max="11" width="27.29"/>
  </cols>
  <sheetData>
    <row r="1">
      <c r="A1" s="95" t="s">
        <v>462</v>
      </c>
      <c r="B1" s="95" t="s">
        <v>463</v>
      </c>
      <c r="C1" s="96" t="s">
        <v>464</v>
      </c>
      <c r="D1" s="96" t="s">
        <v>465</v>
      </c>
      <c r="E1" s="97" t="s">
        <v>466</v>
      </c>
      <c r="F1" s="97" t="s">
        <v>467</v>
      </c>
      <c r="G1" s="98" t="s">
        <v>468</v>
      </c>
      <c r="H1" s="98" t="s">
        <v>469</v>
      </c>
      <c r="I1" s="99" t="s">
        <v>470</v>
      </c>
      <c r="J1" s="99" t="s">
        <v>471</v>
      </c>
      <c r="K1" s="100" t="s">
        <v>472</v>
      </c>
    </row>
    <row r="2" ht="27.75" customHeight="1">
      <c r="A2" s="74">
        <v>7.0</v>
      </c>
      <c r="B2" s="101" t="s">
        <v>473</v>
      </c>
      <c r="C2" s="74">
        <v>100.0</v>
      </c>
      <c r="D2" s="74">
        <v>85.0</v>
      </c>
      <c r="E2" s="74">
        <v>85.0</v>
      </c>
      <c r="F2" s="74">
        <v>67.5</v>
      </c>
      <c r="G2" s="74">
        <v>67.5</v>
      </c>
      <c r="H2" s="74">
        <v>50.0</v>
      </c>
      <c r="I2" s="74">
        <v>50.0</v>
      </c>
      <c r="J2" s="74">
        <v>0.0</v>
      </c>
      <c r="K2" s="102" t="s">
        <v>474</v>
      </c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70" t="s">
        <v>15</v>
      </c>
      <c r="B1" s="70" t="s">
        <v>475</v>
      </c>
      <c r="C1" s="70" t="s">
        <v>476</v>
      </c>
      <c r="D1" s="70" t="s">
        <v>477</v>
      </c>
      <c r="E1" s="70" t="s">
        <v>478</v>
      </c>
      <c r="F1" s="68"/>
      <c r="G1" s="103" t="s">
        <v>479</v>
      </c>
      <c r="H1" s="104" t="s">
        <v>480</v>
      </c>
      <c r="I1" s="104" t="s">
        <v>481</v>
      </c>
      <c r="J1" s="67" t="s">
        <v>482</v>
      </c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>
      <c r="A2" s="74" t="s">
        <v>16</v>
      </c>
      <c r="B2" s="76">
        <v>56.8404013</v>
      </c>
      <c r="C2" s="76">
        <f t="shared" ref="C2:C11" si="1">100-B2</f>
        <v>43.1595987</v>
      </c>
      <c r="D2" s="76">
        <v>68.4312158</v>
      </c>
      <c r="E2" s="76">
        <f t="shared" ref="E2:E11" si="2">100-D2</f>
        <v>31.5687842</v>
      </c>
      <c r="G2" s="94" t="s">
        <v>483</v>
      </c>
      <c r="H2" s="105">
        <f>COUNTIF(Mapa!D2:D344, "Verde")</f>
        <v>35</v>
      </c>
      <c r="I2" s="105">
        <f>COUNTIF(Mapa!F2:F344, "Verde")</f>
        <v>70</v>
      </c>
      <c r="J2" s="85">
        <f t="shared" ref="J2:J5" si="3">I2-H2</f>
        <v>35</v>
      </c>
    </row>
    <row r="3">
      <c r="A3" s="74" t="s">
        <v>54</v>
      </c>
      <c r="B3" s="76">
        <v>76.4584707</v>
      </c>
      <c r="C3" s="76">
        <f t="shared" si="1"/>
        <v>23.5415293</v>
      </c>
      <c r="D3" s="76">
        <v>83.6404045</v>
      </c>
      <c r="E3" s="76">
        <f t="shared" si="2"/>
        <v>16.3595955</v>
      </c>
      <c r="G3" s="94" t="s">
        <v>484</v>
      </c>
      <c r="H3" s="105">
        <f>COUNTIF(Mapa!D2:D344, "Amarillo")</f>
        <v>38</v>
      </c>
      <c r="I3" s="105">
        <f>COUNTIF(Mapa!F2:F344, "Amarillo")</f>
        <v>82</v>
      </c>
      <c r="J3" s="85">
        <f t="shared" si="3"/>
        <v>44</v>
      </c>
    </row>
    <row r="4">
      <c r="A4" s="74" t="s">
        <v>160</v>
      </c>
      <c r="B4" s="76">
        <v>77.1345747</v>
      </c>
      <c r="C4" s="76">
        <f t="shared" si="1"/>
        <v>22.8654253</v>
      </c>
      <c r="D4" s="76">
        <v>85.5086292</v>
      </c>
      <c r="E4" s="76">
        <f t="shared" si="2"/>
        <v>14.4913708</v>
      </c>
      <c r="G4" s="94" t="s">
        <v>485</v>
      </c>
      <c r="H4" s="105">
        <f>COUNTIF(Mapa!D2:D344, "Naranja")</f>
        <v>44</v>
      </c>
      <c r="I4" s="105">
        <f>COUNTIF(Mapa!F2:F344, "Naranja")</f>
        <v>70</v>
      </c>
      <c r="J4" s="85">
        <f t="shared" si="3"/>
        <v>26</v>
      </c>
    </row>
    <row r="5">
      <c r="A5" s="74" t="s">
        <v>214</v>
      </c>
      <c r="B5" s="76">
        <v>74.1756628</v>
      </c>
      <c r="C5" s="76">
        <f t="shared" si="1"/>
        <v>25.8243372</v>
      </c>
      <c r="D5" s="76">
        <v>81.8355658</v>
      </c>
      <c r="E5" s="76">
        <f t="shared" si="2"/>
        <v>18.1644342</v>
      </c>
      <c r="G5" s="94" t="s">
        <v>486</v>
      </c>
      <c r="H5" s="105">
        <f>COUNTIF(Mapa!D2:D344, "Rojo")</f>
        <v>226</v>
      </c>
      <c r="I5" s="105">
        <f>COUNTIF(Mapa!F2:F344, "Rojo")</f>
        <v>121</v>
      </c>
      <c r="J5" s="85">
        <f t="shared" si="3"/>
        <v>-105</v>
      </c>
    </row>
    <row r="6">
      <c r="A6" s="74" t="s">
        <v>260</v>
      </c>
      <c r="B6" s="76">
        <v>53.3567614</v>
      </c>
      <c r="C6" s="76">
        <f t="shared" si="1"/>
        <v>46.6432386</v>
      </c>
      <c r="D6" s="76">
        <v>64.2048506</v>
      </c>
      <c r="E6" s="76">
        <f t="shared" si="2"/>
        <v>35.7951494</v>
      </c>
    </row>
    <row r="7">
      <c r="A7" s="74" t="s">
        <v>317</v>
      </c>
      <c r="B7" s="76">
        <v>77.9190389</v>
      </c>
      <c r="C7" s="76">
        <f t="shared" si="1"/>
        <v>22.0809611</v>
      </c>
      <c r="D7" s="76">
        <v>87.4911455</v>
      </c>
      <c r="E7" s="76">
        <f t="shared" si="2"/>
        <v>12.5088545</v>
      </c>
    </row>
    <row r="8">
      <c r="A8" s="74" t="s">
        <v>332</v>
      </c>
      <c r="B8" s="76">
        <v>86.7807035</v>
      </c>
      <c r="C8" s="76">
        <f t="shared" si="1"/>
        <v>13.2192965</v>
      </c>
      <c r="D8" s="76">
        <v>92.3384266</v>
      </c>
      <c r="E8" s="76">
        <f t="shared" si="2"/>
        <v>7.6615734</v>
      </c>
    </row>
    <row r="9">
      <c r="A9" s="74" t="s">
        <v>401</v>
      </c>
      <c r="B9" s="76">
        <v>64.5796384</v>
      </c>
      <c r="C9" s="76">
        <f t="shared" si="1"/>
        <v>35.4203616</v>
      </c>
      <c r="D9" s="76">
        <v>76.139445</v>
      </c>
      <c r="E9" s="76">
        <f t="shared" si="2"/>
        <v>23.860555</v>
      </c>
    </row>
    <row r="10">
      <c r="A10" s="74" t="s">
        <v>426</v>
      </c>
      <c r="B10" s="76">
        <v>54.768717</v>
      </c>
      <c r="C10" s="76">
        <f t="shared" si="1"/>
        <v>45.231283</v>
      </c>
      <c r="D10" s="76">
        <v>76.752227</v>
      </c>
      <c r="E10" s="76">
        <f t="shared" si="2"/>
        <v>23.247773</v>
      </c>
    </row>
    <row r="11">
      <c r="A11" s="74" t="s">
        <v>12</v>
      </c>
      <c r="B11" s="76">
        <v>75.4705261</v>
      </c>
      <c r="C11" s="76">
        <f t="shared" si="1"/>
        <v>24.5294739</v>
      </c>
      <c r="D11" s="76">
        <v>83.7582429</v>
      </c>
      <c r="E11" s="76">
        <f t="shared" si="2"/>
        <v>16.2417571</v>
      </c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106" t="s">
        <v>449</v>
      </c>
      <c r="B1" s="106" t="s">
        <v>450</v>
      </c>
      <c r="C1" s="107" t="s">
        <v>487</v>
      </c>
      <c r="D1" s="106" t="s">
        <v>488</v>
      </c>
      <c r="E1" s="107" t="s">
        <v>489</v>
      </c>
      <c r="F1" s="106" t="s">
        <v>490</v>
      </c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</row>
    <row r="2">
      <c r="A2" s="85">
        <v>10101.0</v>
      </c>
      <c r="B2" s="85" t="s">
        <v>20</v>
      </c>
      <c r="C2" s="108">
        <v>92.192568</v>
      </c>
      <c r="D2" s="108" t="str">
        <f t="shared" ref="D2:D344" si="1">IF(C2&lt;=50,"Rojo",
   IF(C2&lt;=67.5,"Naranja",
   IF(C2&lt;=85,"Amarillo","Verde")))</f>
        <v>Verde</v>
      </c>
      <c r="E2" s="108">
        <v>94.741684</v>
      </c>
      <c r="F2" s="108" t="str">
        <f t="shared" ref="F2:F344" si="2">IF(E2&lt;=50,"Rojo",
   IF(E2&lt;=67.5,"Naranja",
   IF(E2&lt;=85,"Amarillo","Verde")))</f>
        <v>Verde</v>
      </c>
    </row>
    <row r="3">
      <c r="A3" s="85">
        <v>10102.0</v>
      </c>
      <c r="B3" s="85" t="s">
        <v>21</v>
      </c>
      <c r="C3" s="108">
        <v>53.3185596</v>
      </c>
      <c r="D3" s="108" t="str">
        <f t="shared" si="1"/>
        <v>Naranja</v>
      </c>
      <c r="E3" s="108">
        <v>74.3120297</v>
      </c>
      <c r="F3" s="108" t="str">
        <f t="shared" si="2"/>
        <v>Amarillo</v>
      </c>
    </row>
    <row r="4">
      <c r="A4" s="85">
        <v>10103.0</v>
      </c>
      <c r="B4" s="85" t="s">
        <v>22</v>
      </c>
      <c r="C4" s="108">
        <v>3.9016897</v>
      </c>
      <c r="D4" s="108" t="str">
        <f t="shared" si="1"/>
        <v>Rojo</v>
      </c>
      <c r="E4" s="108">
        <v>8.8749539</v>
      </c>
      <c r="F4" s="108" t="str">
        <f t="shared" si="2"/>
        <v>Rojo</v>
      </c>
    </row>
    <row r="5">
      <c r="A5" s="85">
        <v>10201.0</v>
      </c>
      <c r="B5" s="85" t="s">
        <v>23</v>
      </c>
      <c r="C5" s="108">
        <v>10.3338171</v>
      </c>
      <c r="D5" s="108" t="str">
        <f t="shared" si="1"/>
        <v>Rojo</v>
      </c>
      <c r="E5" s="108">
        <v>19.8514344</v>
      </c>
      <c r="F5" s="108" t="str">
        <f t="shared" si="2"/>
        <v>Rojo</v>
      </c>
    </row>
    <row r="6">
      <c r="A6" s="85">
        <v>10202.0</v>
      </c>
      <c r="B6" s="85" t="s">
        <v>24</v>
      </c>
      <c r="C6" s="108">
        <v>12.6502169</v>
      </c>
      <c r="D6" s="108" t="str">
        <f t="shared" si="1"/>
        <v>Rojo</v>
      </c>
      <c r="E6" s="108">
        <v>31.7617419</v>
      </c>
      <c r="F6" s="108" t="str">
        <f t="shared" si="2"/>
        <v>Rojo</v>
      </c>
    </row>
    <row r="7">
      <c r="A7" s="85">
        <v>10301.0</v>
      </c>
      <c r="B7" s="85" t="s">
        <v>25</v>
      </c>
      <c r="C7" s="108">
        <v>32.2746466</v>
      </c>
      <c r="D7" s="108" t="str">
        <f t="shared" si="1"/>
        <v>Rojo</v>
      </c>
      <c r="E7" s="108">
        <v>36.5015618</v>
      </c>
      <c r="F7" s="108" t="str">
        <f t="shared" si="2"/>
        <v>Rojo</v>
      </c>
    </row>
    <row r="8">
      <c r="A8" s="85">
        <v>10302.0</v>
      </c>
      <c r="B8" s="85" t="s">
        <v>26</v>
      </c>
      <c r="C8" s="108">
        <v>18.6074124</v>
      </c>
      <c r="D8" s="108" t="str">
        <f t="shared" si="1"/>
        <v>Rojo</v>
      </c>
      <c r="E8" s="108">
        <v>31.8572691</v>
      </c>
      <c r="F8" s="108" t="str">
        <f t="shared" si="2"/>
        <v>Rojo</v>
      </c>
    </row>
    <row r="9">
      <c r="A9" s="85">
        <v>10303.0</v>
      </c>
      <c r="B9" s="85" t="s">
        <v>27</v>
      </c>
      <c r="C9" s="108">
        <v>31.305226</v>
      </c>
      <c r="D9" s="108" t="str">
        <f t="shared" si="1"/>
        <v>Rojo</v>
      </c>
      <c r="E9" s="108">
        <v>49.9610895</v>
      </c>
      <c r="F9" s="108" t="str">
        <f t="shared" si="2"/>
        <v>Rojo</v>
      </c>
    </row>
    <row r="10">
      <c r="A10" s="85">
        <v>10304.0</v>
      </c>
      <c r="B10" s="85" t="s">
        <v>28</v>
      </c>
      <c r="C10" s="108">
        <v>15.0395778</v>
      </c>
      <c r="D10" s="108" t="str">
        <f t="shared" si="1"/>
        <v>Rojo</v>
      </c>
      <c r="E10" s="108">
        <v>26.3111308</v>
      </c>
      <c r="F10" s="108" t="str">
        <f t="shared" si="2"/>
        <v>Rojo</v>
      </c>
    </row>
    <row r="11">
      <c r="A11" s="85">
        <v>10401.0</v>
      </c>
      <c r="B11" s="85" t="s">
        <v>30</v>
      </c>
      <c r="C11" s="108">
        <v>32.8219942</v>
      </c>
      <c r="D11" s="108" t="str">
        <f t="shared" si="1"/>
        <v>Rojo</v>
      </c>
      <c r="E11" s="108">
        <v>49.4048281</v>
      </c>
      <c r="F11" s="108" t="str">
        <f t="shared" si="2"/>
        <v>Rojo</v>
      </c>
    </row>
    <row r="12">
      <c r="A12" s="85">
        <v>10402.0</v>
      </c>
      <c r="B12" s="85" t="s">
        <v>29</v>
      </c>
      <c r="C12" s="108">
        <v>20.9718361</v>
      </c>
      <c r="D12" s="108" t="str">
        <f t="shared" si="1"/>
        <v>Rojo</v>
      </c>
      <c r="E12" s="108">
        <v>33.0683436</v>
      </c>
      <c r="F12" s="108" t="str">
        <f t="shared" si="2"/>
        <v>Rojo</v>
      </c>
    </row>
    <row r="13">
      <c r="A13" s="85">
        <v>10403.0</v>
      </c>
      <c r="B13" s="85" t="s">
        <v>31</v>
      </c>
      <c r="C13" s="108">
        <v>23.4676742</v>
      </c>
      <c r="D13" s="108" t="str">
        <f t="shared" si="1"/>
        <v>Rojo</v>
      </c>
      <c r="E13" s="108">
        <v>31.3882421</v>
      </c>
      <c r="F13" s="108" t="str">
        <f t="shared" si="2"/>
        <v>Rojo</v>
      </c>
    </row>
    <row r="14">
      <c r="A14" s="85">
        <v>10404.0</v>
      </c>
      <c r="B14" s="85" t="s">
        <v>32</v>
      </c>
      <c r="C14" s="108">
        <v>30.2340029</v>
      </c>
      <c r="D14" s="108" t="str">
        <f t="shared" si="1"/>
        <v>Rojo</v>
      </c>
      <c r="E14" s="108">
        <v>43.5212396</v>
      </c>
      <c r="F14" s="108" t="str">
        <f t="shared" si="2"/>
        <v>Rojo</v>
      </c>
    </row>
    <row r="15">
      <c r="A15" s="85">
        <v>10405.0</v>
      </c>
      <c r="B15" s="85" t="s">
        <v>33</v>
      </c>
      <c r="C15" s="108">
        <v>18.9586738</v>
      </c>
      <c r="D15" s="108" t="str">
        <f t="shared" si="1"/>
        <v>Rojo</v>
      </c>
      <c r="E15" s="108">
        <v>23.2752489</v>
      </c>
      <c r="F15" s="108" t="str">
        <f t="shared" si="2"/>
        <v>Rojo</v>
      </c>
    </row>
    <row r="16">
      <c r="A16" s="85">
        <v>10501.0</v>
      </c>
      <c r="B16" s="85" t="s">
        <v>35</v>
      </c>
      <c r="C16" s="108">
        <v>51.7877191</v>
      </c>
      <c r="D16" s="108" t="str">
        <f t="shared" si="1"/>
        <v>Naranja</v>
      </c>
      <c r="E16" s="108">
        <v>67.5136419</v>
      </c>
      <c r="F16" s="108" t="str">
        <f t="shared" si="2"/>
        <v>Amarillo</v>
      </c>
    </row>
    <row r="17">
      <c r="A17" s="85">
        <v>10502.0</v>
      </c>
      <c r="B17" s="85" t="s">
        <v>36</v>
      </c>
      <c r="C17" s="108">
        <v>24.9843063</v>
      </c>
      <c r="D17" s="108" t="str">
        <f t="shared" si="1"/>
        <v>Rojo</v>
      </c>
      <c r="E17" s="108">
        <v>37.7423033</v>
      </c>
      <c r="F17" s="108" t="str">
        <f t="shared" si="2"/>
        <v>Rojo</v>
      </c>
    </row>
    <row r="18">
      <c r="A18" s="85">
        <v>10601.0</v>
      </c>
      <c r="B18" s="85" t="s">
        <v>38</v>
      </c>
      <c r="C18" s="108">
        <v>27.3888789</v>
      </c>
      <c r="D18" s="108" t="str">
        <f t="shared" si="1"/>
        <v>Rojo</v>
      </c>
      <c r="E18" s="108">
        <v>45.5148741</v>
      </c>
      <c r="F18" s="108" t="str">
        <f t="shared" si="2"/>
        <v>Rojo</v>
      </c>
    </row>
    <row r="19">
      <c r="A19" s="85">
        <v>10602.0</v>
      </c>
      <c r="B19" s="85" t="s">
        <v>37</v>
      </c>
      <c r="C19" s="108">
        <v>30.3516975</v>
      </c>
      <c r="D19" s="108" t="str">
        <f t="shared" si="1"/>
        <v>Rojo</v>
      </c>
      <c r="E19" s="108">
        <v>54.1930853</v>
      </c>
      <c r="F19" s="108" t="str">
        <f t="shared" si="2"/>
        <v>Naranja</v>
      </c>
    </row>
    <row r="20">
      <c r="A20" s="85">
        <v>10701.0</v>
      </c>
      <c r="B20" s="85" t="s">
        <v>40</v>
      </c>
      <c r="C20" s="108">
        <v>46.4113551</v>
      </c>
      <c r="D20" s="108" t="str">
        <f t="shared" si="1"/>
        <v>Rojo</v>
      </c>
      <c r="E20" s="108">
        <v>60.2925663</v>
      </c>
      <c r="F20" s="108" t="str">
        <f t="shared" si="2"/>
        <v>Naranja</v>
      </c>
    </row>
    <row r="21">
      <c r="A21" s="85">
        <v>10702.0</v>
      </c>
      <c r="B21" s="85" t="s">
        <v>41</v>
      </c>
      <c r="C21" s="108">
        <v>24.463319</v>
      </c>
      <c r="D21" s="108" t="str">
        <f t="shared" si="1"/>
        <v>Rojo</v>
      </c>
      <c r="E21" s="108">
        <v>43.8091646</v>
      </c>
      <c r="F21" s="108" t="str">
        <f t="shared" si="2"/>
        <v>Rojo</v>
      </c>
    </row>
    <row r="22">
      <c r="A22" s="85">
        <v>10703.0</v>
      </c>
      <c r="B22" s="85" t="s">
        <v>42</v>
      </c>
      <c r="C22" s="108">
        <v>20.281734</v>
      </c>
      <c r="D22" s="108" t="str">
        <f t="shared" si="1"/>
        <v>Rojo</v>
      </c>
      <c r="E22" s="108">
        <v>37.2205173</v>
      </c>
      <c r="F22" s="108" t="str">
        <f t="shared" si="2"/>
        <v>Rojo</v>
      </c>
    </row>
    <row r="23">
      <c r="A23" s="85">
        <v>10704.0</v>
      </c>
      <c r="B23" s="85" t="s">
        <v>43</v>
      </c>
      <c r="C23" s="108">
        <v>31.4320388</v>
      </c>
      <c r="D23" s="108" t="str">
        <f t="shared" si="1"/>
        <v>Rojo</v>
      </c>
      <c r="E23" s="108">
        <v>49.8480028</v>
      </c>
      <c r="F23" s="108" t="str">
        <f t="shared" si="2"/>
        <v>Rojo</v>
      </c>
    </row>
    <row r="24">
      <c r="A24" s="85">
        <v>10801.0</v>
      </c>
      <c r="B24" s="85" t="s">
        <v>45</v>
      </c>
      <c r="C24" s="108">
        <v>31.4637734</v>
      </c>
      <c r="D24" s="108" t="str">
        <f t="shared" si="1"/>
        <v>Rojo</v>
      </c>
      <c r="E24" s="108">
        <v>44.838385</v>
      </c>
      <c r="F24" s="108" t="str">
        <f t="shared" si="2"/>
        <v>Rojo</v>
      </c>
    </row>
    <row r="25">
      <c r="A25" s="85">
        <v>10901.0</v>
      </c>
      <c r="B25" s="85" t="s">
        <v>47</v>
      </c>
      <c r="C25" s="108">
        <v>27.2402501</v>
      </c>
      <c r="D25" s="108" t="str">
        <f t="shared" si="1"/>
        <v>Rojo</v>
      </c>
      <c r="E25" s="108">
        <v>50.3041825</v>
      </c>
      <c r="F25" s="108" t="str">
        <f t="shared" si="2"/>
        <v>Naranja</v>
      </c>
    </row>
    <row r="26">
      <c r="A26" s="85">
        <v>10902.0</v>
      </c>
      <c r="B26" s="85" t="s">
        <v>48</v>
      </c>
      <c r="C26" s="108">
        <v>29.8783622</v>
      </c>
      <c r="D26" s="108" t="str">
        <f t="shared" si="1"/>
        <v>Rojo</v>
      </c>
      <c r="E26" s="108">
        <v>49.143824</v>
      </c>
      <c r="F26" s="108" t="str">
        <f t="shared" si="2"/>
        <v>Rojo</v>
      </c>
    </row>
    <row r="27">
      <c r="A27" s="85">
        <v>10903.0</v>
      </c>
      <c r="B27" s="85" t="s">
        <v>49</v>
      </c>
      <c r="C27" s="108">
        <v>25.0191083</v>
      </c>
      <c r="D27" s="108" t="str">
        <f t="shared" si="1"/>
        <v>Rojo</v>
      </c>
      <c r="E27" s="108">
        <v>40.7219631</v>
      </c>
      <c r="F27" s="108" t="str">
        <f t="shared" si="2"/>
        <v>Rojo</v>
      </c>
    </row>
    <row r="28">
      <c r="A28" s="85">
        <v>11001.0</v>
      </c>
      <c r="B28" s="85" t="s">
        <v>51</v>
      </c>
      <c r="C28" s="108">
        <v>36.6905693</v>
      </c>
      <c r="D28" s="108" t="str">
        <f t="shared" si="1"/>
        <v>Rojo</v>
      </c>
      <c r="E28" s="108">
        <v>47.1602821</v>
      </c>
      <c r="F28" s="108" t="str">
        <f t="shared" si="2"/>
        <v>Rojo</v>
      </c>
    </row>
    <row r="29">
      <c r="A29" s="85">
        <v>11002.0</v>
      </c>
      <c r="B29" s="85" t="s">
        <v>52</v>
      </c>
      <c r="C29" s="108">
        <v>10.8947804</v>
      </c>
      <c r="D29" s="108" t="str">
        <f t="shared" si="1"/>
        <v>Rojo</v>
      </c>
      <c r="E29" s="108">
        <v>33.4914986</v>
      </c>
      <c r="F29" s="108" t="str">
        <f t="shared" si="2"/>
        <v>Rojo</v>
      </c>
    </row>
    <row r="30">
      <c r="A30" s="85">
        <v>11003.0</v>
      </c>
      <c r="B30" s="85" t="s">
        <v>53</v>
      </c>
      <c r="C30" s="108">
        <v>31.2630636</v>
      </c>
      <c r="D30" s="108" t="str">
        <f t="shared" si="1"/>
        <v>Rojo</v>
      </c>
      <c r="E30" s="108">
        <v>52.2040691</v>
      </c>
      <c r="F30" s="108" t="str">
        <f t="shared" si="2"/>
        <v>Naranja</v>
      </c>
    </row>
    <row r="31">
      <c r="A31" s="85">
        <v>20101.0</v>
      </c>
      <c r="B31" s="85" t="s">
        <v>56</v>
      </c>
      <c r="C31" s="108">
        <v>99.1745405</v>
      </c>
      <c r="D31" s="108" t="str">
        <f t="shared" si="1"/>
        <v>Verde</v>
      </c>
      <c r="E31" s="108">
        <v>99.3298531</v>
      </c>
      <c r="F31" s="108" t="str">
        <f t="shared" si="2"/>
        <v>Verde</v>
      </c>
    </row>
    <row r="32">
      <c r="A32" s="85">
        <v>20102.0</v>
      </c>
      <c r="B32" s="109" t="s">
        <v>57</v>
      </c>
      <c r="C32" s="108">
        <v>34.9504529</v>
      </c>
      <c r="D32" s="108" t="str">
        <f t="shared" si="1"/>
        <v>Rojo</v>
      </c>
      <c r="E32" s="108">
        <v>67.6691029</v>
      </c>
      <c r="F32" s="108" t="str">
        <f t="shared" si="2"/>
        <v>Amarillo</v>
      </c>
    </row>
    <row r="33">
      <c r="A33" s="85">
        <v>20103.0</v>
      </c>
      <c r="B33" s="109" t="s">
        <v>58</v>
      </c>
      <c r="C33" s="108">
        <v>67.416518</v>
      </c>
      <c r="D33" s="108" t="str">
        <f t="shared" si="1"/>
        <v>Naranja</v>
      </c>
      <c r="E33" s="108">
        <v>80.0988631</v>
      </c>
      <c r="F33" s="108" t="str">
        <f t="shared" si="2"/>
        <v>Amarillo</v>
      </c>
    </row>
    <row r="34">
      <c r="A34" s="85">
        <v>20104.0</v>
      </c>
      <c r="B34" s="109" t="s">
        <v>59</v>
      </c>
      <c r="C34" s="108">
        <v>85.688249</v>
      </c>
      <c r="D34" s="108" t="str">
        <f t="shared" si="1"/>
        <v>Verde</v>
      </c>
      <c r="E34" s="108">
        <v>94.5790714</v>
      </c>
      <c r="F34" s="108" t="str">
        <f t="shared" si="2"/>
        <v>Verde</v>
      </c>
    </row>
    <row r="35">
      <c r="A35" s="85">
        <v>20105.0</v>
      </c>
      <c r="B35" s="109" t="s">
        <v>60</v>
      </c>
      <c r="C35" s="108">
        <v>99.2380998</v>
      </c>
      <c r="D35" s="108" t="str">
        <f t="shared" si="1"/>
        <v>Verde</v>
      </c>
      <c r="E35" s="108">
        <v>99.6508615</v>
      </c>
      <c r="F35" s="108" t="str">
        <f t="shared" si="2"/>
        <v>Verde</v>
      </c>
    </row>
    <row r="36">
      <c r="A36" s="85">
        <v>20201.0</v>
      </c>
      <c r="B36" s="109" t="s">
        <v>62</v>
      </c>
      <c r="C36" s="108">
        <v>55.7077222</v>
      </c>
      <c r="D36" s="108" t="str">
        <f t="shared" si="1"/>
        <v>Naranja</v>
      </c>
      <c r="E36" s="108">
        <v>79.9683996</v>
      </c>
      <c r="F36" s="108" t="str">
        <f t="shared" si="2"/>
        <v>Amarillo</v>
      </c>
    </row>
    <row r="37">
      <c r="A37" s="85">
        <v>20202.0</v>
      </c>
      <c r="B37" s="109" t="s">
        <v>63</v>
      </c>
      <c r="C37" s="108">
        <v>17.2917307</v>
      </c>
      <c r="D37" s="108" t="str">
        <f t="shared" si="1"/>
        <v>Rojo</v>
      </c>
      <c r="E37" s="108">
        <v>42.989418</v>
      </c>
      <c r="F37" s="108" t="str">
        <f t="shared" si="2"/>
        <v>Rojo</v>
      </c>
    </row>
    <row r="38">
      <c r="A38" s="85">
        <v>20203.0</v>
      </c>
      <c r="B38" s="109" t="s">
        <v>64</v>
      </c>
      <c r="C38" s="108">
        <v>50.1590533</v>
      </c>
      <c r="D38" s="108" t="str">
        <f t="shared" si="1"/>
        <v>Naranja</v>
      </c>
      <c r="E38" s="108">
        <v>78.0677926</v>
      </c>
      <c r="F38" s="108" t="str">
        <f t="shared" si="2"/>
        <v>Amarillo</v>
      </c>
    </row>
    <row r="39">
      <c r="A39" s="85">
        <v>20204.0</v>
      </c>
      <c r="B39" s="109" t="s">
        <v>65</v>
      </c>
      <c r="C39" s="108">
        <v>21.1784193</v>
      </c>
      <c r="D39" s="108" t="str">
        <f t="shared" si="1"/>
        <v>Rojo</v>
      </c>
      <c r="E39" s="108">
        <v>49.490411</v>
      </c>
      <c r="F39" s="108" t="str">
        <f t="shared" si="2"/>
        <v>Rojo</v>
      </c>
    </row>
    <row r="40">
      <c r="A40" s="85">
        <v>20205.0</v>
      </c>
      <c r="B40" s="109" t="s">
        <v>66</v>
      </c>
      <c r="C40" s="108">
        <v>76.1151452</v>
      </c>
      <c r="D40" s="108" t="str">
        <f t="shared" si="1"/>
        <v>Amarillo</v>
      </c>
      <c r="E40" s="108">
        <v>84.3762698</v>
      </c>
      <c r="F40" s="108" t="str">
        <f t="shared" si="2"/>
        <v>Amarillo</v>
      </c>
    </row>
    <row r="41">
      <c r="A41" s="85">
        <v>20206.0</v>
      </c>
      <c r="B41" s="109" t="s">
        <v>67</v>
      </c>
      <c r="C41" s="108">
        <v>52.6523</v>
      </c>
      <c r="D41" s="108" t="str">
        <f t="shared" si="1"/>
        <v>Naranja</v>
      </c>
      <c r="E41" s="108">
        <v>71.8644068</v>
      </c>
      <c r="F41" s="108" t="str">
        <f t="shared" si="2"/>
        <v>Amarillo</v>
      </c>
    </row>
    <row r="42">
      <c r="A42" s="85">
        <v>20301.0</v>
      </c>
      <c r="B42" s="109" t="s">
        <v>69</v>
      </c>
      <c r="C42" s="108">
        <v>30.0349922</v>
      </c>
      <c r="D42" s="108" t="str">
        <f t="shared" si="1"/>
        <v>Rojo</v>
      </c>
      <c r="E42" s="108">
        <v>49.0077389</v>
      </c>
      <c r="F42" s="108" t="str">
        <f t="shared" si="2"/>
        <v>Rojo</v>
      </c>
    </row>
    <row r="43">
      <c r="A43" s="85">
        <v>20302.0</v>
      </c>
      <c r="B43" s="109" t="s">
        <v>70</v>
      </c>
      <c r="C43" s="108">
        <v>12.9581332</v>
      </c>
      <c r="D43" s="108" t="str">
        <f t="shared" si="1"/>
        <v>Rojo</v>
      </c>
      <c r="E43" s="108">
        <v>33.8591917</v>
      </c>
      <c r="F43" s="108" t="str">
        <f t="shared" si="2"/>
        <v>Rojo</v>
      </c>
    </row>
    <row r="44">
      <c r="A44" s="85">
        <v>20303.0</v>
      </c>
      <c r="B44" s="109" t="s">
        <v>71</v>
      </c>
      <c r="C44" s="108">
        <v>4.6587658</v>
      </c>
      <c r="D44" s="108" t="str">
        <f t="shared" si="1"/>
        <v>Rojo</v>
      </c>
      <c r="E44" s="108">
        <v>16.9710431</v>
      </c>
      <c r="F44" s="108" t="str">
        <f t="shared" si="2"/>
        <v>Rojo</v>
      </c>
    </row>
    <row r="45">
      <c r="A45" s="85">
        <v>20304.0</v>
      </c>
      <c r="B45" s="109" t="s">
        <v>72</v>
      </c>
      <c r="C45" s="108">
        <v>15.3846154</v>
      </c>
      <c r="D45" s="108" t="str">
        <f t="shared" si="1"/>
        <v>Rojo</v>
      </c>
      <c r="E45" s="108">
        <v>41.6601866</v>
      </c>
      <c r="F45" s="108" t="str">
        <f t="shared" si="2"/>
        <v>Rojo</v>
      </c>
    </row>
    <row r="46">
      <c r="A46" s="85">
        <v>20305.0</v>
      </c>
      <c r="B46" s="109" t="s">
        <v>73</v>
      </c>
      <c r="C46" s="108">
        <v>24.8591316</v>
      </c>
      <c r="D46" s="108" t="str">
        <f t="shared" si="1"/>
        <v>Rojo</v>
      </c>
      <c r="E46" s="108">
        <v>37.0532458</v>
      </c>
      <c r="F46" s="108" t="str">
        <f t="shared" si="2"/>
        <v>Rojo</v>
      </c>
    </row>
    <row r="47">
      <c r="A47" s="85">
        <v>20306.0</v>
      </c>
      <c r="B47" s="109" t="s">
        <v>74</v>
      </c>
      <c r="C47" s="108">
        <v>33.8619029</v>
      </c>
      <c r="D47" s="108" t="str">
        <f t="shared" si="1"/>
        <v>Rojo</v>
      </c>
      <c r="E47" s="108">
        <v>80.2592223</v>
      </c>
      <c r="F47" s="108" t="str">
        <f t="shared" si="2"/>
        <v>Amarillo</v>
      </c>
    </row>
    <row r="48">
      <c r="A48" s="85">
        <v>20307.0</v>
      </c>
      <c r="B48" s="109" t="s">
        <v>75</v>
      </c>
      <c r="C48" s="108">
        <v>38.7583893</v>
      </c>
      <c r="D48" s="108" t="str">
        <f t="shared" si="1"/>
        <v>Rojo</v>
      </c>
      <c r="E48" s="108">
        <v>42.7695452</v>
      </c>
      <c r="F48" s="108" t="str">
        <f t="shared" si="2"/>
        <v>Rojo</v>
      </c>
    </row>
    <row r="49">
      <c r="A49" s="85">
        <v>20308.0</v>
      </c>
      <c r="B49" s="109" t="s">
        <v>76</v>
      </c>
      <c r="C49" s="108">
        <v>5.2303861</v>
      </c>
      <c r="D49" s="108" t="str">
        <f t="shared" si="1"/>
        <v>Rojo</v>
      </c>
      <c r="E49" s="108">
        <v>16.1759178</v>
      </c>
      <c r="F49" s="108" t="str">
        <f t="shared" si="2"/>
        <v>Rojo</v>
      </c>
    </row>
    <row r="50">
      <c r="A50" s="85">
        <v>20401.0</v>
      </c>
      <c r="B50" s="109" t="s">
        <v>78</v>
      </c>
      <c r="C50" s="108">
        <v>22.3793752</v>
      </c>
      <c r="D50" s="108" t="str">
        <f t="shared" si="1"/>
        <v>Rojo</v>
      </c>
      <c r="E50" s="108">
        <v>33.6382778</v>
      </c>
      <c r="F50" s="108" t="str">
        <f t="shared" si="2"/>
        <v>Rojo</v>
      </c>
    </row>
    <row r="51">
      <c r="A51" s="85">
        <v>20402.0</v>
      </c>
      <c r="B51" s="109" t="s">
        <v>79</v>
      </c>
      <c r="C51" s="108">
        <v>12.7063983</v>
      </c>
      <c r="D51" s="108" t="str">
        <f t="shared" si="1"/>
        <v>Rojo</v>
      </c>
      <c r="E51" s="108">
        <v>26.3726885</v>
      </c>
      <c r="F51" s="108" t="str">
        <f t="shared" si="2"/>
        <v>Rojo</v>
      </c>
    </row>
    <row r="52">
      <c r="A52" s="85">
        <v>20403.0</v>
      </c>
      <c r="B52" s="109" t="s">
        <v>80</v>
      </c>
      <c r="C52" s="108">
        <v>16.9649751</v>
      </c>
      <c r="D52" s="108" t="str">
        <f t="shared" si="1"/>
        <v>Rojo</v>
      </c>
      <c r="E52" s="108">
        <v>34.4984892</v>
      </c>
      <c r="F52" s="108" t="str">
        <f t="shared" si="2"/>
        <v>Rojo</v>
      </c>
    </row>
    <row r="53">
      <c r="A53" s="85">
        <v>20404.0</v>
      </c>
      <c r="B53" s="109" t="s">
        <v>81</v>
      </c>
      <c r="C53" s="108">
        <v>11.8448439</v>
      </c>
      <c r="D53" s="108" t="str">
        <f t="shared" si="1"/>
        <v>Rojo</v>
      </c>
      <c r="E53" s="108">
        <v>33.7034384</v>
      </c>
      <c r="F53" s="108" t="str">
        <f t="shared" si="2"/>
        <v>Rojo</v>
      </c>
    </row>
    <row r="54">
      <c r="A54" s="85">
        <v>20405.0</v>
      </c>
      <c r="B54" s="109" t="s">
        <v>82</v>
      </c>
      <c r="C54" s="108">
        <v>25.5912162</v>
      </c>
      <c r="D54" s="108" t="str">
        <f t="shared" si="1"/>
        <v>Rojo</v>
      </c>
      <c r="E54" s="108">
        <v>49.0642799</v>
      </c>
      <c r="F54" s="108" t="str">
        <f t="shared" si="2"/>
        <v>Rojo</v>
      </c>
    </row>
    <row r="55">
      <c r="A55" s="85">
        <v>20501.0</v>
      </c>
      <c r="B55" s="109" t="s">
        <v>84</v>
      </c>
      <c r="C55" s="108">
        <v>7.614703</v>
      </c>
      <c r="D55" s="108" t="str">
        <f t="shared" si="1"/>
        <v>Rojo</v>
      </c>
      <c r="E55" s="108">
        <v>19.8249403</v>
      </c>
      <c r="F55" s="108" t="str">
        <f t="shared" si="2"/>
        <v>Rojo</v>
      </c>
    </row>
    <row r="56">
      <c r="A56" s="85">
        <v>20502.0</v>
      </c>
      <c r="B56" s="109" t="s">
        <v>85</v>
      </c>
      <c r="C56" s="108">
        <v>6.3115651</v>
      </c>
      <c r="D56" s="108" t="str">
        <f t="shared" si="1"/>
        <v>Rojo</v>
      </c>
      <c r="E56" s="108">
        <v>19.3086475</v>
      </c>
      <c r="F56" s="108" t="str">
        <f t="shared" si="2"/>
        <v>Rojo</v>
      </c>
    </row>
    <row r="57">
      <c r="A57" s="85">
        <v>20503.0</v>
      </c>
      <c r="B57" s="109" t="s">
        <v>86</v>
      </c>
      <c r="C57" s="108">
        <v>19.3034457</v>
      </c>
      <c r="D57" s="108" t="str">
        <f t="shared" si="1"/>
        <v>Rojo</v>
      </c>
      <c r="E57" s="108">
        <v>43.0004703</v>
      </c>
      <c r="F57" s="108" t="str">
        <f t="shared" si="2"/>
        <v>Rojo</v>
      </c>
    </row>
    <row r="58">
      <c r="A58" s="85">
        <v>20601.0</v>
      </c>
      <c r="B58" s="109" t="s">
        <v>88</v>
      </c>
      <c r="C58" s="108">
        <v>32.5205361</v>
      </c>
      <c r="D58" s="108" t="str">
        <f t="shared" si="1"/>
        <v>Rojo</v>
      </c>
      <c r="E58" s="108">
        <v>46.8134179</v>
      </c>
      <c r="F58" s="108" t="str">
        <f t="shared" si="2"/>
        <v>Rojo</v>
      </c>
    </row>
    <row r="59">
      <c r="A59" s="85">
        <v>20602.0</v>
      </c>
      <c r="B59" s="109" t="s">
        <v>89</v>
      </c>
      <c r="C59" s="108">
        <v>60.9058403</v>
      </c>
      <c r="D59" s="108" t="str">
        <f t="shared" si="1"/>
        <v>Naranja</v>
      </c>
      <c r="E59" s="108">
        <v>81.1157443</v>
      </c>
      <c r="F59" s="108" t="str">
        <f t="shared" si="2"/>
        <v>Amarillo</v>
      </c>
    </row>
    <row r="60">
      <c r="A60" s="85">
        <v>20603.0</v>
      </c>
      <c r="B60" s="109" t="s">
        <v>90</v>
      </c>
      <c r="C60" s="108">
        <v>37.5479417</v>
      </c>
      <c r="D60" s="108" t="str">
        <f t="shared" si="1"/>
        <v>Rojo</v>
      </c>
      <c r="E60" s="108">
        <v>47.6771319</v>
      </c>
      <c r="F60" s="108" t="str">
        <f t="shared" si="2"/>
        <v>Rojo</v>
      </c>
    </row>
    <row r="61">
      <c r="A61" s="85">
        <v>20604.0</v>
      </c>
      <c r="B61" s="109" t="s">
        <v>91</v>
      </c>
      <c r="C61" s="108">
        <v>18.1007752</v>
      </c>
      <c r="D61" s="108" t="str">
        <f t="shared" si="1"/>
        <v>Rojo</v>
      </c>
      <c r="E61" s="108">
        <v>19.5038074</v>
      </c>
      <c r="F61" s="108" t="str">
        <f t="shared" si="2"/>
        <v>Rojo</v>
      </c>
    </row>
    <row r="62">
      <c r="A62" s="85">
        <v>20605.0</v>
      </c>
      <c r="B62" s="109" t="s">
        <v>92</v>
      </c>
      <c r="C62" s="108">
        <v>13.2589164</v>
      </c>
      <c r="D62" s="108" t="str">
        <f t="shared" si="1"/>
        <v>Rojo</v>
      </c>
      <c r="E62" s="108">
        <v>28.9700806</v>
      </c>
      <c r="F62" s="108" t="str">
        <f t="shared" si="2"/>
        <v>Rojo</v>
      </c>
    </row>
    <row r="63">
      <c r="A63" s="85">
        <v>20606.0</v>
      </c>
      <c r="B63" s="109" t="s">
        <v>93</v>
      </c>
      <c r="C63" s="108">
        <v>92.2232774</v>
      </c>
      <c r="D63" s="108" t="str">
        <f t="shared" si="1"/>
        <v>Verde</v>
      </c>
      <c r="E63" s="108">
        <v>95.1960917</v>
      </c>
      <c r="F63" s="108" t="str">
        <f t="shared" si="2"/>
        <v>Verde</v>
      </c>
    </row>
    <row r="64">
      <c r="A64" s="85">
        <v>20607.0</v>
      </c>
      <c r="B64" s="109" t="s">
        <v>94</v>
      </c>
      <c r="C64" s="108">
        <v>83.2456683</v>
      </c>
      <c r="D64" s="108" t="str">
        <f t="shared" si="1"/>
        <v>Amarillo</v>
      </c>
      <c r="E64" s="108">
        <v>93.9658675</v>
      </c>
      <c r="F64" s="108" t="str">
        <f t="shared" si="2"/>
        <v>Verde</v>
      </c>
    </row>
    <row r="65">
      <c r="A65" s="85">
        <v>20608.0</v>
      </c>
      <c r="B65" s="109" t="s">
        <v>95</v>
      </c>
      <c r="C65" s="108">
        <v>43.5494652</v>
      </c>
      <c r="D65" s="108" t="str">
        <f t="shared" si="1"/>
        <v>Rojo</v>
      </c>
      <c r="E65" s="108">
        <v>61.9066148</v>
      </c>
      <c r="F65" s="108" t="str">
        <f t="shared" si="2"/>
        <v>Naranja</v>
      </c>
    </row>
    <row r="66">
      <c r="A66" s="85">
        <v>20701.0</v>
      </c>
      <c r="B66" s="109" t="s">
        <v>97</v>
      </c>
      <c r="C66" s="108">
        <v>34.6024149</v>
      </c>
      <c r="D66" s="108" t="str">
        <f t="shared" si="1"/>
        <v>Rojo</v>
      </c>
      <c r="E66" s="108">
        <v>44.8418531</v>
      </c>
      <c r="F66" s="108" t="str">
        <f t="shared" si="2"/>
        <v>Rojo</v>
      </c>
    </row>
    <row r="67">
      <c r="A67" s="85">
        <v>20702.0</v>
      </c>
      <c r="B67" s="109" t="s">
        <v>98</v>
      </c>
      <c r="C67" s="108">
        <v>49.2637216</v>
      </c>
      <c r="D67" s="108" t="str">
        <f t="shared" si="1"/>
        <v>Rojo</v>
      </c>
      <c r="E67" s="108">
        <v>85.1733143</v>
      </c>
      <c r="F67" s="108" t="str">
        <f t="shared" si="2"/>
        <v>Verde</v>
      </c>
    </row>
    <row r="68">
      <c r="A68" s="85">
        <v>20801.0</v>
      </c>
      <c r="B68" s="109" t="s">
        <v>100</v>
      </c>
      <c r="C68" s="108">
        <v>86.1171143</v>
      </c>
      <c r="D68" s="108" t="str">
        <f t="shared" si="1"/>
        <v>Verde</v>
      </c>
      <c r="E68" s="108">
        <v>95.0301687</v>
      </c>
      <c r="F68" s="108" t="str">
        <f t="shared" si="2"/>
        <v>Verde</v>
      </c>
    </row>
    <row r="69">
      <c r="A69" s="85">
        <v>20802.0</v>
      </c>
      <c r="B69" s="109" t="s">
        <v>101</v>
      </c>
      <c r="C69" s="108">
        <v>52.9124821</v>
      </c>
      <c r="D69" s="108" t="str">
        <f t="shared" si="1"/>
        <v>Naranja</v>
      </c>
      <c r="E69" s="108">
        <v>86.5055762</v>
      </c>
      <c r="F69" s="108" t="str">
        <f t="shared" si="2"/>
        <v>Verde</v>
      </c>
    </row>
    <row r="70">
      <c r="A70" s="85">
        <v>20803.0</v>
      </c>
      <c r="B70" s="109" t="s">
        <v>102</v>
      </c>
      <c r="C70" s="108">
        <v>32.6726926</v>
      </c>
      <c r="D70" s="108" t="str">
        <f t="shared" si="1"/>
        <v>Rojo</v>
      </c>
      <c r="E70" s="108">
        <v>68.2434965</v>
      </c>
      <c r="F70" s="108" t="str">
        <f t="shared" si="2"/>
        <v>Amarillo</v>
      </c>
    </row>
    <row r="71">
      <c r="A71" s="85">
        <v>20804.0</v>
      </c>
      <c r="B71" s="109" t="s">
        <v>103</v>
      </c>
      <c r="C71" s="108">
        <v>75.4110613</v>
      </c>
      <c r="D71" s="108" t="str">
        <f t="shared" si="1"/>
        <v>Amarillo</v>
      </c>
      <c r="E71" s="108">
        <v>91.3196252</v>
      </c>
      <c r="F71" s="108" t="str">
        <f t="shared" si="2"/>
        <v>Verde</v>
      </c>
    </row>
    <row r="72">
      <c r="A72" s="85">
        <v>20805.0</v>
      </c>
      <c r="B72" s="109" t="s">
        <v>104</v>
      </c>
      <c r="C72" s="108">
        <v>14.7543686</v>
      </c>
      <c r="D72" s="108" t="str">
        <f t="shared" si="1"/>
        <v>Rojo</v>
      </c>
      <c r="E72" s="108">
        <v>40.4652352</v>
      </c>
      <c r="F72" s="108" t="str">
        <f t="shared" si="2"/>
        <v>Rojo</v>
      </c>
    </row>
    <row r="73">
      <c r="A73" s="85">
        <v>20806.0</v>
      </c>
      <c r="B73" s="109" t="s">
        <v>105</v>
      </c>
      <c r="C73" s="108">
        <v>20.464587</v>
      </c>
      <c r="D73" s="108" t="str">
        <f t="shared" si="1"/>
        <v>Rojo</v>
      </c>
      <c r="E73" s="108">
        <v>48.9731343</v>
      </c>
      <c r="F73" s="108" t="str">
        <f t="shared" si="2"/>
        <v>Rojo</v>
      </c>
    </row>
    <row r="74">
      <c r="A74" s="85">
        <v>20807.0</v>
      </c>
      <c r="B74" s="109" t="s">
        <v>106</v>
      </c>
      <c r="C74" s="108">
        <v>59.8838986</v>
      </c>
      <c r="D74" s="108" t="str">
        <f t="shared" si="1"/>
        <v>Naranja</v>
      </c>
      <c r="E74" s="108">
        <v>90.754717</v>
      </c>
      <c r="F74" s="108" t="str">
        <f t="shared" si="2"/>
        <v>Verde</v>
      </c>
    </row>
    <row r="75">
      <c r="A75" s="85">
        <v>20901.0</v>
      </c>
      <c r="B75" s="109" t="s">
        <v>108</v>
      </c>
      <c r="C75" s="108">
        <v>27.7001271</v>
      </c>
      <c r="D75" s="108" t="str">
        <f t="shared" si="1"/>
        <v>Rojo</v>
      </c>
      <c r="E75" s="108">
        <v>52.4969203</v>
      </c>
      <c r="F75" s="108" t="str">
        <f t="shared" si="2"/>
        <v>Naranja</v>
      </c>
    </row>
    <row r="76">
      <c r="A76" s="85">
        <v>20902.0</v>
      </c>
      <c r="B76" s="109" t="s">
        <v>109</v>
      </c>
      <c r="C76" s="108">
        <v>18.2729625</v>
      </c>
      <c r="D76" s="108" t="str">
        <f t="shared" si="1"/>
        <v>Rojo</v>
      </c>
      <c r="E76" s="108">
        <v>48.3910362</v>
      </c>
      <c r="F76" s="108" t="str">
        <f t="shared" si="2"/>
        <v>Rojo</v>
      </c>
    </row>
    <row r="77">
      <c r="A77" s="85">
        <v>20903.0</v>
      </c>
      <c r="B77" s="109" t="s">
        <v>110</v>
      </c>
      <c r="C77" s="108">
        <v>23.8837112</v>
      </c>
      <c r="D77" s="108" t="str">
        <f t="shared" si="1"/>
        <v>Rojo</v>
      </c>
      <c r="E77" s="108">
        <v>50.9021685</v>
      </c>
      <c r="F77" s="108" t="str">
        <f t="shared" si="2"/>
        <v>Naranja</v>
      </c>
    </row>
    <row r="78">
      <c r="A78" s="85">
        <v>20904.0</v>
      </c>
      <c r="B78" s="109" t="s">
        <v>111</v>
      </c>
      <c r="C78" s="108">
        <v>48.4585936</v>
      </c>
      <c r="D78" s="108" t="str">
        <f t="shared" si="1"/>
        <v>Rojo</v>
      </c>
      <c r="E78" s="108">
        <v>60.4150504</v>
      </c>
      <c r="F78" s="108" t="str">
        <f t="shared" si="2"/>
        <v>Naranja</v>
      </c>
    </row>
    <row r="79">
      <c r="A79" s="85">
        <v>20905.0</v>
      </c>
      <c r="B79" s="109" t="s">
        <v>112</v>
      </c>
      <c r="C79" s="108">
        <v>37.9623852</v>
      </c>
      <c r="D79" s="108" t="str">
        <f t="shared" si="1"/>
        <v>Rojo</v>
      </c>
      <c r="E79" s="108">
        <v>63.1278708</v>
      </c>
      <c r="F79" s="108" t="str">
        <f t="shared" si="2"/>
        <v>Naranja</v>
      </c>
    </row>
    <row r="80">
      <c r="A80" s="85">
        <v>21001.0</v>
      </c>
      <c r="B80" s="109" t="s">
        <v>113</v>
      </c>
      <c r="C80" s="108">
        <v>8.4213414</v>
      </c>
      <c r="D80" s="108" t="str">
        <f t="shared" si="1"/>
        <v>Rojo</v>
      </c>
      <c r="E80" s="108">
        <v>23.1346507</v>
      </c>
      <c r="F80" s="108" t="str">
        <f t="shared" si="2"/>
        <v>Rojo</v>
      </c>
    </row>
    <row r="81">
      <c r="A81" s="85">
        <v>21002.0</v>
      </c>
      <c r="B81" s="109" t="s">
        <v>114</v>
      </c>
      <c r="C81" s="108">
        <v>61.6247197</v>
      </c>
      <c r="D81" s="108" t="str">
        <f t="shared" si="1"/>
        <v>Naranja</v>
      </c>
      <c r="E81" s="108">
        <v>69.4282849</v>
      </c>
      <c r="F81" s="108" t="str">
        <f t="shared" si="2"/>
        <v>Amarillo</v>
      </c>
    </row>
    <row r="82">
      <c r="A82" s="85">
        <v>21003.0</v>
      </c>
      <c r="B82" s="109" t="s">
        <v>115</v>
      </c>
      <c r="C82" s="108">
        <v>48.3110762</v>
      </c>
      <c r="D82" s="108" t="str">
        <f t="shared" si="1"/>
        <v>Rojo</v>
      </c>
      <c r="E82" s="108">
        <v>81.0703084</v>
      </c>
      <c r="F82" s="108" t="str">
        <f t="shared" si="2"/>
        <v>Amarillo</v>
      </c>
    </row>
    <row r="83">
      <c r="A83" s="85">
        <v>21004.0</v>
      </c>
      <c r="B83" s="109" t="s">
        <v>116</v>
      </c>
      <c r="C83" s="108">
        <v>36.8319917</v>
      </c>
      <c r="D83" s="108" t="str">
        <f t="shared" si="1"/>
        <v>Rojo</v>
      </c>
      <c r="E83" s="108">
        <v>44.751285</v>
      </c>
      <c r="F83" s="108" t="str">
        <f t="shared" si="2"/>
        <v>Rojo</v>
      </c>
    </row>
    <row r="84">
      <c r="A84" s="85">
        <v>21005.0</v>
      </c>
      <c r="B84" s="109" t="s">
        <v>117</v>
      </c>
      <c r="C84" s="108">
        <v>18.0900621</v>
      </c>
      <c r="D84" s="108" t="str">
        <f t="shared" si="1"/>
        <v>Rojo</v>
      </c>
      <c r="E84" s="108">
        <v>34.2948038</v>
      </c>
      <c r="F84" s="108" t="str">
        <f t="shared" si="2"/>
        <v>Rojo</v>
      </c>
    </row>
    <row r="85">
      <c r="A85" s="85">
        <v>21006.0</v>
      </c>
      <c r="B85" s="109" t="s">
        <v>118</v>
      </c>
      <c r="C85" s="108">
        <v>34.1092375</v>
      </c>
      <c r="D85" s="108" t="str">
        <f t="shared" si="1"/>
        <v>Rojo</v>
      </c>
      <c r="E85" s="108">
        <v>55.9897172</v>
      </c>
      <c r="F85" s="108" t="str">
        <f t="shared" si="2"/>
        <v>Naranja</v>
      </c>
    </row>
    <row r="86">
      <c r="A86" s="85">
        <v>21101.0</v>
      </c>
      <c r="B86" s="109" t="s">
        <v>120</v>
      </c>
      <c r="C86" s="108">
        <v>59.6034483</v>
      </c>
      <c r="D86" s="108" t="str">
        <f t="shared" si="1"/>
        <v>Naranja</v>
      </c>
      <c r="E86" s="108">
        <v>80.8953728</v>
      </c>
      <c r="F86" s="108" t="str">
        <f t="shared" si="2"/>
        <v>Amarillo</v>
      </c>
    </row>
    <row r="87">
      <c r="A87" s="85">
        <v>21102.0</v>
      </c>
      <c r="B87" s="109" t="s">
        <v>121</v>
      </c>
      <c r="C87" s="108">
        <v>41.4830866</v>
      </c>
      <c r="D87" s="108" t="str">
        <f t="shared" si="1"/>
        <v>Rojo</v>
      </c>
      <c r="E87" s="108">
        <v>64.8772235</v>
      </c>
      <c r="F87" s="108" t="str">
        <f t="shared" si="2"/>
        <v>Naranja</v>
      </c>
    </row>
    <row r="88">
      <c r="A88" s="85">
        <v>21103.0</v>
      </c>
      <c r="B88" s="109" t="s">
        <v>122</v>
      </c>
      <c r="C88" s="108">
        <v>55.3743272</v>
      </c>
      <c r="D88" s="108" t="str">
        <f t="shared" si="1"/>
        <v>Naranja</v>
      </c>
      <c r="E88" s="108">
        <v>72.1215424</v>
      </c>
      <c r="F88" s="108" t="str">
        <f t="shared" si="2"/>
        <v>Amarillo</v>
      </c>
    </row>
    <row r="89">
      <c r="A89" s="85">
        <v>21104.0</v>
      </c>
      <c r="B89" s="109" t="s">
        <v>123</v>
      </c>
      <c r="C89" s="108">
        <v>39.95624</v>
      </c>
      <c r="D89" s="108" t="str">
        <f t="shared" si="1"/>
        <v>Rojo</v>
      </c>
      <c r="E89" s="108">
        <v>63.51443</v>
      </c>
      <c r="F89" s="108" t="str">
        <f t="shared" si="2"/>
        <v>Naranja</v>
      </c>
    </row>
    <row r="90">
      <c r="A90" s="85">
        <v>21105.0</v>
      </c>
      <c r="B90" s="109" t="s">
        <v>124</v>
      </c>
      <c r="C90" s="108">
        <v>31.6963606</v>
      </c>
      <c r="D90" s="108" t="str">
        <f t="shared" si="1"/>
        <v>Rojo</v>
      </c>
      <c r="E90" s="108">
        <v>59.7237692</v>
      </c>
      <c r="F90" s="108" t="str">
        <f t="shared" si="2"/>
        <v>Naranja</v>
      </c>
    </row>
    <row r="91">
      <c r="A91" s="85">
        <v>21201.0</v>
      </c>
      <c r="B91" s="109" t="s">
        <v>126</v>
      </c>
      <c r="C91" s="108">
        <v>47.8594357</v>
      </c>
      <c r="D91" s="108" t="str">
        <f t="shared" si="1"/>
        <v>Rojo</v>
      </c>
      <c r="E91" s="108">
        <v>85.5862523</v>
      </c>
      <c r="F91" s="108" t="str">
        <f t="shared" si="2"/>
        <v>Verde</v>
      </c>
    </row>
    <row r="92">
      <c r="A92" s="85">
        <v>21202.0</v>
      </c>
      <c r="B92" s="109" t="s">
        <v>127</v>
      </c>
      <c r="C92" s="108">
        <v>40.4109871</v>
      </c>
      <c r="D92" s="108" t="str">
        <f t="shared" si="1"/>
        <v>Rojo</v>
      </c>
      <c r="E92" s="108">
        <v>73.0921469</v>
      </c>
      <c r="F92" s="108" t="str">
        <f t="shared" si="2"/>
        <v>Amarillo</v>
      </c>
    </row>
    <row r="93">
      <c r="A93" s="85">
        <v>21203.0</v>
      </c>
      <c r="B93" s="109" t="s">
        <v>128</v>
      </c>
      <c r="C93" s="108">
        <v>50.4484694</v>
      </c>
      <c r="D93" s="108" t="str">
        <f t="shared" si="1"/>
        <v>Naranja</v>
      </c>
      <c r="E93" s="108">
        <v>83.0448116</v>
      </c>
      <c r="F93" s="108" t="str">
        <f t="shared" si="2"/>
        <v>Amarillo</v>
      </c>
    </row>
    <row r="94">
      <c r="A94" s="85">
        <v>21204.0</v>
      </c>
      <c r="B94" s="109" t="s">
        <v>129</v>
      </c>
      <c r="C94" s="108">
        <v>52.1434139</v>
      </c>
      <c r="D94" s="108" t="str">
        <f t="shared" si="1"/>
        <v>Naranja</v>
      </c>
      <c r="E94" s="108">
        <v>79.4071763</v>
      </c>
      <c r="F94" s="108" t="str">
        <f t="shared" si="2"/>
        <v>Amarillo</v>
      </c>
    </row>
    <row r="95">
      <c r="A95" s="85">
        <v>21301.0</v>
      </c>
      <c r="B95" s="109" t="s">
        <v>131</v>
      </c>
      <c r="C95" s="108">
        <v>48.5884628</v>
      </c>
      <c r="D95" s="108" t="str">
        <f t="shared" si="1"/>
        <v>Rojo</v>
      </c>
      <c r="E95" s="108">
        <v>70.813727</v>
      </c>
      <c r="F95" s="108" t="str">
        <f t="shared" si="2"/>
        <v>Amarillo</v>
      </c>
    </row>
    <row r="96">
      <c r="A96" s="85">
        <v>21302.0</v>
      </c>
      <c r="B96" s="109" t="s">
        <v>132</v>
      </c>
      <c r="C96" s="108">
        <v>35.1366614</v>
      </c>
      <c r="D96" s="108" t="str">
        <f t="shared" si="1"/>
        <v>Rojo</v>
      </c>
      <c r="E96" s="108">
        <v>65.1919036</v>
      </c>
      <c r="F96" s="108" t="str">
        <f t="shared" si="2"/>
        <v>Naranja</v>
      </c>
    </row>
    <row r="97">
      <c r="A97" s="85">
        <v>21303.0</v>
      </c>
      <c r="B97" s="109" t="s">
        <v>133</v>
      </c>
      <c r="C97" s="108">
        <v>42.1296893</v>
      </c>
      <c r="D97" s="108" t="str">
        <f t="shared" si="1"/>
        <v>Rojo</v>
      </c>
      <c r="E97" s="108">
        <v>71.9893607</v>
      </c>
      <c r="F97" s="108" t="str">
        <f t="shared" si="2"/>
        <v>Amarillo</v>
      </c>
    </row>
    <row r="98">
      <c r="A98" s="85">
        <v>21304.0</v>
      </c>
      <c r="B98" s="109" t="s">
        <v>134</v>
      </c>
      <c r="C98" s="108">
        <v>50.8203412</v>
      </c>
      <c r="D98" s="108" t="str">
        <f t="shared" si="1"/>
        <v>Naranja</v>
      </c>
      <c r="E98" s="108">
        <v>82.0110029</v>
      </c>
      <c r="F98" s="108" t="str">
        <f t="shared" si="2"/>
        <v>Amarillo</v>
      </c>
    </row>
    <row r="99">
      <c r="A99" s="85">
        <v>21305.0</v>
      </c>
      <c r="B99" s="109" t="s">
        <v>135</v>
      </c>
      <c r="C99" s="108">
        <v>75.9884456</v>
      </c>
      <c r="D99" s="108" t="str">
        <f t="shared" si="1"/>
        <v>Amarillo</v>
      </c>
      <c r="E99" s="108">
        <v>87.5987917</v>
      </c>
      <c r="F99" s="108" t="str">
        <f t="shared" si="2"/>
        <v>Verde</v>
      </c>
    </row>
    <row r="100">
      <c r="A100" s="85">
        <v>21306.0</v>
      </c>
      <c r="B100" s="109" t="s">
        <v>136</v>
      </c>
      <c r="C100" s="108">
        <v>58.3656793</v>
      </c>
      <c r="D100" s="108" t="str">
        <f t="shared" si="1"/>
        <v>Naranja</v>
      </c>
      <c r="E100" s="108">
        <v>87.6525253</v>
      </c>
      <c r="F100" s="108" t="str">
        <f t="shared" si="2"/>
        <v>Verde</v>
      </c>
    </row>
    <row r="101">
      <c r="A101" s="85">
        <v>21307.0</v>
      </c>
      <c r="B101" s="109" t="s">
        <v>137</v>
      </c>
      <c r="C101" s="108">
        <v>72.3644427</v>
      </c>
      <c r="D101" s="108" t="str">
        <f t="shared" si="1"/>
        <v>Amarillo</v>
      </c>
      <c r="E101" s="108">
        <v>90.440367</v>
      </c>
      <c r="F101" s="108" t="str">
        <f t="shared" si="2"/>
        <v>Verde</v>
      </c>
    </row>
    <row r="102">
      <c r="A102" s="85">
        <v>21401.0</v>
      </c>
      <c r="B102" s="109" t="s">
        <v>139</v>
      </c>
      <c r="C102" s="108">
        <v>45.8740733</v>
      </c>
      <c r="D102" s="108" t="str">
        <f t="shared" si="1"/>
        <v>Rojo</v>
      </c>
      <c r="E102" s="108">
        <v>67.1323892</v>
      </c>
      <c r="F102" s="108" t="str">
        <f t="shared" si="2"/>
        <v>Naranja</v>
      </c>
    </row>
    <row r="103">
      <c r="A103" s="85">
        <v>21402.0</v>
      </c>
      <c r="B103" s="109" t="s">
        <v>140</v>
      </c>
      <c r="C103" s="108">
        <v>64.3991609</v>
      </c>
      <c r="D103" s="108" t="str">
        <f t="shared" si="1"/>
        <v>Naranja</v>
      </c>
      <c r="E103" s="108">
        <v>84.7717296</v>
      </c>
      <c r="F103" s="108" t="str">
        <f t="shared" si="2"/>
        <v>Amarillo</v>
      </c>
    </row>
    <row r="104">
      <c r="A104" s="85">
        <v>21501.0</v>
      </c>
      <c r="B104" s="109" t="s">
        <v>142</v>
      </c>
      <c r="C104" s="108">
        <v>33.9335347</v>
      </c>
      <c r="D104" s="108" t="str">
        <f t="shared" si="1"/>
        <v>Rojo</v>
      </c>
      <c r="E104" s="108">
        <v>51.7842769</v>
      </c>
      <c r="F104" s="108" t="str">
        <f t="shared" si="2"/>
        <v>Naranja</v>
      </c>
    </row>
    <row r="105">
      <c r="A105" s="85">
        <v>21502.0</v>
      </c>
      <c r="B105" s="109" t="s">
        <v>143</v>
      </c>
      <c r="C105" s="108">
        <v>42.0872122</v>
      </c>
      <c r="D105" s="108" t="str">
        <f t="shared" si="1"/>
        <v>Rojo</v>
      </c>
      <c r="E105" s="108">
        <v>71.4959639</v>
      </c>
      <c r="F105" s="108" t="str">
        <f t="shared" si="2"/>
        <v>Amarillo</v>
      </c>
    </row>
    <row r="106">
      <c r="A106" s="85">
        <v>21601.0</v>
      </c>
      <c r="B106" s="109" t="s">
        <v>145</v>
      </c>
      <c r="C106" s="108">
        <v>10.2148453</v>
      </c>
      <c r="D106" s="108" t="str">
        <f t="shared" si="1"/>
        <v>Rojo</v>
      </c>
      <c r="E106" s="108">
        <v>30.3636949</v>
      </c>
      <c r="F106" s="108" t="str">
        <f t="shared" si="2"/>
        <v>Rojo</v>
      </c>
    </row>
    <row r="107">
      <c r="A107" s="85">
        <v>21602.0</v>
      </c>
      <c r="B107" s="109" t="s">
        <v>146</v>
      </c>
      <c r="C107" s="108">
        <v>7.8793475</v>
      </c>
      <c r="D107" s="108" t="str">
        <f t="shared" si="1"/>
        <v>Rojo</v>
      </c>
      <c r="E107" s="108">
        <v>45.0658903</v>
      </c>
      <c r="F107" s="108" t="str">
        <f t="shared" si="2"/>
        <v>Rojo</v>
      </c>
    </row>
    <row r="108">
      <c r="A108" s="85">
        <v>21701.0</v>
      </c>
      <c r="B108" s="109" t="s">
        <v>148</v>
      </c>
      <c r="C108" s="108">
        <v>57.56691</v>
      </c>
      <c r="D108" s="108" t="str">
        <f t="shared" si="1"/>
        <v>Naranja</v>
      </c>
      <c r="E108" s="108">
        <v>65.4196756</v>
      </c>
      <c r="F108" s="108" t="str">
        <f t="shared" si="2"/>
        <v>Naranja</v>
      </c>
    </row>
    <row r="109">
      <c r="A109" s="85">
        <v>21702.0</v>
      </c>
      <c r="B109" s="109" t="s">
        <v>149</v>
      </c>
      <c r="C109" s="108">
        <v>37.2124493</v>
      </c>
      <c r="D109" s="108" t="str">
        <f t="shared" si="1"/>
        <v>Rojo</v>
      </c>
      <c r="E109" s="108">
        <v>59.4275902</v>
      </c>
      <c r="F109" s="108" t="str">
        <f t="shared" si="2"/>
        <v>Naranja</v>
      </c>
    </row>
    <row r="110">
      <c r="A110" s="85">
        <v>21703.0</v>
      </c>
      <c r="B110" s="109" t="s">
        <v>150</v>
      </c>
      <c r="C110" s="108">
        <v>30.2101717</v>
      </c>
      <c r="D110" s="108" t="str">
        <f t="shared" si="1"/>
        <v>Rojo</v>
      </c>
      <c r="E110" s="108">
        <v>48.6045214</v>
      </c>
      <c r="F110" s="108" t="str">
        <f t="shared" si="2"/>
        <v>Rojo</v>
      </c>
    </row>
    <row r="111">
      <c r="A111" s="85">
        <v>21801.0</v>
      </c>
      <c r="B111" s="109" t="s">
        <v>152</v>
      </c>
      <c r="C111" s="108">
        <v>20.8304814</v>
      </c>
      <c r="D111" s="108" t="str">
        <f t="shared" si="1"/>
        <v>Rojo</v>
      </c>
      <c r="E111" s="108">
        <v>45.267624</v>
      </c>
      <c r="F111" s="108" t="str">
        <f t="shared" si="2"/>
        <v>Rojo</v>
      </c>
    </row>
    <row r="112">
      <c r="A112" s="85">
        <v>21802.0</v>
      </c>
      <c r="B112" s="109" t="s">
        <v>153</v>
      </c>
      <c r="C112" s="108">
        <v>16.6093437</v>
      </c>
      <c r="D112" s="108" t="str">
        <f t="shared" si="1"/>
        <v>Rojo</v>
      </c>
      <c r="E112" s="108">
        <v>43.5038479</v>
      </c>
      <c r="F112" s="108" t="str">
        <f t="shared" si="2"/>
        <v>Rojo</v>
      </c>
    </row>
    <row r="113">
      <c r="A113" s="85">
        <v>21803.0</v>
      </c>
      <c r="B113" s="109" t="s">
        <v>154</v>
      </c>
      <c r="C113" s="108">
        <v>9.9</v>
      </c>
      <c r="D113" s="108" t="str">
        <f t="shared" si="1"/>
        <v>Rojo</v>
      </c>
      <c r="E113" s="108">
        <v>32.1078431</v>
      </c>
      <c r="F113" s="108" t="str">
        <f t="shared" si="2"/>
        <v>Rojo</v>
      </c>
    </row>
    <row r="114">
      <c r="A114" s="85">
        <v>21901.0</v>
      </c>
      <c r="B114" s="109" t="s">
        <v>156</v>
      </c>
      <c r="C114" s="108">
        <v>14.4338998</v>
      </c>
      <c r="D114" s="108" t="str">
        <f t="shared" si="1"/>
        <v>Rojo</v>
      </c>
      <c r="E114" s="108">
        <v>35.5112368</v>
      </c>
      <c r="F114" s="108" t="str">
        <f t="shared" si="2"/>
        <v>Rojo</v>
      </c>
    </row>
    <row r="115">
      <c r="A115" s="85">
        <v>21902.0</v>
      </c>
      <c r="B115" s="109" t="s">
        <v>157</v>
      </c>
      <c r="C115" s="108">
        <v>24.7896213</v>
      </c>
      <c r="D115" s="108" t="str">
        <f t="shared" si="1"/>
        <v>Rojo</v>
      </c>
      <c r="E115" s="108">
        <v>63.6825277</v>
      </c>
      <c r="F115" s="108" t="str">
        <f t="shared" si="2"/>
        <v>Naranja</v>
      </c>
    </row>
    <row r="116">
      <c r="A116" s="85">
        <v>22001.0</v>
      </c>
      <c r="B116" s="109" t="s">
        <v>158</v>
      </c>
      <c r="C116" s="108">
        <v>31.2839319</v>
      </c>
      <c r="D116" s="108" t="str">
        <f t="shared" si="1"/>
        <v>Rojo</v>
      </c>
      <c r="E116" s="108">
        <v>53.0867004</v>
      </c>
      <c r="F116" s="108" t="str">
        <f t="shared" si="2"/>
        <v>Naranja</v>
      </c>
    </row>
    <row r="117">
      <c r="A117" s="85">
        <v>22002.0</v>
      </c>
      <c r="B117" s="109" t="s">
        <v>159</v>
      </c>
      <c r="C117" s="108">
        <v>27.8193405</v>
      </c>
      <c r="D117" s="108" t="str">
        <f t="shared" si="1"/>
        <v>Rojo</v>
      </c>
      <c r="E117" s="108">
        <v>51.0289264</v>
      </c>
      <c r="F117" s="108" t="str">
        <f t="shared" si="2"/>
        <v>Naranja</v>
      </c>
    </row>
    <row r="118">
      <c r="A118" s="85">
        <v>30101.0</v>
      </c>
      <c r="B118" s="109" t="s">
        <v>160</v>
      </c>
      <c r="C118" s="108">
        <v>98.0882728</v>
      </c>
      <c r="D118" s="108" t="str">
        <f t="shared" si="1"/>
        <v>Verde</v>
      </c>
      <c r="E118" s="108">
        <v>99.2529183</v>
      </c>
      <c r="F118" s="108" t="str">
        <f t="shared" si="2"/>
        <v>Verde</v>
      </c>
    </row>
    <row r="119">
      <c r="A119" s="85">
        <v>30201.0</v>
      </c>
      <c r="B119" s="109" t="s">
        <v>163</v>
      </c>
      <c r="C119" s="108">
        <v>38.3197525</v>
      </c>
      <c r="D119" s="108" t="str">
        <f t="shared" si="1"/>
        <v>Rojo</v>
      </c>
      <c r="E119" s="108">
        <v>56.0828906</v>
      </c>
      <c r="F119" s="108" t="str">
        <f t="shared" si="2"/>
        <v>Naranja</v>
      </c>
    </row>
    <row r="120">
      <c r="A120" s="85">
        <v>30202.0</v>
      </c>
      <c r="B120" s="109" t="s">
        <v>164</v>
      </c>
      <c r="C120" s="108">
        <v>35.3454653</v>
      </c>
      <c r="D120" s="108" t="str">
        <f t="shared" si="1"/>
        <v>Rojo</v>
      </c>
      <c r="E120" s="108">
        <v>42.2263974</v>
      </c>
      <c r="F120" s="108" t="str">
        <f t="shared" si="2"/>
        <v>Rojo</v>
      </c>
    </row>
    <row r="121">
      <c r="A121" s="85">
        <v>30203.0</v>
      </c>
      <c r="B121" s="109" t="s">
        <v>165</v>
      </c>
      <c r="C121" s="108">
        <v>42.5616118</v>
      </c>
      <c r="D121" s="108" t="str">
        <f t="shared" si="1"/>
        <v>Rojo</v>
      </c>
      <c r="E121" s="108">
        <v>65.9603246</v>
      </c>
      <c r="F121" s="108" t="str">
        <f t="shared" si="2"/>
        <v>Naranja</v>
      </c>
    </row>
    <row r="122">
      <c r="A122" s="85">
        <v>30301.0</v>
      </c>
      <c r="B122" s="109" t="s">
        <v>166</v>
      </c>
      <c r="C122" s="108">
        <v>24.4088417</v>
      </c>
      <c r="D122" s="108" t="str">
        <f t="shared" si="1"/>
        <v>Rojo</v>
      </c>
      <c r="E122" s="108">
        <v>31.3614675</v>
      </c>
      <c r="F122" s="108" t="str">
        <f t="shared" si="2"/>
        <v>Rojo</v>
      </c>
    </row>
    <row r="123">
      <c r="A123" s="85">
        <v>30302.0</v>
      </c>
      <c r="B123" s="109" t="s">
        <v>167</v>
      </c>
      <c r="C123" s="108">
        <v>14.3735709</v>
      </c>
      <c r="D123" s="108" t="str">
        <f t="shared" si="1"/>
        <v>Rojo</v>
      </c>
      <c r="E123" s="108">
        <v>22.0062953</v>
      </c>
      <c r="F123" s="108" t="str">
        <f t="shared" si="2"/>
        <v>Rojo</v>
      </c>
    </row>
    <row r="124">
      <c r="A124" s="85">
        <v>30303.0</v>
      </c>
      <c r="B124" s="109" t="s">
        <v>168</v>
      </c>
      <c r="C124" s="108">
        <v>9.7421857</v>
      </c>
      <c r="D124" s="108" t="str">
        <f t="shared" si="1"/>
        <v>Rojo</v>
      </c>
      <c r="E124" s="108">
        <v>29.9876784</v>
      </c>
      <c r="F124" s="108" t="str">
        <f t="shared" si="2"/>
        <v>Rojo</v>
      </c>
    </row>
    <row r="125">
      <c r="A125" s="85">
        <v>30401.0</v>
      </c>
      <c r="B125" s="109" t="s">
        <v>170</v>
      </c>
      <c r="C125" s="108">
        <v>56.8445476</v>
      </c>
      <c r="D125" s="108" t="str">
        <f t="shared" si="1"/>
        <v>Naranja</v>
      </c>
      <c r="E125" s="108">
        <v>67.1532847</v>
      </c>
      <c r="F125" s="108" t="str">
        <f t="shared" si="2"/>
        <v>Naranja</v>
      </c>
    </row>
    <row r="126">
      <c r="A126" s="85">
        <v>30402.0</v>
      </c>
      <c r="B126" s="109" t="s">
        <v>171</v>
      </c>
      <c r="C126" s="108">
        <v>20.0785744</v>
      </c>
      <c r="D126" s="108" t="str">
        <f t="shared" si="1"/>
        <v>Rojo</v>
      </c>
      <c r="E126" s="108">
        <v>29.5253863</v>
      </c>
      <c r="F126" s="108" t="str">
        <f t="shared" si="2"/>
        <v>Rojo</v>
      </c>
    </row>
    <row r="127">
      <c r="A127" s="85">
        <v>30403.0</v>
      </c>
      <c r="B127" s="109" t="s">
        <v>172</v>
      </c>
      <c r="C127" s="108">
        <v>69.9095691</v>
      </c>
      <c r="D127" s="108" t="str">
        <f t="shared" si="1"/>
        <v>Amarillo</v>
      </c>
      <c r="E127" s="108">
        <v>81.6901899</v>
      </c>
      <c r="F127" s="108" t="str">
        <f t="shared" si="2"/>
        <v>Amarillo</v>
      </c>
    </row>
    <row r="128">
      <c r="A128" s="85">
        <v>30404.0</v>
      </c>
      <c r="B128" s="109" t="s">
        <v>173</v>
      </c>
      <c r="C128" s="108">
        <v>15.4132712</v>
      </c>
      <c r="D128" s="108" t="str">
        <f t="shared" si="1"/>
        <v>Rojo</v>
      </c>
      <c r="E128" s="108">
        <v>30.5753202</v>
      </c>
      <c r="F128" s="108" t="str">
        <f t="shared" si="2"/>
        <v>Rojo</v>
      </c>
    </row>
    <row r="129">
      <c r="A129" s="85">
        <v>30501.0</v>
      </c>
      <c r="B129" s="109" t="s">
        <v>174</v>
      </c>
      <c r="C129" s="108">
        <v>68.9347522</v>
      </c>
      <c r="D129" s="108" t="str">
        <f t="shared" si="1"/>
        <v>Amarillo</v>
      </c>
      <c r="E129" s="108">
        <v>85.1260044</v>
      </c>
      <c r="F129" s="108" t="str">
        <f t="shared" si="2"/>
        <v>Verde</v>
      </c>
    </row>
    <row r="130">
      <c r="A130" s="85">
        <v>30502.0</v>
      </c>
      <c r="B130" s="109" t="s">
        <v>175</v>
      </c>
      <c r="C130" s="108">
        <v>22.4901408</v>
      </c>
      <c r="D130" s="108" t="str">
        <f t="shared" si="1"/>
        <v>Rojo</v>
      </c>
      <c r="E130" s="108">
        <v>39.1096979</v>
      </c>
      <c r="F130" s="108" t="str">
        <f t="shared" si="2"/>
        <v>Rojo</v>
      </c>
    </row>
    <row r="131">
      <c r="A131" s="85">
        <v>30601.0</v>
      </c>
      <c r="B131" s="109" t="s">
        <v>176</v>
      </c>
      <c r="C131" s="108">
        <v>9.2911877</v>
      </c>
      <c r="D131" s="108" t="str">
        <f t="shared" si="1"/>
        <v>Rojo</v>
      </c>
      <c r="E131" s="108">
        <v>16.7960614</v>
      </c>
      <c r="F131" s="108" t="str">
        <f t="shared" si="2"/>
        <v>Rojo</v>
      </c>
    </row>
    <row r="132">
      <c r="A132" s="85">
        <v>30602.0</v>
      </c>
      <c r="B132" s="109" t="s">
        <v>177</v>
      </c>
      <c r="C132" s="108">
        <v>5.0921339</v>
      </c>
      <c r="D132" s="108" t="str">
        <f t="shared" si="1"/>
        <v>Rojo</v>
      </c>
      <c r="E132" s="108">
        <v>12.9565299</v>
      </c>
      <c r="F132" s="108" t="str">
        <f t="shared" si="2"/>
        <v>Rojo</v>
      </c>
    </row>
    <row r="133">
      <c r="A133" s="85">
        <v>30701.0</v>
      </c>
      <c r="B133" s="109" t="s">
        <v>178</v>
      </c>
      <c r="C133" s="108">
        <v>64.9748849</v>
      </c>
      <c r="D133" s="108" t="str">
        <f t="shared" si="1"/>
        <v>Naranja</v>
      </c>
      <c r="E133" s="108">
        <v>78.0402768</v>
      </c>
      <c r="F133" s="108" t="str">
        <f t="shared" si="2"/>
        <v>Amarillo</v>
      </c>
    </row>
    <row r="134">
      <c r="A134" s="85">
        <v>30702.0</v>
      </c>
      <c r="B134" s="109" t="s">
        <v>179</v>
      </c>
      <c r="C134" s="108">
        <v>41.1271173</v>
      </c>
      <c r="D134" s="108" t="str">
        <f t="shared" si="1"/>
        <v>Rojo</v>
      </c>
      <c r="E134" s="108">
        <v>76.8937902</v>
      </c>
      <c r="F134" s="108" t="str">
        <f t="shared" si="2"/>
        <v>Amarillo</v>
      </c>
    </row>
    <row r="135">
      <c r="A135" s="85">
        <v>30703.0</v>
      </c>
      <c r="B135" s="109" t="s">
        <v>180</v>
      </c>
      <c r="C135" s="108">
        <v>21.4016173</v>
      </c>
      <c r="D135" s="108" t="str">
        <f t="shared" si="1"/>
        <v>Rojo</v>
      </c>
      <c r="E135" s="108">
        <v>56.4561493</v>
      </c>
      <c r="F135" s="108" t="str">
        <f t="shared" si="2"/>
        <v>Naranja</v>
      </c>
    </row>
    <row r="136">
      <c r="A136" s="85">
        <v>30801.0</v>
      </c>
      <c r="B136" s="109" t="s">
        <v>182</v>
      </c>
      <c r="C136" s="108">
        <v>86.9408669</v>
      </c>
      <c r="D136" s="108" t="str">
        <f t="shared" si="1"/>
        <v>Verde</v>
      </c>
      <c r="E136" s="108">
        <v>97.4371212</v>
      </c>
      <c r="F136" s="108" t="str">
        <f t="shared" si="2"/>
        <v>Verde</v>
      </c>
    </row>
    <row r="137">
      <c r="A137" s="85">
        <v>30802.0</v>
      </c>
      <c r="B137" s="109" t="s">
        <v>183</v>
      </c>
      <c r="C137" s="108">
        <v>48.2596291</v>
      </c>
      <c r="D137" s="108" t="str">
        <f t="shared" si="1"/>
        <v>Rojo</v>
      </c>
      <c r="E137" s="108">
        <v>73.8232074</v>
      </c>
      <c r="F137" s="108" t="str">
        <f t="shared" si="2"/>
        <v>Amarillo</v>
      </c>
    </row>
    <row r="138">
      <c r="A138" s="85">
        <v>30803.0</v>
      </c>
      <c r="B138" s="109" t="s">
        <v>184</v>
      </c>
      <c r="C138" s="108">
        <v>86.0469667</v>
      </c>
      <c r="D138" s="108" t="str">
        <f t="shared" si="1"/>
        <v>Verde</v>
      </c>
      <c r="E138" s="108">
        <v>85.057318</v>
      </c>
      <c r="F138" s="108" t="str">
        <f t="shared" si="2"/>
        <v>Verde</v>
      </c>
    </row>
    <row r="139">
      <c r="A139" s="85">
        <v>30901.0</v>
      </c>
      <c r="B139" s="109" t="s">
        <v>185</v>
      </c>
      <c r="C139" s="108">
        <v>94.8421594</v>
      </c>
      <c r="D139" s="108" t="str">
        <f t="shared" si="1"/>
        <v>Verde</v>
      </c>
      <c r="E139" s="108">
        <v>98.176635</v>
      </c>
      <c r="F139" s="108" t="str">
        <f t="shared" si="2"/>
        <v>Verde</v>
      </c>
    </row>
    <row r="140">
      <c r="A140" s="85">
        <v>30902.0</v>
      </c>
      <c r="B140" s="109" t="s">
        <v>186</v>
      </c>
      <c r="C140" s="108">
        <v>80.9916342</v>
      </c>
      <c r="D140" s="108" t="str">
        <f t="shared" si="1"/>
        <v>Amarillo</v>
      </c>
      <c r="E140" s="108">
        <v>92.4332612</v>
      </c>
      <c r="F140" s="108" t="str">
        <f t="shared" si="2"/>
        <v>Verde</v>
      </c>
    </row>
    <row r="141">
      <c r="A141" s="85">
        <v>30903.0</v>
      </c>
      <c r="B141" s="109" t="s">
        <v>187</v>
      </c>
      <c r="C141" s="108">
        <v>88.8031182</v>
      </c>
      <c r="D141" s="108" t="str">
        <f t="shared" si="1"/>
        <v>Verde</v>
      </c>
      <c r="E141" s="108">
        <v>94.8329468</v>
      </c>
      <c r="F141" s="108" t="str">
        <f t="shared" si="2"/>
        <v>Verde</v>
      </c>
    </row>
    <row r="142">
      <c r="A142" s="85">
        <v>30904.0</v>
      </c>
      <c r="B142" s="109" t="s">
        <v>188</v>
      </c>
      <c r="C142" s="108">
        <v>89.0817404</v>
      </c>
      <c r="D142" s="108" t="str">
        <f t="shared" si="1"/>
        <v>Verde</v>
      </c>
      <c r="E142" s="108">
        <v>96.6047196</v>
      </c>
      <c r="F142" s="108" t="str">
        <f t="shared" si="2"/>
        <v>Verde</v>
      </c>
    </row>
    <row r="143">
      <c r="A143" s="85">
        <v>30905.0</v>
      </c>
      <c r="B143" s="109" t="s">
        <v>189</v>
      </c>
      <c r="C143" s="108">
        <v>97.9278768</v>
      </c>
      <c r="D143" s="108" t="str">
        <f t="shared" si="1"/>
        <v>Verde</v>
      </c>
      <c r="E143" s="108">
        <v>99.4876799</v>
      </c>
      <c r="F143" s="108" t="str">
        <f t="shared" si="2"/>
        <v>Verde</v>
      </c>
    </row>
    <row r="144">
      <c r="A144" s="85">
        <v>31001.0</v>
      </c>
      <c r="B144" s="109" t="s">
        <v>191</v>
      </c>
      <c r="C144" s="108">
        <v>88.8971808</v>
      </c>
      <c r="D144" s="108" t="str">
        <f t="shared" si="1"/>
        <v>Verde</v>
      </c>
      <c r="E144" s="108">
        <v>94.5565921</v>
      </c>
      <c r="F144" s="108" t="str">
        <f t="shared" si="2"/>
        <v>Verde</v>
      </c>
    </row>
    <row r="145">
      <c r="A145" s="85">
        <v>31002.0</v>
      </c>
      <c r="B145" s="109" t="s">
        <v>192</v>
      </c>
      <c r="C145" s="108">
        <v>46.4257028</v>
      </c>
      <c r="D145" s="108" t="str">
        <f t="shared" si="1"/>
        <v>Rojo</v>
      </c>
      <c r="E145" s="108">
        <v>67.6863705</v>
      </c>
      <c r="F145" s="108" t="str">
        <f t="shared" si="2"/>
        <v>Amarillo</v>
      </c>
    </row>
    <row r="146">
      <c r="A146" s="85">
        <v>31003.0</v>
      </c>
      <c r="B146" s="109" t="s">
        <v>193</v>
      </c>
      <c r="C146" s="108">
        <v>45.7040173</v>
      </c>
      <c r="D146" s="108" t="str">
        <f t="shared" si="1"/>
        <v>Rojo</v>
      </c>
      <c r="E146" s="108">
        <v>68.9732536</v>
      </c>
      <c r="F146" s="108" t="str">
        <f t="shared" si="2"/>
        <v>Amarillo</v>
      </c>
    </row>
    <row r="147">
      <c r="A147" s="85">
        <v>31101.0</v>
      </c>
      <c r="B147" s="109" t="s">
        <v>194</v>
      </c>
      <c r="C147" s="108">
        <v>11.4771607</v>
      </c>
      <c r="D147" s="108" t="str">
        <f t="shared" si="1"/>
        <v>Rojo</v>
      </c>
      <c r="E147" s="108">
        <v>23.1462599</v>
      </c>
      <c r="F147" s="108" t="str">
        <f t="shared" si="2"/>
        <v>Rojo</v>
      </c>
    </row>
    <row r="148">
      <c r="A148" s="85">
        <v>31201.0</v>
      </c>
      <c r="B148" s="109" t="s">
        <v>196</v>
      </c>
      <c r="C148" s="108">
        <v>22.8437263</v>
      </c>
      <c r="D148" s="108" t="str">
        <f t="shared" si="1"/>
        <v>Rojo</v>
      </c>
      <c r="E148" s="108">
        <v>44.1272261</v>
      </c>
      <c r="F148" s="108" t="str">
        <f t="shared" si="2"/>
        <v>Rojo</v>
      </c>
    </row>
    <row r="149">
      <c r="A149" s="85">
        <v>31202.0</v>
      </c>
      <c r="B149" s="109" t="s">
        <v>197</v>
      </c>
      <c r="C149" s="108">
        <v>20.9216682</v>
      </c>
      <c r="D149" s="108" t="str">
        <f t="shared" si="1"/>
        <v>Rojo</v>
      </c>
      <c r="E149" s="108">
        <v>56.8273958</v>
      </c>
      <c r="F149" s="108" t="str">
        <f t="shared" si="2"/>
        <v>Naranja</v>
      </c>
    </row>
    <row r="150">
      <c r="A150" s="85">
        <v>31203.0</v>
      </c>
      <c r="B150" s="109" t="s">
        <v>198</v>
      </c>
      <c r="C150" s="108">
        <v>22.3701731</v>
      </c>
      <c r="D150" s="108" t="str">
        <f t="shared" si="1"/>
        <v>Rojo</v>
      </c>
      <c r="E150" s="108">
        <v>53.9630836</v>
      </c>
      <c r="F150" s="108" t="str">
        <f t="shared" si="2"/>
        <v>Naranja</v>
      </c>
    </row>
    <row r="151">
      <c r="A151" s="85">
        <v>31204.0</v>
      </c>
      <c r="B151" s="109" t="s">
        <v>199</v>
      </c>
      <c r="C151" s="108">
        <v>59.8063311</v>
      </c>
      <c r="D151" s="108" t="str">
        <f t="shared" si="1"/>
        <v>Naranja</v>
      </c>
      <c r="E151" s="108">
        <v>76.1646594</v>
      </c>
      <c r="F151" s="108" t="str">
        <f t="shared" si="2"/>
        <v>Amarillo</v>
      </c>
    </row>
    <row r="152">
      <c r="A152" s="85">
        <v>31205.0</v>
      </c>
      <c r="B152" s="109" t="s">
        <v>200</v>
      </c>
      <c r="C152" s="108">
        <v>54.7961044</v>
      </c>
      <c r="D152" s="108" t="str">
        <f t="shared" si="1"/>
        <v>Naranja</v>
      </c>
      <c r="E152" s="108">
        <v>78.8956346</v>
      </c>
      <c r="F152" s="108" t="str">
        <f t="shared" si="2"/>
        <v>Amarillo</v>
      </c>
    </row>
    <row r="153">
      <c r="A153" s="85">
        <v>31206.0</v>
      </c>
      <c r="B153" s="109" t="s">
        <v>201</v>
      </c>
      <c r="C153" s="108">
        <v>59.5830185</v>
      </c>
      <c r="D153" s="108" t="str">
        <f t="shared" si="1"/>
        <v>Naranja</v>
      </c>
      <c r="E153" s="108">
        <v>78.9740634</v>
      </c>
      <c r="F153" s="108" t="str">
        <f t="shared" si="2"/>
        <v>Amarillo</v>
      </c>
    </row>
    <row r="154">
      <c r="A154" s="85">
        <v>31301.0</v>
      </c>
      <c r="B154" s="109" t="s">
        <v>202</v>
      </c>
      <c r="C154" s="108">
        <v>39.7564985</v>
      </c>
      <c r="D154" s="108" t="str">
        <f t="shared" si="1"/>
        <v>Rojo</v>
      </c>
      <c r="E154" s="108">
        <v>61.4077545</v>
      </c>
      <c r="F154" s="108" t="str">
        <f t="shared" si="2"/>
        <v>Naranja</v>
      </c>
    </row>
    <row r="155">
      <c r="A155" s="85">
        <v>31302.0</v>
      </c>
      <c r="B155" s="109" t="s">
        <v>203</v>
      </c>
      <c r="C155" s="108">
        <v>7.9644379</v>
      </c>
      <c r="D155" s="108" t="str">
        <f t="shared" si="1"/>
        <v>Rojo</v>
      </c>
      <c r="E155" s="108">
        <v>16.734378</v>
      </c>
      <c r="F155" s="108" t="str">
        <f t="shared" si="2"/>
        <v>Rojo</v>
      </c>
    </row>
    <row r="156">
      <c r="A156" s="85">
        <v>31303.0</v>
      </c>
      <c r="B156" s="109" t="s">
        <v>204</v>
      </c>
      <c r="C156" s="108">
        <v>4.1288433</v>
      </c>
      <c r="D156" s="108" t="str">
        <f t="shared" si="1"/>
        <v>Rojo</v>
      </c>
      <c r="E156" s="108">
        <v>14.1376332</v>
      </c>
      <c r="F156" s="108" t="str">
        <f t="shared" si="2"/>
        <v>Rojo</v>
      </c>
    </row>
    <row r="157">
      <c r="A157" s="85">
        <v>31304.0</v>
      </c>
      <c r="B157" s="109" t="s">
        <v>205</v>
      </c>
      <c r="C157" s="108">
        <v>4.9493653</v>
      </c>
      <c r="D157" s="108" t="str">
        <f t="shared" si="1"/>
        <v>Rojo</v>
      </c>
      <c r="E157" s="108">
        <v>11.0610611</v>
      </c>
      <c r="F157" s="108" t="str">
        <f t="shared" si="2"/>
        <v>Rojo</v>
      </c>
    </row>
    <row r="158">
      <c r="A158" s="85">
        <v>31401.0</v>
      </c>
      <c r="B158" s="109" t="s">
        <v>206</v>
      </c>
      <c r="C158" s="108">
        <v>91.4857863</v>
      </c>
      <c r="D158" s="108" t="str">
        <f t="shared" si="1"/>
        <v>Verde</v>
      </c>
      <c r="E158" s="108">
        <v>97.2438429</v>
      </c>
      <c r="F158" s="108" t="str">
        <f t="shared" si="2"/>
        <v>Verde</v>
      </c>
    </row>
    <row r="159">
      <c r="A159" s="85">
        <v>31402.0</v>
      </c>
      <c r="B159" s="109" t="s">
        <v>207</v>
      </c>
      <c r="C159" s="108">
        <v>70.5831266</v>
      </c>
      <c r="D159" s="108" t="str">
        <f t="shared" si="1"/>
        <v>Amarillo</v>
      </c>
      <c r="E159" s="108">
        <v>84.8828957</v>
      </c>
      <c r="F159" s="108" t="str">
        <f t="shared" si="2"/>
        <v>Amarillo</v>
      </c>
    </row>
    <row r="160">
      <c r="A160" s="85">
        <v>31403.0</v>
      </c>
      <c r="B160" s="109" t="s">
        <v>208</v>
      </c>
      <c r="C160" s="108">
        <v>80.9430845</v>
      </c>
      <c r="D160" s="108" t="str">
        <f t="shared" si="1"/>
        <v>Amarillo</v>
      </c>
      <c r="E160" s="108">
        <v>92.8917982</v>
      </c>
      <c r="F160" s="108" t="str">
        <f t="shared" si="2"/>
        <v>Verde</v>
      </c>
    </row>
    <row r="161">
      <c r="A161" s="85">
        <v>31404.0</v>
      </c>
      <c r="B161" s="109" t="s">
        <v>209</v>
      </c>
      <c r="C161" s="108">
        <v>34.6450617</v>
      </c>
      <c r="D161" s="108" t="str">
        <f t="shared" si="1"/>
        <v>Rojo</v>
      </c>
      <c r="E161" s="108">
        <v>70.3968254</v>
      </c>
      <c r="F161" s="108" t="str">
        <f t="shared" si="2"/>
        <v>Amarillo</v>
      </c>
    </row>
    <row r="162">
      <c r="A162" s="85">
        <v>31405.0</v>
      </c>
      <c r="B162" s="109" t="s">
        <v>210</v>
      </c>
      <c r="C162" s="108">
        <v>20.2411399</v>
      </c>
      <c r="D162" s="108" t="str">
        <f t="shared" si="1"/>
        <v>Rojo</v>
      </c>
      <c r="E162" s="108">
        <v>52.8530108</v>
      </c>
      <c r="F162" s="108" t="str">
        <f t="shared" si="2"/>
        <v>Naranja</v>
      </c>
    </row>
    <row r="163">
      <c r="A163" s="85">
        <v>31501.0</v>
      </c>
      <c r="B163" s="109" t="s">
        <v>211</v>
      </c>
      <c r="C163" s="108">
        <v>14.2317909</v>
      </c>
      <c r="D163" s="108" t="str">
        <f t="shared" si="1"/>
        <v>Rojo</v>
      </c>
      <c r="E163" s="108">
        <v>20.6231814</v>
      </c>
      <c r="F163" s="108" t="str">
        <f t="shared" si="2"/>
        <v>Rojo</v>
      </c>
    </row>
    <row r="164">
      <c r="A164" s="85">
        <v>31601.0</v>
      </c>
      <c r="B164" s="109" t="s">
        <v>212</v>
      </c>
      <c r="C164" s="108">
        <v>30.5445898</v>
      </c>
      <c r="D164" s="108" t="str">
        <f t="shared" si="1"/>
        <v>Rojo</v>
      </c>
      <c r="E164" s="108">
        <v>59.8328417</v>
      </c>
      <c r="F164" s="108" t="str">
        <f t="shared" si="2"/>
        <v>Naranja</v>
      </c>
    </row>
    <row r="165">
      <c r="A165" s="85">
        <v>31602.0</v>
      </c>
      <c r="B165" s="109" t="s">
        <v>213</v>
      </c>
      <c r="C165" s="108">
        <v>58.6088599</v>
      </c>
      <c r="D165" s="108" t="str">
        <f t="shared" si="1"/>
        <v>Naranja</v>
      </c>
      <c r="E165" s="108">
        <v>80.1817345</v>
      </c>
      <c r="F165" s="108" t="str">
        <f t="shared" si="2"/>
        <v>Amarillo</v>
      </c>
    </row>
    <row r="166">
      <c r="A166" s="85">
        <v>40101.0</v>
      </c>
      <c r="B166" s="109" t="s">
        <v>214</v>
      </c>
      <c r="C166" s="108">
        <v>99.3854669</v>
      </c>
      <c r="D166" s="108" t="str">
        <f t="shared" si="1"/>
        <v>Verde</v>
      </c>
      <c r="E166" s="108">
        <v>99.7181816</v>
      </c>
      <c r="F166" s="108" t="str">
        <f t="shared" si="2"/>
        <v>Verde</v>
      </c>
    </row>
    <row r="167">
      <c r="A167" s="85">
        <v>40102.0</v>
      </c>
      <c r="B167" s="109" t="s">
        <v>215</v>
      </c>
      <c r="C167" s="108">
        <v>47.8394116</v>
      </c>
      <c r="D167" s="108" t="str">
        <f t="shared" si="1"/>
        <v>Rojo</v>
      </c>
      <c r="E167" s="108">
        <v>70.0966509</v>
      </c>
      <c r="F167" s="108" t="str">
        <f t="shared" si="2"/>
        <v>Amarillo</v>
      </c>
    </row>
    <row r="168">
      <c r="A168" s="85">
        <v>40103.0</v>
      </c>
      <c r="B168" s="109" t="s">
        <v>216</v>
      </c>
      <c r="C168" s="108">
        <v>11.018711</v>
      </c>
      <c r="D168" s="108" t="str">
        <f t="shared" si="1"/>
        <v>Rojo</v>
      </c>
      <c r="E168" s="108">
        <v>34.8397533</v>
      </c>
      <c r="F168" s="108" t="str">
        <f t="shared" si="2"/>
        <v>Rojo</v>
      </c>
    </row>
    <row r="169">
      <c r="A169" s="85">
        <v>40104.0</v>
      </c>
      <c r="B169" s="109" t="s">
        <v>217</v>
      </c>
      <c r="C169" s="108">
        <v>49.9686176</v>
      </c>
      <c r="D169" s="108" t="str">
        <f t="shared" si="1"/>
        <v>Rojo</v>
      </c>
      <c r="E169" s="108">
        <v>74.0800103</v>
      </c>
      <c r="F169" s="108" t="str">
        <f t="shared" si="2"/>
        <v>Amarillo</v>
      </c>
    </row>
    <row r="170">
      <c r="A170" s="85">
        <v>40201.0</v>
      </c>
      <c r="B170" s="109" t="s">
        <v>219</v>
      </c>
      <c r="C170" s="108">
        <v>53.205174</v>
      </c>
      <c r="D170" s="108" t="str">
        <f t="shared" si="1"/>
        <v>Naranja</v>
      </c>
      <c r="E170" s="108">
        <v>62.5237246</v>
      </c>
      <c r="F170" s="108" t="str">
        <f t="shared" si="2"/>
        <v>Naranja</v>
      </c>
    </row>
    <row r="171">
      <c r="A171" s="85">
        <v>40202.0</v>
      </c>
      <c r="B171" s="109" t="s">
        <v>220</v>
      </c>
      <c r="C171" s="108">
        <v>46.4945583</v>
      </c>
      <c r="D171" s="108" t="str">
        <f t="shared" si="1"/>
        <v>Rojo</v>
      </c>
      <c r="E171" s="108">
        <v>62.2729936</v>
      </c>
      <c r="F171" s="108" t="str">
        <f t="shared" si="2"/>
        <v>Naranja</v>
      </c>
    </row>
    <row r="172">
      <c r="A172" s="85">
        <v>40301.0</v>
      </c>
      <c r="B172" s="109" t="s">
        <v>222</v>
      </c>
      <c r="C172" s="108">
        <v>14.4755948</v>
      </c>
      <c r="D172" s="108" t="str">
        <f t="shared" si="1"/>
        <v>Rojo</v>
      </c>
      <c r="E172" s="108">
        <v>33.0643636</v>
      </c>
      <c r="F172" s="108" t="str">
        <f t="shared" si="2"/>
        <v>Rojo</v>
      </c>
    </row>
    <row r="173">
      <c r="A173" s="85">
        <v>40302.0</v>
      </c>
      <c r="B173" s="109" t="s">
        <v>223</v>
      </c>
      <c r="C173" s="108">
        <v>12.4724062</v>
      </c>
      <c r="D173" s="108" t="str">
        <f t="shared" si="1"/>
        <v>Rojo</v>
      </c>
      <c r="E173" s="108">
        <v>30.8894231</v>
      </c>
      <c r="F173" s="108" t="str">
        <f t="shared" si="2"/>
        <v>Rojo</v>
      </c>
    </row>
    <row r="174">
      <c r="A174" s="85">
        <v>40401.0</v>
      </c>
      <c r="B174" s="109" t="s">
        <v>225</v>
      </c>
      <c r="C174" s="108">
        <v>40.3890453</v>
      </c>
      <c r="D174" s="108" t="str">
        <f t="shared" si="1"/>
        <v>Rojo</v>
      </c>
      <c r="E174" s="108">
        <v>34.8141147</v>
      </c>
      <c r="F174" s="108" t="str">
        <f t="shared" si="2"/>
        <v>Rojo</v>
      </c>
    </row>
    <row r="175">
      <c r="A175" s="85">
        <v>40402.0</v>
      </c>
      <c r="B175" s="109" t="s">
        <v>226</v>
      </c>
      <c r="C175" s="108">
        <v>23.297561</v>
      </c>
      <c r="D175" s="108" t="str">
        <f t="shared" si="1"/>
        <v>Rojo</v>
      </c>
      <c r="E175" s="108">
        <v>33.0275229</v>
      </c>
      <c r="F175" s="108" t="str">
        <f t="shared" si="2"/>
        <v>Rojo</v>
      </c>
    </row>
    <row r="176">
      <c r="A176" s="85">
        <v>40501.0</v>
      </c>
      <c r="B176" s="109" t="s">
        <v>228</v>
      </c>
      <c r="C176" s="108">
        <v>94.1176471</v>
      </c>
      <c r="D176" s="108" t="str">
        <f t="shared" si="1"/>
        <v>Verde</v>
      </c>
      <c r="E176" s="108">
        <v>97.2736898</v>
      </c>
      <c r="F176" s="108" t="str">
        <f t="shared" si="2"/>
        <v>Verde</v>
      </c>
    </row>
    <row r="177">
      <c r="A177" s="85">
        <v>40502.0</v>
      </c>
      <c r="B177" s="109" t="s">
        <v>229</v>
      </c>
      <c r="C177" s="108">
        <v>14.5480563</v>
      </c>
      <c r="D177" s="108" t="str">
        <f t="shared" si="1"/>
        <v>Rojo</v>
      </c>
      <c r="E177" s="108">
        <v>67.9418886</v>
      </c>
      <c r="F177" s="108" t="str">
        <f t="shared" si="2"/>
        <v>Amarillo</v>
      </c>
    </row>
    <row r="178">
      <c r="A178" s="85">
        <v>40503.0</v>
      </c>
      <c r="B178" s="109" t="s">
        <v>230</v>
      </c>
      <c r="C178" s="108">
        <v>25.2962391</v>
      </c>
      <c r="D178" s="108" t="str">
        <f t="shared" si="1"/>
        <v>Rojo</v>
      </c>
      <c r="E178" s="108">
        <v>78.4708249</v>
      </c>
      <c r="F178" s="108" t="str">
        <f t="shared" si="2"/>
        <v>Amarillo</v>
      </c>
    </row>
    <row r="179">
      <c r="A179" s="85">
        <v>40504.0</v>
      </c>
      <c r="B179" s="109" t="s">
        <v>231</v>
      </c>
      <c r="C179" s="108">
        <v>7.0175439</v>
      </c>
      <c r="D179" s="108" t="str">
        <f t="shared" si="1"/>
        <v>Rojo</v>
      </c>
      <c r="E179" s="108">
        <v>74.8853211</v>
      </c>
      <c r="F179" s="108" t="str">
        <f t="shared" si="2"/>
        <v>Amarillo</v>
      </c>
    </row>
    <row r="180">
      <c r="A180" s="85">
        <v>40505.0</v>
      </c>
      <c r="B180" s="109" t="s">
        <v>232</v>
      </c>
      <c r="C180" s="108">
        <v>43.4151786</v>
      </c>
      <c r="D180" s="108" t="str">
        <f t="shared" si="1"/>
        <v>Rojo</v>
      </c>
      <c r="E180" s="108">
        <v>76.3726256</v>
      </c>
      <c r="F180" s="108" t="str">
        <f t="shared" si="2"/>
        <v>Amarillo</v>
      </c>
    </row>
    <row r="181">
      <c r="A181" s="85">
        <v>40601.0</v>
      </c>
      <c r="B181" s="109" t="s">
        <v>233</v>
      </c>
      <c r="C181" s="108">
        <v>58.1764952</v>
      </c>
      <c r="D181" s="108" t="str">
        <f t="shared" si="1"/>
        <v>Naranja</v>
      </c>
      <c r="E181" s="108">
        <v>76.7035398</v>
      </c>
      <c r="F181" s="108" t="str">
        <f t="shared" si="2"/>
        <v>Amarillo</v>
      </c>
    </row>
    <row r="182">
      <c r="A182" s="85">
        <v>40602.0</v>
      </c>
      <c r="B182" s="109" t="s">
        <v>234</v>
      </c>
      <c r="C182" s="108">
        <v>69.4754653</v>
      </c>
      <c r="D182" s="108" t="str">
        <f t="shared" si="1"/>
        <v>Amarillo</v>
      </c>
      <c r="E182" s="108">
        <v>81.666263</v>
      </c>
      <c r="F182" s="108" t="str">
        <f t="shared" si="2"/>
        <v>Amarillo</v>
      </c>
    </row>
    <row r="183">
      <c r="A183" s="85">
        <v>40603.0</v>
      </c>
      <c r="B183" s="109" t="s">
        <v>235</v>
      </c>
      <c r="C183" s="108">
        <v>65.7439446</v>
      </c>
      <c r="D183" s="108" t="str">
        <f t="shared" si="1"/>
        <v>Naranja</v>
      </c>
      <c r="E183" s="108">
        <v>82.9400057</v>
      </c>
      <c r="F183" s="108" t="str">
        <f t="shared" si="2"/>
        <v>Amarillo</v>
      </c>
    </row>
    <row r="184">
      <c r="A184" s="85">
        <v>40701.0</v>
      </c>
      <c r="B184" s="109" t="s">
        <v>237</v>
      </c>
      <c r="C184" s="108">
        <v>89.6294144</v>
      </c>
      <c r="D184" s="108" t="str">
        <f t="shared" si="1"/>
        <v>Verde</v>
      </c>
      <c r="E184" s="108">
        <v>93.7577447</v>
      </c>
      <c r="F184" s="108" t="str">
        <f t="shared" si="2"/>
        <v>Verde</v>
      </c>
    </row>
    <row r="185">
      <c r="A185" s="85">
        <v>40702.0</v>
      </c>
      <c r="B185" s="109" t="s">
        <v>238</v>
      </c>
      <c r="C185" s="108">
        <v>73.416649</v>
      </c>
      <c r="D185" s="108" t="str">
        <f t="shared" si="1"/>
        <v>Amarillo</v>
      </c>
      <c r="E185" s="108">
        <v>88.4450314</v>
      </c>
      <c r="F185" s="108" t="str">
        <f t="shared" si="2"/>
        <v>Verde</v>
      </c>
    </row>
    <row r="186">
      <c r="A186" s="85">
        <v>40801.0</v>
      </c>
      <c r="B186" s="109" t="s">
        <v>240</v>
      </c>
      <c r="C186" s="108">
        <v>38.9816003</v>
      </c>
      <c r="D186" s="108" t="str">
        <f t="shared" si="1"/>
        <v>Rojo</v>
      </c>
      <c r="E186" s="108">
        <v>64.2902368</v>
      </c>
      <c r="F186" s="108" t="str">
        <f t="shared" si="2"/>
        <v>Naranja</v>
      </c>
    </row>
    <row r="187">
      <c r="A187" s="85">
        <v>40802.0</v>
      </c>
      <c r="B187" s="109" t="s">
        <v>241</v>
      </c>
      <c r="C187" s="108">
        <v>37.1370003</v>
      </c>
      <c r="D187" s="108" t="str">
        <f t="shared" si="1"/>
        <v>Rojo</v>
      </c>
      <c r="E187" s="108">
        <v>66.8130489</v>
      </c>
      <c r="F187" s="108" t="str">
        <f t="shared" si="2"/>
        <v>Naranja</v>
      </c>
    </row>
    <row r="188">
      <c r="A188" s="85">
        <v>40901.0</v>
      </c>
      <c r="B188" s="109" t="s">
        <v>242</v>
      </c>
      <c r="C188" s="108">
        <v>31.6991786</v>
      </c>
      <c r="D188" s="108" t="str">
        <f t="shared" si="1"/>
        <v>Rojo</v>
      </c>
      <c r="E188" s="108">
        <v>74.9588816</v>
      </c>
      <c r="F188" s="108" t="str">
        <f t="shared" si="2"/>
        <v>Amarillo</v>
      </c>
    </row>
    <row r="189">
      <c r="A189" s="85">
        <v>40902.0</v>
      </c>
      <c r="B189" s="109" t="s">
        <v>243</v>
      </c>
      <c r="C189" s="108">
        <v>71.0194731</v>
      </c>
      <c r="D189" s="108" t="str">
        <f t="shared" si="1"/>
        <v>Amarillo</v>
      </c>
      <c r="E189" s="108">
        <v>94.0493469</v>
      </c>
      <c r="F189" s="108" t="str">
        <f t="shared" si="2"/>
        <v>Verde</v>
      </c>
    </row>
    <row r="190">
      <c r="A190" s="85">
        <v>40903.0</v>
      </c>
      <c r="B190" s="109" t="s">
        <v>244</v>
      </c>
      <c r="C190" s="108">
        <v>46.966633</v>
      </c>
      <c r="D190" s="108" t="str">
        <f t="shared" si="1"/>
        <v>Rojo</v>
      </c>
      <c r="E190" s="108">
        <v>63.457424</v>
      </c>
      <c r="F190" s="108" t="str">
        <f t="shared" si="2"/>
        <v>Naranja</v>
      </c>
    </row>
    <row r="191">
      <c r="A191" s="85">
        <v>41001.0</v>
      </c>
      <c r="B191" s="109" t="s">
        <v>246</v>
      </c>
      <c r="C191" s="108">
        <v>20.8846192</v>
      </c>
      <c r="D191" s="108" t="str">
        <f t="shared" si="1"/>
        <v>Rojo</v>
      </c>
      <c r="E191" s="108">
        <v>36.6683217</v>
      </c>
      <c r="F191" s="108" t="str">
        <f t="shared" si="2"/>
        <v>Rojo</v>
      </c>
    </row>
    <row r="192">
      <c r="A192" s="85">
        <v>41101.0</v>
      </c>
      <c r="B192" s="109" t="s">
        <v>248</v>
      </c>
      <c r="C192" s="108">
        <v>62.1048574</v>
      </c>
      <c r="D192" s="108" t="str">
        <f t="shared" si="1"/>
        <v>Naranja</v>
      </c>
      <c r="E192" s="108">
        <v>82.5390846</v>
      </c>
      <c r="F192" s="108" t="str">
        <f t="shared" si="2"/>
        <v>Amarillo</v>
      </c>
    </row>
    <row r="193">
      <c r="A193" s="85">
        <v>41201.0</v>
      </c>
      <c r="B193" s="109" t="s">
        <v>250</v>
      </c>
      <c r="C193" s="108">
        <v>19.1230442</v>
      </c>
      <c r="D193" s="108" t="str">
        <f t="shared" si="1"/>
        <v>Rojo</v>
      </c>
      <c r="E193" s="108">
        <v>37.6590331</v>
      </c>
      <c r="F193" s="108" t="str">
        <f t="shared" si="2"/>
        <v>Rojo</v>
      </c>
    </row>
    <row r="194">
      <c r="A194" s="85">
        <v>41202.0</v>
      </c>
      <c r="B194" s="109" t="s">
        <v>251</v>
      </c>
      <c r="C194" s="108">
        <v>12.493728</v>
      </c>
      <c r="D194" s="108" t="str">
        <f t="shared" si="1"/>
        <v>Rojo</v>
      </c>
      <c r="E194" s="108">
        <v>52.9528209</v>
      </c>
      <c r="F194" s="108" t="str">
        <f t="shared" si="2"/>
        <v>Naranja</v>
      </c>
    </row>
    <row r="195">
      <c r="A195" s="85">
        <v>41301.0</v>
      </c>
      <c r="B195" s="109" t="s">
        <v>196</v>
      </c>
      <c r="C195" s="108">
        <v>10.0820419</v>
      </c>
      <c r="D195" s="108" t="str">
        <f t="shared" si="1"/>
        <v>Rojo</v>
      </c>
      <c r="E195" s="108">
        <v>27.589868</v>
      </c>
      <c r="F195" s="108" t="str">
        <f t="shared" si="2"/>
        <v>Rojo</v>
      </c>
    </row>
    <row r="196">
      <c r="A196" s="85">
        <v>41401.0</v>
      </c>
      <c r="B196" s="109" t="s">
        <v>254</v>
      </c>
      <c r="C196" s="108">
        <v>44.9700966</v>
      </c>
      <c r="D196" s="108" t="str">
        <f t="shared" si="1"/>
        <v>Rojo</v>
      </c>
      <c r="E196" s="108">
        <v>65.316154</v>
      </c>
      <c r="F196" s="108" t="str">
        <f t="shared" si="2"/>
        <v>Naranja</v>
      </c>
    </row>
    <row r="197">
      <c r="A197" s="85">
        <v>41501.0</v>
      </c>
      <c r="B197" s="109" t="s">
        <v>256</v>
      </c>
      <c r="C197" s="108">
        <v>23.2741617</v>
      </c>
      <c r="D197" s="108" t="str">
        <f t="shared" si="1"/>
        <v>Rojo</v>
      </c>
      <c r="E197" s="108">
        <v>58.9928058</v>
      </c>
      <c r="F197" s="108" t="str">
        <f t="shared" si="2"/>
        <v>Naranja</v>
      </c>
    </row>
    <row r="198">
      <c r="A198" s="85">
        <v>41502.0</v>
      </c>
      <c r="B198" s="109" t="s">
        <v>257</v>
      </c>
      <c r="C198" s="108">
        <v>10.2874433</v>
      </c>
      <c r="D198" s="108" t="str">
        <f t="shared" si="1"/>
        <v>Rojo</v>
      </c>
      <c r="E198" s="108">
        <v>67.8737233</v>
      </c>
      <c r="F198" s="108" t="str">
        <f t="shared" si="2"/>
        <v>Amarillo</v>
      </c>
    </row>
    <row r="199">
      <c r="A199" s="85">
        <v>41503.0</v>
      </c>
      <c r="B199" s="109" t="s">
        <v>221</v>
      </c>
      <c r="C199" s="108">
        <v>12.1718377</v>
      </c>
      <c r="D199" s="108" t="str">
        <f t="shared" si="1"/>
        <v>Rojo</v>
      </c>
      <c r="E199" s="108">
        <v>50.3127793</v>
      </c>
      <c r="F199" s="108" t="str">
        <f t="shared" si="2"/>
        <v>Naranja</v>
      </c>
    </row>
    <row r="200">
      <c r="A200" s="85">
        <v>41601.0</v>
      </c>
      <c r="B200" s="109" t="s">
        <v>259</v>
      </c>
      <c r="C200" s="108">
        <v>15.7914065</v>
      </c>
      <c r="D200" s="108" t="str">
        <f t="shared" si="1"/>
        <v>Rojo</v>
      </c>
      <c r="E200" s="108">
        <v>35.8901357</v>
      </c>
      <c r="F200" s="108" t="str">
        <f t="shared" si="2"/>
        <v>Rojo</v>
      </c>
    </row>
    <row r="201">
      <c r="A201" s="85">
        <v>50101.0</v>
      </c>
      <c r="B201" s="109" t="s">
        <v>260</v>
      </c>
      <c r="C201" s="108">
        <v>93.9836711</v>
      </c>
      <c r="D201" s="108" t="str">
        <f t="shared" si="1"/>
        <v>Verde</v>
      </c>
      <c r="E201" s="108">
        <v>95.4755444</v>
      </c>
      <c r="F201" s="108" t="str">
        <f t="shared" si="2"/>
        <v>Verde</v>
      </c>
    </row>
    <row r="202">
      <c r="A202" s="85">
        <v>50102.0</v>
      </c>
      <c r="B202" s="109" t="s">
        <v>262</v>
      </c>
      <c r="C202" s="108">
        <v>7.7852498</v>
      </c>
      <c r="D202" s="108" t="str">
        <f t="shared" si="1"/>
        <v>Rojo</v>
      </c>
      <c r="E202" s="108">
        <v>14.2470507</v>
      </c>
      <c r="F202" s="108" t="str">
        <f t="shared" si="2"/>
        <v>Rojo</v>
      </c>
    </row>
    <row r="203">
      <c r="A203" s="85">
        <v>50103.0</v>
      </c>
      <c r="B203" s="109" t="s">
        <v>263</v>
      </c>
      <c r="C203" s="108">
        <v>46.2793883</v>
      </c>
      <c r="D203" s="108" t="str">
        <f t="shared" si="1"/>
        <v>Rojo</v>
      </c>
      <c r="E203" s="108">
        <v>64.2561983</v>
      </c>
      <c r="F203" s="108" t="str">
        <f t="shared" si="2"/>
        <v>Naranja</v>
      </c>
    </row>
    <row r="204">
      <c r="A204" s="85">
        <v>50104.0</v>
      </c>
      <c r="B204" s="109" t="s">
        <v>264</v>
      </c>
      <c r="C204" s="108">
        <v>16.7091372</v>
      </c>
      <c r="D204" s="108" t="str">
        <f t="shared" si="1"/>
        <v>Rojo</v>
      </c>
      <c r="E204" s="108">
        <v>32.5611326</v>
      </c>
      <c r="F204" s="108" t="str">
        <f t="shared" si="2"/>
        <v>Rojo</v>
      </c>
    </row>
    <row r="205">
      <c r="A205" s="85">
        <v>50201.0</v>
      </c>
      <c r="B205" s="109" t="s">
        <v>266</v>
      </c>
      <c r="C205" s="108">
        <v>61.3391029</v>
      </c>
      <c r="D205" s="108" t="str">
        <f t="shared" si="1"/>
        <v>Naranja</v>
      </c>
      <c r="E205" s="108">
        <v>71.3142701</v>
      </c>
      <c r="F205" s="108" t="str">
        <f t="shared" si="2"/>
        <v>Amarillo</v>
      </c>
    </row>
    <row r="206">
      <c r="A206" s="85">
        <v>50202.0</v>
      </c>
      <c r="B206" s="109" t="s">
        <v>267</v>
      </c>
      <c r="C206" s="108">
        <v>43.0003152</v>
      </c>
      <c r="D206" s="108" t="str">
        <f t="shared" si="1"/>
        <v>Rojo</v>
      </c>
      <c r="E206" s="108">
        <v>58.3392203</v>
      </c>
      <c r="F206" s="108" t="str">
        <f t="shared" si="2"/>
        <v>Naranja</v>
      </c>
    </row>
    <row r="207">
      <c r="A207" s="85">
        <v>50203.0</v>
      </c>
      <c r="B207" s="109" t="s">
        <v>268</v>
      </c>
      <c r="C207" s="108">
        <v>87.3459182</v>
      </c>
      <c r="D207" s="108" t="str">
        <f t="shared" si="1"/>
        <v>Verde</v>
      </c>
      <c r="E207" s="108">
        <v>92.0048232</v>
      </c>
      <c r="F207" s="108" t="str">
        <f t="shared" si="2"/>
        <v>Verde</v>
      </c>
    </row>
    <row r="208">
      <c r="A208" s="85">
        <v>50204.0</v>
      </c>
      <c r="B208" s="109" t="s">
        <v>269</v>
      </c>
      <c r="C208" s="108">
        <v>38.9731917</v>
      </c>
      <c r="D208" s="108" t="str">
        <f t="shared" si="1"/>
        <v>Rojo</v>
      </c>
      <c r="E208" s="108">
        <v>58.2599119</v>
      </c>
      <c r="F208" s="108" t="str">
        <f t="shared" si="2"/>
        <v>Naranja</v>
      </c>
    </row>
    <row r="209">
      <c r="A209" s="85">
        <v>50301.0</v>
      </c>
      <c r="B209" s="109" t="s">
        <v>271</v>
      </c>
      <c r="C209" s="108">
        <v>37.6724369</v>
      </c>
      <c r="D209" s="108" t="str">
        <f t="shared" si="1"/>
        <v>Rojo</v>
      </c>
      <c r="E209" s="108">
        <v>53.5179617</v>
      </c>
      <c r="F209" s="108" t="str">
        <f t="shared" si="2"/>
        <v>Naranja</v>
      </c>
    </row>
    <row r="210">
      <c r="A210" s="85">
        <v>50302.0</v>
      </c>
      <c r="B210" s="109" t="s">
        <v>272</v>
      </c>
      <c r="C210" s="108">
        <v>24.6261012</v>
      </c>
      <c r="D210" s="108" t="str">
        <f t="shared" si="1"/>
        <v>Rojo</v>
      </c>
      <c r="E210" s="108">
        <v>44.5309929</v>
      </c>
      <c r="F210" s="108" t="str">
        <f t="shared" si="2"/>
        <v>Rojo</v>
      </c>
    </row>
    <row r="211">
      <c r="A211" s="85">
        <v>50303.0</v>
      </c>
      <c r="B211" s="109" t="s">
        <v>273</v>
      </c>
      <c r="C211" s="108">
        <v>8.7653157</v>
      </c>
      <c r="D211" s="108" t="str">
        <f t="shared" si="1"/>
        <v>Rojo</v>
      </c>
      <c r="E211" s="108">
        <v>13.599776</v>
      </c>
      <c r="F211" s="108" t="str">
        <f t="shared" si="2"/>
        <v>Rojo</v>
      </c>
    </row>
    <row r="212">
      <c r="A212" s="85">
        <v>50401.0</v>
      </c>
      <c r="B212" s="109" t="s">
        <v>274</v>
      </c>
      <c r="C212" s="108">
        <v>33.1800613</v>
      </c>
      <c r="D212" s="108" t="str">
        <f t="shared" si="1"/>
        <v>Rojo</v>
      </c>
      <c r="E212" s="108">
        <v>40.5276382</v>
      </c>
      <c r="F212" s="108" t="str">
        <f t="shared" si="2"/>
        <v>Rojo</v>
      </c>
    </row>
    <row r="213">
      <c r="A213" s="85">
        <v>50402.0</v>
      </c>
      <c r="B213" s="109" t="s">
        <v>275</v>
      </c>
      <c r="C213" s="108">
        <v>10.2566549</v>
      </c>
      <c r="D213" s="108" t="str">
        <f t="shared" si="1"/>
        <v>Rojo</v>
      </c>
      <c r="E213" s="108">
        <v>13.4553476</v>
      </c>
      <c r="F213" s="108" t="str">
        <f t="shared" si="2"/>
        <v>Rojo</v>
      </c>
    </row>
    <row r="214">
      <c r="A214" s="85">
        <v>50403.0</v>
      </c>
      <c r="B214" s="109" t="s">
        <v>276</v>
      </c>
      <c r="C214" s="108">
        <v>14.2725845</v>
      </c>
      <c r="D214" s="108" t="str">
        <f t="shared" si="1"/>
        <v>Rojo</v>
      </c>
      <c r="E214" s="108">
        <v>25.8000802</v>
      </c>
      <c r="F214" s="108" t="str">
        <f t="shared" si="2"/>
        <v>Rojo</v>
      </c>
    </row>
    <row r="215">
      <c r="A215" s="85">
        <v>50404.0</v>
      </c>
      <c r="B215" s="109" t="s">
        <v>277</v>
      </c>
      <c r="C215" s="108">
        <v>13.1582239</v>
      </c>
      <c r="D215" s="108" t="str">
        <f t="shared" si="1"/>
        <v>Rojo</v>
      </c>
      <c r="E215" s="108">
        <v>16.2096494</v>
      </c>
      <c r="F215" s="108" t="str">
        <f t="shared" si="2"/>
        <v>Rojo</v>
      </c>
    </row>
    <row r="216">
      <c r="A216" s="85">
        <v>50405.0</v>
      </c>
      <c r="B216" s="109" t="s">
        <v>278</v>
      </c>
      <c r="C216" s="108">
        <v>15.6866714</v>
      </c>
      <c r="D216" s="108" t="str">
        <f t="shared" si="1"/>
        <v>Rojo</v>
      </c>
      <c r="E216" s="108">
        <v>34.0815348</v>
      </c>
      <c r="F216" s="108" t="str">
        <f t="shared" si="2"/>
        <v>Rojo</v>
      </c>
    </row>
    <row r="217">
      <c r="A217" s="85">
        <v>50501.0</v>
      </c>
      <c r="B217" s="109" t="s">
        <v>280</v>
      </c>
      <c r="C217" s="108">
        <v>10.9064013</v>
      </c>
      <c r="D217" s="108" t="str">
        <f t="shared" si="1"/>
        <v>Rojo</v>
      </c>
      <c r="E217" s="108">
        <v>17.0467422</v>
      </c>
      <c r="F217" s="108" t="str">
        <f t="shared" si="2"/>
        <v>Rojo</v>
      </c>
    </row>
    <row r="218">
      <c r="A218" s="85">
        <v>50502.0</v>
      </c>
      <c r="B218" s="109" t="s">
        <v>281</v>
      </c>
      <c r="C218" s="108">
        <v>14.6202117</v>
      </c>
      <c r="D218" s="108" t="str">
        <f t="shared" si="1"/>
        <v>Rojo</v>
      </c>
      <c r="E218" s="108">
        <v>28.5064443</v>
      </c>
      <c r="F218" s="108" t="str">
        <f t="shared" si="2"/>
        <v>Rojo</v>
      </c>
    </row>
    <row r="219">
      <c r="A219" s="85">
        <v>50601.0</v>
      </c>
      <c r="B219" s="109" t="s">
        <v>283</v>
      </c>
      <c r="C219" s="108">
        <v>33.7359407</v>
      </c>
      <c r="D219" s="108" t="str">
        <f t="shared" si="1"/>
        <v>Rojo</v>
      </c>
      <c r="E219" s="108">
        <v>40.8707671</v>
      </c>
      <c r="F219" s="108" t="str">
        <f t="shared" si="2"/>
        <v>Rojo</v>
      </c>
    </row>
    <row r="220">
      <c r="A220" s="85">
        <v>50602.0</v>
      </c>
      <c r="B220" s="109" t="s">
        <v>284</v>
      </c>
      <c r="C220" s="108">
        <v>17.2426962</v>
      </c>
      <c r="D220" s="108" t="str">
        <f t="shared" si="1"/>
        <v>Rojo</v>
      </c>
      <c r="E220" s="108">
        <v>30.4248333</v>
      </c>
      <c r="F220" s="108" t="str">
        <f t="shared" si="2"/>
        <v>Rojo</v>
      </c>
    </row>
    <row r="221">
      <c r="A221" s="85">
        <v>50701.0</v>
      </c>
      <c r="B221" s="109" t="s">
        <v>286</v>
      </c>
      <c r="C221" s="108">
        <v>15.9679089</v>
      </c>
      <c r="D221" s="108" t="str">
        <f t="shared" si="1"/>
        <v>Rojo</v>
      </c>
      <c r="E221" s="108">
        <v>30.045053</v>
      </c>
      <c r="F221" s="108" t="str">
        <f t="shared" si="2"/>
        <v>Rojo</v>
      </c>
    </row>
    <row r="222">
      <c r="A222" s="85">
        <v>50702.0</v>
      </c>
      <c r="B222" s="109" t="s">
        <v>287</v>
      </c>
      <c r="C222" s="108">
        <v>12.0787493</v>
      </c>
      <c r="D222" s="108" t="str">
        <f t="shared" si="1"/>
        <v>Rojo</v>
      </c>
      <c r="E222" s="108">
        <v>18.7797903</v>
      </c>
      <c r="F222" s="108" t="str">
        <f t="shared" si="2"/>
        <v>Rojo</v>
      </c>
    </row>
    <row r="223">
      <c r="A223" s="85">
        <v>50801.0</v>
      </c>
      <c r="B223" s="109" t="s">
        <v>289</v>
      </c>
      <c r="C223" s="108">
        <v>73.4991029</v>
      </c>
      <c r="D223" s="108" t="str">
        <f t="shared" si="1"/>
        <v>Amarillo</v>
      </c>
      <c r="E223" s="108">
        <v>82.8860427</v>
      </c>
      <c r="F223" s="108" t="str">
        <f t="shared" si="2"/>
        <v>Amarillo</v>
      </c>
    </row>
    <row r="224">
      <c r="A224" s="85">
        <v>50802.0</v>
      </c>
      <c r="B224" s="109" t="s">
        <v>290</v>
      </c>
      <c r="C224" s="108">
        <v>94.5789231</v>
      </c>
      <c r="D224" s="108" t="str">
        <f t="shared" si="1"/>
        <v>Verde</v>
      </c>
      <c r="E224" s="108">
        <v>95.8124132</v>
      </c>
      <c r="F224" s="108" t="str">
        <f t="shared" si="2"/>
        <v>Verde</v>
      </c>
    </row>
    <row r="225">
      <c r="A225" s="85">
        <v>50901.0</v>
      </c>
      <c r="B225" s="109" t="s">
        <v>292</v>
      </c>
      <c r="C225" s="108">
        <v>50.7770148</v>
      </c>
      <c r="D225" s="108" t="str">
        <f t="shared" si="1"/>
        <v>Naranja</v>
      </c>
      <c r="E225" s="108">
        <v>82.4500275</v>
      </c>
      <c r="F225" s="108" t="str">
        <f t="shared" si="2"/>
        <v>Amarillo</v>
      </c>
    </row>
    <row r="226">
      <c r="A226" s="85">
        <v>50902.0</v>
      </c>
      <c r="B226" s="109" t="s">
        <v>293</v>
      </c>
      <c r="C226" s="108">
        <v>40.3015075</v>
      </c>
      <c r="D226" s="108" t="str">
        <f t="shared" si="1"/>
        <v>Rojo</v>
      </c>
      <c r="E226" s="108">
        <v>75.6162558</v>
      </c>
      <c r="F226" s="108" t="str">
        <f t="shared" si="2"/>
        <v>Amarillo</v>
      </c>
    </row>
    <row r="227">
      <c r="A227" s="85">
        <v>51001.0</v>
      </c>
      <c r="B227" s="109" t="s">
        <v>295</v>
      </c>
      <c r="C227" s="108">
        <v>21.1792613</v>
      </c>
      <c r="D227" s="108" t="str">
        <f t="shared" si="1"/>
        <v>Rojo</v>
      </c>
      <c r="E227" s="108">
        <v>47.7642981</v>
      </c>
      <c r="F227" s="108" t="str">
        <f t="shared" si="2"/>
        <v>Rojo</v>
      </c>
    </row>
    <row r="228">
      <c r="A228" s="85">
        <v>51002.0</v>
      </c>
      <c r="B228" s="109" t="s">
        <v>296</v>
      </c>
      <c r="C228" s="108">
        <v>5.7021277</v>
      </c>
      <c r="D228" s="108" t="str">
        <f t="shared" si="1"/>
        <v>Rojo</v>
      </c>
      <c r="E228" s="108">
        <v>31.4583333</v>
      </c>
      <c r="F228" s="108" t="str">
        <f t="shared" si="2"/>
        <v>Rojo</v>
      </c>
    </row>
    <row r="229">
      <c r="A229" s="85">
        <v>51003.0</v>
      </c>
      <c r="B229" s="109" t="s">
        <v>297</v>
      </c>
      <c r="C229" s="108">
        <v>26.2214254</v>
      </c>
      <c r="D229" s="108" t="str">
        <f t="shared" si="1"/>
        <v>Rojo</v>
      </c>
      <c r="E229" s="108">
        <v>44.7593583</v>
      </c>
      <c r="F229" s="108" t="str">
        <f t="shared" si="2"/>
        <v>Rojo</v>
      </c>
    </row>
    <row r="230">
      <c r="A230" s="85">
        <v>51101.0</v>
      </c>
      <c r="B230" s="109" t="s">
        <v>299</v>
      </c>
      <c r="C230" s="108">
        <v>28.6043298</v>
      </c>
      <c r="D230" s="108" t="str">
        <f t="shared" si="1"/>
        <v>Rojo</v>
      </c>
      <c r="E230" s="108">
        <v>46.7990351</v>
      </c>
      <c r="F230" s="108" t="str">
        <f t="shared" si="2"/>
        <v>Rojo</v>
      </c>
    </row>
    <row r="231">
      <c r="A231" s="85">
        <v>51102.0</v>
      </c>
      <c r="B231" s="109" t="s">
        <v>300</v>
      </c>
      <c r="C231" s="108">
        <v>45.1042379</v>
      </c>
      <c r="D231" s="108" t="str">
        <f t="shared" si="1"/>
        <v>Rojo</v>
      </c>
      <c r="E231" s="108">
        <v>66.8209015</v>
      </c>
      <c r="F231" s="108" t="str">
        <f t="shared" si="2"/>
        <v>Naranja</v>
      </c>
    </row>
    <row r="232">
      <c r="A232" s="85">
        <v>51103.0</v>
      </c>
      <c r="B232" s="109" t="s">
        <v>301</v>
      </c>
      <c r="C232" s="108">
        <v>12.0768936</v>
      </c>
      <c r="D232" s="108" t="str">
        <f t="shared" si="1"/>
        <v>Rojo</v>
      </c>
      <c r="E232" s="108">
        <v>17.8636555</v>
      </c>
      <c r="F232" s="108" t="str">
        <f t="shared" si="2"/>
        <v>Rojo</v>
      </c>
    </row>
    <row r="233">
      <c r="A233" s="85">
        <v>51201.0</v>
      </c>
      <c r="B233" s="109" t="s">
        <v>303</v>
      </c>
      <c r="C233" s="108">
        <v>78.6599712</v>
      </c>
      <c r="D233" s="108" t="str">
        <f t="shared" si="1"/>
        <v>Amarillo</v>
      </c>
      <c r="E233" s="108">
        <v>92.5471754</v>
      </c>
      <c r="F233" s="108" t="str">
        <f t="shared" si="2"/>
        <v>Verde</v>
      </c>
    </row>
    <row r="234">
      <c r="A234" s="85">
        <v>51202.0</v>
      </c>
      <c r="B234" s="109" t="s">
        <v>304</v>
      </c>
      <c r="C234" s="108">
        <v>30.3159104</v>
      </c>
      <c r="D234" s="108" t="str">
        <f t="shared" si="1"/>
        <v>Rojo</v>
      </c>
      <c r="E234" s="108">
        <v>56.0381492</v>
      </c>
      <c r="F234" s="108" t="str">
        <f t="shared" si="2"/>
        <v>Naranja</v>
      </c>
    </row>
    <row r="235">
      <c r="A235" s="85">
        <v>51203.0</v>
      </c>
      <c r="B235" s="109" t="s">
        <v>305</v>
      </c>
      <c r="C235" s="108">
        <v>79.1353383</v>
      </c>
      <c r="D235" s="108" t="str">
        <f t="shared" si="1"/>
        <v>Amarillo</v>
      </c>
      <c r="E235" s="108">
        <v>86.0065638</v>
      </c>
      <c r="F235" s="108" t="str">
        <f t="shared" si="2"/>
        <v>Verde</v>
      </c>
    </row>
    <row r="236">
      <c r="A236" s="85">
        <v>51204.0</v>
      </c>
      <c r="B236" s="109" t="s">
        <v>306</v>
      </c>
      <c r="C236" s="108">
        <v>32.5350667</v>
      </c>
      <c r="D236" s="108" t="str">
        <f t="shared" si="1"/>
        <v>Rojo</v>
      </c>
      <c r="E236" s="108">
        <v>48.505506</v>
      </c>
      <c r="F236" s="108" t="str">
        <f t="shared" si="2"/>
        <v>Rojo</v>
      </c>
    </row>
    <row r="237">
      <c r="A237" s="85">
        <v>51301.0</v>
      </c>
      <c r="B237" s="109" t="s">
        <v>308</v>
      </c>
      <c r="C237" s="108">
        <v>11.468225</v>
      </c>
      <c r="D237" s="108" t="str">
        <f t="shared" si="1"/>
        <v>Rojo</v>
      </c>
      <c r="E237" s="108">
        <v>16.7305586</v>
      </c>
      <c r="F237" s="108" t="str">
        <f t="shared" si="2"/>
        <v>Rojo</v>
      </c>
    </row>
    <row r="238">
      <c r="A238" s="85">
        <v>51302.0</v>
      </c>
      <c r="B238" s="109" t="s">
        <v>309</v>
      </c>
      <c r="C238" s="108">
        <v>17.9204993</v>
      </c>
      <c r="D238" s="108" t="str">
        <f t="shared" si="1"/>
        <v>Rojo</v>
      </c>
      <c r="E238" s="108">
        <v>24.5838084</v>
      </c>
      <c r="F238" s="108" t="str">
        <f t="shared" si="2"/>
        <v>Rojo</v>
      </c>
    </row>
    <row r="239">
      <c r="A239" s="85">
        <v>51401.0</v>
      </c>
      <c r="B239" s="109" t="s">
        <v>311</v>
      </c>
      <c r="C239" s="108">
        <v>34.0452261</v>
      </c>
      <c r="D239" s="108" t="str">
        <f t="shared" si="1"/>
        <v>Rojo</v>
      </c>
      <c r="E239" s="108">
        <v>75.8919722</v>
      </c>
      <c r="F239" s="108" t="str">
        <f t="shared" si="2"/>
        <v>Amarillo</v>
      </c>
    </row>
    <row r="240">
      <c r="A240" s="85">
        <v>51402.0</v>
      </c>
      <c r="B240" s="109" t="s">
        <v>312</v>
      </c>
      <c r="C240" s="108">
        <v>48.1370192</v>
      </c>
      <c r="D240" s="108" t="str">
        <f t="shared" si="1"/>
        <v>Rojo</v>
      </c>
      <c r="E240" s="108">
        <v>76.1281884</v>
      </c>
      <c r="F240" s="108" t="str">
        <f t="shared" si="2"/>
        <v>Amarillo</v>
      </c>
    </row>
    <row r="241">
      <c r="A241" s="85">
        <v>51501.0</v>
      </c>
      <c r="B241" s="109" t="s">
        <v>314</v>
      </c>
      <c r="C241" s="108">
        <v>83.6893472</v>
      </c>
      <c r="D241" s="108" t="str">
        <f t="shared" si="1"/>
        <v>Amarillo</v>
      </c>
      <c r="E241" s="108">
        <v>91.4396563</v>
      </c>
      <c r="F241" s="108" t="str">
        <f t="shared" si="2"/>
        <v>Verde</v>
      </c>
    </row>
    <row r="242">
      <c r="A242" s="85">
        <v>51601.0</v>
      </c>
      <c r="B242" s="109" t="s">
        <v>316</v>
      </c>
      <c r="C242" s="108">
        <v>11.4424833</v>
      </c>
      <c r="D242" s="108" t="str">
        <f t="shared" si="1"/>
        <v>Rojo</v>
      </c>
      <c r="E242" s="108">
        <v>65.6003937</v>
      </c>
      <c r="F242" s="108" t="str">
        <f t="shared" si="2"/>
        <v>Naranja</v>
      </c>
    </row>
    <row r="243">
      <c r="A243" s="85">
        <v>60101.0</v>
      </c>
      <c r="B243" s="109" t="s">
        <v>317</v>
      </c>
      <c r="C243" s="108">
        <v>91.996834</v>
      </c>
      <c r="D243" s="108" t="str">
        <f t="shared" si="1"/>
        <v>Verde</v>
      </c>
      <c r="E243" s="108">
        <v>95.906526</v>
      </c>
      <c r="F243" s="108" t="str">
        <f t="shared" si="2"/>
        <v>Verde</v>
      </c>
    </row>
    <row r="244">
      <c r="A244" s="85">
        <v>60201.0</v>
      </c>
      <c r="B244" s="109" t="s">
        <v>319</v>
      </c>
      <c r="C244" s="108">
        <v>32.1066549</v>
      </c>
      <c r="D244" s="108" t="str">
        <f t="shared" si="1"/>
        <v>Rojo</v>
      </c>
      <c r="E244" s="108">
        <v>55.6676355</v>
      </c>
      <c r="F244" s="108" t="str">
        <f t="shared" si="2"/>
        <v>Naranja</v>
      </c>
    </row>
    <row r="245">
      <c r="A245" s="85">
        <v>60202.0</v>
      </c>
      <c r="B245" s="109" t="s">
        <v>320</v>
      </c>
      <c r="C245" s="108">
        <v>91.3431463</v>
      </c>
      <c r="D245" s="108" t="str">
        <f t="shared" si="1"/>
        <v>Verde</v>
      </c>
      <c r="E245" s="108">
        <v>97.1206161</v>
      </c>
      <c r="F245" s="108" t="str">
        <f t="shared" si="2"/>
        <v>Verde</v>
      </c>
    </row>
    <row r="246">
      <c r="A246" s="85">
        <v>60301.0</v>
      </c>
      <c r="B246" s="109" t="s">
        <v>322</v>
      </c>
      <c r="C246" s="108">
        <v>83.5555709</v>
      </c>
      <c r="D246" s="108" t="str">
        <f t="shared" si="1"/>
        <v>Amarillo</v>
      </c>
      <c r="E246" s="108">
        <v>90.807888</v>
      </c>
      <c r="F246" s="108" t="str">
        <f t="shared" si="2"/>
        <v>Verde</v>
      </c>
    </row>
    <row r="247">
      <c r="A247" s="85">
        <v>60302.0</v>
      </c>
      <c r="B247" s="109" t="s">
        <v>323</v>
      </c>
      <c r="C247" s="108">
        <v>47.5718457</v>
      </c>
      <c r="D247" s="108" t="str">
        <f t="shared" si="1"/>
        <v>Rojo</v>
      </c>
      <c r="E247" s="108">
        <v>78.9912629</v>
      </c>
      <c r="F247" s="108" t="str">
        <f t="shared" si="2"/>
        <v>Amarillo</v>
      </c>
    </row>
    <row r="248">
      <c r="A248" s="85">
        <v>60303.0</v>
      </c>
      <c r="B248" s="109" t="s">
        <v>324</v>
      </c>
      <c r="C248" s="108">
        <v>75.9807997</v>
      </c>
      <c r="D248" s="108" t="str">
        <f t="shared" si="1"/>
        <v>Amarillo</v>
      </c>
      <c r="E248" s="108">
        <v>80.8757113</v>
      </c>
      <c r="F248" s="108" t="str">
        <f t="shared" si="2"/>
        <v>Amarillo</v>
      </c>
    </row>
    <row r="249">
      <c r="A249" s="85">
        <v>60401.0</v>
      </c>
      <c r="B249" s="109" t="s">
        <v>326</v>
      </c>
      <c r="C249" s="108">
        <v>47.2746114</v>
      </c>
      <c r="D249" s="108" t="str">
        <f t="shared" si="1"/>
        <v>Rojo</v>
      </c>
      <c r="E249" s="108">
        <v>68.9709696</v>
      </c>
      <c r="F249" s="108" t="str">
        <f t="shared" si="2"/>
        <v>Amarillo</v>
      </c>
    </row>
    <row r="250">
      <c r="A250" s="85">
        <v>60402.0</v>
      </c>
      <c r="B250" s="109" t="s">
        <v>327</v>
      </c>
      <c r="C250" s="108">
        <v>22.3293482</v>
      </c>
      <c r="D250" s="108" t="str">
        <f t="shared" si="1"/>
        <v>Rojo</v>
      </c>
      <c r="E250" s="108">
        <v>43.848112</v>
      </c>
      <c r="F250" s="108" t="str">
        <f t="shared" si="2"/>
        <v>Rojo</v>
      </c>
    </row>
    <row r="251">
      <c r="A251" s="85">
        <v>60501.0</v>
      </c>
      <c r="B251" s="109" t="s">
        <v>329</v>
      </c>
      <c r="C251" s="108">
        <v>57.6913111</v>
      </c>
      <c r="D251" s="108" t="str">
        <f t="shared" si="1"/>
        <v>Naranja</v>
      </c>
      <c r="E251" s="108">
        <v>81.5727427</v>
      </c>
      <c r="F251" s="108" t="str">
        <f t="shared" si="2"/>
        <v>Amarillo</v>
      </c>
    </row>
    <row r="252">
      <c r="A252" s="85">
        <v>60502.0</v>
      </c>
      <c r="B252" s="109" t="s">
        <v>330</v>
      </c>
      <c r="C252" s="108">
        <v>44.6685083</v>
      </c>
      <c r="D252" s="108" t="str">
        <f t="shared" si="1"/>
        <v>Rojo</v>
      </c>
      <c r="E252" s="108">
        <v>68.600937</v>
      </c>
      <c r="F252" s="108" t="str">
        <f t="shared" si="2"/>
        <v>Amarillo</v>
      </c>
    </row>
    <row r="253">
      <c r="A253" s="85">
        <v>60601.0</v>
      </c>
      <c r="B253" s="109" t="s">
        <v>201</v>
      </c>
      <c r="C253" s="108">
        <v>35.8735225</v>
      </c>
      <c r="D253" s="108" t="str">
        <f t="shared" si="1"/>
        <v>Rojo</v>
      </c>
      <c r="E253" s="108">
        <v>49.4486105</v>
      </c>
      <c r="F253" s="108" t="str">
        <f t="shared" si="2"/>
        <v>Rojo</v>
      </c>
    </row>
    <row r="254">
      <c r="A254" s="85">
        <v>70101.0</v>
      </c>
      <c r="B254" s="109" t="s">
        <v>334</v>
      </c>
      <c r="C254" s="108">
        <v>98.7384462</v>
      </c>
      <c r="D254" s="108" t="str">
        <f t="shared" si="1"/>
        <v>Verde</v>
      </c>
      <c r="E254" s="108">
        <v>99.380804</v>
      </c>
      <c r="F254" s="108" t="str">
        <f t="shared" si="2"/>
        <v>Verde</v>
      </c>
    </row>
    <row r="255">
      <c r="A255" s="85">
        <v>70102.0</v>
      </c>
      <c r="B255" s="109" t="s">
        <v>335</v>
      </c>
      <c r="C255" s="108">
        <v>86.5024576</v>
      </c>
      <c r="D255" s="108" t="str">
        <f t="shared" si="1"/>
        <v>Verde</v>
      </c>
      <c r="E255" s="108">
        <v>95.9648856</v>
      </c>
      <c r="F255" s="108" t="str">
        <f t="shared" si="2"/>
        <v>Verde</v>
      </c>
    </row>
    <row r="256">
      <c r="A256" s="85">
        <v>70103.0</v>
      </c>
      <c r="B256" s="109" t="s">
        <v>336</v>
      </c>
      <c r="C256" s="108">
        <v>56.3660303</v>
      </c>
      <c r="D256" s="108" t="str">
        <f t="shared" si="1"/>
        <v>Naranja</v>
      </c>
      <c r="E256" s="108">
        <v>86.9113634</v>
      </c>
      <c r="F256" s="108" t="str">
        <f t="shared" si="2"/>
        <v>Verde</v>
      </c>
    </row>
    <row r="257">
      <c r="A257" s="85">
        <v>70104.0</v>
      </c>
      <c r="B257" s="109" t="s">
        <v>337</v>
      </c>
      <c r="C257" s="108">
        <v>94.5997698</v>
      </c>
      <c r="D257" s="108" t="str">
        <f t="shared" si="1"/>
        <v>Verde</v>
      </c>
      <c r="E257" s="108">
        <v>98.3849167</v>
      </c>
      <c r="F257" s="108" t="str">
        <f t="shared" si="2"/>
        <v>Verde</v>
      </c>
    </row>
    <row r="258">
      <c r="A258" s="85">
        <v>70105.0</v>
      </c>
      <c r="B258" s="109" t="s">
        <v>338</v>
      </c>
      <c r="C258" s="108">
        <v>73.9125085</v>
      </c>
      <c r="D258" s="108" t="str">
        <f t="shared" si="1"/>
        <v>Amarillo</v>
      </c>
      <c r="E258" s="108">
        <v>87.7293305</v>
      </c>
      <c r="F258" s="108" t="str">
        <f t="shared" si="2"/>
        <v>Verde</v>
      </c>
    </row>
    <row r="259">
      <c r="A259" s="85">
        <v>70201.0</v>
      </c>
      <c r="B259" s="109" t="s">
        <v>339</v>
      </c>
      <c r="C259" s="108">
        <v>92.2321448</v>
      </c>
      <c r="D259" s="108" t="str">
        <f t="shared" si="1"/>
        <v>Verde</v>
      </c>
      <c r="E259" s="108">
        <v>97.4816504</v>
      </c>
      <c r="F259" s="108" t="str">
        <f t="shared" si="2"/>
        <v>Verde</v>
      </c>
    </row>
    <row r="260">
      <c r="A260" s="85">
        <v>70202.0</v>
      </c>
      <c r="B260" s="109" t="s">
        <v>340</v>
      </c>
      <c r="C260" s="108">
        <v>83.5446184</v>
      </c>
      <c r="D260" s="108" t="str">
        <f t="shared" si="1"/>
        <v>Amarillo</v>
      </c>
      <c r="E260" s="108">
        <v>94.505814</v>
      </c>
      <c r="F260" s="108" t="str">
        <f t="shared" si="2"/>
        <v>Verde</v>
      </c>
    </row>
    <row r="261">
      <c r="A261" s="85">
        <v>70301.0</v>
      </c>
      <c r="B261" s="109" t="s">
        <v>342</v>
      </c>
      <c r="C261" s="108">
        <v>37.716726</v>
      </c>
      <c r="D261" s="108" t="str">
        <f t="shared" si="1"/>
        <v>Rojo</v>
      </c>
      <c r="E261" s="108">
        <v>61.2358254</v>
      </c>
      <c r="F261" s="108" t="str">
        <f t="shared" si="2"/>
        <v>Naranja</v>
      </c>
    </row>
    <row r="262">
      <c r="A262" s="85">
        <v>70302.0</v>
      </c>
      <c r="B262" s="109" t="s">
        <v>343</v>
      </c>
      <c r="C262" s="108">
        <v>26.0515482</v>
      </c>
      <c r="D262" s="108" t="str">
        <f t="shared" si="1"/>
        <v>Rojo</v>
      </c>
      <c r="E262" s="108">
        <v>46.1706638</v>
      </c>
      <c r="F262" s="108" t="str">
        <f t="shared" si="2"/>
        <v>Rojo</v>
      </c>
    </row>
    <row r="263">
      <c r="A263" s="85">
        <v>70303.0</v>
      </c>
      <c r="B263" s="109" t="s">
        <v>344</v>
      </c>
      <c r="C263" s="108">
        <v>38.2447378</v>
      </c>
      <c r="D263" s="108" t="str">
        <f t="shared" si="1"/>
        <v>Rojo</v>
      </c>
      <c r="E263" s="108">
        <v>51.214975</v>
      </c>
      <c r="F263" s="108" t="str">
        <f t="shared" si="2"/>
        <v>Naranja</v>
      </c>
    </row>
    <row r="264">
      <c r="A264" s="85">
        <v>70401.0</v>
      </c>
      <c r="B264" s="109" t="s">
        <v>346</v>
      </c>
      <c r="C264" s="108">
        <v>57.2457966</v>
      </c>
      <c r="D264" s="108" t="str">
        <f t="shared" si="1"/>
        <v>Naranja</v>
      </c>
      <c r="E264" s="108">
        <v>80.2690583</v>
      </c>
      <c r="F264" s="108" t="str">
        <f t="shared" si="2"/>
        <v>Amarillo</v>
      </c>
    </row>
    <row r="265">
      <c r="A265" s="85">
        <v>70402.0</v>
      </c>
      <c r="B265" s="109" t="s">
        <v>347</v>
      </c>
      <c r="C265" s="108">
        <v>72.2432101</v>
      </c>
      <c r="D265" s="108" t="str">
        <f t="shared" si="1"/>
        <v>Amarillo</v>
      </c>
      <c r="E265" s="108">
        <v>89.4810433</v>
      </c>
      <c r="F265" s="108" t="str">
        <f t="shared" si="2"/>
        <v>Verde</v>
      </c>
    </row>
    <row r="266">
      <c r="A266" s="85">
        <v>70403.0</v>
      </c>
      <c r="B266" s="109" t="s">
        <v>348</v>
      </c>
      <c r="C266" s="108">
        <v>66.9112387</v>
      </c>
      <c r="D266" s="108" t="str">
        <f t="shared" si="1"/>
        <v>Naranja</v>
      </c>
      <c r="E266" s="108">
        <v>81.2577877</v>
      </c>
      <c r="F266" s="108" t="str">
        <f t="shared" si="2"/>
        <v>Amarillo</v>
      </c>
    </row>
    <row r="267">
      <c r="A267" s="85">
        <v>70404.0</v>
      </c>
      <c r="B267" s="109" t="s">
        <v>349</v>
      </c>
      <c r="C267" s="108">
        <v>76.133976</v>
      </c>
      <c r="D267" s="108" t="str">
        <f t="shared" si="1"/>
        <v>Amarillo</v>
      </c>
      <c r="E267" s="108">
        <v>88.7875483</v>
      </c>
      <c r="F267" s="108" t="str">
        <f t="shared" si="2"/>
        <v>Verde</v>
      </c>
    </row>
    <row r="268">
      <c r="A268" s="85">
        <v>70501.0</v>
      </c>
      <c r="B268" s="109" t="s">
        <v>351</v>
      </c>
      <c r="C268" s="108">
        <v>78.0389091</v>
      </c>
      <c r="D268" s="108" t="str">
        <f t="shared" si="1"/>
        <v>Amarillo</v>
      </c>
      <c r="E268" s="108">
        <v>77.6490231</v>
      </c>
      <c r="F268" s="108" t="str">
        <f t="shared" si="2"/>
        <v>Amarillo</v>
      </c>
    </row>
    <row r="269">
      <c r="A269" s="85">
        <v>70502.0</v>
      </c>
      <c r="B269" s="109" t="s">
        <v>352</v>
      </c>
      <c r="C269" s="108">
        <v>89.2717869</v>
      </c>
      <c r="D269" s="108" t="str">
        <f t="shared" si="1"/>
        <v>Verde</v>
      </c>
      <c r="E269" s="108">
        <v>90.5067754</v>
      </c>
      <c r="F269" s="108" t="str">
        <f t="shared" si="2"/>
        <v>Verde</v>
      </c>
    </row>
    <row r="270">
      <c r="A270" s="85">
        <v>70503.0</v>
      </c>
      <c r="B270" s="109" t="s">
        <v>353</v>
      </c>
      <c r="C270" s="108">
        <v>59.4980853</v>
      </c>
      <c r="D270" s="108" t="str">
        <f t="shared" si="1"/>
        <v>Naranja</v>
      </c>
      <c r="E270" s="108">
        <v>80.7229603</v>
      </c>
      <c r="F270" s="108" t="str">
        <f t="shared" si="2"/>
        <v>Amarillo</v>
      </c>
    </row>
    <row r="271">
      <c r="A271" s="85">
        <v>70601.0</v>
      </c>
      <c r="B271" s="109" t="s">
        <v>355</v>
      </c>
      <c r="C271" s="108">
        <v>82.7058146</v>
      </c>
      <c r="D271" s="108" t="str">
        <f t="shared" si="1"/>
        <v>Amarillo</v>
      </c>
      <c r="E271" s="108">
        <v>93.9413297</v>
      </c>
      <c r="F271" s="108" t="str">
        <f t="shared" si="2"/>
        <v>Verde</v>
      </c>
    </row>
    <row r="272">
      <c r="A272" s="85">
        <v>70602.0</v>
      </c>
      <c r="B272" s="109" t="s">
        <v>356</v>
      </c>
      <c r="C272" s="108">
        <v>40.0508313</v>
      </c>
      <c r="D272" s="108" t="str">
        <f t="shared" si="1"/>
        <v>Rojo</v>
      </c>
      <c r="E272" s="108">
        <v>74.9672719</v>
      </c>
      <c r="F272" s="108" t="str">
        <f t="shared" si="2"/>
        <v>Amarillo</v>
      </c>
    </row>
    <row r="273">
      <c r="A273" s="85">
        <v>70603.0</v>
      </c>
      <c r="B273" s="109" t="s">
        <v>357</v>
      </c>
      <c r="C273" s="108">
        <v>84.5507976</v>
      </c>
      <c r="D273" s="108" t="str">
        <f t="shared" si="1"/>
        <v>Amarillo</v>
      </c>
      <c r="E273" s="108">
        <v>92.9427655</v>
      </c>
      <c r="F273" s="108" t="str">
        <f t="shared" si="2"/>
        <v>Verde</v>
      </c>
    </row>
    <row r="274">
      <c r="A274" s="85">
        <v>70701.0</v>
      </c>
      <c r="B274" s="109" t="s">
        <v>359</v>
      </c>
      <c r="C274" s="108">
        <v>23.8885596</v>
      </c>
      <c r="D274" s="108" t="str">
        <f t="shared" si="1"/>
        <v>Rojo</v>
      </c>
      <c r="E274" s="108">
        <v>41.9692737</v>
      </c>
      <c r="F274" s="108" t="str">
        <f t="shared" si="2"/>
        <v>Rojo</v>
      </c>
    </row>
    <row r="275">
      <c r="A275" s="85">
        <v>70702.0</v>
      </c>
      <c r="B275" s="109" t="s">
        <v>360</v>
      </c>
      <c r="C275" s="108">
        <v>42.7998577</v>
      </c>
      <c r="D275" s="108" t="str">
        <f t="shared" si="1"/>
        <v>Rojo</v>
      </c>
      <c r="E275" s="108">
        <v>50.5238032</v>
      </c>
      <c r="F275" s="108" t="str">
        <f t="shared" si="2"/>
        <v>Naranja</v>
      </c>
    </row>
    <row r="276">
      <c r="A276" s="85">
        <v>70703.0</v>
      </c>
      <c r="B276" s="109" t="s">
        <v>361</v>
      </c>
      <c r="C276" s="108">
        <v>66.3202664</v>
      </c>
      <c r="D276" s="108" t="str">
        <f t="shared" si="1"/>
        <v>Naranja</v>
      </c>
      <c r="E276" s="108">
        <v>82.4510768</v>
      </c>
      <c r="F276" s="108" t="str">
        <f t="shared" si="2"/>
        <v>Amarillo</v>
      </c>
    </row>
    <row r="277">
      <c r="A277" s="85">
        <v>70704.0</v>
      </c>
      <c r="B277" s="109" t="s">
        <v>362</v>
      </c>
      <c r="C277" s="108">
        <v>44.2368255</v>
      </c>
      <c r="D277" s="108" t="str">
        <f t="shared" si="1"/>
        <v>Rojo</v>
      </c>
      <c r="E277" s="108">
        <v>57.4408343</v>
      </c>
      <c r="F277" s="108" t="str">
        <f t="shared" si="2"/>
        <v>Naranja</v>
      </c>
    </row>
    <row r="278">
      <c r="A278" s="85">
        <v>70705.0</v>
      </c>
      <c r="B278" s="109" t="s">
        <v>363</v>
      </c>
      <c r="C278" s="108">
        <v>13.8288896</v>
      </c>
      <c r="D278" s="108" t="str">
        <f t="shared" si="1"/>
        <v>Rojo</v>
      </c>
      <c r="E278" s="108">
        <v>30.1828192</v>
      </c>
      <c r="F278" s="108" t="str">
        <f t="shared" si="2"/>
        <v>Rojo</v>
      </c>
    </row>
    <row r="279">
      <c r="A279" s="85">
        <v>70706.0</v>
      </c>
      <c r="B279" s="109" t="s">
        <v>364</v>
      </c>
      <c r="C279" s="108">
        <v>88.3092587</v>
      </c>
      <c r="D279" s="108" t="str">
        <f t="shared" si="1"/>
        <v>Verde</v>
      </c>
      <c r="E279" s="108">
        <v>89.0610524</v>
      </c>
      <c r="F279" s="108" t="str">
        <f t="shared" si="2"/>
        <v>Verde</v>
      </c>
    </row>
    <row r="280">
      <c r="A280" s="85">
        <v>70707.0</v>
      </c>
      <c r="B280" s="109" t="s">
        <v>365</v>
      </c>
      <c r="C280" s="108">
        <v>48.8843398</v>
      </c>
      <c r="D280" s="108" t="str">
        <f t="shared" si="1"/>
        <v>Rojo</v>
      </c>
      <c r="E280" s="108">
        <v>79.1992374</v>
      </c>
      <c r="F280" s="108" t="str">
        <f t="shared" si="2"/>
        <v>Amarillo</v>
      </c>
    </row>
    <row r="281">
      <c r="A281" s="85">
        <v>70801.0</v>
      </c>
      <c r="B281" s="109" t="s">
        <v>367</v>
      </c>
      <c r="C281" s="108">
        <v>64.9069252</v>
      </c>
      <c r="D281" s="108" t="str">
        <f t="shared" si="1"/>
        <v>Naranja</v>
      </c>
      <c r="E281" s="108">
        <v>75.8249641</v>
      </c>
      <c r="F281" s="108" t="str">
        <f t="shared" si="2"/>
        <v>Amarillo</v>
      </c>
    </row>
    <row r="282">
      <c r="A282" s="85">
        <v>70802.0</v>
      </c>
      <c r="B282" s="109" t="s">
        <v>368</v>
      </c>
      <c r="C282" s="108">
        <v>47.7019836</v>
      </c>
      <c r="D282" s="108" t="str">
        <f t="shared" si="1"/>
        <v>Rojo</v>
      </c>
      <c r="E282" s="108">
        <v>79.2765957</v>
      </c>
      <c r="F282" s="108" t="str">
        <f t="shared" si="2"/>
        <v>Amarillo</v>
      </c>
    </row>
    <row r="283">
      <c r="A283" s="85">
        <v>70803.0</v>
      </c>
      <c r="B283" s="109" t="s">
        <v>369</v>
      </c>
      <c r="C283" s="108">
        <v>36.1454545</v>
      </c>
      <c r="D283" s="108" t="str">
        <f t="shared" si="1"/>
        <v>Rojo</v>
      </c>
      <c r="E283" s="108">
        <v>61.0342316</v>
      </c>
      <c r="F283" s="108" t="str">
        <f t="shared" si="2"/>
        <v>Naranja</v>
      </c>
    </row>
    <row r="284">
      <c r="A284" s="85">
        <v>70804.0</v>
      </c>
      <c r="B284" s="109" t="s">
        <v>370</v>
      </c>
      <c r="C284" s="108">
        <v>40.6539991</v>
      </c>
      <c r="D284" s="108" t="str">
        <f t="shared" si="1"/>
        <v>Rojo</v>
      </c>
      <c r="E284" s="108">
        <v>58.3522727</v>
      </c>
      <c r="F284" s="108" t="str">
        <f t="shared" si="2"/>
        <v>Naranja</v>
      </c>
    </row>
    <row r="285">
      <c r="A285" s="85">
        <v>70805.0</v>
      </c>
      <c r="B285" s="109" t="s">
        <v>371</v>
      </c>
      <c r="C285" s="108">
        <v>31.5917969</v>
      </c>
      <c r="D285" s="108" t="str">
        <f t="shared" si="1"/>
        <v>Rojo</v>
      </c>
      <c r="E285" s="108">
        <v>45.9850374</v>
      </c>
      <c r="F285" s="108" t="str">
        <f t="shared" si="2"/>
        <v>Rojo</v>
      </c>
    </row>
    <row r="286">
      <c r="A286" s="85">
        <v>70901.0</v>
      </c>
      <c r="B286" s="109" t="s">
        <v>373</v>
      </c>
      <c r="C286" s="108">
        <v>69.7138938</v>
      </c>
      <c r="D286" s="108" t="str">
        <f t="shared" si="1"/>
        <v>Amarillo</v>
      </c>
      <c r="E286" s="108">
        <v>83.3362599</v>
      </c>
      <c r="F286" s="108" t="str">
        <f t="shared" si="2"/>
        <v>Amarillo</v>
      </c>
    </row>
    <row r="287">
      <c r="A287" s="85">
        <v>70902.0</v>
      </c>
      <c r="B287" s="109" t="s">
        <v>374</v>
      </c>
      <c r="C287" s="108">
        <v>73.8652758</v>
      </c>
      <c r="D287" s="108" t="str">
        <f t="shared" si="1"/>
        <v>Amarillo</v>
      </c>
      <c r="E287" s="108">
        <v>84.7333053</v>
      </c>
      <c r="F287" s="108" t="str">
        <f t="shared" si="2"/>
        <v>Amarillo</v>
      </c>
    </row>
    <row r="288">
      <c r="A288" s="85">
        <v>70903.0</v>
      </c>
      <c r="B288" s="109" t="s">
        <v>375</v>
      </c>
      <c r="C288" s="108">
        <v>87.1704568</v>
      </c>
      <c r="D288" s="108" t="str">
        <f t="shared" si="1"/>
        <v>Verde</v>
      </c>
      <c r="E288" s="108">
        <v>86.7140689</v>
      </c>
      <c r="F288" s="108" t="str">
        <f t="shared" si="2"/>
        <v>Verde</v>
      </c>
    </row>
    <row r="289">
      <c r="A289" s="85">
        <v>70904.0</v>
      </c>
      <c r="B289" s="109" t="s">
        <v>376</v>
      </c>
      <c r="C289" s="108">
        <v>59.6206897</v>
      </c>
      <c r="D289" s="108" t="str">
        <f t="shared" si="1"/>
        <v>Naranja</v>
      </c>
      <c r="E289" s="108">
        <v>73.0351858</v>
      </c>
      <c r="F289" s="108" t="str">
        <f t="shared" si="2"/>
        <v>Amarillo</v>
      </c>
    </row>
    <row r="290">
      <c r="A290" s="85">
        <v>71001.0</v>
      </c>
      <c r="B290" s="109" t="s">
        <v>378</v>
      </c>
      <c r="C290" s="108">
        <v>96.1872714</v>
      </c>
      <c r="D290" s="108" t="str">
        <f t="shared" si="1"/>
        <v>Verde</v>
      </c>
      <c r="E290" s="108">
        <v>98.8311208</v>
      </c>
      <c r="F290" s="108" t="str">
        <f t="shared" si="2"/>
        <v>Verde</v>
      </c>
    </row>
    <row r="291">
      <c r="A291" s="85">
        <v>71002.0</v>
      </c>
      <c r="B291" s="109" t="s">
        <v>379</v>
      </c>
      <c r="C291" s="108">
        <v>71.6855719</v>
      </c>
      <c r="D291" s="108" t="str">
        <f t="shared" si="1"/>
        <v>Amarillo</v>
      </c>
      <c r="E291" s="108">
        <v>88.8807384</v>
      </c>
      <c r="F291" s="108" t="str">
        <f t="shared" si="2"/>
        <v>Verde</v>
      </c>
    </row>
    <row r="292">
      <c r="A292" s="85">
        <v>71003.0</v>
      </c>
      <c r="B292" s="109" t="s">
        <v>380</v>
      </c>
      <c r="C292" s="108">
        <v>84.3387267</v>
      </c>
      <c r="D292" s="108" t="str">
        <f t="shared" si="1"/>
        <v>Amarillo</v>
      </c>
      <c r="E292" s="108">
        <v>94.4612817</v>
      </c>
      <c r="F292" s="108" t="str">
        <f t="shared" si="2"/>
        <v>Verde</v>
      </c>
    </row>
    <row r="293">
      <c r="A293" s="85">
        <v>71004.0</v>
      </c>
      <c r="B293" s="109" t="s">
        <v>381</v>
      </c>
      <c r="C293" s="108">
        <v>82.9599358</v>
      </c>
      <c r="D293" s="108" t="str">
        <f t="shared" si="1"/>
        <v>Amarillo</v>
      </c>
      <c r="E293" s="108">
        <v>95.4336452</v>
      </c>
      <c r="F293" s="108" t="str">
        <f t="shared" si="2"/>
        <v>Verde</v>
      </c>
    </row>
    <row r="294">
      <c r="A294" s="85">
        <v>71005.0</v>
      </c>
      <c r="B294" s="109" t="s">
        <v>280</v>
      </c>
      <c r="C294" s="108">
        <v>84.8791598</v>
      </c>
      <c r="D294" s="108" t="str">
        <f t="shared" si="1"/>
        <v>Amarillo</v>
      </c>
      <c r="E294" s="108">
        <v>96.1614472</v>
      </c>
      <c r="F294" s="108" t="str">
        <f t="shared" si="2"/>
        <v>Verde</v>
      </c>
    </row>
    <row r="295">
      <c r="A295" s="85">
        <v>71101.0</v>
      </c>
      <c r="B295" s="109" t="s">
        <v>383</v>
      </c>
      <c r="C295" s="108">
        <v>38.2303202</v>
      </c>
      <c r="D295" s="108" t="str">
        <f t="shared" si="1"/>
        <v>Rojo</v>
      </c>
      <c r="E295" s="108">
        <v>53.0484894</v>
      </c>
      <c r="F295" s="108" t="str">
        <f t="shared" si="2"/>
        <v>Naranja</v>
      </c>
    </row>
    <row r="296">
      <c r="A296" s="85">
        <v>71102.0</v>
      </c>
      <c r="B296" s="109" t="s">
        <v>384</v>
      </c>
      <c r="C296" s="108">
        <v>53.9122569</v>
      </c>
      <c r="D296" s="108" t="str">
        <f t="shared" si="1"/>
        <v>Naranja</v>
      </c>
      <c r="E296" s="108">
        <v>74.4667371</v>
      </c>
      <c r="F296" s="108" t="str">
        <f t="shared" si="2"/>
        <v>Amarillo</v>
      </c>
    </row>
    <row r="297">
      <c r="A297" s="85">
        <v>71103.0</v>
      </c>
      <c r="B297" s="109" t="s">
        <v>385</v>
      </c>
      <c r="C297" s="108">
        <v>60.2257622</v>
      </c>
      <c r="D297" s="108" t="str">
        <f t="shared" si="1"/>
        <v>Naranja</v>
      </c>
      <c r="E297" s="108">
        <v>88.2095862</v>
      </c>
      <c r="F297" s="108" t="str">
        <f t="shared" si="2"/>
        <v>Verde</v>
      </c>
    </row>
    <row r="298">
      <c r="A298" s="85">
        <v>71104.0</v>
      </c>
      <c r="B298" s="109" t="s">
        <v>386</v>
      </c>
      <c r="C298" s="108">
        <v>14.6447409</v>
      </c>
      <c r="D298" s="108" t="str">
        <f t="shared" si="1"/>
        <v>Rojo</v>
      </c>
      <c r="E298" s="108">
        <v>26.7677574</v>
      </c>
      <c r="F298" s="108" t="str">
        <f t="shared" si="2"/>
        <v>Rojo</v>
      </c>
    </row>
    <row r="299">
      <c r="A299" s="85">
        <v>71105.0</v>
      </c>
      <c r="B299" s="109" t="s">
        <v>387</v>
      </c>
      <c r="C299" s="108">
        <v>76.6516626</v>
      </c>
      <c r="D299" s="108" t="str">
        <f t="shared" si="1"/>
        <v>Amarillo</v>
      </c>
      <c r="E299" s="108">
        <v>85.838046</v>
      </c>
      <c r="F299" s="108" t="str">
        <f t="shared" si="2"/>
        <v>Verde</v>
      </c>
    </row>
    <row r="300">
      <c r="A300" s="85">
        <v>71106.0</v>
      </c>
      <c r="B300" s="109" t="s">
        <v>388</v>
      </c>
      <c r="C300" s="108">
        <v>86.0640301</v>
      </c>
      <c r="D300" s="108" t="str">
        <f t="shared" si="1"/>
        <v>Verde</v>
      </c>
      <c r="E300" s="108">
        <v>95.8559468</v>
      </c>
      <c r="F300" s="108" t="str">
        <f t="shared" si="2"/>
        <v>Verde</v>
      </c>
    </row>
    <row r="301">
      <c r="A301" s="85">
        <v>71201.0</v>
      </c>
      <c r="B301" s="109" t="s">
        <v>390</v>
      </c>
      <c r="C301" s="108">
        <v>48.65</v>
      </c>
      <c r="D301" s="108" t="str">
        <f t="shared" si="1"/>
        <v>Rojo</v>
      </c>
      <c r="E301" s="108">
        <v>69.8214044</v>
      </c>
      <c r="F301" s="108" t="str">
        <f t="shared" si="2"/>
        <v>Amarillo</v>
      </c>
    </row>
    <row r="302">
      <c r="A302" s="85">
        <v>71301.0</v>
      </c>
      <c r="B302" s="109" t="s">
        <v>392</v>
      </c>
      <c r="C302" s="108">
        <v>64.7784668</v>
      </c>
      <c r="D302" s="108" t="str">
        <f t="shared" si="1"/>
        <v>Naranja</v>
      </c>
      <c r="E302" s="108">
        <v>82.8817077</v>
      </c>
      <c r="F302" s="108" t="str">
        <f t="shared" si="2"/>
        <v>Amarillo</v>
      </c>
    </row>
    <row r="303">
      <c r="A303" s="85">
        <v>71302.0</v>
      </c>
      <c r="B303" s="109" t="s">
        <v>393</v>
      </c>
      <c r="C303" s="108">
        <v>77.1252154</v>
      </c>
      <c r="D303" s="108" t="str">
        <f t="shared" si="1"/>
        <v>Amarillo</v>
      </c>
      <c r="E303" s="108">
        <v>89.0415606</v>
      </c>
      <c r="F303" s="108" t="str">
        <f t="shared" si="2"/>
        <v>Verde</v>
      </c>
    </row>
    <row r="304">
      <c r="A304" s="85">
        <v>71401.0</v>
      </c>
      <c r="B304" s="109" t="s">
        <v>395</v>
      </c>
      <c r="C304" s="108">
        <v>78.9838842</v>
      </c>
      <c r="D304" s="108" t="str">
        <f t="shared" si="1"/>
        <v>Amarillo</v>
      </c>
      <c r="E304" s="108">
        <v>91.016182</v>
      </c>
      <c r="F304" s="108" t="str">
        <f t="shared" si="2"/>
        <v>Verde</v>
      </c>
    </row>
    <row r="305">
      <c r="A305" s="85">
        <v>71402.0</v>
      </c>
      <c r="B305" s="109" t="s">
        <v>396</v>
      </c>
      <c r="C305" s="108">
        <v>91.4204801</v>
      </c>
      <c r="D305" s="108" t="str">
        <f t="shared" si="1"/>
        <v>Verde</v>
      </c>
      <c r="E305" s="108">
        <v>96.8401816</v>
      </c>
      <c r="F305" s="108" t="str">
        <f t="shared" si="2"/>
        <v>Verde</v>
      </c>
    </row>
    <row r="306">
      <c r="A306" s="85">
        <v>71403.0</v>
      </c>
      <c r="B306" s="109" t="s">
        <v>397</v>
      </c>
      <c r="C306" s="108">
        <v>20.0528576</v>
      </c>
      <c r="D306" s="108" t="str">
        <f t="shared" si="1"/>
        <v>Rojo</v>
      </c>
      <c r="E306" s="108">
        <v>62.0245689</v>
      </c>
      <c r="F306" s="108" t="str">
        <f t="shared" si="2"/>
        <v>Naranja</v>
      </c>
    </row>
    <row r="307">
      <c r="A307" s="85">
        <v>71501.0</v>
      </c>
      <c r="B307" s="109" t="s">
        <v>399</v>
      </c>
      <c r="C307" s="108">
        <v>61.9423989</v>
      </c>
      <c r="D307" s="108" t="str">
        <f t="shared" si="1"/>
        <v>Naranja</v>
      </c>
      <c r="E307" s="108">
        <v>70.8854322</v>
      </c>
      <c r="F307" s="108" t="str">
        <f t="shared" si="2"/>
        <v>Amarillo</v>
      </c>
    </row>
    <row r="308">
      <c r="A308" s="85">
        <v>71502.0</v>
      </c>
      <c r="B308" s="109" t="s">
        <v>400</v>
      </c>
      <c r="C308" s="108">
        <v>35.3435565</v>
      </c>
      <c r="D308" s="108" t="str">
        <f t="shared" si="1"/>
        <v>Rojo</v>
      </c>
      <c r="E308" s="108">
        <v>51.1383263</v>
      </c>
      <c r="F308" s="108" t="str">
        <f t="shared" si="2"/>
        <v>Naranja</v>
      </c>
    </row>
    <row r="309">
      <c r="A309" s="85">
        <v>71503.0</v>
      </c>
      <c r="B309" s="109" t="s">
        <v>330</v>
      </c>
      <c r="C309" s="108">
        <v>38.0973035</v>
      </c>
      <c r="D309" s="108" t="str">
        <f t="shared" si="1"/>
        <v>Rojo</v>
      </c>
      <c r="E309" s="108">
        <v>59.5316327</v>
      </c>
      <c r="F309" s="108" t="str">
        <f t="shared" si="2"/>
        <v>Naranja</v>
      </c>
    </row>
    <row r="310">
      <c r="A310" s="85">
        <v>80101.0</v>
      </c>
      <c r="B310" s="109" t="s">
        <v>402</v>
      </c>
      <c r="C310" s="108">
        <v>93.926489</v>
      </c>
      <c r="D310" s="108" t="str">
        <f t="shared" si="1"/>
        <v>Verde</v>
      </c>
      <c r="E310" s="108">
        <v>97.3951721</v>
      </c>
      <c r="F310" s="108" t="str">
        <f t="shared" si="2"/>
        <v>Verde</v>
      </c>
    </row>
    <row r="311">
      <c r="A311" s="85">
        <v>80102.0</v>
      </c>
      <c r="B311" s="109" t="s">
        <v>384</v>
      </c>
      <c r="C311" s="108">
        <v>27.9123414</v>
      </c>
      <c r="D311" s="108" t="str">
        <f t="shared" si="1"/>
        <v>Rojo</v>
      </c>
      <c r="E311" s="108">
        <v>46.8527853</v>
      </c>
      <c r="F311" s="108" t="str">
        <f t="shared" si="2"/>
        <v>Rojo</v>
      </c>
    </row>
    <row r="312">
      <c r="A312" s="85">
        <v>80201.0</v>
      </c>
      <c r="B312" s="109" t="s">
        <v>404</v>
      </c>
      <c r="C312" s="108">
        <v>69.2358603</v>
      </c>
      <c r="D312" s="108" t="str">
        <f t="shared" si="1"/>
        <v>Amarillo</v>
      </c>
      <c r="E312" s="108">
        <v>84.8365023</v>
      </c>
      <c r="F312" s="108" t="str">
        <f t="shared" si="2"/>
        <v>Amarillo</v>
      </c>
    </row>
    <row r="313">
      <c r="A313" s="85">
        <v>80202.0</v>
      </c>
      <c r="B313" s="109" t="s">
        <v>405</v>
      </c>
      <c r="C313" s="108">
        <v>79.5432825</v>
      </c>
      <c r="D313" s="108" t="str">
        <f t="shared" si="1"/>
        <v>Amarillo</v>
      </c>
      <c r="E313" s="108">
        <v>86.7067284</v>
      </c>
      <c r="F313" s="108" t="str">
        <f t="shared" si="2"/>
        <v>Verde</v>
      </c>
    </row>
    <row r="314">
      <c r="A314" s="85">
        <v>80301.0</v>
      </c>
      <c r="B314" s="109" t="s">
        <v>407</v>
      </c>
      <c r="C314" s="108">
        <v>38.1167667</v>
      </c>
      <c r="D314" s="108" t="str">
        <f t="shared" si="1"/>
        <v>Rojo</v>
      </c>
      <c r="E314" s="108">
        <v>56.7182884</v>
      </c>
      <c r="F314" s="108" t="str">
        <f t="shared" si="2"/>
        <v>Naranja</v>
      </c>
    </row>
    <row r="315">
      <c r="A315" s="85">
        <v>80302.0</v>
      </c>
      <c r="B315" s="109" t="s">
        <v>408</v>
      </c>
      <c r="C315" s="108">
        <v>45.8188241</v>
      </c>
      <c r="D315" s="108" t="str">
        <f t="shared" si="1"/>
        <v>Rojo</v>
      </c>
      <c r="E315" s="108">
        <v>50.3303597</v>
      </c>
      <c r="F315" s="108" t="str">
        <f t="shared" si="2"/>
        <v>Naranja</v>
      </c>
    </row>
    <row r="316">
      <c r="A316" s="85">
        <v>80303.0</v>
      </c>
      <c r="B316" s="109" t="s">
        <v>356</v>
      </c>
      <c r="C316" s="108">
        <v>42.9456522</v>
      </c>
      <c r="D316" s="108" t="str">
        <f t="shared" si="1"/>
        <v>Rojo</v>
      </c>
      <c r="E316" s="108">
        <v>65.8532076</v>
      </c>
      <c r="F316" s="108" t="str">
        <f t="shared" si="2"/>
        <v>Naranja</v>
      </c>
    </row>
    <row r="317">
      <c r="A317" s="85">
        <v>80304.0</v>
      </c>
      <c r="B317" s="109" t="s">
        <v>409</v>
      </c>
      <c r="C317" s="108">
        <v>64.0881518</v>
      </c>
      <c r="D317" s="108" t="str">
        <f t="shared" si="1"/>
        <v>Naranja</v>
      </c>
      <c r="E317" s="108">
        <v>73.111364</v>
      </c>
      <c r="F317" s="108" t="str">
        <f t="shared" si="2"/>
        <v>Amarillo</v>
      </c>
    </row>
    <row r="318">
      <c r="A318" s="85">
        <v>80401.0</v>
      </c>
      <c r="B318" s="109" t="s">
        <v>411</v>
      </c>
      <c r="C318" s="108">
        <v>62.1626561</v>
      </c>
      <c r="D318" s="108" t="str">
        <f t="shared" si="1"/>
        <v>Naranja</v>
      </c>
      <c r="E318" s="108">
        <v>73.0450003</v>
      </c>
      <c r="F318" s="108" t="str">
        <f t="shared" si="2"/>
        <v>Amarillo</v>
      </c>
    </row>
    <row r="319">
      <c r="A319" s="85">
        <v>80402.0</v>
      </c>
      <c r="B319" s="109" t="s">
        <v>412</v>
      </c>
      <c r="C319" s="108">
        <v>9.3629828</v>
      </c>
      <c r="D319" s="108" t="str">
        <f t="shared" si="1"/>
        <v>Rojo</v>
      </c>
      <c r="E319" s="108">
        <v>29.5401705</v>
      </c>
      <c r="F319" s="108" t="str">
        <f t="shared" si="2"/>
        <v>Rojo</v>
      </c>
    </row>
    <row r="320">
      <c r="A320" s="85">
        <v>80501.0</v>
      </c>
      <c r="B320" s="109" t="s">
        <v>342</v>
      </c>
      <c r="C320" s="108">
        <v>38.3064733</v>
      </c>
      <c r="D320" s="108" t="str">
        <f t="shared" si="1"/>
        <v>Rojo</v>
      </c>
      <c r="E320" s="108">
        <v>55.1059362</v>
      </c>
      <c r="F320" s="108" t="str">
        <f t="shared" si="2"/>
        <v>Naranja</v>
      </c>
    </row>
    <row r="321">
      <c r="A321" s="85">
        <v>80601.0</v>
      </c>
      <c r="B321" s="109" t="s">
        <v>415</v>
      </c>
      <c r="C321" s="108">
        <v>14.2201835</v>
      </c>
      <c r="D321" s="108" t="str">
        <f t="shared" si="1"/>
        <v>Rojo</v>
      </c>
      <c r="E321" s="108">
        <v>36.376571</v>
      </c>
      <c r="F321" s="108" t="str">
        <f t="shared" si="2"/>
        <v>Rojo</v>
      </c>
    </row>
    <row r="322">
      <c r="A322" s="85">
        <v>80602.0</v>
      </c>
      <c r="B322" s="109" t="s">
        <v>416</v>
      </c>
      <c r="C322" s="108">
        <v>28.8441868</v>
      </c>
      <c r="D322" s="108" t="str">
        <f t="shared" si="1"/>
        <v>Rojo</v>
      </c>
      <c r="E322" s="108">
        <v>47.6655005</v>
      </c>
      <c r="F322" s="108" t="str">
        <f t="shared" si="2"/>
        <v>Rojo</v>
      </c>
    </row>
    <row r="323">
      <c r="A323" s="85">
        <v>80701.0</v>
      </c>
      <c r="B323" s="109" t="s">
        <v>418</v>
      </c>
      <c r="C323" s="108">
        <v>45.96302</v>
      </c>
      <c r="D323" s="108" t="str">
        <f t="shared" si="1"/>
        <v>Rojo</v>
      </c>
      <c r="E323" s="108">
        <v>75.8748589</v>
      </c>
      <c r="F323" s="108" t="str">
        <f t="shared" si="2"/>
        <v>Amarillo</v>
      </c>
    </row>
    <row r="324">
      <c r="A324" s="85">
        <v>80702.0</v>
      </c>
      <c r="B324" s="109" t="s">
        <v>387</v>
      </c>
      <c r="C324" s="108">
        <v>41.8792517</v>
      </c>
      <c r="D324" s="108" t="str">
        <f t="shared" si="1"/>
        <v>Rojo</v>
      </c>
      <c r="E324" s="108">
        <v>65.5709992</v>
      </c>
      <c r="F324" s="108" t="str">
        <f t="shared" si="2"/>
        <v>Naranja</v>
      </c>
    </row>
    <row r="325">
      <c r="A325" s="85">
        <v>80703.0</v>
      </c>
      <c r="B325" s="109" t="s">
        <v>419</v>
      </c>
      <c r="C325" s="108">
        <v>15.7451923</v>
      </c>
      <c r="D325" s="108" t="str">
        <f t="shared" si="1"/>
        <v>Rojo</v>
      </c>
      <c r="E325" s="108">
        <v>66.603235</v>
      </c>
      <c r="F325" s="108" t="str">
        <f t="shared" si="2"/>
        <v>Naranja</v>
      </c>
    </row>
    <row r="326">
      <c r="A326" s="85">
        <v>80801.0</v>
      </c>
      <c r="B326" s="109" t="s">
        <v>421</v>
      </c>
      <c r="C326" s="108">
        <v>43.5488283</v>
      </c>
      <c r="D326" s="108" t="str">
        <f t="shared" si="1"/>
        <v>Rojo</v>
      </c>
      <c r="E326" s="108">
        <v>65.5274769</v>
      </c>
      <c r="F326" s="108" t="str">
        <f t="shared" si="2"/>
        <v>Naranja</v>
      </c>
    </row>
    <row r="327">
      <c r="A327" s="85">
        <v>80802.0</v>
      </c>
      <c r="B327" s="109" t="s">
        <v>422</v>
      </c>
      <c r="C327" s="108">
        <v>36.109579</v>
      </c>
      <c r="D327" s="108" t="str">
        <f t="shared" si="1"/>
        <v>Rojo</v>
      </c>
      <c r="E327" s="108">
        <v>51.2987013</v>
      </c>
      <c r="F327" s="108" t="str">
        <f t="shared" si="2"/>
        <v>Naranja</v>
      </c>
    </row>
    <row r="328">
      <c r="A328" s="85">
        <v>80803.0</v>
      </c>
      <c r="B328" s="109" t="s">
        <v>423</v>
      </c>
      <c r="C328" s="108">
        <v>26.7637459</v>
      </c>
      <c r="D328" s="108" t="str">
        <f t="shared" si="1"/>
        <v>Rojo</v>
      </c>
      <c r="E328" s="108">
        <v>58.2073197</v>
      </c>
      <c r="F328" s="108" t="str">
        <f t="shared" si="2"/>
        <v>Naranja</v>
      </c>
    </row>
    <row r="329">
      <c r="A329" s="85">
        <v>80901.0</v>
      </c>
      <c r="B329" s="109" t="s">
        <v>425</v>
      </c>
      <c r="C329" s="108">
        <v>1.7296605</v>
      </c>
      <c r="D329" s="108" t="str">
        <f t="shared" si="1"/>
        <v>Rojo</v>
      </c>
      <c r="E329" s="108">
        <v>9.0886012</v>
      </c>
      <c r="F329" s="108" t="str">
        <f t="shared" si="2"/>
        <v>Rojo</v>
      </c>
    </row>
    <row r="330">
      <c r="A330" s="85">
        <v>90101.0</v>
      </c>
      <c r="B330" s="109" t="s">
        <v>428</v>
      </c>
      <c r="C330" s="108">
        <v>94.3648001</v>
      </c>
      <c r="D330" s="108" t="str">
        <f t="shared" si="1"/>
        <v>Verde</v>
      </c>
      <c r="E330" s="108">
        <v>98.3784733</v>
      </c>
      <c r="F330" s="108" t="str">
        <f t="shared" si="2"/>
        <v>Verde</v>
      </c>
    </row>
    <row r="331">
      <c r="A331" s="85">
        <v>90102.0</v>
      </c>
      <c r="B331" s="109" t="s">
        <v>429</v>
      </c>
      <c r="C331" s="108">
        <v>69.3820598</v>
      </c>
      <c r="D331" s="108" t="str">
        <f t="shared" si="1"/>
        <v>Amarillo</v>
      </c>
      <c r="E331" s="108">
        <v>90.6868193</v>
      </c>
      <c r="F331" s="108" t="str">
        <f t="shared" si="2"/>
        <v>Verde</v>
      </c>
    </row>
    <row r="332">
      <c r="A332" s="85">
        <v>90103.0</v>
      </c>
      <c r="B332" s="109" t="s">
        <v>430</v>
      </c>
      <c r="C332" s="108">
        <v>22.4817518</v>
      </c>
      <c r="D332" s="108" t="str">
        <f t="shared" si="1"/>
        <v>Rojo</v>
      </c>
      <c r="E332" s="108">
        <v>59.595525</v>
      </c>
      <c r="F332" s="108" t="str">
        <f t="shared" si="2"/>
        <v>Naranja</v>
      </c>
    </row>
    <row r="333">
      <c r="A333" s="85">
        <v>90104.0</v>
      </c>
      <c r="B333" s="109" t="s">
        <v>431</v>
      </c>
      <c r="C333" s="108">
        <v>44.6210616</v>
      </c>
      <c r="D333" s="108" t="str">
        <f t="shared" si="1"/>
        <v>Rojo</v>
      </c>
      <c r="E333" s="108">
        <v>74.191652</v>
      </c>
      <c r="F333" s="108" t="str">
        <f t="shared" si="2"/>
        <v>Amarillo</v>
      </c>
    </row>
    <row r="334">
      <c r="A334" s="85">
        <v>90201.0</v>
      </c>
      <c r="B334" s="109" t="s">
        <v>433</v>
      </c>
      <c r="C334" s="108">
        <v>48.3345272</v>
      </c>
      <c r="D334" s="108" t="str">
        <f t="shared" si="1"/>
        <v>Rojo</v>
      </c>
      <c r="E334" s="108">
        <v>78.2007938</v>
      </c>
      <c r="F334" s="108" t="str">
        <f t="shared" si="2"/>
        <v>Amarillo</v>
      </c>
    </row>
    <row r="335">
      <c r="A335" s="85">
        <v>90202.0</v>
      </c>
      <c r="B335" s="109" t="s">
        <v>280</v>
      </c>
      <c r="C335" s="108">
        <v>4.0685945</v>
      </c>
      <c r="D335" s="108" t="str">
        <f t="shared" si="1"/>
        <v>Rojo</v>
      </c>
      <c r="E335" s="108">
        <v>11.0015408</v>
      </c>
      <c r="F335" s="108" t="str">
        <f t="shared" si="2"/>
        <v>Rojo</v>
      </c>
    </row>
    <row r="336">
      <c r="A336" s="85">
        <v>90203.0</v>
      </c>
      <c r="B336" s="109" t="s">
        <v>434</v>
      </c>
      <c r="C336" s="108">
        <v>21.4857975</v>
      </c>
      <c r="D336" s="108" t="str">
        <f t="shared" si="1"/>
        <v>Rojo</v>
      </c>
      <c r="E336" s="108">
        <v>78.5408266</v>
      </c>
      <c r="F336" s="108" t="str">
        <f t="shared" si="2"/>
        <v>Amarillo</v>
      </c>
    </row>
    <row r="337">
      <c r="A337" s="85">
        <v>90301.0</v>
      </c>
      <c r="B337" s="109" t="s">
        <v>436</v>
      </c>
      <c r="C337" s="108">
        <v>14.3826503</v>
      </c>
      <c r="D337" s="108" t="str">
        <f t="shared" si="1"/>
        <v>Rojo</v>
      </c>
      <c r="E337" s="108">
        <v>49.2933619</v>
      </c>
      <c r="F337" s="108" t="str">
        <f t="shared" si="2"/>
        <v>Rojo</v>
      </c>
    </row>
    <row r="338">
      <c r="A338" s="85">
        <v>90302.0</v>
      </c>
      <c r="B338" s="109" t="s">
        <v>329</v>
      </c>
      <c r="C338" s="108">
        <v>13.3854908</v>
      </c>
      <c r="D338" s="108" t="str">
        <f t="shared" si="1"/>
        <v>Rojo</v>
      </c>
      <c r="E338" s="108">
        <v>56.0960202</v>
      </c>
      <c r="F338" s="108" t="str">
        <f t="shared" si="2"/>
        <v>Naranja</v>
      </c>
    </row>
    <row r="339">
      <c r="A339" s="85">
        <v>90303.0</v>
      </c>
      <c r="B339" s="109" t="s">
        <v>437</v>
      </c>
      <c r="C339" s="108">
        <v>15.845983</v>
      </c>
      <c r="D339" s="108" t="str">
        <f t="shared" si="1"/>
        <v>Rojo</v>
      </c>
      <c r="E339" s="108">
        <v>55.8386621</v>
      </c>
      <c r="F339" s="108" t="str">
        <f t="shared" si="2"/>
        <v>Naranja</v>
      </c>
    </row>
    <row r="340">
      <c r="A340" s="85">
        <v>90401.0</v>
      </c>
      <c r="B340" s="109" t="s">
        <v>356</v>
      </c>
      <c r="C340" s="108">
        <v>23.9852399</v>
      </c>
      <c r="D340" s="108" t="str">
        <f t="shared" si="1"/>
        <v>Rojo</v>
      </c>
      <c r="E340" s="108">
        <v>74.1489362</v>
      </c>
      <c r="F340" s="108" t="str">
        <f t="shared" si="2"/>
        <v>Amarillo</v>
      </c>
    </row>
    <row r="341">
      <c r="A341" s="85">
        <v>90402.0</v>
      </c>
      <c r="B341" s="109" t="s">
        <v>99</v>
      </c>
      <c r="C341" s="108">
        <v>10.1003764</v>
      </c>
      <c r="D341" s="108" t="str">
        <f t="shared" si="1"/>
        <v>Rojo</v>
      </c>
      <c r="E341" s="108">
        <v>48.678501</v>
      </c>
      <c r="F341" s="108" t="str">
        <f t="shared" si="2"/>
        <v>Rojo</v>
      </c>
    </row>
    <row r="342">
      <c r="A342" s="85">
        <v>90501.0</v>
      </c>
      <c r="B342" s="109" t="s">
        <v>440</v>
      </c>
      <c r="C342" s="108">
        <v>20.2939514</v>
      </c>
      <c r="D342" s="108" t="str">
        <f t="shared" si="1"/>
        <v>Rojo</v>
      </c>
      <c r="E342" s="108">
        <v>59.3252705</v>
      </c>
      <c r="F342" s="108" t="str">
        <f t="shared" si="2"/>
        <v>Naranja</v>
      </c>
    </row>
    <row r="343">
      <c r="A343" s="85">
        <v>90502.0</v>
      </c>
      <c r="B343" s="109" t="s">
        <v>441</v>
      </c>
      <c r="C343" s="108">
        <v>15.4123154</v>
      </c>
      <c r="D343" s="108" t="str">
        <f t="shared" si="1"/>
        <v>Rojo</v>
      </c>
      <c r="E343" s="108">
        <v>43.2377876</v>
      </c>
      <c r="F343" s="108" t="str">
        <f t="shared" si="2"/>
        <v>Rojo</v>
      </c>
    </row>
    <row r="344">
      <c r="A344" s="85">
        <v>90503.0</v>
      </c>
      <c r="B344" s="109" t="s">
        <v>442</v>
      </c>
      <c r="C344" s="108">
        <v>5.2658487</v>
      </c>
      <c r="D344" s="108" t="str">
        <f t="shared" si="1"/>
        <v>Rojo</v>
      </c>
      <c r="E344" s="108">
        <v>42.5991189</v>
      </c>
      <c r="F344" s="108" t="str">
        <f t="shared" si="2"/>
        <v>Rojo</v>
      </c>
    </row>
    <row r="345">
      <c r="A345" s="85"/>
      <c r="B345" s="85"/>
      <c r="C345" s="85"/>
      <c r="D345" s="85"/>
      <c r="E345" s="85"/>
      <c r="F345" s="85"/>
    </row>
    <row r="346">
      <c r="A346" s="85"/>
      <c r="B346" s="85"/>
      <c r="C346" s="85"/>
      <c r="D346" s="85"/>
      <c r="E346" s="85"/>
      <c r="F346" s="85"/>
    </row>
    <row r="347">
      <c r="A347" s="85"/>
      <c r="B347" s="85"/>
      <c r="C347" s="85"/>
      <c r="D347" s="85"/>
      <c r="E347" s="85"/>
      <c r="F347" s="85"/>
    </row>
    <row r="348">
      <c r="A348" s="85"/>
      <c r="B348" s="85"/>
      <c r="C348" s="85"/>
      <c r="D348" s="85"/>
      <c r="E348" s="85"/>
      <c r="F348" s="85"/>
    </row>
    <row r="349">
      <c r="A349" s="85"/>
      <c r="B349" s="85"/>
      <c r="C349" s="85"/>
      <c r="D349" s="85"/>
      <c r="E349" s="85"/>
      <c r="F349" s="85"/>
    </row>
    <row r="350">
      <c r="A350" s="85"/>
      <c r="B350" s="85"/>
      <c r="C350" s="85"/>
      <c r="D350" s="85"/>
      <c r="E350" s="85"/>
      <c r="F350" s="85"/>
    </row>
    <row r="351">
      <c r="A351" s="85"/>
      <c r="B351" s="85"/>
      <c r="C351" s="85"/>
      <c r="D351" s="85"/>
      <c r="E351" s="85"/>
      <c r="F351" s="85"/>
    </row>
    <row r="352">
      <c r="A352" s="85"/>
      <c r="B352" s="85"/>
      <c r="C352" s="85"/>
      <c r="D352" s="85"/>
      <c r="E352" s="85"/>
      <c r="F352" s="85"/>
    </row>
    <row r="353">
      <c r="A353" s="85"/>
      <c r="B353" s="85"/>
      <c r="C353" s="85"/>
      <c r="D353" s="85"/>
      <c r="E353" s="85"/>
      <c r="F353" s="85"/>
    </row>
    <row r="354">
      <c r="A354" s="85"/>
      <c r="B354" s="85"/>
      <c r="C354" s="85"/>
      <c r="D354" s="85"/>
      <c r="E354" s="85"/>
      <c r="F354" s="85"/>
    </row>
    <row r="355">
      <c r="A355" s="85"/>
      <c r="B355" s="85"/>
      <c r="C355" s="85"/>
      <c r="D355" s="85"/>
      <c r="E355" s="85"/>
      <c r="F355" s="85"/>
    </row>
    <row r="356">
      <c r="A356" s="85"/>
      <c r="B356" s="85"/>
      <c r="C356" s="85"/>
      <c r="D356" s="85"/>
      <c r="E356" s="85"/>
      <c r="F356" s="85"/>
    </row>
    <row r="357">
      <c r="A357" s="85"/>
      <c r="B357" s="85"/>
      <c r="C357" s="85"/>
      <c r="D357" s="85"/>
      <c r="E357" s="85"/>
      <c r="F357" s="85"/>
    </row>
    <row r="358">
      <c r="A358" s="85"/>
      <c r="B358" s="85"/>
      <c r="C358" s="85"/>
      <c r="D358" s="85"/>
      <c r="E358" s="85"/>
      <c r="F358" s="85"/>
    </row>
    <row r="359">
      <c r="A359" s="85"/>
      <c r="B359" s="85"/>
      <c r="C359" s="85"/>
      <c r="D359" s="85"/>
      <c r="E359" s="85"/>
      <c r="F359" s="85"/>
    </row>
    <row r="360">
      <c r="A360" s="85"/>
      <c r="B360" s="85"/>
      <c r="C360" s="85"/>
      <c r="D360" s="85"/>
      <c r="E360" s="85"/>
      <c r="F360" s="85"/>
    </row>
    <row r="361">
      <c r="A361" s="85"/>
      <c r="B361" s="85"/>
      <c r="C361" s="85"/>
      <c r="D361" s="85"/>
      <c r="E361" s="85"/>
      <c r="F361" s="85"/>
    </row>
    <row r="362">
      <c r="A362" s="85"/>
      <c r="B362" s="85"/>
      <c r="C362" s="85"/>
      <c r="D362" s="85"/>
      <c r="E362" s="85"/>
      <c r="F362" s="85"/>
    </row>
    <row r="363">
      <c r="A363" s="85"/>
      <c r="B363" s="85"/>
      <c r="C363" s="85"/>
      <c r="D363" s="85"/>
      <c r="E363" s="85"/>
      <c r="F363" s="85"/>
    </row>
    <row r="364">
      <c r="A364" s="85"/>
      <c r="B364" s="85"/>
      <c r="C364" s="85"/>
      <c r="D364" s="85"/>
      <c r="E364" s="85"/>
      <c r="F364" s="85"/>
    </row>
    <row r="365">
      <c r="A365" s="85"/>
      <c r="B365" s="85"/>
      <c r="C365" s="85"/>
      <c r="D365" s="85"/>
      <c r="E365" s="85"/>
      <c r="F365" s="85"/>
    </row>
    <row r="366">
      <c r="A366" s="85"/>
      <c r="B366" s="85"/>
      <c r="C366" s="85"/>
      <c r="D366" s="85"/>
      <c r="E366" s="85"/>
      <c r="F366" s="85"/>
    </row>
    <row r="367">
      <c r="A367" s="85"/>
      <c r="B367" s="85"/>
      <c r="C367" s="85"/>
      <c r="D367" s="85"/>
      <c r="E367" s="85"/>
      <c r="F367" s="85"/>
    </row>
    <row r="368">
      <c r="A368" s="85"/>
      <c r="B368" s="85"/>
      <c r="C368" s="85"/>
      <c r="D368" s="85"/>
      <c r="E368" s="85"/>
      <c r="F368" s="85"/>
    </row>
    <row r="369">
      <c r="A369" s="85"/>
      <c r="B369" s="85"/>
      <c r="C369" s="85"/>
      <c r="D369" s="85"/>
      <c r="E369" s="85"/>
      <c r="F369" s="85"/>
    </row>
    <row r="370">
      <c r="A370" s="85"/>
      <c r="B370" s="85"/>
      <c r="C370" s="85"/>
      <c r="D370" s="85"/>
      <c r="E370" s="85"/>
      <c r="F370" s="85"/>
    </row>
    <row r="371">
      <c r="A371" s="85"/>
      <c r="B371" s="85"/>
      <c r="C371" s="85"/>
      <c r="D371" s="85"/>
      <c r="E371" s="85"/>
      <c r="F371" s="85"/>
    </row>
    <row r="372">
      <c r="A372" s="85"/>
      <c r="B372" s="85"/>
      <c r="C372" s="85"/>
      <c r="D372" s="85"/>
      <c r="E372" s="85"/>
      <c r="F372" s="85"/>
    </row>
    <row r="373">
      <c r="A373" s="85"/>
      <c r="B373" s="85"/>
      <c r="C373" s="85"/>
      <c r="D373" s="85"/>
      <c r="E373" s="85"/>
      <c r="F373" s="85"/>
    </row>
    <row r="374">
      <c r="A374" s="85"/>
      <c r="B374" s="85"/>
      <c r="C374" s="85"/>
      <c r="D374" s="85"/>
      <c r="E374" s="85"/>
      <c r="F374" s="85"/>
    </row>
    <row r="375">
      <c r="A375" s="85"/>
      <c r="B375" s="85"/>
      <c r="C375" s="85"/>
      <c r="D375" s="85"/>
      <c r="E375" s="85"/>
      <c r="F375" s="85"/>
    </row>
    <row r="376">
      <c r="A376" s="85"/>
      <c r="B376" s="85"/>
      <c r="C376" s="85"/>
      <c r="D376" s="85"/>
      <c r="E376" s="85"/>
      <c r="F376" s="85"/>
    </row>
    <row r="377">
      <c r="A377" s="85"/>
      <c r="B377" s="85"/>
      <c r="C377" s="85"/>
      <c r="D377" s="85"/>
      <c r="E377" s="85"/>
      <c r="F377" s="85"/>
    </row>
    <row r="378">
      <c r="A378" s="85"/>
      <c r="B378" s="85"/>
      <c r="C378" s="85"/>
      <c r="D378" s="85"/>
      <c r="E378" s="85"/>
      <c r="F378" s="85"/>
    </row>
    <row r="379">
      <c r="A379" s="85"/>
      <c r="B379" s="85"/>
      <c r="C379" s="85"/>
      <c r="D379" s="85"/>
      <c r="E379" s="85"/>
      <c r="F379" s="85"/>
    </row>
    <row r="380">
      <c r="A380" s="85"/>
      <c r="B380" s="85"/>
      <c r="C380" s="85"/>
      <c r="D380" s="85"/>
      <c r="E380" s="85"/>
      <c r="F380" s="85"/>
    </row>
    <row r="381">
      <c r="A381" s="85"/>
      <c r="B381" s="85"/>
      <c r="C381" s="85"/>
      <c r="D381" s="85"/>
      <c r="E381" s="85"/>
      <c r="F381" s="85"/>
    </row>
    <row r="382">
      <c r="A382" s="85"/>
      <c r="B382" s="85"/>
      <c r="C382" s="85"/>
      <c r="D382" s="85"/>
      <c r="E382" s="85"/>
      <c r="F382" s="85"/>
    </row>
    <row r="383">
      <c r="A383" s="85"/>
      <c r="B383" s="85"/>
      <c r="C383" s="85"/>
      <c r="D383" s="85"/>
      <c r="E383" s="85"/>
      <c r="F383" s="85"/>
    </row>
    <row r="384">
      <c r="A384" s="85"/>
      <c r="B384" s="85"/>
      <c r="C384" s="85"/>
      <c r="D384" s="85"/>
      <c r="E384" s="85"/>
      <c r="F384" s="85"/>
    </row>
    <row r="385">
      <c r="A385" s="85"/>
      <c r="B385" s="85"/>
      <c r="C385" s="85"/>
      <c r="D385" s="85"/>
      <c r="E385" s="85"/>
      <c r="F385" s="85"/>
    </row>
    <row r="386">
      <c r="A386" s="85"/>
      <c r="B386" s="85"/>
      <c r="C386" s="85"/>
      <c r="D386" s="85"/>
      <c r="E386" s="85"/>
      <c r="F386" s="85"/>
    </row>
    <row r="387">
      <c r="A387" s="85"/>
      <c r="B387" s="85"/>
      <c r="C387" s="85"/>
      <c r="D387" s="85"/>
      <c r="E387" s="85"/>
      <c r="F387" s="85"/>
    </row>
    <row r="388">
      <c r="A388" s="85"/>
      <c r="B388" s="85"/>
      <c r="C388" s="85"/>
      <c r="D388" s="85"/>
      <c r="E388" s="85"/>
      <c r="F388" s="85"/>
    </row>
    <row r="389">
      <c r="A389" s="85"/>
      <c r="B389" s="85"/>
      <c r="C389" s="85"/>
      <c r="D389" s="85"/>
      <c r="E389" s="85"/>
      <c r="F389" s="85"/>
    </row>
    <row r="390">
      <c r="A390" s="85"/>
      <c r="B390" s="85"/>
      <c r="C390" s="85"/>
      <c r="D390" s="85"/>
      <c r="E390" s="85"/>
      <c r="F390" s="85"/>
    </row>
    <row r="391">
      <c r="A391" s="85"/>
      <c r="B391" s="85"/>
      <c r="C391" s="85"/>
      <c r="D391" s="85"/>
      <c r="E391" s="85"/>
      <c r="F391" s="85"/>
    </row>
    <row r="392">
      <c r="A392" s="85"/>
      <c r="B392" s="85"/>
      <c r="C392" s="85"/>
      <c r="D392" s="85"/>
      <c r="E392" s="85"/>
      <c r="F392" s="85"/>
    </row>
    <row r="393">
      <c r="A393" s="85"/>
      <c r="B393" s="85"/>
      <c r="C393" s="85"/>
      <c r="D393" s="85"/>
      <c r="E393" s="85"/>
      <c r="F393" s="85"/>
    </row>
    <row r="394">
      <c r="A394" s="85"/>
      <c r="B394" s="85"/>
      <c r="C394" s="85"/>
      <c r="D394" s="85"/>
      <c r="E394" s="85"/>
      <c r="F394" s="85"/>
    </row>
    <row r="395">
      <c r="A395" s="85"/>
      <c r="B395" s="85"/>
      <c r="C395" s="85"/>
      <c r="D395" s="85"/>
      <c r="E395" s="85"/>
      <c r="F395" s="85"/>
    </row>
    <row r="396">
      <c r="A396" s="85"/>
      <c r="B396" s="85"/>
      <c r="C396" s="85"/>
      <c r="D396" s="85"/>
      <c r="E396" s="85"/>
      <c r="F396" s="85"/>
    </row>
    <row r="397">
      <c r="A397" s="85"/>
      <c r="B397" s="85"/>
      <c r="C397" s="85"/>
      <c r="D397" s="85"/>
      <c r="E397" s="85"/>
      <c r="F397" s="85"/>
    </row>
    <row r="398">
      <c r="A398" s="85"/>
      <c r="B398" s="85"/>
      <c r="C398" s="85"/>
      <c r="D398" s="85"/>
      <c r="E398" s="85"/>
      <c r="F398" s="85"/>
    </row>
    <row r="399">
      <c r="A399" s="85"/>
      <c r="B399" s="85"/>
      <c r="C399" s="85"/>
      <c r="D399" s="85"/>
      <c r="E399" s="85"/>
      <c r="F399" s="85"/>
    </row>
    <row r="400">
      <c r="A400" s="85"/>
      <c r="B400" s="85"/>
      <c r="C400" s="85"/>
      <c r="D400" s="85"/>
      <c r="E400" s="85"/>
      <c r="F400" s="85"/>
    </row>
    <row r="401">
      <c r="A401" s="85"/>
      <c r="B401" s="85"/>
      <c r="C401" s="85"/>
      <c r="D401" s="85"/>
      <c r="E401" s="85"/>
      <c r="F401" s="85"/>
    </row>
    <row r="402">
      <c r="A402" s="85"/>
      <c r="B402" s="85"/>
      <c r="C402" s="85"/>
      <c r="D402" s="85"/>
      <c r="E402" s="85"/>
      <c r="F402" s="85"/>
    </row>
    <row r="403">
      <c r="A403" s="85"/>
      <c r="B403" s="85"/>
      <c r="C403" s="85"/>
      <c r="D403" s="85"/>
      <c r="E403" s="85"/>
      <c r="F403" s="85"/>
    </row>
    <row r="404">
      <c r="A404" s="85"/>
      <c r="B404" s="85"/>
      <c r="C404" s="85"/>
      <c r="D404" s="85"/>
      <c r="E404" s="85"/>
      <c r="F404" s="85"/>
    </row>
    <row r="405">
      <c r="A405" s="85"/>
      <c r="B405" s="85"/>
      <c r="C405" s="85"/>
      <c r="D405" s="85"/>
      <c r="E405" s="85"/>
      <c r="F405" s="85"/>
    </row>
    <row r="406">
      <c r="A406" s="85"/>
      <c r="B406" s="85"/>
      <c r="C406" s="85"/>
      <c r="D406" s="85"/>
      <c r="E406" s="85"/>
      <c r="F406" s="85"/>
    </row>
    <row r="407">
      <c r="A407" s="85"/>
      <c r="B407" s="85"/>
      <c r="C407" s="85"/>
      <c r="D407" s="85"/>
      <c r="E407" s="85"/>
      <c r="F407" s="85"/>
    </row>
    <row r="408">
      <c r="A408" s="85"/>
      <c r="B408" s="85"/>
      <c r="C408" s="85"/>
      <c r="D408" s="85"/>
      <c r="E408" s="85"/>
      <c r="F408" s="85"/>
    </row>
    <row r="409">
      <c r="A409" s="85"/>
      <c r="B409" s="85"/>
      <c r="C409" s="85"/>
      <c r="D409" s="85"/>
      <c r="E409" s="85"/>
      <c r="F409" s="85"/>
    </row>
    <row r="410">
      <c r="A410" s="85"/>
      <c r="B410" s="85"/>
      <c r="C410" s="85"/>
      <c r="D410" s="85"/>
      <c r="E410" s="85"/>
      <c r="F410" s="85"/>
    </row>
    <row r="411">
      <c r="A411" s="85"/>
      <c r="B411" s="85"/>
      <c r="C411" s="85"/>
      <c r="D411" s="85"/>
      <c r="E411" s="85"/>
      <c r="F411" s="85"/>
    </row>
    <row r="412">
      <c r="A412" s="85"/>
      <c r="B412" s="85"/>
      <c r="C412" s="85"/>
      <c r="D412" s="85"/>
      <c r="E412" s="85"/>
      <c r="F412" s="85"/>
    </row>
    <row r="413">
      <c r="A413" s="85"/>
      <c r="B413" s="85"/>
      <c r="C413" s="85"/>
      <c r="D413" s="85"/>
      <c r="E413" s="85"/>
      <c r="F413" s="85"/>
    </row>
    <row r="414">
      <c r="A414" s="85"/>
      <c r="B414" s="85"/>
      <c r="C414" s="85"/>
      <c r="D414" s="85"/>
      <c r="E414" s="85"/>
      <c r="F414" s="85"/>
    </row>
    <row r="415">
      <c r="A415" s="85"/>
      <c r="B415" s="85"/>
      <c r="C415" s="85"/>
      <c r="D415" s="85"/>
      <c r="E415" s="85"/>
      <c r="F415" s="85"/>
    </row>
    <row r="416">
      <c r="A416" s="85"/>
      <c r="B416" s="85"/>
      <c r="C416" s="85"/>
      <c r="D416" s="85"/>
      <c r="E416" s="85"/>
      <c r="F416" s="85"/>
    </row>
    <row r="417">
      <c r="A417" s="85"/>
      <c r="B417" s="85"/>
      <c r="C417" s="85"/>
      <c r="D417" s="85"/>
      <c r="E417" s="85"/>
      <c r="F417" s="85"/>
    </row>
    <row r="418">
      <c r="A418" s="85"/>
      <c r="B418" s="85"/>
      <c r="C418" s="85"/>
      <c r="D418" s="85"/>
      <c r="E418" s="85"/>
      <c r="F418" s="85"/>
    </row>
    <row r="419">
      <c r="A419" s="85"/>
      <c r="B419" s="85"/>
      <c r="C419" s="85"/>
      <c r="D419" s="85"/>
      <c r="E419" s="85"/>
      <c r="F419" s="85"/>
    </row>
    <row r="420">
      <c r="A420" s="85"/>
      <c r="B420" s="85"/>
      <c r="C420" s="85"/>
      <c r="D420" s="85"/>
      <c r="E420" s="85"/>
      <c r="F420" s="85"/>
    </row>
    <row r="421">
      <c r="A421" s="85"/>
      <c r="B421" s="85"/>
      <c r="C421" s="85"/>
      <c r="D421" s="85"/>
      <c r="E421" s="85"/>
      <c r="F421" s="85"/>
    </row>
    <row r="422">
      <c r="A422" s="85"/>
      <c r="B422" s="85"/>
      <c r="C422" s="85"/>
      <c r="D422" s="85"/>
      <c r="E422" s="85"/>
      <c r="F422" s="85"/>
    </row>
    <row r="423">
      <c r="A423" s="85"/>
      <c r="B423" s="85"/>
      <c r="C423" s="85"/>
      <c r="D423" s="85"/>
      <c r="E423" s="85"/>
      <c r="F423" s="85"/>
    </row>
    <row r="424">
      <c r="A424" s="85"/>
      <c r="B424" s="85"/>
      <c r="C424" s="85"/>
      <c r="D424" s="85"/>
      <c r="E424" s="85"/>
      <c r="F424" s="85"/>
    </row>
    <row r="425">
      <c r="A425" s="85"/>
      <c r="B425" s="85"/>
      <c r="C425" s="85"/>
      <c r="D425" s="85"/>
      <c r="E425" s="85"/>
      <c r="F425" s="85"/>
    </row>
    <row r="426">
      <c r="A426" s="85"/>
      <c r="B426" s="85"/>
      <c r="C426" s="85"/>
      <c r="D426" s="85"/>
      <c r="E426" s="85"/>
      <c r="F426" s="85"/>
    </row>
    <row r="427">
      <c r="A427" s="85"/>
      <c r="B427" s="85"/>
      <c r="C427" s="85"/>
      <c r="D427" s="85"/>
      <c r="E427" s="85"/>
      <c r="F427" s="85"/>
    </row>
    <row r="428">
      <c r="A428" s="85"/>
      <c r="B428" s="85"/>
      <c r="C428" s="85"/>
      <c r="D428" s="85"/>
      <c r="E428" s="85"/>
      <c r="F428" s="85"/>
    </row>
    <row r="429">
      <c r="A429" s="85"/>
      <c r="B429" s="85"/>
      <c r="C429" s="85"/>
      <c r="D429" s="85"/>
      <c r="E429" s="85"/>
      <c r="F429" s="85"/>
    </row>
    <row r="430">
      <c r="A430" s="85"/>
      <c r="B430" s="85"/>
      <c r="C430" s="85"/>
      <c r="D430" s="85"/>
      <c r="E430" s="85"/>
      <c r="F430" s="85"/>
    </row>
    <row r="431">
      <c r="A431" s="85"/>
      <c r="B431" s="85"/>
      <c r="C431" s="85"/>
      <c r="D431" s="85"/>
      <c r="E431" s="85"/>
      <c r="F431" s="85"/>
    </row>
    <row r="432">
      <c r="A432" s="85"/>
      <c r="B432" s="85"/>
      <c r="C432" s="85"/>
      <c r="D432" s="85"/>
      <c r="E432" s="85"/>
      <c r="F432" s="85"/>
    </row>
    <row r="433">
      <c r="A433" s="85"/>
      <c r="B433" s="85"/>
      <c r="C433" s="85"/>
      <c r="D433" s="85"/>
      <c r="E433" s="85"/>
      <c r="F433" s="85"/>
    </row>
    <row r="434">
      <c r="A434" s="85"/>
      <c r="B434" s="85"/>
      <c r="C434" s="85"/>
      <c r="D434" s="85"/>
      <c r="E434" s="85"/>
      <c r="F434" s="85"/>
    </row>
    <row r="435">
      <c r="A435" s="85"/>
      <c r="B435" s="85"/>
      <c r="C435" s="85"/>
      <c r="D435" s="85"/>
      <c r="E435" s="85"/>
      <c r="F435" s="85"/>
    </row>
    <row r="436">
      <c r="A436" s="85"/>
      <c r="B436" s="85"/>
      <c r="C436" s="85"/>
      <c r="D436" s="85"/>
      <c r="E436" s="85"/>
      <c r="F436" s="85"/>
    </row>
    <row r="437">
      <c r="A437" s="85"/>
      <c r="B437" s="85"/>
      <c r="C437" s="85"/>
      <c r="D437" s="85"/>
      <c r="E437" s="85"/>
      <c r="F437" s="85"/>
    </row>
    <row r="438">
      <c r="A438" s="85"/>
      <c r="B438" s="85"/>
      <c r="C438" s="85"/>
      <c r="D438" s="85"/>
      <c r="E438" s="85"/>
      <c r="F438" s="85"/>
    </row>
    <row r="439">
      <c r="A439" s="85"/>
      <c r="B439" s="85"/>
      <c r="C439" s="85"/>
      <c r="D439" s="85"/>
      <c r="E439" s="85"/>
      <c r="F439" s="85"/>
    </row>
    <row r="440">
      <c r="A440" s="85"/>
      <c r="B440" s="85"/>
      <c r="C440" s="85"/>
      <c r="D440" s="85"/>
      <c r="E440" s="85"/>
      <c r="F440" s="85"/>
    </row>
    <row r="441">
      <c r="A441" s="85"/>
      <c r="B441" s="85"/>
      <c r="C441" s="85"/>
      <c r="D441" s="85"/>
      <c r="E441" s="85"/>
      <c r="F441" s="85"/>
    </row>
    <row r="442">
      <c r="A442" s="85"/>
      <c r="B442" s="85"/>
      <c r="C442" s="85"/>
      <c r="D442" s="85"/>
      <c r="E442" s="85"/>
      <c r="F442" s="85"/>
    </row>
    <row r="443">
      <c r="A443" s="85"/>
      <c r="B443" s="85"/>
      <c r="C443" s="85"/>
      <c r="D443" s="85"/>
      <c r="E443" s="85"/>
      <c r="F443" s="85"/>
    </row>
    <row r="444">
      <c r="A444" s="85"/>
      <c r="B444" s="85"/>
      <c r="C444" s="85"/>
      <c r="D444" s="85"/>
      <c r="E444" s="85"/>
      <c r="F444" s="85"/>
    </row>
    <row r="445">
      <c r="A445" s="85"/>
      <c r="B445" s="85"/>
      <c r="C445" s="85"/>
      <c r="D445" s="85"/>
      <c r="E445" s="85"/>
      <c r="F445" s="85"/>
    </row>
    <row r="446">
      <c r="A446" s="85"/>
      <c r="B446" s="85"/>
      <c r="C446" s="85"/>
      <c r="D446" s="85"/>
      <c r="E446" s="85"/>
      <c r="F446" s="85"/>
    </row>
    <row r="447">
      <c r="A447" s="85"/>
      <c r="B447" s="85"/>
      <c r="C447" s="85"/>
      <c r="D447" s="85"/>
      <c r="E447" s="85"/>
      <c r="F447" s="85"/>
    </row>
    <row r="448">
      <c r="A448" s="85"/>
      <c r="B448" s="85"/>
      <c r="C448" s="85"/>
      <c r="D448" s="85"/>
      <c r="E448" s="85"/>
      <c r="F448" s="85"/>
    </row>
    <row r="449">
      <c r="A449" s="85"/>
      <c r="B449" s="85"/>
      <c r="C449" s="85"/>
      <c r="D449" s="85"/>
      <c r="E449" s="85"/>
      <c r="F449" s="85"/>
    </row>
    <row r="450">
      <c r="A450" s="85"/>
      <c r="B450" s="85"/>
      <c r="C450" s="85"/>
      <c r="D450" s="85"/>
      <c r="E450" s="85"/>
      <c r="F450" s="85"/>
    </row>
    <row r="451">
      <c r="A451" s="85"/>
      <c r="B451" s="85"/>
      <c r="C451" s="85"/>
      <c r="D451" s="85"/>
      <c r="E451" s="85"/>
      <c r="F451" s="85"/>
    </row>
    <row r="452">
      <c r="A452" s="85"/>
      <c r="B452" s="85"/>
      <c r="C452" s="85"/>
      <c r="D452" s="85"/>
      <c r="E452" s="85"/>
      <c r="F452" s="85"/>
    </row>
    <row r="453">
      <c r="A453" s="85"/>
      <c r="B453" s="85"/>
      <c r="C453" s="85"/>
      <c r="D453" s="85"/>
      <c r="E453" s="85"/>
      <c r="F453" s="85"/>
    </row>
    <row r="454">
      <c r="A454" s="85"/>
      <c r="B454" s="85"/>
      <c r="C454" s="85"/>
      <c r="D454" s="85"/>
      <c r="E454" s="85"/>
      <c r="F454" s="85"/>
    </row>
    <row r="455">
      <c r="A455" s="85"/>
      <c r="B455" s="85"/>
      <c r="C455" s="85"/>
      <c r="D455" s="85"/>
      <c r="E455" s="85"/>
      <c r="F455" s="85"/>
    </row>
    <row r="456">
      <c r="A456" s="85"/>
      <c r="B456" s="85"/>
      <c r="C456" s="85"/>
      <c r="D456" s="85"/>
      <c r="E456" s="85"/>
      <c r="F456" s="85"/>
    </row>
    <row r="457">
      <c r="A457" s="85"/>
      <c r="B457" s="85"/>
      <c r="C457" s="85"/>
      <c r="D457" s="85"/>
      <c r="E457" s="85"/>
      <c r="F457" s="85"/>
    </row>
    <row r="458">
      <c r="A458" s="85"/>
      <c r="B458" s="85"/>
      <c r="C458" s="85"/>
      <c r="D458" s="85"/>
      <c r="E458" s="85"/>
      <c r="F458" s="85"/>
    </row>
    <row r="459">
      <c r="A459" s="85"/>
      <c r="B459" s="85"/>
      <c r="C459" s="85"/>
      <c r="D459" s="85"/>
      <c r="E459" s="85"/>
      <c r="F459" s="85"/>
    </row>
    <row r="460">
      <c r="A460" s="85"/>
      <c r="B460" s="85"/>
      <c r="C460" s="85"/>
      <c r="D460" s="85"/>
      <c r="E460" s="85"/>
      <c r="F460" s="85"/>
    </row>
    <row r="461">
      <c r="A461" s="85"/>
      <c r="B461" s="85"/>
      <c r="C461" s="85"/>
      <c r="D461" s="85"/>
      <c r="E461" s="85"/>
      <c r="F461" s="85"/>
    </row>
    <row r="462">
      <c r="A462" s="85"/>
      <c r="B462" s="85"/>
      <c r="C462" s="85"/>
      <c r="D462" s="85"/>
      <c r="E462" s="85"/>
      <c r="F462" s="85"/>
    </row>
    <row r="463">
      <c r="A463" s="85"/>
      <c r="B463" s="85"/>
      <c r="C463" s="85"/>
      <c r="D463" s="85"/>
      <c r="E463" s="85"/>
      <c r="F463" s="85"/>
    </row>
    <row r="464">
      <c r="A464" s="85"/>
      <c r="B464" s="85"/>
      <c r="C464" s="85"/>
      <c r="D464" s="85"/>
      <c r="E464" s="85"/>
      <c r="F464" s="85"/>
    </row>
    <row r="465">
      <c r="A465" s="85"/>
      <c r="B465" s="85"/>
      <c r="C465" s="85"/>
      <c r="D465" s="85"/>
      <c r="E465" s="85"/>
      <c r="F465" s="85"/>
    </row>
    <row r="466">
      <c r="A466" s="85"/>
      <c r="B466" s="85"/>
      <c r="C466" s="85"/>
      <c r="D466" s="85"/>
      <c r="E466" s="85"/>
      <c r="F466" s="85"/>
    </row>
    <row r="467">
      <c r="A467" s="85"/>
      <c r="B467" s="85"/>
      <c r="C467" s="85"/>
      <c r="D467" s="85"/>
      <c r="E467" s="85"/>
      <c r="F467" s="85"/>
    </row>
    <row r="468">
      <c r="A468" s="85"/>
      <c r="B468" s="85"/>
      <c r="C468" s="85"/>
      <c r="D468" s="85"/>
      <c r="E468" s="85"/>
      <c r="F468" s="85"/>
    </row>
    <row r="469">
      <c r="A469" s="85"/>
      <c r="B469" s="85"/>
      <c r="C469" s="85"/>
      <c r="D469" s="85"/>
      <c r="E469" s="85"/>
      <c r="F469" s="85"/>
    </row>
    <row r="470">
      <c r="A470" s="85"/>
      <c r="B470" s="85"/>
      <c r="C470" s="85"/>
      <c r="D470" s="85"/>
      <c r="E470" s="85"/>
      <c r="F470" s="85"/>
    </row>
    <row r="471">
      <c r="A471" s="85"/>
      <c r="B471" s="85"/>
      <c r="C471" s="85"/>
      <c r="D471" s="85"/>
      <c r="E471" s="85"/>
      <c r="F471" s="85"/>
    </row>
    <row r="472">
      <c r="A472" s="85"/>
      <c r="B472" s="85"/>
      <c r="C472" s="85"/>
      <c r="D472" s="85"/>
      <c r="E472" s="85"/>
      <c r="F472" s="85"/>
    </row>
    <row r="473">
      <c r="A473" s="85"/>
      <c r="B473" s="85"/>
      <c r="C473" s="85"/>
      <c r="D473" s="85"/>
      <c r="E473" s="85"/>
      <c r="F473" s="85"/>
    </row>
    <row r="474">
      <c r="A474" s="85"/>
      <c r="B474" s="85"/>
      <c r="C474" s="85"/>
      <c r="D474" s="85"/>
      <c r="E474" s="85"/>
      <c r="F474" s="85"/>
    </row>
    <row r="475">
      <c r="A475" s="85"/>
      <c r="B475" s="85"/>
      <c r="C475" s="85"/>
      <c r="D475" s="85"/>
      <c r="E475" s="85"/>
      <c r="F475" s="85"/>
    </row>
    <row r="476">
      <c r="A476" s="85"/>
      <c r="B476" s="85"/>
      <c r="C476" s="85"/>
      <c r="D476" s="85"/>
      <c r="E476" s="85"/>
      <c r="F476" s="85"/>
    </row>
    <row r="477">
      <c r="A477" s="85"/>
      <c r="B477" s="85"/>
      <c r="C477" s="85"/>
      <c r="D477" s="85"/>
      <c r="E477" s="85"/>
      <c r="F477" s="85"/>
    </row>
    <row r="478">
      <c r="A478" s="85"/>
      <c r="B478" s="85"/>
      <c r="C478" s="85"/>
      <c r="D478" s="85"/>
      <c r="E478" s="85"/>
      <c r="F478" s="85"/>
    </row>
    <row r="479">
      <c r="A479" s="85"/>
      <c r="B479" s="85"/>
      <c r="C479" s="85"/>
      <c r="D479" s="85"/>
      <c r="E479" s="85"/>
      <c r="F479" s="85"/>
    </row>
    <row r="480">
      <c r="A480" s="85"/>
      <c r="B480" s="85"/>
      <c r="C480" s="85"/>
      <c r="D480" s="85"/>
      <c r="E480" s="85"/>
      <c r="F480" s="85"/>
    </row>
    <row r="481">
      <c r="A481" s="85"/>
      <c r="B481" s="85"/>
      <c r="C481" s="85"/>
      <c r="D481" s="85"/>
      <c r="E481" s="85"/>
      <c r="F481" s="85"/>
    </row>
    <row r="482">
      <c r="A482" s="85"/>
      <c r="B482" s="85"/>
      <c r="C482" s="85"/>
      <c r="D482" s="85"/>
      <c r="E482" s="85"/>
      <c r="F482" s="85"/>
    </row>
    <row r="483">
      <c r="A483" s="85"/>
      <c r="B483" s="85"/>
      <c r="C483" s="85"/>
      <c r="D483" s="85"/>
      <c r="E483" s="85"/>
      <c r="F483" s="85"/>
    </row>
    <row r="484">
      <c r="A484" s="85"/>
      <c r="B484" s="85"/>
      <c r="C484" s="85"/>
      <c r="D484" s="85"/>
      <c r="E484" s="85"/>
      <c r="F484" s="85"/>
    </row>
    <row r="485">
      <c r="A485" s="85"/>
      <c r="B485" s="85"/>
      <c r="C485" s="85"/>
      <c r="D485" s="85"/>
      <c r="E485" s="85"/>
      <c r="F485" s="85"/>
    </row>
    <row r="486">
      <c r="A486" s="85"/>
      <c r="B486" s="85"/>
      <c r="C486" s="85"/>
      <c r="D486" s="85"/>
      <c r="E486" s="85"/>
      <c r="F486" s="85"/>
    </row>
    <row r="487">
      <c r="A487" s="85"/>
      <c r="B487" s="85"/>
      <c r="C487" s="85"/>
      <c r="D487" s="85"/>
      <c r="E487" s="85"/>
      <c r="F487" s="85"/>
    </row>
    <row r="488">
      <c r="A488" s="85"/>
      <c r="B488" s="85"/>
      <c r="C488" s="85"/>
      <c r="D488" s="85"/>
      <c r="E488" s="85"/>
      <c r="F488" s="85"/>
    </row>
    <row r="489">
      <c r="A489" s="85"/>
      <c r="B489" s="85"/>
      <c r="C489" s="85"/>
      <c r="D489" s="85"/>
      <c r="E489" s="85"/>
      <c r="F489" s="85"/>
    </row>
    <row r="490">
      <c r="A490" s="85"/>
      <c r="B490" s="85"/>
      <c r="C490" s="85"/>
      <c r="D490" s="85"/>
      <c r="E490" s="85"/>
      <c r="F490" s="85"/>
    </row>
    <row r="491">
      <c r="A491" s="85"/>
      <c r="B491" s="85"/>
      <c r="C491" s="85"/>
      <c r="D491" s="85"/>
      <c r="E491" s="85"/>
      <c r="F491" s="85"/>
    </row>
    <row r="492">
      <c r="A492" s="85"/>
      <c r="B492" s="85"/>
      <c r="C492" s="85"/>
      <c r="D492" s="85"/>
      <c r="E492" s="85"/>
      <c r="F492" s="85"/>
    </row>
    <row r="493">
      <c r="A493" s="85"/>
      <c r="B493" s="85"/>
      <c r="C493" s="85"/>
      <c r="D493" s="85"/>
      <c r="E493" s="85"/>
      <c r="F493" s="85"/>
    </row>
    <row r="494">
      <c r="A494" s="85"/>
      <c r="B494" s="85"/>
      <c r="C494" s="85"/>
      <c r="D494" s="85"/>
      <c r="E494" s="85"/>
      <c r="F494" s="85"/>
    </row>
    <row r="495">
      <c r="A495" s="85"/>
      <c r="B495" s="85"/>
      <c r="C495" s="85"/>
      <c r="D495" s="85"/>
      <c r="E495" s="85"/>
      <c r="F495" s="85"/>
    </row>
    <row r="496">
      <c r="A496" s="85"/>
      <c r="B496" s="85"/>
      <c r="C496" s="85"/>
      <c r="D496" s="85"/>
      <c r="E496" s="85"/>
      <c r="F496" s="85"/>
    </row>
    <row r="497">
      <c r="A497" s="85"/>
      <c r="B497" s="85"/>
      <c r="C497" s="85"/>
      <c r="D497" s="85"/>
      <c r="E497" s="85"/>
      <c r="F497" s="85"/>
    </row>
    <row r="498">
      <c r="A498" s="85"/>
      <c r="B498" s="85"/>
      <c r="C498" s="85"/>
      <c r="D498" s="85"/>
      <c r="E498" s="85"/>
      <c r="F498" s="85"/>
    </row>
    <row r="499">
      <c r="A499" s="85"/>
      <c r="B499" s="85"/>
      <c r="C499" s="85"/>
      <c r="D499" s="85"/>
      <c r="E499" s="85"/>
      <c r="F499" s="85"/>
    </row>
    <row r="500">
      <c r="A500" s="85"/>
      <c r="B500" s="85"/>
      <c r="C500" s="85"/>
      <c r="D500" s="85"/>
      <c r="E500" s="85"/>
      <c r="F500" s="85"/>
    </row>
    <row r="501">
      <c r="A501" s="85"/>
      <c r="B501" s="85"/>
      <c r="C501" s="85"/>
      <c r="D501" s="85"/>
      <c r="E501" s="85"/>
      <c r="F501" s="85"/>
    </row>
    <row r="502">
      <c r="A502" s="85"/>
      <c r="B502" s="85"/>
      <c r="C502" s="85"/>
      <c r="D502" s="85"/>
      <c r="E502" s="85"/>
      <c r="F502" s="85"/>
    </row>
    <row r="503">
      <c r="A503" s="85"/>
      <c r="B503" s="85"/>
      <c r="C503" s="85"/>
      <c r="D503" s="85"/>
      <c r="E503" s="85"/>
      <c r="F503" s="85"/>
    </row>
    <row r="504">
      <c r="A504" s="85"/>
      <c r="B504" s="85"/>
      <c r="C504" s="85"/>
      <c r="D504" s="85"/>
      <c r="E504" s="85"/>
      <c r="F504" s="85"/>
    </row>
    <row r="505">
      <c r="A505" s="85"/>
      <c r="B505" s="85"/>
      <c r="C505" s="85"/>
      <c r="D505" s="85"/>
      <c r="E505" s="85"/>
      <c r="F505" s="85"/>
    </row>
    <row r="506">
      <c r="A506" s="85"/>
      <c r="B506" s="85"/>
      <c r="C506" s="85"/>
      <c r="D506" s="85"/>
      <c r="E506" s="85"/>
      <c r="F506" s="85"/>
    </row>
    <row r="507">
      <c r="A507" s="85"/>
      <c r="B507" s="85"/>
      <c r="C507" s="85"/>
      <c r="D507" s="85"/>
      <c r="E507" s="85"/>
      <c r="F507" s="85"/>
    </row>
    <row r="508">
      <c r="A508" s="85"/>
      <c r="B508" s="85"/>
      <c r="C508" s="85"/>
      <c r="D508" s="85"/>
      <c r="E508" s="85"/>
      <c r="F508" s="85"/>
    </row>
    <row r="509">
      <c r="A509" s="85"/>
      <c r="B509" s="85"/>
      <c r="C509" s="85"/>
      <c r="D509" s="85"/>
      <c r="E509" s="85"/>
      <c r="F509" s="85"/>
    </row>
    <row r="510">
      <c r="A510" s="85"/>
      <c r="B510" s="85"/>
      <c r="C510" s="85"/>
      <c r="D510" s="85"/>
      <c r="E510" s="85"/>
      <c r="F510" s="85"/>
    </row>
    <row r="511">
      <c r="A511" s="85"/>
      <c r="B511" s="85"/>
      <c r="C511" s="85"/>
      <c r="D511" s="85"/>
      <c r="E511" s="85"/>
      <c r="F511" s="85"/>
    </row>
    <row r="512">
      <c r="A512" s="85"/>
      <c r="B512" s="85"/>
      <c r="C512" s="85"/>
      <c r="D512" s="85"/>
      <c r="E512" s="85"/>
      <c r="F512" s="85"/>
    </row>
    <row r="513">
      <c r="A513" s="85"/>
      <c r="B513" s="85"/>
      <c r="C513" s="85"/>
      <c r="D513" s="85"/>
      <c r="E513" s="85"/>
      <c r="F513" s="85"/>
    </row>
    <row r="514">
      <c r="A514" s="85"/>
      <c r="B514" s="85"/>
      <c r="C514" s="85"/>
      <c r="D514" s="85"/>
      <c r="E514" s="85"/>
      <c r="F514" s="85"/>
    </row>
    <row r="515">
      <c r="A515" s="85"/>
      <c r="B515" s="85"/>
      <c r="C515" s="85"/>
      <c r="D515" s="85"/>
      <c r="E515" s="85"/>
      <c r="F515" s="85"/>
    </row>
    <row r="516">
      <c r="A516" s="85"/>
      <c r="B516" s="85"/>
      <c r="C516" s="85"/>
      <c r="D516" s="85"/>
      <c r="E516" s="85"/>
      <c r="F516" s="85"/>
    </row>
    <row r="517">
      <c r="A517" s="85"/>
      <c r="B517" s="85"/>
      <c r="C517" s="85"/>
      <c r="D517" s="85"/>
      <c r="E517" s="85"/>
      <c r="F517" s="85"/>
    </row>
    <row r="518">
      <c r="A518" s="85"/>
      <c r="B518" s="85"/>
      <c r="C518" s="85"/>
      <c r="D518" s="85"/>
      <c r="E518" s="85"/>
      <c r="F518" s="85"/>
    </row>
    <row r="519">
      <c r="A519" s="85"/>
      <c r="B519" s="85"/>
      <c r="C519" s="85"/>
      <c r="D519" s="85"/>
      <c r="E519" s="85"/>
      <c r="F519" s="85"/>
    </row>
    <row r="520">
      <c r="A520" s="85"/>
      <c r="B520" s="85"/>
      <c r="C520" s="85"/>
      <c r="D520" s="85"/>
      <c r="E520" s="85"/>
      <c r="F520" s="85"/>
    </row>
    <row r="521">
      <c r="A521" s="85"/>
      <c r="B521" s="85"/>
      <c r="C521" s="85"/>
      <c r="D521" s="85"/>
      <c r="E521" s="85"/>
      <c r="F521" s="85"/>
    </row>
    <row r="522">
      <c r="A522" s="85"/>
      <c r="B522" s="85"/>
      <c r="C522" s="85"/>
      <c r="D522" s="85"/>
      <c r="E522" s="85"/>
      <c r="F522" s="85"/>
    </row>
    <row r="523">
      <c r="A523" s="85"/>
      <c r="B523" s="85"/>
      <c r="C523" s="85"/>
      <c r="D523" s="85"/>
      <c r="E523" s="85"/>
      <c r="F523" s="85"/>
    </row>
    <row r="524">
      <c r="A524" s="85"/>
      <c r="B524" s="85"/>
      <c r="C524" s="85"/>
      <c r="D524" s="85"/>
      <c r="E524" s="85"/>
      <c r="F524" s="85"/>
    </row>
    <row r="525">
      <c r="A525" s="85"/>
      <c r="B525" s="85"/>
      <c r="C525" s="85"/>
      <c r="D525" s="85"/>
      <c r="E525" s="85"/>
      <c r="F525" s="85"/>
    </row>
    <row r="526">
      <c r="A526" s="85"/>
      <c r="B526" s="85"/>
      <c r="C526" s="85"/>
      <c r="D526" s="85"/>
      <c r="E526" s="85"/>
      <c r="F526" s="85"/>
    </row>
    <row r="527">
      <c r="A527" s="85"/>
      <c r="B527" s="85"/>
      <c r="C527" s="85"/>
      <c r="D527" s="85"/>
      <c r="E527" s="85"/>
      <c r="F527" s="85"/>
    </row>
    <row r="528">
      <c r="A528" s="85"/>
      <c r="B528" s="85"/>
      <c r="C528" s="85"/>
      <c r="D528" s="85"/>
      <c r="E528" s="85"/>
      <c r="F528" s="85"/>
    </row>
    <row r="529">
      <c r="A529" s="85"/>
      <c r="B529" s="85"/>
      <c r="C529" s="85"/>
      <c r="D529" s="85"/>
      <c r="E529" s="85"/>
      <c r="F529" s="85"/>
    </row>
    <row r="530">
      <c r="A530" s="85"/>
      <c r="B530" s="85"/>
      <c r="C530" s="85"/>
      <c r="D530" s="85"/>
      <c r="E530" s="85"/>
      <c r="F530" s="85"/>
    </row>
    <row r="531">
      <c r="A531" s="85"/>
      <c r="B531" s="85"/>
      <c r="C531" s="85"/>
      <c r="D531" s="85"/>
      <c r="E531" s="85"/>
      <c r="F531" s="85"/>
    </row>
    <row r="532">
      <c r="A532" s="85"/>
      <c r="B532" s="85"/>
      <c r="C532" s="85"/>
      <c r="D532" s="85"/>
      <c r="E532" s="85"/>
      <c r="F532" s="85"/>
    </row>
    <row r="533">
      <c r="A533" s="85"/>
      <c r="B533" s="85"/>
      <c r="C533" s="85"/>
      <c r="D533" s="85"/>
      <c r="E533" s="85"/>
      <c r="F533" s="85"/>
    </row>
    <row r="534">
      <c r="A534" s="85"/>
      <c r="B534" s="85"/>
      <c r="C534" s="85"/>
      <c r="D534" s="85"/>
      <c r="E534" s="85"/>
      <c r="F534" s="85"/>
    </row>
    <row r="535">
      <c r="A535" s="85"/>
      <c r="B535" s="85"/>
      <c r="C535" s="85"/>
      <c r="D535" s="85"/>
      <c r="E535" s="85"/>
      <c r="F535" s="85"/>
    </row>
    <row r="536">
      <c r="A536" s="85"/>
      <c r="B536" s="85"/>
      <c r="C536" s="85"/>
      <c r="D536" s="85"/>
      <c r="E536" s="85"/>
      <c r="F536" s="85"/>
    </row>
    <row r="537">
      <c r="A537" s="85"/>
      <c r="B537" s="85"/>
      <c r="C537" s="85"/>
      <c r="D537" s="85"/>
      <c r="E537" s="85"/>
      <c r="F537" s="85"/>
    </row>
    <row r="538">
      <c r="A538" s="85"/>
      <c r="B538" s="85"/>
      <c r="C538" s="85"/>
      <c r="D538" s="85"/>
      <c r="E538" s="85"/>
      <c r="F538" s="85"/>
    </row>
    <row r="539">
      <c r="A539" s="85"/>
      <c r="B539" s="85"/>
      <c r="C539" s="85"/>
      <c r="D539" s="85"/>
      <c r="E539" s="85"/>
      <c r="F539" s="85"/>
    </row>
    <row r="540">
      <c r="A540" s="85"/>
      <c r="B540" s="85"/>
      <c r="C540" s="85"/>
      <c r="D540" s="85"/>
      <c r="E540" s="85"/>
      <c r="F540" s="85"/>
    </row>
    <row r="541">
      <c r="A541" s="85"/>
      <c r="B541" s="85"/>
      <c r="C541" s="85"/>
      <c r="D541" s="85"/>
      <c r="E541" s="85"/>
      <c r="F541" s="85"/>
    </row>
    <row r="542">
      <c r="A542" s="85"/>
      <c r="B542" s="85"/>
      <c r="C542" s="85"/>
      <c r="D542" s="85"/>
      <c r="E542" s="85"/>
      <c r="F542" s="85"/>
    </row>
    <row r="543">
      <c r="A543" s="85"/>
      <c r="B543" s="85"/>
      <c r="C543" s="85"/>
      <c r="D543" s="85"/>
      <c r="E543" s="85"/>
      <c r="F543" s="85"/>
    </row>
    <row r="544">
      <c r="A544" s="85"/>
      <c r="B544" s="85"/>
      <c r="C544" s="85"/>
      <c r="D544" s="85"/>
      <c r="E544" s="85"/>
      <c r="F544" s="85"/>
    </row>
    <row r="545">
      <c r="A545" s="85"/>
      <c r="B545" s="85"/>
      <c r="C545" s="85"/>
      <c r="D545" s="85"/>
      <c r="E545" s="85"/>
      <c r="F545" s="85"/>
    </row>
    <row r="546">
      <c r="A546" s="85"/>
      <c r="B546" s="85"/>
      <c r="C546" s="85"/>
      <c r="D546" s="85"/>
      <c r="E546" s="85"/>
      <c r="F546" s="85"/>
    </row>
    <row r="547">
      <c r="A547" s="85"/>
      <c r="B547" s="85"/>
      <c r="C547" s="85"/>
      <c r="D547" s="85"/>
      <c r="E547" s="85"/>
      <c r="F547" s="85"/>
    </row>
    <row r="548">
      <c r="A548" s="85"/>
      <c r="B548" s="85"/>
      <c r="C548" s="85"/>
      <c r="D548" s="85"/>
      <c r="E548" s="85"/>
      <c r="F548" s="85"/>
    </row>
    <row r="549">
      <c r="A549" s="85"/>
      <c r="B549" s="85"/>
      <c r="C549" s="85"/>
      <c r="D549" s="85"/>
      <c r="E549" s="85"/>
      <c r="F549" s="85"/>
    </row>
    <row r="550">
      <c r="A550" s="85"/>
      <c r="B550" s="85"/>
      <c r="C550" s="85"/>
      <c r="D550" s="85"/>
      <c r="E550" s="85"/>
      <c r="F550" s="85"/>
    </row>
    <row r="551">
      <c r="A551" s="85"/>
      <c r="B551" s="85"/>
      <c r="C551" s="85"/>
      <c r="D551" s="85"/>
      <c r="E551" s="85"/>
      <c r="F551" s="85"/>
    </row>
    <row r="552">
      <c r="A552" s="85"/>
      <c r="B552" s="85"/>
      <c r="C552" s="85"/>
      <c r="D552" s="85"/>
      <c r="E552" s="85"/>
      <c r="F552" s="85"/>
    </row>
    <row r="553">
      <c r="A553" s="85"/>
      <c r="B553" s="85"/>
      <c r="C553" s="85"/>
      <c r="D553" s="85"/>
      <c r="E553" s="85"/>
      <c r="F553" s="85"/>
    </row>
    <row r="554">
      <c r="A554" s="85"/>
      <c r="B554" s="85"/>
      <c r="C554" s="85"/>
      <c r="D554" s="85"/>
      <c r="E554" s="85"/>
      <c r="F554" s="85"/>
    </row>
    <row r="555">
      <c r="A555" s="85"/>
      <c r="B555" s="85"/>
      <c r="C555" s="85"/>
      <c r="D555" s="85"/>
      <c r="E555" s="85"/>
      <c r="F555" s="85"/>
    </row>
    <row r="556">
      <c r="A556" s="85"/>
      <c r="B556" s="85"/>
      <c r="C556" s="85"/>
      <c r="D556" s="85"/>
      <c r="E556" s="85"/>
      <c r="F556" s="85"/>
    </row>
    <row r="557">
      <c r="A557" s="85"/>
      <c r="B557" s="85"/>
      <c r="C557" s="85"/>
      <c r="D557" s="85"/>
      <c r="E557" s="85"/>
      <c r="F557" s="85"/>
    </row>
    <row r="558">
      <c r="A558" s="85"/>
      <c r="B558" s="85"/>
      <c r="C558" s="85"/>
      <c r="D558" s="85"/>
      <c r="E558" s="85"/>
      <c r="F558" s="85"/>
    </row>
    <row r="559">
      <c r="A559" s="85"/>
      <c r="B559" s="85"/>
      <c r="C559" s="85"/>
      <c r="D559" s="85"/>
      <c r="E559" s="85"/>
      <c r="F559" s="85"/>
    </row>
    <row r="560">
      <c r="A560" s="85"/>
      <c r="B560" s="85"/>
      <c r="C560" s="85"/>
      <c r="D560" s="85"/>
      <c r="E560" s="85"/>
      <c r="F560" s="85"/>
    </row>
    <row r="561">
      <c r="A561" s="85"/>
      <c r="B561" s="85"/>
      <c r="C561" s="85"/>
      <c r="D561" s="85"/>
      <c r="E561" s="85"/>
      <c r="F561" s="85"/>
    </row>
    <row r="562">
      <c r="A562" s="85"/>
      <c r="B562" s="85"/>
      <c r="C562" s="85"/>
      <c r="D562" s="85"/>
      <c r="E562" s="85"/>
      <c r="F562" s="85"/>
    </row>
    <row r="563">
      <c r="A563" s="85"/>
      <c r="B563" s="85"/>
      <c r="C563" s="85"/>
      <c r="D563" s="85"/>
      <c r="E563" s="85"/>
      <c r="F563" s="85"/>
    </row>
    <row r="564">
      <c r="A564" s="85"/>
      <c r="B564" s="85"/>
      <c r="C564" s="85"/>
      <c r="D564" s="85"/>
      <c r="E564" s="85"/>
      <c r="F564" s="85"/>
    </row>
    <row r="565">
      <c r="A565" s="85"/>
      <c r="B565" s="85"/>
      <c r="C565" s="85"/>
      <c r="D565" s="85"/>
      <c r="E565" s="85"/>
      <c r="F565" s="85"/>
    </row>
    <row r="566">
      <c r="A566" s="85"/>
      <c r="B566" s="85"/>
      <c r="C566" s="85"/>
      <c r="D566" s="85"/>
      <c r="E566" s="85"/>
      <c r="F566" s="85"/>
    </row>
    <row r="567">
      <c r="A567" s="85"/>
      <c r="B567" s="85"/>
      <c r="C567" s="85"/>
      <c r="D567" s="85"/>
      <c r="E567" s="85"/>
      <c r="F567" s="85"/>
    </row>
    <row r="568">
      <c r="A568" s="85"/>
      <c r="B568" s="85"/>
      <c r="C568" s="85"/>
      <c r="D568" s="85"/>
      <c r="E568" s="85"/>
      <c r="F568" s="85"/>
    </row>
    <row r="569">
      <c r="A569" s="85"/>
      <c r="B569" s="85"/>
      <c r="C569" s="85"/>
      <c r="D569" s="85"/>
      <c r="E569" s="85"/>
      <c r="F569" s="85"/>
    </row>
    <row r="570">
      <c r="A570" s="85"/>
      <c r="B570" s="85"/>
      <c r="C570" s="85"/>
      <c r="D570" s="85"/>
      <c r="E570" s="85"/>
      <c r="F570" s="85"/>
    </row>
    <row r="571">
      <c r="A571" s="85"/>
      <c r="B571" s="85"/>
      <c r="C571" s="85"/>
      <c r="D571" s="85"/>
      <c r="E571" s="85"/>
      <c r="F571" s="85"/>
    </row>
    <row r="572">
      <c r="A572" s="85"/>
      <c r="B572" s="85"/>
      <c r="C572" s="85"/>
      <c r="D572" s="85"/>
      <c r="E572" s="85"/>
      <c r="F572" s="85"/>
    </row>
    <row r="573">
      <c r="A573" s="85"/>
      <c r="B573" s="85"/>
      <c r="C573" s="85"/>
      <c r="D573" s="85"/>
      <c r="E573" s="85"/>
      <c r="F573" s="85"/>
    </row>
    <row r="574">
      <c r="A574" s="85"/>
      <c r="B574" s="85"/>
      <c r="C574" s="85"/>
      <c r="D574" s="85"/>
      <c r="E574" s="85"/>
      <c r="F574" s="85"/>
    </row>
    <row r="575">
      <c r="A575" s="85"/>
      <c r="B575" s="85"/>
      <c r="C575" s="85"/>
      <c r="D575" s="85"/>
      <c r="E575" s="85"/>
      <c r="F575" s="85"/>
    </row>
    <row r="576">
      <c r="A576" s="85"/>
      <c r="B576" s="85"/>
      <c r="C576" s="85"/>
      <c r="D576" s="85"/>
      <c r="E576" s="85"/>
      <c r="F576" s="85"/>
    </row>
    <row r="577">
      <c r="A577" s="85"/>
      <c r="B577" s="85"/>
      <c r="C577" s="85"/>
      <c r="D577" s="85"/>
      <c r="E577" s="85"/>
      <c r="F577" s="85"/>
    </row>
    <row r="578">
      <c r="A578" s="85"/>
      <c r="B578" s="85"/>
      <c r="C578" s="85"/>
      <c r="D578" s="85"/>
      <c r="E578" s="85"/>
      <c r="F578" s="85"/>
    </row>
    <row r="579">
      <c r="A579" s="85"/>
      <c r="B579" s="85"/>
      <c r="C579" s="85"/>
      <c r="D579" s="85"/>
      <c r="E579" s="85"/>
      <c r="F579" s="85"/>
    </row>
    <row r="580">
      <c r="A580" s="85"/>
      <c r="B580" s="85"/>
      <c r="C580" s="85"/>
      <c r="D580" s="85"/>
      <c r="E580" s="85"/>
      <c r="F580" s="85"/>
    </row>
    <row r="581">
      <c r="A581" s="85"/>
      <c r="B581" s="85"/>
      <c r="C581" s="85"/>
      <c r="D581" s="85"/>
      <c r="E581" s="85"/>
      <c r="F581" s="85"/>
    </row>
    <row r="582">
      <c r="A582" s="85"/>
      <c r="B582" s="85"/>
      <c r="C582" s="85"/>
      <c r="D582" s="85"/>
      <c r="E582" s="85"/>
      <c r="F582" s="85"/>
    </row>
    <row r="583">
      <c r="A583" s="85"/>
      <c r="B583" s="85"/>
      <c r="C583" s="85"/>
      <c r="D583" s="85"/>
      <c r="E583" s="85"/>
      <c r="F583" s="85"/>
    </row>
    <row r="584">
      <c r="A584" s="85"/>
      <c r="B584" s="85"/>
      <c r="C584" s="85"/>
      <c r="D584" s="85"/>
      <c r="E584" s="85"/>
      <c r="F584" s="85"/>
    </row>
    <row r="585">
      <c r="A585" s="85"/>
      <c r="B585" s="85"/>
      <c r="C585" s="85"/>
      <c r="D585" s="85"/>
      <c r="E585" s="85"/>
      <c r="F585" s="85"/>
    </row>
    <row r="586">
      <c r="A586" s="85"/>
      <c r="B586" s="85"/>
      <c r="C586" s="85"/>
      <c r="D586" s="85"/>
      <c r="E586" s="85"/>
      <c r="F586" s="85"/>
    </row>
    <row r="587">
      <c r="A587" s="85"/>
      <c r="B587" s="85"/>
      <c r="C587" s="85"/>
      <c r="D587" s="85"/>
      <c r="E587" s="85"/>
      <c r="F587" s="85"/>
    </row>
    <row r="588">
      <c r="A588" s="85"/>
      <c r="B588" s="85"/>
      <c r="C588" s="85"/>
      <c r="D588" s="85"/>
      <c r="E588" s="85"/>
      <c r="F588" s="85"/>
    </row>
    <row r="589">
      <c r="A589" s="85"/>
      <c r="B589" s="85"/>
      <c r="C589" s="85"/>
      <c r="D589" s="85"/>
      <c r="E589" s="85"/>
      <c r="F589" s="85"/>
    </row>
    <row r="590">
      <c r="A590" s="85"/>
      <c r="B590" s="85"/>
      <c r="C590" s="85"/>
      <c r="D590" s="85"/>
      <c r="E590" s="85"/>
      <c r="F590" s="85"/>
    </row>
    <row r="591">
      <c r="A591" s="85"/>
      <c r="B591" s="85"/>
      <c r="C591" s="85"/>
      <c r="D591" s="85"/>
      <c r="E591" s="85"/>
      <c r="F591" s="85"/>
    </row>
    <row r="592">
      <c r="A592" s="85"/>
      <c r="B592" s="85"/>
      <c r="C592" s="85"/>
      <c r="D592" s="85"/>
      <c r="E592" s="85"/>
      <c r="F592" s="85"/>
    </row>
    <row r="593">
      <c r="A593" s="85"/>
      <c r="B593" s="85"/>
      <c r="C593" s="85"/>
      <c r="D593" s="85"/>
      <c r="E593" s="85"/>
      <c r="F593" s="85"/>
    </row>
    <row r="594">
      <c r="A594" s="85"/>
      <c r="B594" s="85"/>
      <c r="C594" s="85"/>
      <c r="D594" s="85"/>
      <c r="E594" s="85"/>
      <c r="F594" s="85"/>
    </row>
    <row r="595">
      <c r="A595" s="85"/>
      <c r="B595" s="85"/>
      <c r="C595" s="85"/>
      <c r="D595" s="85"/>
      <c r="E595" s="85"/>
      <c r="F595" s="85"/>
    </row>
    <row r="596">
      <c r="A596" s="85"/>
      <c r="B596" s="85"/>
      <c r="C596" s="85"/>
      <c r="D596" s="85"/>
      <c r="E596" s="85"/>
      <c r="F596" s="85"/>
    </row>
    <row r="597">
      <c r="A597" s="85"/>
      <c r="B597" s="85"/>
      <c r="C597" s="85"/>
      <c r="D597" s="85"/>
      <c r="E597" s="85"/>
      <c r="F597" s="85"/>
    </row>
    <row r="598">
      <c r="A598" s="85"/>
      <c r="B598" s="85"/>
      <c r="C598" s="85"/>
      <c r="D598" s="85"/>
      <c r="E598" s="85"/>
      <c r="F598" s="85"/>
    </row>
    <row r="599">
      <c r="A599" s="85"/>
      <c r="B599" s="85"/>
      <c r="C599" s="85"/>
      <c r="D599" s="85"/>
      <c r="E599" s="85"/>
      <c r="F599" s="85"/>
    </row>
    <row r="600">
      <c r="A600" s="85"/>
      <c r="B600" s="85"/>
      <c r="C600" s="85"/>
      <c r="D600" s="85"/>
      <c r="E600" s="85"/>
      <c r="F600" s="85"/>
    </row>
    <row r="601">
      <c r="A601" s="85"/>
      <c r="B601" s="85"/>
      <c r="C601" s="85"/>
      <c r="D601" s="85"/>
      <c r="E601" s="85"/>
      <c r="F601" s="85"/>
    </row>
    <row r="602">
      <c r="A602" s="85"/>
      <c r="B602" s="85"/>
      <c r="C602" s="85"/>
      <c r="D602" s="85"/>
      <c r="E602" s="85"/>
      <c r="F602" s="85"/>
    </row>
    <row r="603">
      <c r="A603" s="85"/>
      <c r="B603" s="85"/>
      <c r="C603" s="85"/>
      <c r="D603" s="85"/>
      <c r="E603" s="85"/>
      <c r="F603" s="85"/>
    </row>
    <row r="604">
      <c r="A604" s="85"/>
      <c r="B604" s="85"/>
      <c r="C604" s="85"/>
      <c r="D604" s="85"/>
      <c r="E604" s="85"/>
      <c r="F604" s="85"/>
    </row>
    <row r="605">
      <c r="A605" s="85"/>
      <c r="B605" s="85"/>
      <c r="C605" s="85"/>
      <c r="D605" s="85"/>
      <c r="E605" s="85"/>
      <c r="F605" s="85"/>
    </row>
    <row r="606">
      <c r="A606" s="85"/>
      <c r="B606" s="85"/>
      <c r="C606" s="85"/>
      <c r="D606" s="85"/>
      <c r="E606" s="85"/>
      <c r="F606" s="85"/>
    </row>
    <row r="607">
      <c r="A607" s="85"/>
      <c r="B607" s="85"/>
      <c r="C607" s="85"/>
      <c r="D607" s="85"/>
      <c r="E607" s="85"/>
      <c r="F607" s="85"/>
    </row>
    <row r="608">
      <c r="A608" s="85"/>
      <c r="B608" s="85"/>
      <c r="C608" s="85"/>
      <c r="D608" s="85"/>
      <c r="E608" s="85"/>
      <c r="F608" s="85"/>
    </row>
    <row r="609">
      <c r="A609" s="85"/>
      <c r="B609" s="85"/>
      <c r="C609" s="85"/>
      <c r="D609" s="85"/>
      <c r="E609" s="85"/>
      <c r="F609" s="85"/>
    </row>
    <row r="610">
      <c r="A610" s="85"/>
      <c r="B610" s="85"/>
      <c r="C610" s="85"/>
      <c r="D610" s="85"/>
      <c r="E610" s="85"/>
      <c r="F610" s="85"/>
    </row>
    <row r="611">
      <c r="A611" s="85"/>
      <c r="B611" s="85"/>
      <c r="C611" s="85"/>
      <c r="D611" s="85"/>
      <c r="E611" s="85"/>
      <c r="F611" s="85"/>
    </row>
    <row r="612">
      <c r="A612" s="85"/>
      <c r="B612" s="85"/>
      <c r="C612" s="85"/>
      <c r="D612" s="85"/>
      <c r="E612" s="85"/>
      <c r="F612" s="85"/>
    </row>
    <row r="613">
      <c r="A613" s="85"/>
      <c r="B613" s="85"/>
      <c r="C613" s="85"/>
      <c r="D613" s="85"/>
      <c r="E613" s="85"/>
      <c r="F613" s="85"/>
    </row>
    <row r="614">
      <c r="A614" s="85"/>
      <c r="B614" s="85"/>
      <c r="C614" s="85"/>
      <c r="D614" s="85"/>
      <c r="E614" s="85"/>
      <c r="F614" s="85"/>
    </row>
    <row r="615">
      <c r="A615" s="85"/>
      <c r="B615" s="85"/>
      <c r="C615" s="85"/>
      <c r="D615" s="85"/>
      <c r="E615" s="85"/>
      <c r="F615" s="85"/>
    </row>
    <row r="616">
      <c r="A616" s="85"/>
      <c r="B616" s="85"/>
      <c r="C616" s="85"/>
      <c r="D616" s="85"/>
      <c r="E616" s="85"/>
      <c r="F616" s="85"/>
    </row>
    <row r="617">
      <c r="A617" s="85"/>
      <c r="B617" s="85"/>
      <c r="C617" s="85"/>
      <c r="D617" s="85"/>
      <c r="E617" s="85"/>
      <c r="F617" s="85"/>
    </row>
    <row r="618">
      <c r="A618" s="85"/>
      <c r="B618" s="85"/>
      <c r="C618" s="85"/>
      <c r="D618" s="85"/>
      <c r="E618" s="85"/>
      <c r="F618" s="85"/>
    </row>
    <row r="619">
      <c r="A619" s="85"/>
      <c r="B619" s="85"/>
      <c r="C619" s="85"/>
      <c r="D619" s="85"/>
      <c r="E619" s="85"/>
      <c r="F619" s="85"/>
    </row>
    <row r="620">
      <c r="A620" s="85"/>
      <c r="B620" s="85"/>
      <c r="C620" s="85"/>
      <c r="D620" s="85"/>
      <c r="E620" s="85"/>
      <c r="F620" s="85"/>
    </row>
    <row r="621">
      <c r="A621" s="85"/>
      <c r="B621" s="85"/>
      <c r="C621" s="85"/>
      <c r="D621" s="85"/>
      <c r="E621" s="85"/>
      <c r="F621" s="85"/>
    </row>
    <row r="622">
      <c r="A622" s="85"/>
      <c r="B622" s="85"/>
      <c r="C622" s="85"/>
      <c r="D622" s="85"/>
      <c r="E622" s="85"/>
      <c r="F622" s="85"/>
    </row>
    <row r="623">
      <c r="A623" s="85"/>
      <c r="B623" s="85"/>
      <c r="C623" s="85"/>
      <c r="D623" s="85"/>
      <c r="E623" s="85"/>
      <c r="F623" s="85"/>
    </row>
    <row r="624">
      <c r="A624" s="85"/>
      <c r="B624" s="85"/>
      <c r="C624" s="85"/>
      <c r="D624" s="85"/>
      <c r="E624" s="85"/>
      <c r="F624" s="85"/>
    </row>
    <row r="625">
      <c r="A625" s="85"/>
      <c r="B625" s="85"/>
      <c r="C625" s="85"/>
      <c r="D625" s="85"/>
      <c r="E625" s="85"/>
      <c r="F625" s="85"/>
    </row>
    <row r="626">
      <c r="A626" s="85"/>
      <c r="B626" s="85"/>
      <c r="C626" s="85"/>
      <c r="D626" s="85"/>
      <c r="E626" s="85"/>
      <c r="F626" s="85"/>
    </row>
    <row r="627">
      <c r="A627" s="85"/>
      <c r="B627" s="85"/>
      <c r="C627" s="85"/>
      <c r="D627" s="85"/>
      <c r="E627" s="85"/>
      <c r="F627" s="85"/>
    </row>
    <row r="628">
      <c r="A628" s="85"/>
      <c r="B628" s="85"/>
      <c r="C628" s="85"/>
      <c r="D628" s="85"/>
      <c r="E628" s="85"/>
      <c r="F628" s="85"/>
    </row>
    <row r="629">
      <c r="A629" s="85"/>
      <c r="B629" s="85"/>
      <c r="C629" s="85"/>
      <c r="D629" s="85"/>
      <c r="E629" s="85"/>
      <c r="F629" s="85"/>
    </row>
    <row r="630">
      <c r="A630" s="85"/>
      <c r="B630" s="85"/>
      <c r="C630" s="85"/>
      <c r="D630" s="85"/>
      <c r="E630" s="85"/>
      <c r="F630" s="85"/>
    </row>
    <row r="631">
      <c r="A631" s="85"/>
      <c r="B631" s="85"/>
      <c r="C631" s="85"/>
      <c r="D631" s="85"/>
      <c r="E631" s="85"/>
      <c r="F631" s="85"/>
    </row>
    <row r="632">
      <c r="A632" s="85"/>
      <c r="B632" s="85"/>
      <c r="C632" s="85"/>
      <c r="D632" s="85"/>
      <c r="E632" s="85"/>
      <c r="F632" s="85"/>
    </row>
    <row r="633">
      <c r="A633" s="85"/>
      <c r="B633" s="85"/>
      <c r="C633" s="85"/>
      <c r="D633" s="85"/>
      <c r="E633" s="85"/>
      <c r="F633" s="85"/>
    </row>
    <row r="634">
      <c r="A634" s="85"/>
      <c r="B634" s="85"/>
      <c r="C634" s="85"/>
      <c r="D634" s="85"/>
      <c r="E634" s="85"/>
      <c r="F634" s="85"/>
    </row>
    <row r="635">
      <c r="A635" s="85"/>
      <c r="B635" s="85"/>
      <c r="C635" s="85"/>
      <c r="D635" s="85"/>
      <c r="E635" s="85"/>
      <c r="F635" s="85"/>
    </row>
    <row r="636">
      <c r="A636" s="85"/>
      <c r="B636" s="85"/>
      <c r="C636" s="85"/>
      <c r="D636" s="85"/>
      <c r="E636" s="85"/>
      <c r="F636" s="85"/>
    </row>
    <row r="637">
      <c r="A637" s="85"/>
      <c r="B637" s="85"/>
      <c r="C637" s="85"/>
      <c r="D637" s="85"/>
      <c r="E637" s="85"/>
      <c r="F637" s="85"/>
    </row>
    <row r="638">
      <c r="A638" s="85"/>
      <c r="B638" s="85"/>
      <c r="C638" s="85"/>
      <c r="D638" s="85"/>
      <c r="E638" s="85"/>
      <c r="F638" s="85"/>
    </row>
    <row r="639">
      <c r="A639" s="85"/>
      <c r="B639" s="85"/>
      <c r="C639" s="85"/>
      <c r="D639" s="85"/>
      <c r="E639" s="85"/>
      <c r="F639" s="85"/>
    </row>
    <row r="640">
      <c r="A640" s="85"/>
      <c r="B640" s="85"/>
      <c r="C640" s="85"/>
      <c r="D640" s="85"/>
      <c r="E640" s="85"/>
      <c r="F640" s="85"/>
    </row>
    <row r="641">
      <c r="A641" s="85"/>
      <c r="B641" s="85"/>
      <c r="C641" s="85"/>
      <c r="D641" s="85"/>
      <c r="E641" s="85"/>
      <c r="F641" s="85"/>
    </row>
    <row r="642">
      <c r="A642" s="85"/>
      <c r="B642" s="85"/>
      <c r="C642" s="85"/>
      <c r="D642" s="85"/>
      <c r="E642" s="85"/>
      <c r="F642" s="85"/>
    </row>
    <row r="643">
      <c r="A643" s="85"/>
      <c r="B643" s="85"/>
      <c r="C643" s="85"/>
      <c r="D643" s="85"/>
      <c r="E643" s="85"/>
      <c r="F643" s="85"/>
    </row>
    <row r="644">
      <c r="A644" s="85"/>
      <c r="B644" s="85"/>
      <c r="C644" s="85"/>
      <c r="D644" s="85"/>
      <c r="E644" s="85"/>
      <c r="F644" s="85"/>
    </row>
    <row r="645">
      <c r="A645" s="85"/>
      <c r="B645" s="85"/>
      <c r="C645" s="85"/>
      <c r="D645" s="85"/>
      <c r="E645" s="85"/>
      <c r="F645" s="85"/>
    </row>
    <row r="646">
      <c r="A646" s="85"/>
      <c r="B646" s="85"/>
      <c r="C646" s="85"/>
      <c r="D646" s="85"/>
      <c r="E646" s="85"/>
      <c r="F646" s="85"/>
    </row>
    <row r="647">
      <c r="A647" s="85"/>
      <c r="B647" s="85"/>
      <c r="C647" s="85"/>
      <c r="D647" s="85"/>
      <c r="E647" s="85"/>
      <c r="F647" s="85"/>
    </row>
    <row r="648">
      <c r="A648" s="85"/>
      <c r="B648" s="85"/>
      <c r="C648" s="85"/>
      <c r="D648" s="85"/>
      <c r="E648" s="85"/>
      <c r="F648" s="85"/>
    </row>
    <row r="649">
      <c r="A649" s="85"/>
      <c r="B649" s="85"/>
      <c r="C649" s="85"/>
      <c r="D649" s="85"/>
      <c r="E649" s="85"/>
      <c r="F649" s="85"/>
    </row>
    <row r="650">
      <c r="A650" s="85"/>
      <c r="B650" s="85"/>
      <c r="C650" s="85"/>
      <c r="D650" s="85"/>
      <c r="E650" s="85"/>
      <c r="F650" s="85"/>
    </row>
    <row r="651">
      <c r="A651" s="85"/>
      <c r="B651" s="85"/>
      <c r="C651" s="85"/>
      <c r="D651" s="85"/>
      <c r="E651" s="85"/>
      <c r="F651" s="85"/>
    </row>
    <row r="652">
      <c r="A652" s="85"/>
      <c r="B652" s="85"/>
      <c r="C652" s="85"/>
      <c r="D652" s="85"/>
      <c r="E652" s="85"/>
      <c r="F652" s="85"/>
    </row>
    <row r="653">
      <c r="A653" s="85"/>
      <c r="B653" s="85"/>
      <c r="C653" s="85"/>
      <c r="D653" s="85"/>
      <c r="E653" s="85"/>
      <c r="F653" s="85"/>
    </row>
    <row r="654">
      <c r="A654" s="85"/>
      <c r="B654" s="85"/>
      <c r="C654" s="85"/>
      <c r="D654" s="85"/>
      <c r="E654" s="85"/>
      <c r="F654" s="85"/>
    </row>
    <row r="655">
      <c r="A655" s="85"/>
      <c r="B655" s="85"/>
      <c r="C655" s="85"/>
      <c r="D655" s="85"/>
      <c r="E655" s="85"/>
      <c r="F655" s="85"/>
    </row>
    <row r="656">
      <c r="A656" s="85"/>
      <c r="B656" s="85"/>
      <c r="C656" s="85"/>
      <c r="D656" s="85"/>
      <c r="E656" s="85"/>
      <c r="F656" s="85"/>
    </row>
    <row r="657">
      <c r="A657" s="85"/>
      <c r="B657" s="85"/>
      <c r="C657" s="85"/>
      <c r="D657" s="85"/>
      <c r="E657" s="85"/>
      <c r="F657" s="85"/>
    </row>
    <row r="658">
      <c r="A658" s="85"/>
      <c r="B658" s="85"/>
      <c r="C658" s="85"/>
      <c r="D658" s="85"/>
      <c r="E658" s="85"/>
      <c r="F658" s="85"/>
    </row>
    <row r="659">
      <c r="A659" s="85"/>
      <c r="B659" s="85"/>
      <c r="C659" s="85"/>
      <c r="D659" s="85"/>
      <c r="E659" s="85"/>
      <c r="F659" s="85"/>
    </row>
    <row r="660">
      <c r="A660" s="85"/>
      <c r="B660" s="85"/>
      <c r="C660" s="85"/>
      <c r="D660" s="85"/>
      <c r="E660" s="85"/>
      <c r="F660" s="85"/>
    </row>
    <row r="661">
      <c r="A661" s="85"/>
      <c r="B661" s="85"/>
      <c r="C661" s="85"/>
      <c r="D661" s="85"/>
      <c r="E661" s="85"/>
      <c r="F661" s="85"/>
    </row>
    <row r="662">
      <c r="A662" s="85"/>
      <c r="B662" s="85"/>
      <c r="C662" s="85"/>
      <c r="D662" s="85"/>
      <c r="E662" s="85"/>
      <c r="F662" s="85"/>
    </row>
    <row r="663">
      <c r="A663" s="85"/>
      <c r="B663" s="85"/>
      <c r="C663" s="85"/>
      <c r="D663" s="85"/>
      <c r="E663" s="85"/>
      <c r="F663" s="85"/>
    </row>
    <row r="664">
      <c r="A664" s="85"/>
      <c r="B664" s="85"/>
      <c r="C664" s="85"/>
      <c r="D664" s="85"/>
      <c r="E664" s="85"/>
      <c r="F664" s="85"/>
    </row>
    <row r="665">
      <c r="A665" s="85"/>
      <c r="B665" s="85"/>
      <c r="C665" s="85"/>
      <c r="D665" s="85"/>
      <c r="E665" s="85"/>
      <c r="F665" s="85"/>
    </row>
    <row r="666">
      <c r="A666" s="85"/>
      <c r="B666" s="85"/>
      <c r="C666" s="85"/>
      <c r="D666" s="85"/>
      <c r="E666" s="85"/>
      <c r="F666" s="85"/>
    </row>
    <row r="667">
      <c r="A667" s="85"/>
      <c r="B667" s="85"/>
      <c r="C667" s="85"/>
      <c r="D667" s="85"/>
      <c r="E667" s="85"/>
      <c r="F667" s="85"/>
    </row>
    <row r="668">
      <c r="A668" s="85"/>
      <c r="B668" s="85"/>
      <c r="C668" s="85"/>
      <c r="D668" s="85"/>
      <c r="E668" s="85"/>
      <c r="F668" s="85"/>
    </row>
    <row r="669">
      <c r="A669" s="85"/>
      <c r="B669" s="85"/>
      <c r="C669" s="85"/>
      <c r="D669" s="85"/>
      <c r="E669" s="85"/>
      <c r="F669" s="85"/>
    </row>
    <row r="670">
      <c r="A670" s="85"/>
      <c r="B670" s="85"/>
      <c r="C670" s="85"/>
      <c r="D670" s="85"/>
      <c r="E670" s="85"/>
      <c r="F670" s="85"/>
    </row>
    <row r="671">
      <c r="A671" s="85"/>
      <c r="B671" s="85"/>
      <c r="C671" s="85"/>
      <c r="D671" s="85"/>
      <c r="E671" s="85"/>
      <c r="F671" s="85"/>
    </row>
    <row r="672">
      <c r="A672" s="85"/>
      <c r="B672" s="85"/>
      <c r="C672" s="85"/>
      <c r="D672" s="85"/>
      <c r="E672" s="85"/>
      <c r="F672" s="85"/>
    </row>
    <row r="673">
      <c r="A673" s="85"/>
      <c r="B673" s="85"/>
      <c r="C673" s="85"/>
      <c r="D673" s="85"/>
      <c r="E673" s="85"/>
      <c r="F673" s="85"/>
    </row>
    <row r="674">
      <c r="A674" s="85"/>
      <c r="B674" s="85"/>
      <c r="C674" s="85"/>
      <c r="D674" s="85"/>
      <c r="E674" s="85"/>
      <c r="F674" s="85"/>
    </row>
    <row r="675">
      <c r="A675" s="85"/>
      <c r="B675" s="85"/>
      <c r="C675" s="85"/>
      <c r="D675" s="85"/>
      <c r="E675" s="85"/>
      <c r="F675" s="85"/>
    </row>
    <row r="676">
      <c r="A676" s="85"/>
      <c r="B676" s="85"/>
      <c r="C676" s="85"/>
      <c r="D676" s="85"/>
      <c r="E676" s="85"/>
      <c r="F676" s="85"/>
    </row>
    <row r="677">
      <c r="A677" s="85"/>
      <c r="B677" s="85"/>
      <c r="C677" s="85"/>
      <c r="D677" s="85"/>
      <c r="E677" s="85"/>
      <c r="F677" s="85"/>
    </row>
    <row r="678">
      <c r="A678" s="85"/>
      <c r="B678" s="85"/>
      <c r="C678" s="85"/>
      <c r="D678" s="85"/>
      <c r="E678" s="85"/>
      <c r="F678" s="85"/>
    </row>
    <row r="679">
      <c r="A679" s="85"/>
      <c r="B679" s="85"/>
      <c r="C679" s="85"/>
      <c r="D679" s="85"/>
      <c r="E679" s="85"/>
      <c r="F679" s="85"/>
    </row>
    <row r="680">
      <c r="A680" s="85"/>
      <c r="B680" s="85"/>
      <c r="C680" s="85"/>
      <c r="D680" s="85"/>
      <c r="E680" s="85"/>
      <c r="F680" s="85"/>
    </row>
    <row r="681">
      <c r="A681" s="85"/>
      <c r="B681" s="85"/>
      <c r="C681" s="85"/>
      <c r="D681" s="85"/>
      <c r="E681" s="85"/>
      <c r="F681" s="85"/>
    </row>
    <row r="682">
      <c r="A682" s="85"/>
      <c r="B682" s="85"/>
      <c r="C682" s="85"/>
      <c r="D682" s="85"/>
      <c r="E682" s="85"/>
      <c r="F682" s="85"/>
    </row>
    <row r="683">
      <c r="A683" s="85"/>
      <c r="B683" s="85"/>
      <c r="C683" s="85"/>
      <c r="D683" s="85"/>
      <c r="E683" s="85"/>
      <c r="F683" s="85"/>
    </row>
    <row r="684">
      <c r="A684" s="85"/>
      <c r="B684" s="85"/>
      <c r="C684" s="85"/>
      <c r="D684" s="85"/>
      <c r="E684" s="85"/>
      <c r="F684" s="85"/>
    </row>
    <row r="685">
      <c r="A685" s="85"/>
      <c r="B685" s="85"/>
      <c r="C685" s="85"/>
      <c r="D685" s="85"/>
      <c r="E685" s="85"/>
      <c r="F685" s="85"/>
    </row>
    <row r="686">
      <c r="A686" s="85"/>
      <c r="B686" s="85"/>
      <c r="C686" s="85"/>
      <c r="D686" s="85"/>
      <c r="E686" s="85"/>
      <c r="F686" s="85"/>
    </row>
    <row r="687">
      <c r="A687" s="85"/>
      <c r="B687" s="85"/>
      <c r="C687" s="85"/>
      <c r="D687" s="85"/>
      <c r="E687" s="85"/>
      <c r="F687" s="85"/>
    </row>
    <row r="688">
      <c r="A688" s="85"/>
      <c r="B688" s="85"/>
      <c r="C688" s="85"/>
      <c r="D688" s="85"/>
      <c r="E688" s="85"/>
      <c r="F688" s="85"/>
    </row>
    <row r="689">
      <c r="A689" s="85"/>
      <c r="B689" s="85"/>
      <c r="C689" s="85"/>
      <c r="D689" s="85"/>
      <c r="E689" s="85"/>
      <c r="F689" s="85"/>
    </row>
    <row r="690">
      <c r="A690" s="85"/>
      <c r="B690" s="85"/>
      <c r="C690" s="85"/>
      <c r="D690" s="85"/>
      <c r="E690" s="85"/>
      <c r="F690" s="85"/>
    </row>
    <row r="691">
      <c r="A691" s="85"/>
      <c r="B691" s="85"/>
      <c r="C691" s="85"/>
      <c r="D691" s="85"/>
      <c r="E691" s="85"/>
      <c r="F691" s="85"/>
    </row>
    <row r="692">
      <c r="A692" s="85"/>
      <c r="B692" s="85"/>
      <c r="C692" s="85"/>
      <c r="D692" s="85"/>
      <c r="E692" s="85"/>
      <c r="F692" s="85"/>
    </row>
    <row r="693">
      <c r="A693" s="85"/>
      <c r="B693" s="85"/>
      <c r="C693" s="85"/>
      <c r="D693" s="85"/>
      <c r="E693" s="85"/>
      <c r="F693" s="85"/>
    </row>
    <row r="694">
      <c r="A694" s="85"/>
      <c r="B694" s="85"/>
      <c r="C694" s="85"/>
      <c r="D694" s="85"/>
      <c r="E694" s="85"/>
      <c r="F694" s="85"/>
    </row>
    <row r="695">
      <c r="A695" s="85"/>
      <c r="B695" s="85"/>
      <c r="C695" s="85"/>
      <c r="D695" s="85"/>
      <c r="E695" s="85"/>
      <c r="F695" s="85"/>
    </row>
    <row r="696">
      <c r="A696" s="85"/>
      <c r="B696" s="85"/>
      <c r="C696" s="85"/>
      <c r="D696" s="85"/>
      <c r="E696" s="85"/>
      <c r="F696" s="85"/>
    </row>
    <row r="697">
      <c r="A697" s="85"/>
      <c r="B697" s="85"/>
      <c r="C697" s="85"/>
      <c r="D697" s="85"/>
      <c r="E697" s="85"/>
      <c r="F697" s="85"/>
    </row>
    <row r="698">
      <c r="A698" s="85"/>
      <c r="B698" s="85"/>
      <c r="C698" s="85"/>
      <c r="D698" s="85"/>
      <c r="E698" s="85"/>
      <c r="F698" s="85"/>
    </row>
    <row r="699">
      <c r="A699" s="85"/>
      <c r="B699" s="85"/>
      <c r="C699" s="85"/>
      <c r="D699" s="85"/>
      <c r="E699" s="85"/>
      <c r="F699" s="85"/>
    </row>
    <row r="700">
      <c r="A700" s="85"/>
      <c r="B700" s="85"/>
      <c r="C700" s="85"/>
      <c r="D700" s="85"/>
      <c r="E700" s="85"/>
      <c r="F700" s="85"/>
    </row>
    <row r="701">
      <c r="A701" s="85"/>
      <c r="B701" s="85"/>
      <c r="C701" s="85"/>
      <c r="D701" s="85"/>
      <c r="E701" s="85"/>
      <c r="F701" s="85"/>
    </row>
    <row r="702">
      <c r="A702" s="85"/>
      <c r="B702" s="85"/>
      <c r="C702" s="85"/>
      <c r="D702" s="85"/>
      <c r="E702" s="85"/>
      <c r="F702" s="85"/>
    </row>
    <row r="703">
      <c r="A703" s="85"/>
      <c r="B703" s="85"/>
      <c r="C703" s="85"/>
      <c r="D703" s="85"/>
      <c r="E703" s="85"/>
      <c r="F703" s="85"/>
    </row>
    <row r="704">
      <c r="A704" s="85"/>
      <c r="B704" s="85"/>
      <c r="C704" s="85"/>
      <c r="D704" s="85"/>
      <c r="E704" s="85"/>
      <c r="F704" s="85"/>
    </row>
    <row r="705">
      <c r="A705" s="85"/>
      <c r="B705" s="85"/>
      <c r="C705" s="85"/>
      <c r="D705" s="85"/>
      <c r="E705" s="85"/>
      <c r="F705" s="85"/>
    </row>
    <row r="706">
      <c r="A706" s="85"/>
      <c r="B706" s="85"/>
      <c r="C706" s="85"/>
      <c r="D706" s="85"/>
      <c r="E706" s="85"/>
      <c r="F706" s="85"/>
    </row>
    <row r="707">
      <c r="A707" s="85"/>
      <c r="B707" s="85"/>
      <c r="C707" s="85"/>
      <c r="D707" s="85"/>
      <c r="E707" s="85"/>
      <c r="F707" s="85"/>
    </row>
    <row r="708">
      <c r="A708" s="85"/>
      <c r="B708" s="85"/>
      <c r="C708" s="85"/>
      <c r="D708" s="85"/>
      <c r="E708" s="85"/>
      <c r="F708" s="85"/>
    </row>
    <row r="709">
      <c r="A709" s="85"/>
      <c r="B709" s="85"/>
      <c r="C709" s="85"/>
      <c r="D709" s="85"/>
      <c r="E709" s="85"/>
      <c r="F709" s="85"/>
    </row>
    <row r="710">
      <c r="A710" s="85"/>
      <c r="B710" s="85"/>
      <c r="C710" s="85"/>
      <c r="D710" s="85"/>
      <c r="E710" s="85"/>
      <c r="F710" s="85"/>
    </row>
    <row r="711">
      <c r="A711" s="85"/>
      <c r="B711" s="85"/>
      <c r="C711" s="85"/>
      <c r="D711" s="85"/>
      <c r="E711" s="85"/>
      <c r="F711" s="85"/>
    </row>
    <row r="712">
      <c r="A712" s="85"/>
      <c r="B712" s="85"/>
      <c r="C712" s="85"/>
      <c r="D712" s="85"/>
      <c r="E712" s="85"/>
      <c r="F712" s="85"/>
    </row>
    <row r="713">
      <c r="A713" s="85"/>
      <c r="B713" s="85"/>
      <c r="C713" s="85"/>
      <c r="D713" s="85"/>
      <c r="E713" s="85"/>
      <c r="F713" s="85"/>
    </row>
    <row r="714">
      <c r="A714" s="85"/>
      <c r="B714" s="85"/>
      <c r="C714" s="85"/>
      <c r="D714" s="85"/>
      <c r="E714" s="85"/>
      <c r="F714" s="85"/>
    </row>
    <row r="715">
      <c r="A715" s="85"/>
      <c r="B715" s="85"/>
      <c r="C715" s="85"/>
      <c r="D715" s="85"/>
      <c r="E715" s="85"/>
      <c r="F715" s="85"/>
    </row>
    <row r="716">
      <c r="A716" s="85"/>
      <c r="B716" s="85"/>
      <c r="C716" s="85"/>
      <c r="D716" s="85"/>
      <c r="E716" s="85"/>
      <c r="F716" s="85"/>
    </row>
    <row r="717">
      <c r="A717" s="85"/>
      <c r="B717" s="85"/>
      <c r="C717" s="85"/>
      <c r="D717" s="85"/>
      <c r="E717" s="85"/>
      <c r="F717" s="85"/>
    </row>
    <row r="718">
      <c r="A718" s="85"/>
      <c r="B718" s="85"/>
      <c r="C718" s="85"/>
      <c r="D718" s="85"/>
      <c r="E718" s="85"/>
      <c r="F718" s="85"/>
    </row>
    <row r="719">
      <c r="A719" s="85"/>
      <c r="B719" s="85"/>
      <c r="C719" s="85"/>
      <c r="D719" s="85"/>
      <c r="E719" s="85"/>
      <c r="F719" s="85"/>
    </row>
    <row r="720">
      <c r="A720" s="85"/>
      <c r="B720" s="85"/>
      <c r="C720" s="85"/>
      <c r="D720" s="85"/>
      <c r="E720" s="85"/>
      <c r="F720" s="85"/>
    </row>
    <row r="721">
      <c r="A721" s="85"/>
      <c r="B721" s="85"/>
      <c r="C721" s="85"/>
      <c r="D721" s="85"/>
      <c r="E721" s="85"/>
      <c r="F721" s="85"/>
    </row>
    <row r="722">
      <c r="A722" s="85"/>
      <c r="B722" s="85"/>
      <c r="C722" s="85"/>
      <c r="D722" s="85"/>
      <c r="E722" s="85"/>
      <c r="F722" s="85"/>
    </row>
    <row r="723">
      <c r="A723" s="85"/>
      <c r="B723" s="85"/>
      <c r="C723" s="85"/>
      <c r="D723" s="85"/>
      <c r="E723" s="85"/>
      <c r="F723" s="85"/>
    </row>
    <row r="724">
      <c r="A724" s="85"/>
      <c r="B724" s="85"/>
      <c r="C724" s="85"/>
      <c r="D724" s="85"/>
      <c r="E724" s="85"/>
      <c r="F724" s="85"/>
    </row>
    <row r="725">
      <c r="A725" s="85"/>
      <c r="B725" s="85"/>
      <c r="C725" s="85"/>
      <c r="D725" s="85"/>
      <c r="E725" s="85"/>
      <c r="F725" s="85"/>
    </row>
    <row r="726">
      <c r="A726" s="85"/>
      <c r="B726" s="85"/>
      <c r="C726" s="85"/>
      <c r="D726" s="85"/>
      <c r="E726" s="85"/>
      <c r="F726" s="85"/>
    </row>
    <row r="727">
      <c r="A727" s="85"/>
      <c r="B727" s="85"/>
      <c r="C727" s="85"/>
      <c r="D727" s="85"/>
      <c r="E727" s="85"/>
      <c r="F727" s="85"/>
    </row>
    <row r="728">
      <c r="A728" s="85"/>
      <c r="B728" s="85"/>
      <c r="C728" s="85"/>
      <c r="D728" s="85"/>
      <c r="E728" s="85"/>
      <c r="F728" s="85"/>
    </row>
    <row r="729">
      <c r="A729" s="85"/>
      <c r="B729" s="85"/>
      <c r="C729" s="85"/>
      <c r="D729" s="85"/>
      <c r="E729" s="85"/>
      <c r="F729" s="85"/>
    </row>
    <row r="730">
      <c r="A730" s="85"/>
      <c r="B730" s="85"/>
      <c r="C730" s="85"/>
      <c r="D730" s="85"/>
      <c r="E730" s="85"/>
      <c r="F730" s="85"/>
    </row>
    <row r="731">
      <c r="A731" s="85"/>
      <c r="B731" s="85"/>
      <c r="C731" s="85"/>
      <c r="D731" s="85"/>
      <c r="E731" s="85"/>
      <c r="F731" s="85"/>
    </row>
    <row r="732">
      <c r="A732" s="85"/>
      <c r="B732" s="85"/>
      <c r="C732" s="85"/>
      <c r="D732" s="85"/>
      <c r="E732" s="85"/>
      <c r="F732" s="85"/>
    </row>
    <row r="733">
      <c r="A733" s="85"/>
      <c r="B733" s="85"/>
      <c r="C733" s="85"/>
      <c r="D733" s="85"/>
      <c r="E733" s="85"/>
      <c r="F733" s="85"/>
    </row>
    <row r="734">
      <c r="A734" s="85"/>
      <c r="B734" s="85"/>
      <c r="C734" s="85"/>
      <c r="D734" s="85"/>
      <c r="E734" s="85"/>
      <c r="F734" s="85"/>
    </row>
    <row r="735">
      <c r="A735" s="85"/>
      <c r="B735" s="85"/>
      <c r="C735" s="85"/>
      <c r="D735" s="85"/>
      <c r="E735" s="85"/>
      <c r="F735" s="85"/>
    </row>
    <row r="736">
      <c r="A736" s="85"/>
      <c r="B736" s="85"/>
      <c r="C736" s="85"/>
      <c r="D736" s="85"/>
      <c r="E736" s="85"/>
      <c r="F736" s="85"/>
    </row>
    <row r="737">
      <c r="A737" s="85"/>
      <c r="B737" s="85"/>
      <c r="C737" s="85"/>
      <c r="D737" s="85"/>
      <c r="E737" s="85"/>
      <c r="F737" s="85"/>
    </row>
    <row r="738">
      <c r="A738" s="85"/>
      <c r="B738" s="85"/>
      <c r="C738" s="85"/>
      <c r="D738" s="85"/>
      <c r="E738" s="85"/>
      <c r="F738" s="85"/>
    </row>
    <row r="739">
      <c r="A739" s="85"/>
      <c r="B739" s="85"/>
      <c r="C739" s="85"/>
      <c r="D739" s="85"/>
      <c r="E739" s="85"/>
      <c r="F739" s="85"/>
    </row>
    <row r="740">
      <c r="A740" s="85"/>
      <c r="B740" s="85"/>
      <c r="C740" s="85"/>
      <c r="D740" s="85"/>
      <c r="E740" s="85"/>
      <c r="F740" s="85"/>
    </row>
    <row r="741">
      <c r="A741" s="85"/>
      <c r="B741" s="85"/>
      <c r="C741" s="85"/>
      <c r="D741" s="85"/>
      <c r="E741" s="85"/>
      <c r="F741" s="85"/>
    </row>
    <row r="742">
      <c r="A742" s="85"/>
      <c r="B742" s="85"/>
      <c r="C742" s="85"/>
      <c r="D742" s="85"/>
      <c r="E742" s="85"/>
      <c r="F742" s="85"/>
    </row>
    <row r="743">
      <c r="A743" s="85"/>
      <c r="B743" s="85"/>
      <c r="C743" s="85"/>
      <c r="D743" s="85"/>
      <c r="E743" s="85"/>
      <c r="F743" s="85"/>
    </row>
    <row r="744">
      <c r="A744" s="85"/>
      <c r="B744" s="85"/>
      <c r="C744" s="85"/>
      <c r="D744" s="85"/>
      <c r="E744" s="85"/>
      <c r="F744" s="85"/>
    </row>
    <row r="745">
      <c r="A745" s="85"/>
      <c r="B745" s="85"/>
      <c r="C745" s="85"/>
      <c r="D745" s="85"/>
      <c r="E745" s="85"/>
      <c r="F745" s="85"/>
    </row>
    <row r="746">
      <c r="A746" s="85"/>
      <c r="B746" s="85"/>
      <c r="C746" s="85"/>
      <c r="D746" s="85"/>
      <c r="E746" s="85"/>
      <c r="F746" s="85"/>
    </row>
    <row r="747">
      <c r="A747" s="85"/>
      <c r="B747" s="85"/>
      <c r="C747" s="85"/>
      <c r="D747" s="85"/>
      <c r="E747" s="85"/>
      <c r="F747" s="85"/>
    </row>
    <row r="748">
      <c r="A748" s="85"/>
      <c r="B748" s="85"/>
      <c r="C748" s="85"/>
      <c r="D748" s="85"/>
      <c r="E748" s="85"/>
      <c r="F748" s="85"/>
    </row>
    <row r="749">
      <c r="A749" s="85"/>
      <c r="B749" s="85"/>
      <c r="C749" s="85"/>
      <c r="D749" s="85"/>
      <c r="E749" s="85"/>
      <c r="F749" s="85"/>
    </row>
    <row r="750">
      <c r="A750" s="85"/>
      <c r="B750" s="85"/>
      <c r="C750" s="85"/>
      <c r="D750" s="85"/>
      <c r="E750" s="85"/>
      <c r="F750" s="85"/>
    </row>
    <row r="751">
      <c r="A751" s="85"/>
      <c r="B751" s="85"/>
      <c r="C751" s="85"/>
      <c r="D751" s="85"/>
      <c r="E751" s="85"/>
      <c r="F751" s="85"/>
    </row>
    <row r="752">
      <c r="A752" s="85"/>
      <c r="B752" s="85"/>
      <c r="C752" s="85"/>
      <c r="D752" s="85"/>
      <c r="E752" s="85"/>
      <c r="F752" s="85"/>
    </row>
    <row r="753">
      <c r="A753" s="85"/>
      <c r="B753" s="85"/>
      <c r="C753" s="85"/>
      <c r="D753" s="85"/>
      <c r="E753" s="85"/>
      <c r="F753" s="85"/>
    </row>
    <row r="754">
      <c r="A754" s="85"/>
      <c r="B754" s="85"/>
      <c r="C754" s="85"/>
      <c r="D754" s="85"/>
      <c r="E754" s="85"/>
      <c r="F754" s="85"/>
    </row>
    <row r="755">
      <c r="A755" s="85"/>
      <c r="B755" s="85"/>
      <c r="C755" s="85"/>
      <c r="D755" s="85"/>
      <c r="E755" s="85"/>
      <c r="F755" s="85"/>
    </row>
    <row r="756">
      <c r="A756" s="85"/>
      <c r="B756" s="85"/>
      <c r="C756" s="85"/>
      <c r="D756" s="85"/>
      <c r="E756" s="85"/>
      <c r="F756" s="85"/>
    </row>
    <row r="757">
      <c r="A757" s="85"/>
      <c r="B757" s="85"/>
      <c r="C757" s="85"/>
      <c r="D757" s="85"/>
      <c r="E757" s="85"/>
      <c r="F757" s="85"/>
    </row>
    <row r="758">
      <c r="A758" s="85"/>
      <c r="B758" s="85"/>
      <c r="C758" s="85"/>
      <c r="D758" s="85"/>
      <c r="E758" s="85"/>
      <c r="F758" s="85"/>
    </row>
    <row r="759">
      <c r="A759" s="85"/>
      <c r="B759" s="85"/>
      <c r="C759" s="85"/>
      <c r="D759" s="85"/>
      <c r="E759" s="85"/>
      <c r="F759" s="85"/>
    </row>
    <row r="760">
      <c r="A760" s="85"/>
      <c r="B760" s="85"/>
      <c r="C760" s="85"/>
      <c r="D760" s="85"/>
      <c r="E760" s="85"/>
      <c r="F760" s="85"/>
    </row>
    <row r="761">
      <c r="A761" s="85"/>
      <c r="B761" s="85"/>
      <c r="C761" s="85"/>
      <c r="D761" s="85"/>
      <c r="E761" s="85"/>
      <c r="F761" s="85"/>
    </row>
    <row r="762">
      <c r="A762" s="85"/>
      <c r="B762" s="85"/>
      <c r="C762" s="85"/>
      <c r="D762" s="85"/>
      <c r="E762" s="85"/>
      <c r="F762" s="85"/>
    </row>
    <row r="763">
      <c r="A763" s="85"/>
      <c r="B763" s="85"/>
      <c r="C763" s="85"/>
      <c r="D763" s="85"/>
      <c r="E763" s="85"/>
      <c r="F763" s="85"/>
    </row>
    <row r="764">
      <c r="A764" s="85"/>
      <c r="B764" s="85"/>
      <c r="C764" s="85"/>
      <c r="D764" s="85"/>
      <c r="E764" s="85"/>
      <c r="F764" s="85"/>
    </row>
    <row r="765">
      <c r="A765" s="85"/>
      <c r="B765" s="85"/>
      <c r="C765" s="85"/>
      <c r="D765" s="85"/>
      <c r="E765" s="85"/>
      <c r="F765" s="85"/>
    </row>
    <row r="766">
      <c r="A766" s="85"/>
      <c r="B766" s="85"/>
      <c r="C766" s="85"/>
      <c r="D766" s="85"/>
      <c r="E766" s="85"/>
      <c r="F766" s="85"/>
    </row>
    <row r="767">
      <c r="A767" s="85"/>
      <c r="B767" s="85"/>
      <c r="C767" s="85"/>
      <c r="D767" s="85"/>
      <c r="E767" s="85"/>
      <c r="F767" s="85"/>
    </row>
    <row r="768">
      <c r="A768" s="85"/>
      <c r="B768" s="85"/>
      <c r="C768" s="85"/>
      <c r="D768" s="85"/>
      <c r="E768" s="85"/>
      <c r="F768" s="85"/>
    </row>
    <row r="769">
      <c r="A769" s="85"/>
      <c r="B769" s="85"/>
      <c r="C769" s="85"/>
      <c r="D769" s="85"/>
      <c r="E769" s="85"/>
      <c r="F769" s="85"/>
    </row>
    <row r="770">
      <c r="A770" s="85"/>
      <c r="B770" s="85"/>
      <c r="C770" s="85"/>
      <c r="D770" s="85"/>
      <c r="E770" s="85"/>
      <c r="F770" s="85"/>
    </row>
    <row r="771">
      <c r="A771" s="85"/>
      <c r="B771" s="85"/>
      <c r="C771" s="85"/>
      <c r="D771" s="85"/>
      <c r="E771" s="85"/>
      <c r="F771" s="85"/>
    </row>
    <row r="772">
      <c r="A772" s="85"/>
      <c r="B772" s="85"/>
      <c r="C772" s="85"/>
      <c r="D772" s="85"/>
      <c r="E772" s="85"/>
      <c r="F772" s="85"/>
    </row>
    <row r="773">
      <c r="A773" s="85"/>
      <c r="B773" s="85"/>
      <c r="C773" s="85"/>
      <c r="D773" s="85"/>
      <c r="E773" s="85"/>
      <c r="F773" s="85"/>
    </row>
    <row r="774">
      <c r="A774" s="85"/>
      <c r="B774" s="85"/>
      <c r="C774" s="85"/>
      <c r="D774" s="85"/>
      <c r="E774" s="85"/>
      <c r="F774" s="85"/>
    </row>
    <row r="775">
      <c r="A775" s="85"/>
      <c r="B775" s="85"/>
      <c r="C775" s="85"/>
      <c r="D775" s="85"/>
      <c r="E775" s="85"/>
      <c r="F775" s="85"/>
    </row>
    <row r="776">
      <c r="A776" s="85"/>
      <c r="B776" s="85"/>
      <c r="C776" s="85"/>
      <c r="D776" s="85"/>
      <c r="E776" s="85"/>
      <c r="F776" s="85"/>
    </row>
    <row r="777">
      <c r="A777" s="85"/>
      <c r="B777" s="85"/>
      <c r="C777" s="85"/>
      <c r="D777" s="85"/>
      <c r="E777" s="85"/>
      <c r="F777" s="85"/>
    </row>
    <row r="778">
      <c r="A778" s="85"/>
      <c r="B778" s="85"/>
      <c r="C778" s="85"/>
      <c r="D778" s="85"/>
      <c r="E778" s="85"/>
      <c r="F778" s="85"/>
    </row>
    <row r="779">
      <c r="A779" s="85"/>
      <c r="B779" s="85"/>
      <c r="C779" s="85"/>
      <c r="D779" s="85"/>
      <c r="E779" s="85"/>
      <c r="F779" s="85"/>
    </row>
    <row r="780">
      <c r="A780" s="85"/>
      <c r="B780" s="85"/>
      <c r="C780" s="85"/>
      <c r="D780" s="85"/>
      <c r="E780" s="85"/>
      <c r="F780" s="85"/>
    </row>
    <row r="781">
      <c r="A781" s="85"/>
      <c r="B781" s="85"/>
      <c r="C781" s="85"/>
      <c r="D781" s="85"/>
      <c r="E781" s="85"/>
      <c r="F781" s="85"/>
    </row>
    <row r="782">
      <c r="A782" s="85"/>
      <c r="B782" s="85"/>
      <c r="C782" s="85"/>
      <c r="D782" s="85"/>
      <c r="E782" s="85"/>
      <c r="F782" s="85"/>
    </row>
    <row r="783">
      <c r="A783" s="85"/>
      <c r="B783" s="85"/>
      <c r="C783" s="85"/>
      <c r="D783" s="85"/>
      <c r="E783" s="85"/>
      <c r="F783" s="85"/>
    </row>
    <row r="784">
      <c r="A784" s="85"/>
      <c r="B784" s="85"/>
      <c r="C784" s="85"/>
      <c r="D784" s="85"/>
      <c r="E784" s="85"/>
      <c r="F784" s="85"/>
    </row>
    <row r="785">
      <c r="A785" s="85"/>
      <c r="B785" s="85"/>
      <c r="C785" s="85"/>
      <c r="D785" s="85"/>
      <c r="E785" s="85"/>
      <c r="F785" s="85"/>
    </row>
    <row r="786">
      <c r="A786" s="85"/>
      <c r="B786" s="85"/>
      <c r="C786" s="85"/>
      <c r="D786" s="85"/>
      <c r="E786" s="85"/>
      <c r="F786" s="85"/>
    </row>
    <row r="787">
      <c r="A787" s="85"/>
      <c r="B787" s="85"/>
      <c r="C787" s="85"/>
      <c r="D787" s="85"/>
      <c r="E787" s="85"/>
      <c r="F787" s="85"/>
    </row>
    <row r="788">
      <c r="A788" s="85"/>
      <c r="B788" s="85"/>
      <c r="C788" s="85"/>
      <c r="D788" s="85"/>
      <c r="E788" s="85"/>
      <c r="F788" s="85"/>
    </row>
    <row r="789">
      <c r="A789" s="85"/>
      <c r="B789" s="85"/>
      <c r="C789" s="85"/>
      <c r="D789" s="85"/>
      <c r="E789" s="85"/>
      <c r="F789" s="85"/>
    </row>
    <row r="790">
      <c r="A790" s="85"/>
      <c r="B790" s="85"/>
      <c r="C790" s="85"/>
      <c r="D790" s="85"/>
      <c r="E790" s="85"/>
      <c r="F790" s="85"/>
    </row>
    <row r="791">
      <c r="A791" s="85"/>
      <c r="B791" s="85"/>
      <c r="C791" s="85"/>
      <c r="D791" s="85"/>
      <c r="E791" s="85"/>
      <c r="F791" s="85"/>
    </row>
    <row r="792">
      <c r="A792" s="85"/>
      <c r="B792" s="85"/>
      <c r="C792" s="85"/>
      <c r="D792" s="85"/>
      <c r="E792" s="85"/>
      <c r="F792" s="85"/>
    </row>
    <row r="793">
      <c r="A793" s="85"/>
      <c r="B793" s="85"/>
      <c r="C793" s="85"/>
      <c r="D793" s="85"/>
      <c r="E793" s="85"/>
      <c r="F793" s="85"/>
    </row>
    <row r="794">
      <c r="A794" s="85"/>
      <c r="B794" s="85"/>
      <c r="C794" s="85"/>
      <c r="D794" s="85"/>
      <c r="E794" s="85"/>
      <c r="F794" s="85"/>
    </row>
    <row r="795">
      <c r="A795" s="85"/>
      <c r="B795" s="85"/>
      <c r="C795" s="85"/>
      <c r="D795" s="85"/>
      <c r="E795" s="85"/>
      <c r="F795" s="85"/>
    </row>
    <row r="796">
      <c r="A796" s="85"/>
      <c r="B796" s="85"/>
      <c r="C796" s="85"/>
      <c r="D796" s="85"/>
      <c r="E796" s="85"/>
      <c r="F796" s="85"/>
    </row>
    <row r="797">
      <c r="A797" s="85"/>
      <c r="B797" s="85"/>
      <c r="C797" s="85"/>
      <c r="D797" s="85"/>
      <c r="E797" s="85"/>
      <c r="F797" s="85"/>
    </row>
    <row r="798">
      <c r="A798" s="85"/>
      <c r="B798" s="85"/>
      <c r="C798" s="85"/>
      <c r="D798" s="85"/>
      <c r="E798" s="85"/>
      <c r="F798" s="85"/>
    </row>
    <row r="799">
      <c r="A799" s="85"/>
      <c r="B799" s="85"/>
      <c r="C799" s="85"/>
      <c r="D799" s="85"/>
      <c r="E799" s="85"/>
      <c r="F799" s="85"/>
    </row>
    <row r="800">
      <c r="A800" s="85"/>
      <c r="B800" s="85"/>
      <c r="C800" s="85"/>
      <c r="D800" s="85"/>
      <c r="E800" s="85"/>
      <c r="F800" s="85"/>
    </row>
    <row r="801">
      <c r="A801" s="85"/>
      <c r="B801" s="85"/>
      <c r="C801" s="85"/>
      <c r="D801" s="85"/>
      <c r="E801" s="85"/>
      <c r="F801" s="85"/>
    </row>
    <row r="802">
      <c r="A802" s="85"/>
      <c r="B802" s="85"/>
      <c r="C802" s="85"/>
      <c r="D802" s="85"/>
      <c r="E802" s="85"/>
      <c r="F802" s="85"/>
    </row>
    <row r="803">
      <c r="A803" s="85"/>
      <c r="B803" s="85"/>
      <c r="C803" s="85"/>
      <c r="D803" s="85"/>
      <c r="E803" s="85"/>
      <c r="F803" s="85"/>
    </row>
    <row r="804">
      <c r="A804" s="85"/>
      <c r="B804" s="85"/>
      <c r="C804" s="85"/>
      <c r="D804" s="85"/>
      <c r="E804" s="85"/>
      <c r="F804" s="85"/>
    </row>
    <row r="805">
      <c r="A805" s="85"/>
      <c r="B805" s="85"/>
      <c r="C805" s="85"/>
      <c r="D805" s="85"/>
      <c r="E805" s="85"/>
      <c r="F805" s="85"/>
    </row>
    <row r="806">
      <c r="A806" s="85"/>
      <c r="B806" s="85"/>
      <c r="C806" s="85"/>
      <c r="D806" s="85"/>
      <c r="E806" s="85"/>
      <c r="F806" s="85"/>
    </row>
    <row r="807">
      <c r="A807" s="85"/>
      <c r="B807" s="85"/>
      <c r="C807" s="85"/>
      <c r="D807" s="85"/>
      <c r="E807" s="85"/>
      <c r="F807" s="85"/>
    </row>
    <row r="808">
      <c r="A808" s="85"/>
      <c r="B808" s="85"/>
      <c r="C808" s="85"/>
      <c r="D808" s="85"/>
      <c r="E808" s="85"/>
      <c r="F808" s="85"/>
    </row>
    <row r="809">
      <c r="A809" s="85"/>
      <c r="B809" s="85"/>
      <c r="C809" s="85"/>
      <c r="D809" s="85"/>
      <c r="E809" s="85"/>
      <c r="F809" s="85"/>
    </row>
    <row r="810">
      <c r="A810" s="85"/>
      <c r="B810" s="85"/>
      <c r="C810" s="85"/>
      <c r="D810" s="85"/>
      <c r="E810" s="85"/>
      <c r="F810" s="85"/>
    </row>
    <row r="811">
      <c r="A811" s="85"/>
      <c r="B811" s="85"/>
      <c r="C811" s="85"/>
      <c r="D811" s="85"/>
      <c r="E811" s="85"/>
      <c r="F811" s="85"/>
    </row>
    <row r="812">
      <c r="A812" s="85"/>
      <c r="B812" s="85"/>
      <c r="C812" s="85"/>
      <c r="D812" s="85"/>
      <c r="E812" s="85"/>
      <c r="F812" s="85"/>
    </row>
    <row r="813">
      <c r="A813" s="85"/>
      <c r="B813" s="85"/>
      <c r="C813" s="85"/>
      <c r="D813" s="85"/>
      <c r="E813" s="85"/>
      <c r="F813" s="85"/>
    </row>
    <row r="814">
      <c r="A814" s="85"/>
      <c r="B814" s="85"/>
      <c r="C814" s="85"/>
      <c r="D814" s="85"/>
      <c r="E814" s="85"/>
      <c r="F814" s="85"/>
    </row>
    <row r="815">
      <c r="A815" s="85"/>
      <c r="B815" s="85"/>
      <c r="C815" s="85"/>
      <c r="D815" s="85"/>
      <c r="E815" s="85"/>
      <c r="F815" s="85"/>
    </row>
    <row r="816">
      <c r="A816" s="85"/>
      <c r="B816" s="85"/>
      <c r="C816" s="85"/>
      <c r="D816" s="85"/>
      <c r="E816" s="85"/>
      <c r="F816" s="85"/>
    </row>
    <row r="817">
      <c r="A817" s="85"/>
      <c r="B817" s="85"/>
      <c r="C817" s="85"/>
      <c r="D817" s="85"/>
      <c r="E817" s="85"/>
      <c r="F817" s="85"/>
    </row>
    <row r="818">
      <c r="A818" s="85"/>
      <c r="B818" s="85"/>
      <c r="C818" s="85"/>
      <c r="D818" s="85"/>
      <c r="E818" s="85"/>
      <c r="F818" s="85"/>
    </row>
    <row r="819">
      <c r="A819" s="85"/>
      <c r="B819" s="85"/>
      <c r="C819" s="85"/>
      <c r="D819" s="85"/>
      <c r="E819" s="85"/>
      <c r="F819" s="85"/>
    </row>
    <row r="820">
      <c r="A820" s="85"/>
      <c r="B820" s="85"/>
      <c r="C820" s="85"/>
      <c r="D820" s="85"/>
      <c r="E820" s="85"/>
      <c r="F820" s="85"/>
    </row>
    <row r="821">
      <c r="A821" s="85"/>
      <c r="B821" s="85"/>
      <c r="C821" s="85"/>
      <c r="D821" s="85"/>
      <c r="E821" s="85"/>
      <c r="F821" s="85"/>
    </row>
    <row r="822">
      <c r="A822" s="85"/>
      <c r="B822" s="85"/>
      <c r="C822" s="85"/>
      <c r="D822" s="85"/>
      <c r="E822" s="85"/>
      <c r="F822" s="85"/>
    </row>
    <row r="823">
      <c r="A823" s="85"/>
      <c r="B823" s="85"/>
      <c r="C823" s="85"/>
      <c r="D823" s="85"/>
      <c r="E823" s="85"/>
      <c r="F823" s="85"/>
    </row>
    <row r="824">
      <c r="A824" s="85"/>
      <c r="B824" s="85"/>
      <c r="C824" s="85"/>
      <c r="D824" s="85"/>
      <c r="E824" s="85"/>
      <c r="F824" s="85"/>
    </row>
    <row r="825">
      <c r="A825" s="85"/>
      <c r="B825" s="85"/>
      <c r="C825" s="85"/>
      <c r="D825" s="85"/>
      <c r="E825" s="85"/>
      <c r="F825" s="85"/>
    </row>
    <row r="826">
      <c r="A826" s="85"/>
      <c r="B826" s="85"/>
      <c r="C826" s="85"/>
      <c r="D826" s="85"/>
      <c r="E826" s="85"/>
      <c r="F826" s="85"/>
    </row>
    <row r="827">
      <c r="A827" s="85"/>
      <c r="B827" s="85"/>
      <c r="C827" s="85"/>
      <c r="D827" s="85"/>
      <c r="E827" s="85"/>
      <c r="F827" s="85"/>
    </row>
    <row r="828">
      <c r="A828" s="85"/>
      <c r="B828" s="85"/>
      <c r="C828" s="85"/>
      <c r="D828" s="85"/>
      <c r="E828" s="85"/>
      <c r="F828" s="85"/>
    </row>
    <row r="829">
      <c r="A829" s="85"/>
      <c r="B829" s="85"/>
      <c r="C829" s="85"/>
      <c r="D829" s="85"/>
      <c r="E829" s="85"/>
      <c r="F829" s="85"/>
    </row>
    <row r="830">
      <c r="A830" s="85"/>
      <c r="B830" s="85"/>
      <c r="C830" s="85"/>
      <c r="D830" s="85"/>
      <c r="E830" s="85"/>
      <c r="F830" s="85"/>
    </row>
    <row r="831">
      <c r="A831" s="85"/>
      <c r="B831" s="85"/>
      <c r="C831" s="85"/>
      <c r="D831" s="85"/>
      <c r="E831" s="85"/>
      <c r="F831" s="85"/>
    </row>
    <row r="832">
      <c r="A832" s="85"/>
      <c r="B832" s="85"/>
      <c r="C832" s="85"/>
      <c r="D832" s="85"/>
      <c r="E832" s="85"/>
      <c r="F832" s="85"/>
    </row>
    <row r="833">
      <c r="A833" s="85"/>
      <c r="B833" s="85"/>
      <c r="C833" s="85"/>
      <c r="D833" s="85"/>
      <c r="E833" s="85"/>
      <c r="F833" s="85"/>
    </row>
    <row r="834">
      <c r="A834" s="85"/>
      <c r="B834" s="85"/>
      <c r="C834" s="85"/>
      <c r="D834" s="85"/>
      <c r="E834" s="85"/>
      <c r="F834" s="85"/>
    </row>
    <row r="835">
      <c r="A835" s="85"/>
      <c r="B835" s="85"/>
      <c r="C835" s="85"/>
      <c r="D835" s="85"/>
      <c r="E835" s="85"/>
      <c r="F835" s="85"/>
    </row>
    <row r="836">
      <c r="A836" s="85"/>
      <c r="B836" s="85"/>
      <c r="C836" s="85"/>
      <c r="D836" s="85"/>
      <c r="E836" s="85"/>
      <c r="F836" s="85"/>
    </row>
    <row r="837">
      <c r="A837" s="85"/>
      <c r="B837" s="85"/>
      <c r="C837" s="85"/>
      <c r="D837" s="85"/>
      <c r="E837" s="85"/>
      <c r="F837" s="85"/>
    </row>
    <row r="838">
      <c r="A838" s="85"/>
      <c r="B838" s="85"/>
      <c r="C838" s="85"/>
      <c r="D838" s="85"/>
      <c r="E838" s="85"/>
      <c r="F838" s="85"/>
    </row>
    <row r="839">
      <c r="A839" s="85"/>
      <c r="B839" s="85"/>
      <c r="C839" s="85"/>
      <c r="D839" s="85"/>
      <c r="E839" s="85"/>
      <c r="F839" s="85"/>
    </row>
    <row r="840">
      <c r="A840" s="85"/>
      <c r="B840" s="85"/>
      <c r="C840" s="85"/>
      <c r="D840" s="85"/>
      <c r="E840" s="85"/>
      <c r="F840" s="85"/>
    </row>
    <row r="841">
      <c r="A841" s="85"/>
      <c r="B841" s="85"/>
      <c r="C841" s="85"/>
      <c r="D841" s="85"/>
      <c r="E841" s="85"/>
      <c r="F841" s="85"/>
    </row>
    <row r="842">
      <c r="A842" s="85"/>
      <c r="B842" s="85"/>
      <c r="C842" s="85"/>
      <c r="D842" s="85"/>
      <c r="E842" s="85"/>
      <c r="F842" s="85"/>
    </row>
    <row r="843">
      <c r="A843" s="85"/>
      <c r="B843" s="85"/>
      <c r="C843" s="85"/>
      <c r="D843" s="85"/>
      <c r="E843" s="85"/>
      <c r="F843" s="85"/>
    </row>
    <row r="844">
      <c r="A844" s="85"/>
      <c r="B844" s="85"/>
      <c r="C844" s="85"/>
      <c r="D844" s="85"/>
      <c r="E844" s="85"/>
      <c r="F844" s="85"/>
    </row>
    <row r="845">
      <c r="A845" s="85"/>
      <c r="B845" s="85"/>
      <c r="C845" s="85"/>
      <c r="D845" s="85"/>
      <c r="E845" s="85"/>
      <c r="F845" s="85"/>
    </row>
    <row r="846">
      <c r="A846" s="85"/>
      <c r="B846" s="85"/>
      <c r="C846" s="85"/>
      <c r="D846" s="85"/>
      <c r="E846" s="85"/>
      <c r="F846" s="85"/>
    </row>
    <row r="847">
      <c r="A847" s="85"/>
      <c r="B847" s="85"/>
      <c r="C847" s="85"/>
      <c r="D847" s="85"/>
      <c r="E847" s="85"/>
      <c r="F847" s="85"/>
    </row>
    <row r="848">
      <c r="A848" s="85"/>
      <c r="B848" s="85"/>
      <c r="C848" s="85"/>
      <c r="D848" s="85"/>
      <c r="E848" s="85"/>
      <c r="F848" s="85"/>
    </row>
    <row r="849">
      <c r="A849" s="85"/>
      <c r="B849" s="85"/>
      <c r="C849" s="85"/>
      <c r="D849" s="85"/>
      <c r="E849" s="85"/>
      <c r="F849" s="85"/>
    </row>
    <row r="850">
      <c r="A850" s="85"/>
      <c r="B850" s="85"/>
      <c r="C850" s="85"/>
      <c r="D850" s="85"/>
      <c r="E850" s="85"/>
      <c r="F850" s="85"/>
    </row>
    <row r="851">
      <c r="A851" s="85"/>
      <c r="B851" s="85"/>
      <c r="C851" s="85"/>
      <c r="D851" s="85"/>
      <c r="E851" s="85"/>
      <c r="F851" s="85"/>
    </row>
    <row r="852">
      <c r="A852" s="85"/>
      <c r="B852" s="85"/>
      <c r="C852" s="85"/>
      <c r="D852" s="85"/>
      <c r="E852" s="85"/>
      <c r="F852" s="85"/>
    </row>
    <row r="853">
      <c r="A853" s="85"/>
      <c r="B853" s="85"/>
      <c r="C853" s="85"/>
      <c r="D853" s="85"/>
      <c r="E853" s="85"/>
      <c r="F853" s="85"/>
    </row>
    <row r="854">
      <c r="A854" s="85"/>
      <c r="B854" s="85"/>
      <c r="C854" s="85"/>
      <c r="D854" s="85"/>
      <c r="E854" s="85"/>
      <c r="F854" s="85"/>
    </row>
    <row r="855">
      <c r="A855" s="85"/>
      <c r="B855" s="85"/>
      <c r="C855" s="85"/>
      <c r="D855" s="85"/>
      <c r="E855" s="85"/>
      <c r="F855" s="85"/>
    </row>
    <row r="856">
      <c r="A856" s="85"/>
      <c r="B856" s="85"/>
      <c r="C856" s="85"/>
      <c r="D856" s="85"/>
      <c r="E856" s="85"/>
      <c r="F856" s="85"/>
    </row>
    <row r="857">
      <c r="A857" s="85"/>
      <c r="B857" s="85"/>
      <c r="C857" s="85"/>
      <c r="D857" s="85"/>
      <c r="E857" s="85"/>
      <c r="F857" s="85"/>
    </row>
    <row r="858">
      <c r="A858" s="85"/>
      <c r="B858" s="85"/>
      <c r="C858" s="85"/>
      <c r="D858" s="85"/>
      <c r="E858" s="85"/>
      <c r="F858" s="85"/>
    </row>
    <row r="859">
      <c r="A859" s="85"/>
      <c r="B859" s="85"/>
      <c r="C859" s="85"/>
      <c r="D859" s="85"/>
      <c r="E859" s="85"/>
      <c r="F859" s="85"/>
    </row>
    <row r="860">
      <c r="A860" s="85"/>
      <c r="B860" s="85"/>
      <c r="C860" s="85"/>
      <c r="D860" s="85"/>
      <c r="E860" s="85"/>
      <c r="F860" s="85"/>
    </row>
    <row r="861">
      <c r="A861" s="85"/>
      <c r="B861" s="85"/>
      <c r="C861" s="85"/>
      <c r="D861" s="85"/>
      <c r="E861" s="85"/>
      <c r="F861" s="85"/>
    </row>
    <row r="862">
      <c r="A862" s="85"/>
      <c r="B862" s="85"/>
      <c r="C862" s="85"/>
      <c r="D862" s="85"/>
      <c r="E862" s="85"/>
      <c r="F862" s="85"/>
    </row>
    <row r="863">
      <c r="A863" s="85"/>
      <c r="B863" s="85"/>
      <c r="C863" s="85"/>
      <c r="D863" s="85"/>
      <c r="E863" s="85"/>
      <c r="F863" s="85"/>
    </row>
    <row r="864">
      <c r="A864" s="85"/>
      <c r="B864" s="85"/>
      <c r="C864" s="85"/>
      <c r="D864" s="85"/>
      <c r="E864" s="85"/>
      <c r="F864" s="85"/>
    </row>
    <row r="865">
      <c r="A865" s="85"/>
      <c r="B865" s="85"/>
      <c r="C865" s="85"/>
      <c r="D865" s="85"/>
      <c r="E865" s="85"/>
      <c r="F865" s="85"/>
    </row>
    <row r="866">
      <c r="A866" s="85"/>
      <c r="B866" s="85"/>
      <c r="C866" s="85"/>
      <c r="D866" s="85"/>
      <c r="E866" s="85"/>
      <c r="F866" s="85"/>
    </row>
    <row r="867">
      <c r="A867" s="85"/>
      <c r="B867" s="85"/>
      <c r="C867" s="85"/>
      <c r="D867" s="85"/>
      <c r="E867" s="85"/>
      <c r="F867" s="85"/>
    </row>
    <row r="868">
      <c r="A868" s="85"/>
      <c r="B868" s="85"/>
      <c r="C868" s="85"/>
      <c r="D868" s="85"/>
      <c r="E868" s="85"/>
      <c r="F868" s="85"/>
    </row>
    <row r="869">
      <c r="A869" s="85"/>
      <c r="B869" s="85"/>
      <c r="C869" s="85"/>
      <c r="D869" s="85"/>
      <c r="E869" s="85"/>
      <c r="F869" s="85"/>
    </row>
    <row r="870">
      <c r="A870" s="85"/>
      <c r="B870" s="85"/>
      <c r="C870" s="85"/>
      <c r="D870" s="85"/>
      <c r="E870" s="85"/>
      <c r="F870" s="85"/>
    </row>
    <row r="871">
      <c r="A871" s="85"/>
      <c r="B871" s="85"/>
      <c r="C871" s="85"/>
      <c r="D871" s="85"/>
      <c r="E871" s="85"/>
      <c r="F871" s="85"/>
    </row>
    <row r="872">
      <c r="A872" s="85"/>
      <c r="B872" s="85"/>
      <c r="C872" s="85"/>
      <c r="D872" s="85"/>
      <c r="E872" s="85"/>
      <c r="F872" s="85"/>
    </row>
    <row r="873">
      <c r="A873" s="85"/>
      <c r="B873" s="85"/>
      <c r="C873" s="85"/>
      <c r="D873" s="85"/>
      <c r="E873" s="85"/>
      <c r="F873" s="85"/>
    </row>
    <row r="874">
      <c r="A874" s="85"/>
      <c r="B874" s="85"/>
      <c r="C874" s="85"/>
      <c r="D874" s="85"/>
      <c r="E874" s="85"/>
      <c r="F874" s="85"/>
    </row>
    <row r="875">
      <c r="A875" s="85"/>
      <c r="B875" s="85"/>
      <c r="C875" s="85"/>
      <c r="D875" s="85"/>
      <c r="E875" s="85"/>
      <c r="F875" s="85"/>
    </row>
    <row r="876">
      <c r="A876" s="85"/>
      <c r="B876" s="85"/>
      <c r="C876" s="85"/>
      <c r="D876" s="85"/>
      <c r="E876" s="85"/>
      <c r="F876" s="85"/>
    </row>
    <row r="877">
      <c r="A877" s="85"/>
      <c r="B877" s="85"/>
      <c r="C877" s="85"/>
      <c r="D877" s="85"/>
      <c r="E877" s="85"/>
      <c r="F877" s="85"/>
    </row>
    <row r="878">
      <c r="A878" s="85"/>
      <c r="B878" s="85"/>
      <c r="C878" s="85"/>
      <c r="D878" s="85"/>
      <c r="E878" s="85"/>
      <c r="F878" s="85"/>
    </row>
    <row r="879">
      <c r="A879" s="85"/>
      <c r="B879" s="85"/>
      <c r="C879" s="85"/>
      <c r="D879" s="85"/>
      <c r="E879" s="85"/>
      <c r="F879" s="85"/>
    </row>
    <row r="880">
      <c r="A880" s="85"/>
      <c r="B880" s="85"/>
      <c r="C880" s="85"/>
      <c r="D880" s="85"/>
      <c r="E880" s="85"/>
      <c r="F880" s="85"/>
    </row>
    <row r="881">
      <c r="A881" s="85"/>
      <c r="B881" s="85"/>
      <c r="C881" s="85"/>
      <c r="D881" s="85"/>
      <c r="E881" s="85"/>
      <c r="F881" s="85"/>
    </row>
    <row r="882">
      <c r="A882" s="85"/>
      <c r="B882" s="85"/>
      <c r="C882" s="85"/>
      <c r="D882" s="85"/>
      <c r="E882" s="85"/>
      <c r="F882" s="85"/>
    </row>
    <row r="883">
      <c r="A883" s="85"/>
      <c r="B883" s="85"/>
      <c r="C883" s="85"/>
      <c r="D883" s="85"/>
      <c r="E883" s="85"/>
      <c r="F883" s="85"/>
    </row>
    <row r="884">
      <c r="A884" s="85"/>
      <c r="B884" s="85"/>
      <c r="C884" s="85"/>
      <c r="D884" s="85"/>
      <c r="E884" s="85"/>
      <c r="F884" s="85"/>
    </row>
    <row r="885">
      <c r="A885" s="85"/>
      <c r="B885" s="85"/>
      <c r="C885" s="85"/>
      <c r="D885" s="85"/>
      <c r="E885" s="85"/>
      <c r="F885" s="85"/>
    </row>
    <row r="886">
      <c r="A886" s="85"/>
      <c r="B886" s="85"/>
      <c r="C886" s="85"/>
      <c r="D886" s="85"/>
      <c r="E886" s="85"/>
      <c r="F886" s="85"/>
    </row>
    <row r="887">
      <c r="A887" s="85"/>
      <c r="B887" s="85"/>
      <c r="C887" s="85"/>
      <c r="D887" s="85"/>
      <c r="E887" s="85"/>
      <c r="F887" s="85"/>
    </row>
    <row r="888">
      <c r="A888" s="85"/>
      <c r="B888" s="85"/>
      <c r="C888" s="85"/>
      <c r="D888" s="85"/>
      <c r="E888" s="85"/>
      <c r="F888" s="85"/>
    </row>
    <row r="889">
      <c r="A889" s="85"/>
      <c r="B889" s="85"/>
      <c r="C889" s="85"/>
      <c r="D889" s="85"/>
      <c r="E889" s="85"/>
      <c r="F889" s="85"/>
    </row>
    <row r="890">
      <c r="A890" s="85"/>
      <c r="B890" s="85"/>
      <c r="C890" s="85"/>
      <c r="D890" s="85"/>
      <c r="E890" s="85"/>
      <c r="F890" s="85"/>
    </row>
    <row r="891">
      <c r="A891" s="85"/>
      <c r="B891" s="85"/>
      <c r="C891" s="85"/>
      <c r="D891" s="85"/>
      <c r="E891" s="85"/>
      <c r="F891" s="85"/>
    </row>
    <row r="892">
      <c r="A892" s="85"/>
      <c r="B892" s="85"/>
      <c r="C892" s="85"/>
      <c r="D892" s="85"/>
      <c r="E892" s="85"/>
      <c r="F892" s="85"/>
    </row>
    <row r="893">
      <c r="A893" s="85"/>
      <c r="B893" s="85"/>
      <c r="C893" s="85"/>
      <c r="D893" s="85"/>
      <c r="E893" s="85"/>
      <c r="F893" s="85"/>
    </row>
    <row r="894">
      <c r="A894" s="85"/>
      <c r="B894" s="85"/>
      <c r="C894" s="85"/>
      <c r="D894" s="85"/>
      <c r="E894" s="85"/>
      <c r="F894" s="85"/>
    </row>
    <row r="895">
      <c r="A895" s="85"/>
      <c r="B895" s="85"/>
      <c r="C895" s="85"/>
      <c r="D895" s="85"/>
      <c r="E895" s="85"/>
      <c r="F895" s="85"/>
    </row>
    <row r="896">
      <c r="A896" s="85"/>
      <c r="B896" s="85"/>
      <c r="C896" s="85"/>
      <c r="D896" s="85"/>
      <c r="E896" s="85"/>
      <c r="F896" s="85"/>
    </row>
    <row r="897">
      <c r="A897" s="85"/>
      <c r="B897" s="85"/>
      <c r="C897" s="85"/>
      <c r="D897" s="85"/>
      <c r="E897" s="85"/>
      <c r="F897" s="85"/>
    </row>
    <row r="898">
      <c r="A898" s="85"/>
      <c r="B898" s="85"/>
      <c r="C898" s="85"/>
      <c r="D898" s="85"/>
      <c r="E898" s="85"/>
      <c r="F898" s="85"/>
    </row>
    <row r="899">
      <c r="A899" s="85"/>
      <c r="B899" s="85"/>
      <c r="C899" s="85"/>
      <c r="D899" s="85"/>
      <c r="E899" s="85"/>
      <c r="F899" s="85"/>
    </row>
    <row r="900">
      <c r="A900" s="85"/>
      <c r="B900" s="85"/>
      <c r="C900" s="85"/>
      <c r="D900" s="85"/>
      <c r="E900" s="85"/>
      <c r="F900" s="85"/>
    </row>
    <row r="901">
      <c r="A901" s="85"/>
      <c r="B901" s="85"/>
      <c r="C901" s="85"/>
      <c r="D901" s="85"/>
      <c r="E901" s="85"/>
      <c r="F901" s="85"/>
    </row>
    <row r="902">
      <c r="A902" s="85"/>
      <c r="B902" s="85"/>
      <c r="C902" s="85"/>
      <c r="D902" s="85"/>
      <c r="E902" s="85"/>
      <c r="F902" s="85"/>
    </row>
    <row r="903">
      <c r="A903" s="85"/>
      <c r="B903" s="85"/>
      <c r="C903" s="85"/>
      <c r="D903" s="85"/>
      <c r="E903" s="85"/>
      <c r="F903" s="85"/>
    </row>
    <row r="904">
      <c r="A904" s="85"/>
      <c r="B904" s="85"/>
      <c r="C904" s="85"/>
      <c r="D904" s="85"/>
      <c r="E904" s="85"/>
      <c r="F904" s="85"/>
    </row>
    <row r="905">
      <c r="A905" s="85"/>
      <c r="B905" s="85"/>
      <c r="C905" s="85"/>
      <c r="D905" s="85"/>
      <c r="E905" s="85"/>
      <c r="F905" s="85"/>
    </row>
    <row r="906">
      <c r="A906" s="85"/>
      <c r="B906" s="85"/>
      <c r="C906" s="85"/>
      <c r="D906" s="85"/>
      <c r="E906" s="85"/>
      <c r="F906" s="85"/>
    </row>
    <row r="907">
      <c r="A907" s="85"/>
      <c r="B907" s="85"/>
      <c r="C907" s="85"/>
      <c r="D907" s="85"/>
      <c r="E907" s="85"/>
      <c r="F907" s="85"/>
    </row>
    <row r="908">
      <c r="A908" s="85"/>
      <c r="B908" s="85"/>
      <c r="C908" s="85"/>
      <c r="D908" s="85"/>
      <c r="E908" s="85"/>
      <c r="F908" s="85"/>
    </row>
    <row r="909">
      <c r="A909" s="85"/>
      <c r="B909" s="85"/>
      <c r="C909" s="85"/>
      <c r="D909" s="85"/>
      <c r="E909" s="85"/>
      <c r="F909" s="85"/>
    </row>
    <row r="910">
      <c r="A910" s="85"/>
      <c r="B910" s="85"/>
      <c r="C910" s="85"/>
      <c r="D910" s="85"/>
      <c r="E910" s="85"/>
      <c r="F910" s="85"/>
    </row>
    <row r="911">
      <c r="A911" s="85"/>
      <c r="B911" s="85"/>
      <c r="C911" s="85"/>
      <c r="D911" s="85"/>
      <c r="E911" s="85"/>
      <c r="F911" s="85"/>
    </row>
    <row r="912">
      <c r="A912" s="85"/>
      <c r="B912" s="85"/>
      <c r="C912" s="85"/>
      <c r="D912" s="85"/>
      <c r="E912" s="85"/>
      <c r="F912" s="85"/>
    </row>
    <row r="913">
      <c r="A913" s="85"/>
      <c r="B913" s="85"/>
      <c r="C913" s="85"/>
      <c r="D913" s="85"/>
      <c r="E913" s="85"/>
      <c r="F913" s="85"/>
    </row>
    <row r="914">
      <c r="A914" s="85"/>
      <c r="B914" s="85"/>
      <c r="C914" s="85"/>
      <c r="D914" s="85"/>
      <c r="E914" s="85"/>
      <c r="F914" s="85"/>
    </row>
    <row r="915">
      <c r="A915" s="85"/>
      <c r="B915" s="85"/>
      <c r="C915" s="85"/>
      <c r="D915" s="85"/>
      <c r="E915" s="85"/>
      <c r="F915" s="85"/>
    </row>
    <row r="916">
      <c r="A916" s="85"/>
      <c r="B916" s="85"/>
      <c r="C916" s="85"/>
      <c r="D916" s="85"/>
      <c r="E916" s="85"/>
      <c r="F916" s="85"/>
    </row>
    <row r="917">
      <c r="A917" s="85"/>
      <c r="B917" s="85"/>
      <c r="C917" s="85"/>
      <c r="D917" s="85"/>
      <c r="E917" s="85"/>
      <c r="F917" s="85"/>
    </row>
    <row r="918">
      <c r="A918" s="85"/>
      <c r="B918" s="85"/>
      <c r="C918" s="85"/>
      <c r="D918" s="85"/>
      <c r="E918" s="85"/>
      <c r="F918" s="85"/>
    </row>
    <row r="919">
      <c r="A919" s="85"/>
      <c r="B919" s="85"/>
      <c r="C919" s="85"/>
      <c r="D919" s="85"/>
      <c r="E919" s="85"/>
      <c r="F919" s="85"/>
    </row>
    <row r="920">
      <c r="A920" s="85"/>
      <c r="B920" s="85"/>
      <c r="C920" s="85"/>
      <c r="D920" s="85"/>
      <c r="E920" s="85"/>
      <c r="F920" s="85"/>
    </row>
    <row r="921">
      <c r="A921" s="85"/>
      <c r="B921" s="85"/>
      <c r="C921" s="85"/>
      <c r="D921" s="85"/>
      <c r="E921" s="85"/>
      <c r="F921" s="85"/>
    </row>
    <row r="922">
      <c r="A922" s="85"/>
      <c r="B922" s="85"/>
      <c r="C922" s="85"/>
      <c r="D922" s="85"/>
      <c r="E922" s="85"/>
      <c r="F922" s="85"/>
    </row>
    <row r="923">
      <c r="A923" s="85"/>
      <c r="B923" s="85"/>
      <c r="C923" s="85"/>
      <c r="D923" s="85"/>
      <c r="E923" s="85"/>
      <c r="F923" s="85"/>
    </row>
    <row r="924">
      <c r="A924" s="85"/>
      <c r="B924" s="85"/>
      <c r="C924" s="85"/>
      <c r="D924" s="85"/>
      <c r="E924" s="85"/>
      <c r="F924" s="85"/>
    </row>
    <row r="925">
      <c r="A925" s="85"/>
      <c r="B925" s="85"/>
      <c r="C925" s="85"/>
      <c r="D925" s="85"/>
      <c r="E925" s="85"/>
      <c r="F925" s="85"/>
    </row>
    <row r="926">
      <c r="A926" s="85"/>
      <c r="B926" s="85"/>
      <c r="C926" s="85"/>
      <c r="D926" s="85"/>
      <c r="E926" s="85"/>
      <c r="F926" s="85"/>
    </row>
    <row r="927">
      <c r="A927" s="85"/>
      <c r="B927" s="85"/>
      <c r="C927" s="85"/>
      <c r="D927" s="85"/>
      <c r="E927" s="85"/>
      <c r="F927" s="85"/>
    </row>
    <row r="928">
      <c r="A928" s="85"/>
      <c r="B928" s="85"/>
      <c r="C928" s="85"/>
      <c r="D928" s="85"/>
      <c r="E928" s="85"/>
      <c r="F928" s="85"/>
    </row>
    <row r="929">
      <c r="A929" s="85"/>
      <c r="B929" s="85"/>
      <c r="C929" s="85"/>
      <c r="D929" s="85"/>
      <c r="E929" s="85"/>
      <c r="F929" s="85"/>
    </row>
    <row r="930">
      <c r="A930" s="85"/>
      <c r="B930" s="85"/>
      <c r="C930" s="85"/>
      <c r="D930" s="85"/>
      <c r="E930" s="85"/>
      <c r="F930" s="85"/>
    </row>
    <row r="931">
      <c r="A931" s="85"/>
      <c r="B931" s="85"/>
      <c r="C931" s="85"/>
      <c r="D931" s="85"/>
      <c r="E931" s="85"/>
      <c r="F931" s="85"/>
    </row>
    <row r="932">
      <c r="A932" s="85"/>
      <c r="B932" s="85"/>
      <c r="C932" s="85"/>
      <c r="D932" s="85"/>
      <c r="E932" s="85"/>
      <c r="F932" s="85"/>
    </row>
    <row r="933">
      <c r="A933" s="85"/>
      <c r="B933" s="85"/>
      <c r="C933" s="85"/>
      <c r="D933" s="85"/>
      <c r="E933" s="85"/>
      <c r="F933" s="85"/>
    </row>
    <row r="934">
      <c r="A934" s="85"/>
      <c r="B934" s="85"/>
      <c r="C934" s="85"/>
      <c r="D934" s="85"/>
      <c r="E934" s="85"/>
      <c r="F934" s="85"/>
    </row>
    <row r="935">
      <c r="A935" s="85"/>
      <c r="B935" s="85"/>
      <c r="C935" s="85"/>
      <c r="D935" s="85"/>
      <c r="E935" s="85"/>
      <c r="F935" s="85"/>
    </row>
    <row r="936">
      <c r="A936" s="85"/>
      <c r="B936" s="85"/>
      <c r="C936" s="85"/>
      <c r="D936" s="85"/>
      <c r="E936" s="85"/>
      <c r="F936" s="85"/>
    </row>
    <row r="937">
      <c r="A937" s="85"/>
      <c r="B937" s="85"/>
      <c r="C937" s="85"/>
      <c r="D937" s="85"/>
      <c r="E937" s="85"/>
      <c r="F937" s="85"/>
    </row>
    <row r="938">
      <c r="A938" s="85"/>
      <c r="B938" s="85"/>
      <c r="C938" s="85"/>
      <c r="D938" s="85"/>
      <c r="E938" s="85"/>
      <c r="F938" s="85"/>
    </row>
    <row r="939">
      <c r="A939" s="85"/>
      <c r="B939" s="85"/>
      <c r="C939" s="85"/>
      <c r="D939" s="85"/>
      <c r="E939" s="85"/>
      <c r="F939" s="85"/>
    </row>
    <row r="940">
      <c r="A940" s="85"/>
      <c r="B940" s="85"/>
      <c r="C940" s="85"/>
      <c r="D940" s="85"/>
      <c r="E940" s="85"/>
      <c r="F940" s="85"/>
    </row>
    <row r="941">
      <c r="A941" s="85"/>
      <c r="B941" s="85"/>
      <c r="C941" s="85"/>
      <c r="D941" s="85"/>
      <c r="E941" s="85"/>
      <c r="F941" s="85"/>
    </row>
    <row r="942">
      <c r="A942" s="85"/>
      <c r="B942" s="85"/>
      <c r="C942" s="85"/>
      <c r="D942" s="85"/>
      <c r="E942" s="85"/>
      <c r="F942" s="85"/>
    </row>
    <row r="943">
      <c r="A943" s="85"/>
      <c r="B943" s="85"/>
      <c r="C943" s="85"/>
      <c r="D943" s="85"/>
      <c r="E943" s="85"/>
      <c r="F943" s="85"/>
    </row>
    <row r="944">
      <c r="A944" s="85"/>
      <c r="B944" s="85"/>
      <c r="C944" s="85"/>
      <c r="D944" s="85"/>
      <c r="E944" s="85"/>
      <c r="F944" s="85"/>
    </row>
    <row r="945">
      <c r="A945" s="85"/>
      <c r="B945" s="85"/>
      <c r="C945" s="85"/>
      <c r="D945" s="85"/>
      <c r="E945" s="85"/>
      <c r="F945" s="85"/>
    </row>
    <row r="946">
      <c r="A946" s="85"/>
      <c r="B946" s="85"/>
      <c r="C946" s="85"/>
      <c r="D946" s="85"/>
      <c r="E946" s="85"/>
      <c r="F946" s="85"/>
    </row>
    <row r="947">
      <c r="A947" s="85"/>
      <c r="B947" s="85"/>
      <c r="C947" s="85"/>
      <c r="D947" s="85"/>
      <c r="E947" s="85"/>
      <c r="F947" s="85"/>
    </row>
    <row r="948">
      <c r="A948" s="85"/>
      <c r="B948" s="85"/>
      <c r="C948" s="85"/>
      <c r="D948" s="85"/>
      <c r="E948" s="85"/>
      <c r="F948" s="85"/>
    </row>
    <row r="949">
      <c r="A949" s="85"/>
      <c r="B949" s="85"/>
      <c r="C949" s="85"/>
      <c r="D949" s="85"/>
      <c r="E949" s="85"/>
      <c r="F949" s="85"/>
    </row>
    <row r="950">
      <c r="A950" s="85"/>
      <c r="B950" s="85"/>
      <c r="C950" s="85"/>
      <c r="D950" s="85"/>
      <c r="E950" s="85"/>
      <c r="F950" s="85"/>
    </row>
    <row r="951">
      <c r="A951" s="85"/>
      <c r="B951" s="85"/>
      <c r="C951" s="85"/>
      <c r="D951" s="85"/>
      <c r="E951" s="85"/>
      <c r="F951" s="85"/>
    </row>
    <row r="952">
      <c r="A952" s="85"/>
      <c r="B952" s="85"/>
      <c r="C952" s="85"/>
      <c r="D952" s="85"/>
      <c r="E952" s="85"/>
      <c r="F952" s="85"/>
    </row>
    <row r="953">
      <c r="A953" s="85"/>
      <c r="B953" s="85"/>
      <c r="C953" s="85"/>
      <c r="D953" s="85"/>
      <c r="E953" s="85"/>
      <c r="F953" s="85"/>
    </row>
    <row r="954">
      <c r="A954" s="85"/>
      <c r="B954" s="85"/>
      <c r="C954" s="85"/>
      <c r="D954" s="85"/>
      <c r="E954" s="85"/>
      <c r="F954" s="85"/>
    </row>
    <row r="955">
      <c r="A955" s="85"/>
      <c r="B955" s="85"/>
      <c r="C955" s="85"/>
      <c r="D955" s="85"/>
      <c r="E955" s="85"/>
      <c r="F955" s="85"/>
    </row>
    <row r="956">
      <c r="A956" s="85"/>
      <c r="B956" s="85"/>
      <c r="C956" s="85"/>
      <c r="D956" s="85"/>
      <c r="E956" s="85"/>
      <c r="F956" s="85"/>
    </row>
    <row r="957">
      <c r="A957" s="85"/>
      <c r="B957" s="85"/>
      <c r="C957" s="85"/>
      <c r="D957" s="85"/>
      <c r="E957" s="85"/>
      <c r="F957" s="85"/>
    </row>
    <row r="958">
      <c r="A958" s="85"/>
      <c r="B958" s="85"/>
      <c r="C958" s="85"/>
      <c r="D958" s="85"/>
      <c r="E958" s="85"/>
      <c r="F958" s="85"/>
    </row>
    <row r="959">
      <c r="A959" s="85"/>
      <c r="B959" s="85"/>
      <c r="C959" s="85"/>
      <c r="D959" s="85"/>
      <c r="E959" s="85"/>
      <c r="F959" s="85"/>
    </row>
    <row r="960">
      <c r="A960" s="85"/>
      <c r="B960" s="85"/>
      <c r="C960" s="85"/>
      <c r="D960" s="85"/>
      <c r="E960" s="85"/>
      <c r="F960" s="85"/>
    </row>
    <row r="961">
      <c r="A961" s="85"/>
      <c r="B961" s="85"/>
      <c r="C961" s="85"/>
      <c r="D961" s="85"/>
      <c r="E961" s="85"/>
      <c r="F961" s="85"/>
    </row>
    <row r="962">
      <c r="A962" s="85"/>
      <c r="B962" s="85"/>
      <c r="C962" s="85"/>
      <c r="D962" s="85"/>
      <c r="E962" s="85"/>
      <c r="F962" s="85"/>
    </row>
    <row r="963">
      <c r="A963" s="85"/>
      <c r="B963" s="85"/>
      <c r="C963" s="85"/>
      <c r="D963" s="85"/>
      <c r="E963" s="85"/>
      <c r="F963" s="85"/>
    </row>
    <row r="964">
      <c r="A964" s="85"/>
      <c r="B964" s="85"/>
      <c r="C964" s="85"/>
      <c r="D964" s="85"/>
      <c r="E964" s="85"/>
      <c r="F964" s="85"/>
    </row>
    <row r="965">
      <c r="A965" s="85"/>
      <c r="B965" s="85"/>
      <c r="C965" s="85"/>
      <c r="D965" s="85"/>
      <c r="E965" s="85"/>
      <c r="F965" s="85"/>
    </row>
    <row r="966">
      <c r="A966" s="85"/>
      <c r="B966" s="85"/>
      <c r="C966" s="85"/>
      <c r="D966" s="85"/>
      <c r="E966" s="85"/>
      <c r="F966" s="85"/>
    </row>
    <row r="967">
      <c r="A967" s="85"/>
      <c r="B967" s="85"/>
      <c r="C967" s="85"/>
      <c r="D967" s="85"/>
      <c r="E967" s="85"/>
      <c r="F967" s="85"/>
    </row>
    <row r="968">
      <c r="A968" s="85"/>
      <c r="B968" s="85"/>
      <c r="C968" s="85"/>
      <c r="D968" s="85"/>
      <c r="E968" s="85"/>
      <c r="F968" s="85"/>
    </row>
    <row r="969">
      <c r="A969" s="85"/>
      <c r="B969" s="85"/>
      <c r="C969" s="85"/>
      <c r="D969" s="85"/>
      <c r="E969" s="85"/>
      <c r="F969" s="85"/>
    </row>
    <row r="970">
      <c r="A970" s="85"/>
      <c r="B970" s="85"/>
      <c r="C970" s="85"/>
      <c r="D970" s="85"/>
      <c r="E970" s="85"/>
      <c r="F970" s="85"/>
    </row>
    <row r="971">
      <c r="A971" s="85"/>
      <c r="B971" s="85"/>
      <c r="C971" s="85"/>
      <c r="D971" s="85"/>
      <c r="E971" s="85"/>
      <c r="F971" s="85"/>
    </row>
    <row r="972">
      <c r="A972" s="85"/>
      <c r="B972" s="85"/>
      <c r="C972" s="85"/>
      <c r="D972" s="85"/>
      <c r="E972" s="85"/>
      <c r="F972" s="85"/>
    </row>
    <row r="973">
      <c r="A973" s="85"/>
      <c r="B973" s="85"/>
      <c r="C973" s="85"/>
      <c r="D973" s="85"/>
      <c r="E973" s="85"/>
      <c r="F973" s="85"/>
    </row>
    <row r="974">
      <c r="A974" s="85"/>
      <c r="B974" s="85"/>
      <c r="C974" s="85"/>
      <c r="D974" s="85"/>
      <c r="E974" s="85"/>
      <c r="F974" s="85"/>
    </row>
    <row r="975">
      <c r="A975" s="85"/>
      <c r="B975" s="85"/>
      <c r="C975" s="85"/>
      <c r="D975" s="85"/>
      <c r="E975" s="85"/>
      <c r="F975" s="85"/>
    </row>
    <row r="976">
      <c r="A976" s="85"/>
      <c r="B976" s="85"/>
      <c r="C976" s="85"/>
      <c r="D976" s="85"/>
      <c r="E976" s="85"/>
      <c r="F976" s="85"/>
    </row>
    <row r="977">
      <c r="A977" s="85"/>
      <c r="B977" s="85"/>
      <c r="C977" s="85"/>
      <c r="D977" s="85"/>
      <c r="E977" s="85"/>
      <c r="F977" s="85"/>
    </row>
    <row r="978">
      <c r="A978" s="85"/>
      <c r="B978" s="85"/>
      <c r="C978" s="85"/>
      <c r="D978" s="85"/>
      <c r="E978" s="85"/>
      <c r="F978" s="85"/>
    </row>
    <row r="979">
      <c r="A979" s="85"/>
      <c r="B979" s="85"/>
      <c r="C979" s="85"/>
      <c r="D979" s="85"/>
      <c r="E979" s="85"/>
      <c r="F979" s="85"/>
    </row>
    <row r="980">
      <c r="A980" s="85"/>
      <c r="B980" s="85"/>
      <c r="C980" s="85"/>
      <c r="D980" s="85"/>
      <c r="E980" s="85"/>
      <c r="F980" s="85"/>
    </row>
    <row r="981">
      <c r="A981" s="85"/>
      <c r="B981" s="85"/>
      <c r="C981" s="85"/>
      <c r="D981" s="85"/>
      <c r="E981" s="85"/>
      <c r="F981" s="85"/>
    </row>
    <row r="982">
      <c r="A982" s="85"/>
      <c r="B982" s="85"/>
      <c r="C982" s="85"/>
      <c r="D982" s="85"/>
      <c r="E982" s="85"/>
      <c r="F982" s="85"/>
    </row>
    <row r="983">
      <c r="A983" s="85"/>
      <c r="B983" s="85"/>
      <c r="C983" s="85"/>
      <c r="D983" s="85"/>
      <c r="E983" s="85"/>
      <c r="F983" s="85"/>
    </row>
    <row r="984">
      <c r="A984" s="85"/>
      <c r="B984" s="85"/>
      <c r="C984" s="85"/>
      <c r="D984" s="85"/>
      <c r="E984" s="85"/>
      <c r="F984" s="85"/>
    </row>
    <row r="985">
      <c r="A985" s="85"/>
      <c r="B985" s="85"/>
      <c r="C985" s="85"/>
      <c r="D985" s="85"/>
      <c r="E985" s="85"/>
      <c r="F985" s="85"/>
    </row>
    <row r="986">
      <c r="A986" s="85"/>
      <c r="B986" s="85"/>
      <c r="C986" s="85"/>
      <c r="D986" s="85"/>
      <c r="E986" s="85"/>
      <c r="F986" s="85"/>
    </row>
    <row r="987">
      <c r="A987" s="85"/>
      <c r="B987" s="85"/>
      <c r="C987" s="85"/>
      <c r="D987" s="85"/>
      <c r="E987" s="85"/>
      <c r="F987" s="85"/>
    </row>
    <row r="988">
      <c r="A988" s="85"/>
      <c r="B988" s="85"/>
      <c r="C988" s="85"/>
      <c r="D988" s="85"/>
      <c r="E988" s="85"/>
      <c r="F988" s="85"/>
    </row>
    <row r="989">
      <c r="A989" s="85"/>
      <c r="B989" s="85"/>
      <c r="C989" s="85"/>
      <c r="D989" s="85"/>
      <c r="E989" s="85"/>
      <c r="F989" s="85"/>
    </row>
    <row r="990">
      <c r="A990" s="85"/>
      <c r="B990" s="85"/>
      <c r="C990" s="85"/>
      <c r="D990" s="85"/>
      <c r="E990" s="85"/>
      <c r="F990" s="85"/>
    </row>
    <row r="991">
      <c r="A991" s="85"/>
      <c r="B991" s="85"/>
      <c r="C991" s="85"/>
      <c r="D991" s="85"/>
      <c r="E991" s="85"/>
      <c r="F991" s="85"/>
    </row>
    <row r="992">
      <c r="A992" s="85"/>
      <c r="B992" s="85"/>
      <c r="C992" s="85"/>
      <c r="D992" s="85"/>
      <c r="E992" s="85"/>
      <c r="F992" s="85"/>
    </row>
    <row r="993">
      <c r="A993" s="85"/>
      <c r="B993" s="85"/>
      <c r="C993" s="85"/>
      <c r="D993" s="85"/>
      <c r="E993" s="85"/>
      <c r="F993" s="85"/>
    </row>
    <row r="994">
      <c r="A994" s="85"/>
      <c r="B994" s="85"/>
      <c r="C994" s="85"/>
      <c r="D994" s="85"/>
      <c r="E994" s="85"/>
      <c r="F994" s="85"/>
    </row>
    <row r="995">
      <c r="A995" s="85"/>
      <c r="B995" s="85"/>
      <c r="C995" s="85"/>
      <c r="D995" s="85"/>
      <c r="E995" s="85"/>
      <c r="F995" s="85"/>
    </row>
    <row r="996">
      <c r="A996" s="85"/>
      <c r="B996" s="85"/>
      <c r="C996" s="85"/>
      <c r="D996" s="85"/>
      <c r="E996" s="85"/>
      <c r="F996" s="85"/>
    </row>
    <row r="997">
      <c r="A997" s="85"/>
      <c r="B997" s="85"/>
      <c r="C997" s="85"/>
      <c r="D997" s="85"/>
      <c r="E997" s="85"/>
      <c r="F997" s="85"/>
    </row>
    <row r="998">
      <c r="A998" s="85"/>
      <c r="B998" s="85"/>
      <c r="C998" s="85"/>
      <c r="D998" s="85"/>
      <c r="E998" s="85"/>
      <c r="F998" s="85"/>
    </row>
    <row r="999">
      <c r="A999" s="85"/>
      <c r="B999" s="85"/>
      <c r="C999" s="85"/>
      <c r="D999" s="85"/>
      <c r="E999" s="85"/>
      <c r="F999" s="85"/>
    </row>
    <row r="1000">
      <c r="A1000" s="85"/>
      <c r="B1000" s="85"/>
      <c r="C1000" s="85"/>
      <c r="D1000" s="85"/>
      <c r="E1000" s="85"/>
      <c r="F1000" s="85"/>
    </row>
  </sheetData>
  <autoFilter ref="$A$1:$F$344"/>
  <conditionalFormatting sqref="D1:F1000">
    <cfRule type="cellIs" dxfId="0" priority="1" operator="equal">
      <formula>"Verde"</formula>
    </cfRule>
  </conditionalFormatting>
  <conditionalFormatting sqref="D1:F1000">
    <cfRule type="cellIs" dxfId="1" priority="2" operator="equal">
      <formula>"Amarillo"</formula>
    </cfRule>
  </conditionalFormatting>
  <conditionalFormatting sqref="D1:F1000">
    <cfRule type="cellIs" dxfId="2" priority="3" operator="equal">
      <formula>"Naranja"</formula>
    </cfRule>
  </conditionalFormatting>
  <conditionalFormatting sqref="D1:F1000">
    <cfRule type="cellIs" dxfId="3" priority="4" operator="equal">
      <formula>"Rojo"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2025-09-05T18:42:09Z</dcterms:created>
  <dc:creator>Instituto Nacional de Estadística</dc:creator>
</cp:coreProperties>
</file>