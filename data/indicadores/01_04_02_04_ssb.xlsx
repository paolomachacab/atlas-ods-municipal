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 2012" sheetId="1" r:id="rId4"/>
    <sheet state="visible" name="Datos procesados 2024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Graficos" sheetId="8" r:id="rId11"/>
    <sheet state="visible" name="Mapas" sheetId="9" r:id="rId12"/>
    <sheet state="visible" name="Clasificación" sheetId="10" r:id="rId13"/>
  </sheets>
  <definedNames>
    <definedName hidden="1" localSheetId="9" name="_xlnm._FilterDatabase">'Clasificación'!$A$1:$F$344</definedName>
  </definedNames>
  <calcPr/>
  <extLst>
    <ext uri="GoogleSheetsCustomDataVersion2">
      <go:sheetsCustomData xmlns:go="http://customooxmlschemas.google.com/" r:id="rId14" roundtripDataChecksum="gfXoXadgvpKn8kqPBFhsxQ1cdEo+6gqyNacdfZt8oEw="/>
    </ext>
  </extLst>
</workbook>
</file>

<file path=xl/sharedStrings.xml><?xml version="1.0" encoding="utf-8"?>
<sst xmlns="http://schemas.openxmlformats.org/spreadsheetml/2006/main" count="3903" uniqueCount="543">
  <si>
    <t>Depart</t>
  </si>
  <si>
    <t>Provincia</t>
  </si>
  <si>
    <t>Municipio</t>
  </si>
  <si>
    <t>Capital</t>
  </si>
  <si>
    <t>CodigoINE</t>
  </si>
  <si>
    <t>Numero de Servicios Básicos</t>
  </si>
  <si>
    <t># Hogares</t>
  </si>
  <si>
    <t>% de hogares con 3 servicios básicos</t>
  </si>
  <si>
    <t>Número de hogares que carecen de servicios básicos, 2024</t>
  </si>
  <si>
    <t>Departamento</t>
  </si>
  <si>
    <t># hogares</t>
  </si>
  <si>
    <t>Número de hogares que carecen de al menos uno de los tres servicios básicos, 2012</t>
  </si>
  <si>
    <t>.00</t>
  </si>
  <si>
    <t>1.00</t>
  </si>
  <si>
    <t>2.00</t>
  </si>
  <si>
    <t>3.00</t>
  </si>
  <si>
    <t>Count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</si>
  <si>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</si>
  <si>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</si>
  <si>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</si>
  <si>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</si>
  <si>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</si>
  <si>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</si>
  <si>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</si>
  <si>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</si>
  <si>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</si>
  <si>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</si>
  <si>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</si>
  <si>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Villa Orías</t>
  </si>
  <si>
    <t>Potosí</t>
  </si>
  <si>
    <t>Zudáñez</t>
  </si>
  <si>
    <t>Zudañez</t>
  </si>
  <si>
    <t>Villa Zudáñez</t>
  </si>
  <si>
    <t>Tarija</t>
  </si>
  <si>
    <t>Presto</t>
  </si>
  <si>
    <t>Santa Cruz</t>
  </si>
  <si>
    <t>Villa Mojocoya</t>
  </si>
  <si>
    <t>Villa de Mojocoya</t>
  </si>
  <si>
    <t>Beni</t>
  </si>
  <si>
    <t>Icla</t>
  </si>
  <si>
    <t>Pando</t>
  </si>
  <si>
    <t>Tomina</t>
  </si>
  <si>
    <t>Padilla</t>
  </si>
  <si>
    <t>Gran Chaco</t>
  </si>
  <si>
    <t>Villa de Tomina</t>
  </si>
  <si>
    <t>Bolivia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</si>
  <si>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</si>
  <si>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</si>
  <si>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</si>
  <si>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</si>
  <si>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</si>
  <si>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</si>
  <si>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</si>
  <si>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</si>
  <si>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</si>
  <si>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</si>
  <si>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</si>
  <si>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</si>
  <si>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</si>
  <si>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</si>
  <si>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</si>
  <si>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</si>
  <si>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</si>
  <si>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</si>
  <si>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</si>
  <si>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</si>
  <si>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</si>
  <si>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</si>
  <si>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</si>
  <si>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</si>
  <si>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</si>
  <si>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</si>
  <si>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</si>
  <si>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</si>
  <si>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</si>
  <si>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</si>
  <si>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</si>
  <si>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</si>
  <si>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</si>
  <si>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</si>
  <si>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</si>
  <si>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</si>
  <si>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</si>
  <si>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</si>
  <si>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</si>
  <si>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</si>
  <si>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</si>
  <si>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</si>
  <si>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</si>
  <si>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</si>
  <si>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</si>
  <si>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</si>
  <si>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</si>
  <si>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</si>
  <si>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</si>
  <si>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</si>
  <si>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</si>
  <si>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</si>
  <si>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</si>
  <si>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</si>
  <si>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</si>
  <si>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</si>
  <si>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</si>
  <si>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</si>
  <si>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</si>
  <si>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</si>
  <si>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</si>
  <si>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</si>
  <si>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</si>
  <si>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</si>
  <si>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</si>
  <si>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</si>
  <si>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</si>
  <si>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</si>
  <si>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</si>
  <si>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</si>
  <si>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</si>
  <si>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</si>
  <si>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</si>
  <si>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</si>
  <si>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</si>
  <si>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</si>
  <si>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</si>
  <si>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</si>
  <si>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</si>
  <si>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</si>
  <si>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</si>
  <si>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</si>
  <si>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</si>
  <si>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</si>
  <si>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</si>
  <si>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</si>
  <si>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</si>
  <si>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</si>
  <si>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</si>
  <si>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</si>
  <si>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</si>
  <si>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</si>
  <si>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</si>
  <si>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</si>
  <si>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</si>
  <si>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</si>
  <si>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</si>
  <si>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</si>
  <si>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</si>
  <si>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</si>
  <si>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</si>
  <si>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</si>
  <si>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</si>
  <si>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</si>
  <si>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</si>
  <si>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</si>
  <si>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</si>
  <si>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</si>
  <si>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</si>
  <si>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</si>
  <si>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</si>
  <si>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</si>
  <si>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</si>
  <si>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</si>
  <si>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</si>
  <si>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</si>
  <si>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</si>
  <si>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</si>
  <si>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</si>
  <si>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</si>
  <si>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</si>
  <si>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</si>
  <si>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</si>
  <si>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</si>
  <si>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</si>
  <si>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</si>
  <si>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</si>
  <si>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</si>
  <si>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</si>
  <si>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</si>
  <si>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</si>
  <si>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</si>
  <si>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</si>
  <si>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</si>
  <si>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</si>
  <si>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</si>
  <si>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</si>
  <si>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</si>
  <si>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</si>
  <si>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</si>
  <si>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</si>
  <si>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</si>
  <si>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</si>
  <si>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</si>
  <si>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</si>
  <si>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</si>
  <si>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</si>
  <si>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</si>
  <si>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</si>
  <si>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</si>
  <si>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</si>
  <si>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</si>
  <si>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</si>
  <si>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</si>
  <si>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</si>
  <si>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</si>
  <si>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</si>
  <si>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</si>
  <si>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</si>
  <si>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</si>
  <si>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</si>
  <si>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</si>
  <si>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</si>
  <si>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</si>
  <si>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</si>
  <si>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</si>
  <si>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</si>
  <si>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</si>
  <si>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</si>
  <si>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</si>
  <si>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</si>
  <si>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</si>
  <si>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</si>
  <si>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</si>
  <si>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</si>
  <si>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</si>
  <si>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</si>
  <si>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</si>
  <si>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</si>
  <si>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</si>
  <si>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</si>
  <si>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</si>
  <si>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</si>
  <si>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</si>
  <si>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</si>
  <si>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</si>
  <si>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</si>
  <si>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</si>
  <si>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</si>
  <si>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</si>
  <si>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</si>
  <si>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</si>
  <si>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</si>
  <si>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</si>
  <si>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</si>
  <si>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</si>
  <si>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</si>
  <si>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</si>
  <si>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</si>
  <si>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</si>
  <si>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</si>
  <si>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</si>
  <si>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</si>
  <si>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</si>
  <si>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</si>
  <si>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</si>
  <si>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</si>
  <si>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</si>
  <si>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</si>
  <si>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</si>
  <si>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</si>
  <si>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</si>
  <si>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</si>
  <si>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</si>
  <si>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</si>
  <si>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</si>
  <si>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</si>
  <si>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</si>
  <si>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</si>
  <si>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</si>
  <si>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</si>
  <si>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</si>
  <si>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</si>
  <si>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</si>
  <si>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</si>
  <si>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</si>
  <si>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</si>
  <si>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</si>
  <si>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</si>
  <si>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</si>
  <si>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</si>
  <si>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</si>
  <si>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</si>
  <si>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</si>
  <si>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</si>
  <si>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</si>
  <si>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</si>
  <si>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</si>
  <si>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</si>
  <si>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</si>
  <si>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</si>
  <si>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</si>
  <si>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</si>
  <si>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</si>
  <si>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</si>
  <si>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</si>
  <si>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</si>
  <si>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</si>
  <si>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</si>
  <si>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</si>
  <si>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</si>
  <si>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</si>
  <si>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</si>
  <si>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</si>
  <si>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</si>
  <si>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</si>
  <si>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</si>
  <si>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</si>
  <si>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</si>
  <si>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</si>
  <si>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</si>
  <si>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</si>
  <si>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</si>
  <si>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</si>
  <si>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</si>
  <si>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</si>
  <si>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</si>
  <si>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</si>
  <si>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</si>
  <si>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</si>
  <si>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</si>
  <si>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</si>
  <si>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</si>
  <si>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</si>
  <si>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</si>
  <si>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</si>
  <si>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</si>
  <si>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</si>
  <si>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</si>
  <si>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</si>
  <si>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</si>
  <si>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</si>
  <si>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</si>
  <si>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</si>
  <si>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</si>
  <si>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</si>
  <si>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</si>
  <si>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</si>
  <si>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</si>
  <si>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</si>
  <si>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</si>
  <si>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</si>
  <si>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</si>
  <si>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</si>
  <si>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</si>
  <si>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</si>
  <si>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</si>
  <si>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</si>
  <si>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</si>
  <si>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</si>
  <si>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</si>
  <si>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</si>
  <si>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</si>
  <si>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</si>
  <si>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</si>
  <si>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</si>
  <si>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</si>
  <si>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</si>
  <si>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</si>
  <si>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</si>
  <si>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</si>
  <si>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</si>
  <si>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</si>
  <si>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</si>
  <si>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</si>
  <si>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</si>
  <si>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</si>
  <si>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</si>
  <si>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</si>
  <si>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</si>
  <si>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</si>
  <si>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</si>
  <si>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</si>
  <si>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</si>
  <si>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</si>
  <si>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</si>
  <si>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</si>
  <si>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</si>
  <si>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</si>
  <si>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</si>
  <si>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</si>
  <si>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</si>
  <si>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</si>
  <si>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</si>
  <si>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</si>
  <si>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</si>
  <si>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</si>
  <si>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</si>
  <si>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</si>
  <si>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</si>
  <si>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</si>
  <si>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</si>
  <si>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</si>
  <si>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</si>
  <si>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</si>
  <si>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</si>
  <si>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</si>
  <si>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</si>
  <si>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</si>
  <si>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</si>
  <si>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</si>
  <si>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</si>
  <si>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</si>
  <si>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</si>
  <si>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</si>
  <si>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</si>
  <si>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</si>
  <si>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</si>
  <si>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</si>
  <si>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</si>
  <si>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</si>
  <si>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</si>
  <si>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</si>
  <si>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</si>
  <si>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</si>
  <si>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</si>
  <si>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</si>
  <si>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</si>
  <si>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</si>
  <si>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</si>
  <si>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</si>
  <si>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</si>
  <si>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</si>
  <si>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</si>
  <si>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</si>
  <si>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</si>
  <si>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</si>
  <si>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</si>
  <si>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</si>
  <si>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</si>
  <si>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</si>
  <si>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</si>
  <si>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</si>
  <si>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</si>
  <si>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</si>
  <si>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</si>
  <si>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</si>
  <si>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</si>
  <si>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</si>
  <si>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</si>
  <si>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</si>
  <si>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</si>
  <si>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</si>
  <si>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</si>
  <si>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</si>
  <si>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</si>
  <si>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</si>
  <si>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</si>
  <si>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</si>
  <si>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</si>
  <si>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</si>
  <si>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</si>
  <si>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</si>
  <si>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</si>
  <si>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</si>
  <si>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</si>
  <si>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</si>
  <si>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</si>
  <si>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</si>
  <si>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</si>
  <si>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</si>
  <si>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</si>
  <si>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</si>
  <si>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</si>
  <si>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</si>
  <si>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</si>
  <si>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</si>
  <si>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</si>
  <si>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</si>
  <si>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</si>
  <si>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</si>
  <si>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</si>
  <si>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</si>
  <si>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</si>
  <si>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</si>
  <si>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</si>
  <si>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</si>
  <si>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</si>
  <si>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</si>
  <si>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</si>
  <si>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</si>
  <si>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</si>
  <si>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</si>
  <si>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</si>
  <si>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</si>
  <si>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</si>
  <si>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</si>
  <si>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</si>
  <si>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</si>
  <si>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</si>
  <si>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</si>
  <si>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</si>
  <si>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</si>
  <si>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</si>
  <si>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</si>
  <si>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</si>
  <si>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</si>
  <si>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</si>
  <si>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</si>
  <si>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Número de hogares que carecen de al menos uno de los tres servicios básicos, 2024</t>
  </si>
  <si>
    <t>id</t>
  </si>
  <si>
    <t>% de hogares con 3 servicios básicos 2012</t>
  </si>
  <si>
    <t>% de hogares con 3 servicios básicos 2024</t>
  </si>
  <si>
    <t>Número de hogares que carecen de servicios básicos 2012</t>
  </si>
  <si>
    <t>Número de hogares que carecen de servicios básicos 2024</t>
  </si>
  <si>
    <t>id_departamento</t>
  </si>
  <si>
    <t>Número de hogares que no tienen servicios básicos, 2012</t>
  </si>
  <si>
    <t>Número de hogares que no tienen servicios básicos,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</si>
  <si>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</si>
  <si>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</si>
  <si>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</si>
  <si>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</si>
  <si>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</si>
  <si>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</si>
  <si>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</si>
  <si>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</si>
  <si>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</si>
  <si>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</si>
  <si>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</si>
  <si>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 xml:space="preserve">Acceso a los 3 servicios básicos, 2024 (% de hogares) </t>
  </si>
  <si>
    <t>Atlas Municipal de los ODS 2020</t>
  </si>
  <si>
    <t>Categoría</t>
  </si>
  <si>
    <t>ODS alcanzado</t>
  </si>
  <si>
    <t>Próximo a alcanzarse</t>
  </si>
  <si>
    <t>Quedan retos importantes</t>
  </si>
  <si>
    <t>Quedan retos grandes</t>
  </si>
  <si>
    <t>Codigo</t>
  </si>
  <si>
    <t>sdg1_4_acceso a 3_servicios_basicos, 2012</t>
  </si>
  <si>
    <t>Umbral 2012</t>
  </si>
  <si>
    <t>sdg1_4_acceso a 3_servicios_basicos, 2024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</si>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</sst>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_-* #,##0_-;\-* #,##0_-;_-* &quot;-&quot;??_-;_-@"/>
    <numFmt numFmtId="166" formatCode="_-* #,##0.00_-;\-* #,##0.00_-;_-* &quot;-&quot;??_-;_-@"/>
    <numFmt numFmtId="167" formatCode="#,##0.0"/>
  </numFmts>
  <fonts count="10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b/>
      <sz val="11.0"/>
      <color theme="1"/>
      <name val="Calibri"/>
    </font>
    <font>
      <b/>
      <sz val="9.0"/>
      <color theme="1"/>
      <name val="Play"/>
    </font>
    <font>
      <b/>
      <sz val="10.0"/>
      <color theme="1"/>
      <name val="Calibri"/>
    </font>
    <font>
      <sz val="10.0"/>
      <color theme="1"/>
      <name val="Calibri"/>
    </font>
    <font>
      <b/>
      <sz val="11.0"/>
      <color theme="1"/>
      <name val="Aptos Narrow"/>
    </font>
    <font>
      <sz val="11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2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top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top" wrapText="1"/>
    </xf>
    <xf borderId="7" fillId="0" fontId="3" numFmtId="0" xfId="0" applyBorder="1" applyFont="1"/>
    <xf borderId="8" fillId="0" fontId="3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2" fontId="2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0" fillId="2" fontId="2" numFmtId="0" xfId="0" applyAlignment="1" applyBorder="1" applyFont="1">
      <alignment horizontal="center" shrinkToFit="0" wrapText="1"/>
    </xf>
    <xf borderId="16" fillId="0" fontId="3" numFmtId="0" xfId="0" applyBorder="1" applyFont="1"/>
    <xf borderId="10" fillId="2" fontId="1" numFmtId="0" xfId="0" applyAlignment="1" applyBorder="1" applyFont="1">
      <alignment horizontal="center" shrinkToFit="0" vertical="top" wrapText="1"/>
    </xf>
    <xf borderId="10" fillId="0" fontId="1" numFmtId="0" xfId="0" applyBorder="1" applyFont="1"/>
    <xf borderId="10" fillId="0" fontId="1" numFmtId="1" xfId="0" applyBorder="1" applyFont="1" applyNumberFormat="1"/>
    <xf borderId="10" fillId="0" fontId="1" numFmtId="2" xfId="0" applyBorder="1" applyFont="1" applyNumberFormat="1"/>
    <xf borderId="0" fillId="0" fontId="1" numFmtId="1" xfId="0" applyFont="1" applyNumberFormat="1"/>
    <xf borderId="10" fillId="2" fontId="1" numFmtId="164" xfId="0" applyBorder="1" applyFont="1" applyNumberFormat="1"/>
    <xf borderId="17" fillId="2" fontId="1" numFmtId="165" xfId="0" applyBorder="1" applyFont="1" applyNumberFormat="1"/>
    <xf borderId="17" fillId="2" fontId="1" numFmtId="166" xfId="0" applyBorder="1" applyFont="1" applyNumberFormat="1"/>
    <xf borderId="10" fillId="2" fontId="1" numFmtId="165" xfId="0" applyBorder="1" applyFont="1" applyNumberFormat="1"/>
    <xf borderId="18" fillId="2" fontId="1" numFmtId="164" xfId="0" applyBorder="1" applyFont="1" applyNumberFormat="1"/>
    <xf borderId="18" fillId="2" fontId="1" numFmtId="165" xfId="0" applyBorder="1" applyFont="1" applyNumberFormat="1"/>
    <xf borderId="19" fillId="2" fontId="1" numFmtId="166" xfId="0" applyBorder="1" applyFont="1" applyNumberFormat="1"/>
    <xf borderId="19" fillId="2" fontId="1" numFmtId="165" xfId="0" applyBorder="1" applyFont="1" applyNumberFormat="1"/>
    <xf borderId="10" fillId="0" fontId="1" numFmtId="165" xfId="0" applyBorder="1" applyFont="1" applyNumberFormat="1"/>
    <xf borderId="10" fillId="2" fontId="1" numFmtId="166" xfId="0" applyBorder="1" applyFont="1" applyNumberFormat="1"/>
    <xf borderId="10" fillId="3" fontId="1" numFmtId="0" xfId="0" applyBorder="1" applyFill="1" applyFont="1"/>
    <xf borderId="10" fillId="3" fontId="1" numFmtId="1" xfId="0" applyBorder="1" applyFont="1" applyNumberFormat="1"/>
    <xf borderId="10" fillId="2" fontId="1" numFmtId="1" xfId="0" applyBorder="1" applyFont="1" applyNumberFormat="1"/>
    <xf borderId="10" fillId="2" fontId="1" numFmtId="2" xfId="0" applyBorder="1" applyFont="1" applyNumberFormat="1"/>
    <xf borderId="10" fillId="2" fontId="1" numFmtId="0" xfId="0" applyBorder="1" applyFont="1"/>
    <xf borderId="1" fillId="0" fontId="1" numFmtId="1" xfId="0" applyBorder="1" applyFont="1" applyNumberFormat="1"/>
    <xf borderId="1" fillId="0" fontId="1" numFmtId="2" xfId="0" applyBorder="1" applyFont="1" applyNumberFormat="1"/>
    <xf borderId="0" fillId="0" fontId="1" numFmtId="2" xfId="0" applyFont="1" applyNumberFormat="1"/>
    <xf borderId="17" fillId="2" fontId="1" numFmtId="2" xfId="0" applyBorder="1" applyFont="1" applyNumberFormat="1"/>
    <xf borderId="17" fillId="2" fontId="1" numFmtId="1" xfId="0" applyBorder="1" applyFont="1" applyNumberFormat="1"/>
    <xf borderId="19" fillId="2" fontId="1" numFmtId="2" xfId="0" applyBorder="1" applyFont="1" applyNumberFormat="1"/>
    <xf borderId="19" fillId="2" fontId="1" numFmtId="1" xfId="0" applyBorder="1" applyFont="1" applyNumberFormat="1"/>
    <xf borderId="20" fillId="2" fontId="1" numFmtId="0" xfId="0" applyBorder="1" applyFont="1"/>
    <xf borderId="10" fillId="4" fontId="1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shrinkToFit="0" wrapText="1"/>
    </xf>
    <xf borderId="10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vertical="center"/>
    </xf>
    <xf borderId="10" fillId="0" fontId="1" numFmtId="0" xfId="0" applyAlignment="1" applyBorder="1" applyFont="1">
      <alignment shrinkToFit="0" wrapText="1"/>
    </xf>
    <xf borderId="10" fillId="0" fontId="1" numFmtId="1" xfId="0" applyAlignment="1" applyBorder="1" applyFont="1" applyNumberFormat="1">
      <alignment horizontal="center" vertical="center"/>
    </xf>
    <xf borderId="10" fillId="0" fontId="1" numFmtId="165" xfId="0" applyAlignment="1" applyBorder="1" applyFont="1" applyNumberFormat="1">
      <alignment horizontal="center" shrinkToFit="0" vertical="center" wrapText="1"/>
    </xf>
    <xf borderId="10" fillId="0" fontId="1" numFmtId="165" xfId="0" applyAlignment="1" applyBorder="1" applyFont="1" applyNumberFormat="1">
      <alignment horizontal="center" vertical="center"/>
    </xf>
    <xf borderId="10" fillId="5" fontId="4" numFmtId="0" xfId="0" applyBorder="1" applyFill="1" applyFont="1"/>
    <xf borderId="10" fillId="6" fontId="5" numFmtId="0" xfId="0" applyAlignment="1" applyBorder="1" applyFill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0" fillId="7" fontId="5" numFmtId="0" xfId="0" applyAlignment="1" applyBorder="1" applyFill="1" applyFont="1">
      <alignment horizontal="center" shrinkToFit="0" vertical="center" wrapText="1"/>
    </xf>
    <xf borderId="10" fillId="8" fontId="5" numFmtId="0" xfId="0" applyAlignment="1" applyBorder="1" applyFill="1" applyFont="1">
      <alignment horizontal="center" shrinkToFit="0" vertical="center" wrapText="1"/>
    </xf>
    <xf borderId="10" fillId="9" fontId="6" numFmtId="0" xfId="0" applyAlignment="1" applyBorder="1" applyFill="1" applyFont="1">
      <alignment horizontal="center" shrinkToFit="0" vertical="center" wrapText="0"/>
    </xf>
    <xf borderId="0" fillId="0" fontId="4" numFmtId="0" xfId="0" applyFont="1"/>
    <xf borderId="10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right"/>
    </xf>
    <xf borderId="10" fillId="0" fontId="7" numFmtId="0" xfId="0" applyAlignment="1" applyBorder="1" applyFont="1">
      <alignment shrinkToFit="0" vertical="bottom" wrapText="1"/>
    </xf>
    <xf borderId="21" fillId="0" fontId="1" numFmtId="0" xfId="0" applyAlignment="1" applyBorder="1" applyFont="1">
      <alignment shrinkToFit="0" wrapText="1"/>
    </xf>
    <xf borderId="21" fillId="0" fontId="1" numFmtId="0" xfId="0" applyAlignment="1" applyBorder="1" applyFont="1">
      <alignment horizontal="right" shrinkToFit="0" wrapText="1"/>
    </xf>
    <xf borderId="0" fillId="0" fontId="8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/>
    </xf>
    <xf borderId="0" fillId="0" fontId="9" numFmtId="167" xfId="0" applyAlignment="1" applyFont="1" applyNumberFormat="1">
      <alignment horizontal="center"/>
    </xf>
    <xf borderId="0" fillId="0" fontId="9" numFmtId="0" xfId="0" applyFont="1"/>
    <xf borderId="0" fillId="0" fontId="9" numFmtId="1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ODS alcanzado</c:v>
          </c:tx>
          <c:spPr>
            <a:solidFill>
              <a:srgbClr val="4CAF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Graficos!$B$1:$C$1</c:f>
            </c:strRef>
          </c:cat>
          <c:val>
            <c:numRef>
              <c:f>Graficos!$B$2:$C$2</c:f>
              <c:numCache/>
            </c:numRef>
          </c:val>
        </c:ser>
        <c:ser>
          <c:idx val="1"/>
          <c:order val="1"/>
          <c:tx>
            <c:v>Próximo a alcanzarse</c:v>
          </c:tx>
          <c:spPr>
            <a:solidFill>
              <a:srgbClr val="FFEB3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Graficos!$B$1:$C$1</c:f>
            </c:strRef>
          </c:cat>
          <c:val>
            <c:numRef>
              <c:f>Graficos!$B$3:$C$3</c:f>
              <c:numCache/>
            </c:numRef>
          </c:val>
        </c:ser>
        <c:ser>
          <c:idx val="2"/>
          <c:order val="2"/>
          <c:tx>
            <c:v>Quedan retos importantes</c:v>
          </c:tx>
          <c:spPr>
            <a:solidFill>
              <a:srgbClr val="FF98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Graficos!$B$1:$C$1</c:f>
            </c:strRef>
          </c:cat>
          <c:val>
            <c:numRef>
              <c:f>Graficos!$B$4:$C$4</c:f>
              <c:numCache/>
            </c:numRef>
          </c:val>
        </c:ser>
        <c:ser>
          <c:idx val="3"/>
          <c:order val="3"/>
          <c:tx>
            <c:v>Quedan retos grandes</c:v>
          </c:tx>
          <c:spPr>
            <a:solidFill>
              <a:srgbClr val="F4433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Graficos!$B$1:$C$1</c:f>
            </c:strRef>
          </c:cat>
          <c:val>
            <c:numRef>
              <c:f>Graficos!$B$5:$C$5</c:f>
              <c:numCache/>
            </c:numRef>
          </c:val>
        </c:ser>
        <c:axId val="575445094"/>
        <c:axId val="1242548109"/>
      </c:barChart>
      <c:catAx>
        <c:axId val="575445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1242548109"/>
      </c:catAx>
      <c:valAx>
        <c:axId val="1242548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Narrow"/>
              </a:defRPr>
            </a:pPr>
          </a:p>
        </c:txPr>
        <c:crossAx val="57544509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000000"/>
              </a:solidFill>
              <a:latin typeface="Aptos Narrow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1</xdr:row>
      <xdr:rowOff>66675</xdr:rowOff>
    </xdr:from>
    <xdr:ext cx="5448300" cy="1304925"/>
    <xdr:graphicFrame>
      <xdr:nvGraphicFramePr>
        <xdr:cNvPr id="28490635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609600</xdr:colOff>
      <xdr:row>0</xdr:row>
      <xdr:rowOff>152400</xdr:rowOff>
    </xdr:from>
    <xdr:ext cx="5743575" cy="3933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2" width="9.14"/>
    <col customWidth="1" hidden="1" min="3" max="3" width="9.14"/>
    <col customWidth="1" min="4" max="4" width="9.14"/>
    <col customWidth="1" min="5" max="5" width="10.71"/>
    <col customWidth="1" min="6" max="6" width="11.43"/>
    <col customWidth="1" min="7" max="10" width="9.14"/>
    <col customWidth="1" min="11" max="11" width="13.43"/>
    <col customWidth="1" min="12" max="12" width="14.43"/>
    <col customWidth="1" min="13" max="15" width="9.14"/>
    <col customWidth="1" min="16" max="16" width="16.57"/>
    <col customWidth="1" min="17" max="19" width="12.14"/>
    <col customWidth="1" min="20" max="20" width="13.71"/>
    <col customWidth="1" min="21" max="21" width="10.86"/>
    <col customWidth="1" min="22" max="22" width="14.43"/>
    <col customWidth="1" min="23" max="23" width="19.57"/>
    <col customWidth="1" min="24" max="26" width="9.14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4"/>
      <c r="J1" s="1" t="s">
        <v>6</v>
      </c>
      <c r="K1" s="5" t="s">
        <v>7</v>
      </c>
      <c r="L1" s="6" t="s">
        <v>8</v>
      </c>
      <c r="P1" s="7" t="s">
        <v>9</v>
      </c>
      <c r="Q1" s="8" t="s">
        <v>5</v>
      </c>
      <c r="R1" s="9"/>
      <c r="S1" s="9"/>
      <c r="T1" s="10"/>
      <c r="U1" s="11" t="s">
        <v>10</v>
      </c>
      <c r="V1" s="6" t="s">
        <v>7</v>
      </c>
      <c r="W1" s="6" t="s">
        <v>11</v>
      </c>
    </row>
    <row r="2" ht="14.25" customHeight="1">
      <c r="A2" s="12"/>
      <c r="B2" s="12"/>
      <c r="C2" s="12"/>
      <c r="D2" s="12"/>
      <c r="E2" s="12"/>
      <c r="F2" s="13" t="s">
        <v>12</v>
      </c>
      <c r="G2" s="13" t="s">
        <v>13</v>
      </c>
      <c r="H2" s="13" t="s">
        <v>14</v>
      </c>
      <c r="I2" s="13" t="s">
        <v>15</v>
      </c>
      <c r="J2" s="12"/>
      <c r="K2" s="12"/>
      <c r="L2" s="12"/>
      <c r="P2" s="14"/>
      <c r="Q2" s="15"/>
      <c r="R2" s="16"/>
      <c r="S2" s="16"/>
      <c r="T2" s="17"/>
      <c r="U2" s="12"/>
      <c r="V2" s="12"/>
      <c r="W2" s="12"/>
    </row>
    <row r="3" ht="14.25" customHeight="1">
      <c r="A3" s="18"/>
      <c r="B3" s="18"/>
      <c r="C3" s="18"/>
      <c r="D3" s="18"/>
      <c r="E3" s="18"/>
      <c r="F3" s="19" t="s">
        <v>16</v>
      </c>
      <c r="G3" s="19" t="s">
        <v>16</v>
      </c>
      <c r="H3" s="19" t="s">
        <v>16</v>
      </c>
      <c r="I3" s="19" t="s">
        <v>16</v>
      </c>
      <c r="J3" s="18"/>
      <c r="K3" s="18"/>
      <c r="L3" s="18"/>
      <c r="P3" s="20"/>
      <c r="Q3" s="21">
        <v>0.0</v>
      </c>
      <c r="R3" s="21">
        <v>1.0</v>
      </c>
      <c r="S3" s="21">
        <v>2.0</v>
      </c>
      <c r="T3" s="21">
        <v>3.0</v>
      </c>
      <c r="U3" s="18"/>
      <c r="V3" s="18"/>
      <c r="W3" s="18"/>
    </row>
    <row r="4" ht="14.25" customHeight="1">
      <c r="A4" s="22" t="s">
        <v>17</v>
      </c>
      <c r="B4" s="22" t="s">
        <v>18</v>
      </c>
      <c r="C4" s="22" t="s">
        <v>19</v>
      </c>
      <c r="D4" s="22" t="s">
        <v>19</v>
      </c>
      <c r="E4" s="23">
        <v>10101.0</v>
      </c>
      <c r="F4" s="23">
        <v>3453.0</v>
      </c>
      <c r="G4" s="23">
        <v>4030.0</v>
      </c>
      <c r="H4" s="23">
        <v>8093.0</v>
      </c>
      <c r="I4" s="23">
        <v>54373.0</v>
      </c>
      <c r="J4" s="23">
        <v>69949.0</v>
      </c>
      <c r="K4" s="24">
        <f t="shared" ref="K4:K217" si="2">(I4/J4)*100</f>
        <v>77.73234785</v>
      </c>
      <c r="L4" s="23">
        <v>3453.0</v>
      </c>
      <c r="M4" s="25"/>
      <c r="P4" s="26" t="s">
        <v>17</v>
      </c>
      <c r="Q4" s="27">
        <f t="shared" ref="Q4:U4" si="1">+SUM(F4:F32)</f>
        <v>25961</v>
      </c>
      <c r="R4" s="27">
        <f t="shared" si="1"/>
        <v>24030</v>
      </c>
      <c r="S4" s="27">
        <f t="shared" si="1"/>
        <v>24803</v>
      </c>
      <c r="T4" s="27">
        <f t="shared" si="1"/>
        <v>75287</v>
      </c>
      <c r="U4" s="27">
        <f t="shared" si="1"/>
        <v>150081</v>
      </c>
      <c r="V4" s="28">
        <f t="shared" ref="V4:V12" si="4">(T4/U4)*100</f>
        <v>50.16424464</v>
      </c>
      <c r="W4" s="27">
        <f t="shared" ref="W4:W12" si="5">U4-T4</f>
        <v>74794</v>
      </c>
    </row>
    <row r="5" ht="14.25" customHeight="1">
      <c r="A5" s="22" t="s">
        <v>17</v>
      </c>
      <c r="B5" s="22" t="s">
        <v>18</v>
      </c>
      <c r="C5" s="22" t="s">
        <v>20</v>
      </c>
      <c r="D5" s="22" t="s">
        <v>20</v>
      </c>
      <c r="E5" s="23">
        <v>10102.0</v>
      </c>
      <c r="F5" s="23">
        <v>247.0</v>
      </c>
      <c r="G5" s="23">
        <v>421.0</v>
      </c>
      <c r="H5" s="23">
        <v>790.0</v>
      </c>
      <c r="I5" s="23">
        <v>1188.0</v>
      </c>
      <c r="J5" s="23">
        <v>2646.0</v>
      </c>
      <c r="K5" s="24">
        <f t="shared" si="2"/>
        <v>44.89795918</v>
      </c>
      <c r="L5" s="23">
        <v>247.0</v>
      </c>
      <c r="P5" s="26" t="s">
        <v>21</v>
      </c>
      <c r="Q5" s="29">
        <f t="shared" ref="Q5:U5" si="3">+SUM(F33:F119)</f>
        <v>79253</v>
      </c>
      <c r="R5" s="29">
        <f t="shared" si="3"/>
        <v>118358</v>
      </c>
      <c r="S5" s="29">
        <f t="shared" si="3"/>
        <v>205296</v>
      </c>
      <c r="T5" s="29">
        <f t="shared" si="3"/>
        <v>449666</v>
      </c>
      <c r="U5" s="29">
        <f t="shared" si="3"/>
        <v>852573</v>
      </c>
      <c r="V5" s="28">
        <f t="shared" si="4"/>
        <v>52.74222852</v>
      </c>
      <c r="W5" s="27">
        <f t="shared" si="5"/>
        <v>402907</v>
      </c>
    </row>
    <row r="6" ht="14.25" customHeight="1">
      <c r="A6" s="22" t="s">
        <v>17</v>
      </c>
      <c r="B6" s="22" t="s">
        <v>18</v>
      </c>
      <c r="C6" s="22" t="s">
        <v>22</v>
      </c>
      <c r="D6" s="22" t="s">
        <v>22</v>
      </c>
      <c r="E6" s="23">
        <v>10103.0</v>
      </c>
      <c r="F6" s="23">
        <v>2544.0</v>
      </c>
      <c r="G6" s="23">
        <v>1585.0</v>
      </c>
      <c r="H6" s="23">
        <v>355.0</v>
      </c>
      <c r="I6" s="23">
        <v>176.0</v>
      </c>
      <c r="J6" s="23">
        <v>4660.0</v>
      </c>
      <c r="K6" s="24">
        <f t="shared" si="2"/>
        <v>3.776824034</v>
      </c>
      <c r="L6" s="23">
        <v>2544.0</v>
      </c>
      <c r="P6" s="26" t="s">
        <v>23</v>
      </c>
      <c r="Q6" s="29">
        <f t="shared" ref="Q6:U6" si="6">+SUM(F120:F167)</f>
        <v>57060</v>
      </c>
      <c r="R6" s="29">
        <f t="shared" si="6"/>
        <v>108872</v>
      </c>
      <c r="S6" s="29">
        <f t="shared" si="6"/>
        <v>132705</v>
      </c>
      <c r="T6" s="29">
        <f t="shared" si="6"/>
        <v>217971</v>
      </c>
      <c r="U6" s="29">
        <f t="shared" si="6"/>
        <v>516608</v>
      </c>
      <c r="V6" s="28">
        <f t="shared" si="4"/>
        <v>42.1927264</v>
      </c>
      <c r="W6" s="27">
        <f t="shared" si="5"/>
        <v>298637</v>
      </c>
    </row>
    <row r="7" ht="14.25" customHeight="1">
      <c r="A7" s="22" t="s">
        <v>17</v>
      </c>
      <c r="B7" s="22" t="s">
        <v>24</v>
      </c>
      <c r="C7" s="22" t="s">
        <v>25</v>
      </c>
      <c r="D7" s="22" t="s">
        <v>25</v>
      </c>
      <c r="E7" s="23">
        <v>10201.0</v>
      </c>
      <c r="F7" s="23">
        <v>1252.0</v>
      </c>
      <c r="G7" s="23">
        <v>644.0</v>
      </c>
      <c r="H7" s="23">
        <v>316.0</v>
      </c>
      <c r="I7" s="23">
        <v>326.0</v>
      </c>
      <c r="J7" s="23">
        <v>2538.0</v>
      </c>
      <c r="K7" s="24">
        <f t="shared" si="2"/>
        <v>12.84475965</v>
      </c>
      <c r="L7" s="23">
        <v>1252.0</v>
      </c>
      <c r="P7" s="26" t="s">
        <v>26</v>
      </c>
      <c r="Q7" s="29">
        <f t="shared" ref="Q7:U7" si="7">+SUM(F168:F202)</f>
        <v>21048</v>
      </c>
      <c r="R7" s="29">
        <f t="shared" si="7"/>
        <v>23943</v>
      </c>
      <c r="S7" s="29">
        <f t="shared" si="7"/>
        <v>43752</v>
      </c>
      <c r="T7" s="29">
        <f t="shared" si="7"/>
        <v>63318</v>
      </c>
      <c r="U7" s="29">
        <f t="shared" si="7"/>
        <v>152061</v>
      </c>
      <c r="V7" s="28">
        <f t="shared" si="4"/>
        <v>41.63986821</v>
      </c>
      <c r="W7" s="27">
        <f t="shared" si="5"/>
        <v>88743</v>
      </c>
    </row>
    <row r="8" ht="14.25" customHeight="1">
      <c r="A8" s="22" t="s">
        <v>17</v>
      </c>
      <c r="B8" s="22" t="s">
        <v>24</v>
      </c>
      <c r="C8" s="22" t="s">
        <v>27</v>
      </c>
      <c r="D8" s="22" t="s">
        <v>28</v>
      </c>
      <c r="E8" s="23">
        <v>10202.0</v>
      </c>
      <c r="F8" s="23">
        <v>1292.0</v>
      </c>
      <c r="G8" s="23">
        <v>1005.0</v>
      </c>
      <c r="H8" s="23">
        <v>672.0</v>
      </c>
      <c r="I8" s="23">
        <v>449.0</v>
      </c>
      <c r="J8" s="23">
        <v>3418.0</v>
      </c>
      <c r="K8" s="24">
        <f t="shared" si="2"/>
        <v>13.13633704</v>
      </c>
      <c r="L8" s="23">
        <v>1292.0</v>
      </c>
      <c r="P8" s="26" t="s">
        <v>29</v>
      </c>
      <c r="Q8" s="29">
        <f t="shared" ref="Q8:U8" si="8">+SUM(F203:F244)</f>
        <v>35584</v>
      </c>
      <c r="R8" s="29">
        <f t="shared" si="8"/>
        <v>51949</v>
      </c>
      <c r="S8" s="29">
        <f t="shared" si="8"/>
        <v>66660</v>
      </c>
      <c r="T8" s="29">
        <f t="shared" si="8"/>
        <v>88109</v>
      </c>
      <c r="U8" s="29">
        <f t="shared" si="8"/>
        <v>242302</v>
      </c>
      <c r="V8" s="28">
        <f t="shared" si="4"/>
        <v>36.36329869</v>
      </c>
      <c r="W8" s="27">
        <f t="shared" si="5"/>
        <v>154193</v>
      </c>
    </row>
    <row r="9" ht="14.25" customHeight="1">
      <c r="A9" s="22" t="s">
        <v>17</v>
      </c>
      <c r="B9" s="22" t="s">
        <v>30</v>
      </c>
      <c r="C9" s="22" t="s">
        <v>31</v>
      </c>
      <c r="D9" s="22" t="s">
        <v>32</v>
      </c>
      <c r="E9" s="23">
        <v>10301.0</v>
      </c>
      <c r="F9" s="23">
        <v>547.0</v>
      </c>
      <c r="G9" s="23">
        <v>762.0</v>
      </c>
      <c r="H9" s="23">
        <v>558.0</v>
      </c>
      <c r="I9" s="23">
        <v>719.0</v>
      </c>
      <c r="J9" s="23">
        <v>2586.0</v>
      </c>
      <c r="K9" s="24">
        <f t="shared" si="2"/>
        <v>27.80355762</v>
      </c>
      <c r="L9" s="23">
        <v>547.0</v>
      </c>
      <c r="P9" s="26" t="s">
        <v>33</v>
      </c>
      <c r="Q9" s="29">
        <f t="shared" ref="Q9:U9" si="9">+SUM(F245:F255)</f>
        <v>4383</v>
      </c>
      <c r="R9" s="29">
        <f t="shared" si="9"/>
        <v>10092</v>
      </c>
      <c r="S9" s="29">
        <f t="shared" si="9"/>
        <v>26966</v>
      </c>
      <c r="T9" s="29">
        <f t="shared" si="9"/>
        <v>84807</v>
      </c>
      <c r="U9" s="29">
        <f t="shared" si="9"/>
        <v>126248</v>
      </c>
      <c r="V9" s="28">
        <f t="shared" si="4"/>
        <v>67.17492554</v>
      </c>
      <c r="W9" s="27">
        <f t="shared" si="5"/>
        <v>41441</v>
      </c>
    </row>
    <row r="10" ht="14.25" customHeight="1">
      <c r="A10" s="22" t="s">
        <v>17</v>
      </c>
      <c r="B10" s="22" t="s">
        <v>30</v>
      </c>
      <c r="C10" s="22" t="s">
        <v>34</v>
      </c>
      <c r="D10" s="22" t="s">
        <v>34</v>
      </c>
      <c r="E10" s="23">
        <v>10302.0</v>
      </c>
      <c r="F10" s="23">
        <v>924.0</v>
      </c>
      <c r="G10" s="23">
        <v>839.0</v>
      </c>
      <c r="H10" s="23">
        <v>482.0</v>
      </c>
      <c r="I10" s="23">
        <v>472.0</v>
      </c>
      <c r="J10" s="23">
        <v>2717.0</v>
      </c>
      <c r="K10" s="24">
        <f t="shared" si="2"/>
        <v>17.37210158</v>
      </c>
      <c r="L10" s="23">
        <v>924.0</v>
      </c>
      <c r="P10" s="26" t="s">
        <v>35</v>
      </c>
      <c r="Q10" s="29">
        <f t="shared" ref="Q10:U10" si="10">+SUM(F256:F311)</f>
        <v>17773</v>
      </c>
      <c r="R10" s="29">
        <f t="shared" si="10"/>
        <v>39534</v>
      </c>
      <c r="S10" s="29">
        <f t="shared" si="10"/>
        <v>305275</v>
      </c>
      <c r="T10" s="29">
        <f t="shared" si="10"/>
        <v>282272</v>
      </c>
      <c r="U10" s="29">
        <f t="shared" si="10"/>
        <v>644854</v>
      </c>
      <c r="V10" s="28">
        <f t="shared" si="4"/>
        <v>43.77300908</v>
      </c>
      <c r="W10" s="27">
        <f t="shared" si="5"/>
        <v>362582</v>
      </c>
    </row>
    <row r="11" ht="14.25" customHeight="1">
      <c r="A11" s="22" t="s">
        <v>17</v>
      </c>
      <c r="B11" s="22" t="s">
        <v>30</v>
      </c>
      <c r="C11" s="22" t="s">
        <v>36</v>
      </c>
      <c r="D11" s="22" t="s">
        <v>37</v>
      </c>
      <c r="E11" s="23">
        <v>10303.0</v>
      </c>
      <c r="F11" s="23">
        <v>553.0</v>
      </c>
      <c r="G11" s="23">
        <v>524.0</v>
      </c>
      <c r="H11" s="23">
        <v>372.0</v>
      </c>
      <c r="I11" s="23">
        <v>533.0</v>
      </c>
      <c r="J11" s="23">
        <v>1982.0</v>
      </c>
      <c r="K11" s="24">
        <f t="shared" si="2"/>
        <v>26.89202825</v>
      </c>
      <c r="L11" s="23">
        <v>553.0</v>
      </c>
      <c r="P11" s="26" t="s">
        <v>38</v>
      </c>
      <c r="Q11" s="29">
        <f t="shared" ref="Q11:U11" si="11">+SUM(F312:F331)</f>
        <v>7636</v>
      </c>
      <c r="R11" s="29">
        <f t="shared" si="11"/>
        <v>31214</v>
      </c>
      <c r="S11" s="29">
        <f t="shared" si="11"/>
        <v>35542</v>
      </c>
      <c r="T11" s="29">
        <f t="shared" si="11"/>
        <v>19498</v>
      </c>
      <c r="U11" s="29">
        <f t="shared" si="11"/>
        <v>93890</v>
      </c>
      <c r="V11" s="28">
        <f t="shared" si="4"/>
        <v>20.76685483</v>
      </c>
      <c r="W11" s="27">
        <f t="shared" si="5"/>
        <v>74392</v>
      </c>
    </row>
    <row r="12" ht="14.25" customHeight="1">
      <c r="A12" s="22" t="s">
        <v>17</v>
      </c>
      <c r="B12" s="22" t="s">
        <v>30</v>
      </c>
      <c r="C12" s="22" t="s">
        <v>39</v>
      </c>
      <c r="D12" s="22" t="s">
        <v>39</v>
      </c>
      <c r="E12" s="23">
        <v>10304.0</v>
      </c>
      <c r="F12" s="23">
        <v>257.0</v>
      </c>
      <c r="G12" s="23">
        <v>419.0</v>
      </c>
      <c r="H12" s="23">
        <v>434.0</v>
      </c>
      <c r="I12" s="23">
        <v>721.0</v>
      </c>
      <c r="J12" s="23">
        <v>1831.0</v>
      </c>
      <c r="K12" s="24">
        <f t="shared" si="2"/>
        <v>39.3773894</v>
      </c>
      <c r="L12" s="23">
        <v>257.0</v>
      </c>
      <c r="P12" s="30" t="s">
        <v>40</v>
      </c>
      <c r="Q12" s="31">
        <f t="shared" ref="Q12:U12" si="12">+SUM(F332:F346)</f>
        <v>3033</v>
      </c>
      <c r="R12" s="31">
        <f t="shared" si="12"/>
        <v>6565</v>
      </c>
      <c r="S12" s="31">
        <f t="shared" si="12"/>
        <v>10885</v>
      </c>
      <c r="T12" s="31">
        <f t="shared" si="12"/>
        <v>4882</v>
      </c>
      <c r="U12" s="31">
        <f t="shared" si="12"/>
        <v>25365</v>
      </c>
      <c r="V12" s="32">
        <f t="shared" si="4"/>
        <v>19.24699389</v>
      </c>
      <c r="W12" s="33">
        <f t="shared" si="5"/>
        <v>20483</v>
      </c>
    </row>
    <row r="13" ht="14.25" customHeight="1">
      <c r="A13" s="22" t="s">
        <v>17</v>
      </c>
      <c r="B13" s="22" t="s">
        <v>41</v>
      </c>
      <c r="C13" s="22" t="s">
        <v>42</v>
      </c>
      <c r="D13" s="22" t="s">
        <v>42</v>
      </c>
      <c r="E13" s="23">
        <v>10401.0</v>
      </c>
      <c r="F13" s="23">
        <v>770.0</v>
      </c>
      <c r="G13" s="23">
        <v>642.0</v>
      </c>
      <c r="H13" s="23">
        <v>458.0</v>
      </c>
      <c r="I13" s="23">
        <v>940.0</v>
      </c>
      <c r="J13" s="23">
        <v>2810.0</v>
      </c>
      <c r="K13" s="24">
        <f t="shared" si="2"/>
        <v>33.4519573</v>
      </c>
      <c r="L13" s="23">
        <v>770.0</v>
      </c>
      <c r="P13" s="26" t="s">
        <v>43</v>
      </c>
      <c r="Q13" s="34">
        <v>801.0</v>
      </c>
      <c r="R13" s="34">
        <v>3083.0</v>
      </c>
      <c r="S13" s="34">
        <v>8836.0</v>
      </c>
      <c r="T13" s="34">
        <v>23702.0</v>
      </c>
      <c r="U13" s="34">
        <v>36422.0</v>
      </c>
      <c r="V13" s="35">
        <v>65.07605293503926</v>
      </c>
      <c r="W13" s="34">
        <v>801.0</v>
      </c>
    </row>
    <row r="14" ht="14.25" customHeight="1">
      <c r="A14" s="22" t="s">
        <v>17</v>
      </c>
      <c r="B14" s="22" t="s">
        <v>41</v>
      </c>
      <c r="C14" s="22" t="s">
        <v>41</v>
      </c>
      <c r="D14" s="22" t="s">
        <v>44</v>
      </c>
      <c r="E14" s="23">
        <v>10402.0</v>
      </c>
      <c r="F14" s="23">
        <v>206.0</v>
      </c>
      <c r="G14" s="23">
        <v>626.0</v>
      </c>
      <c r="H14" s="23">
        <v>688.0</v>
      </c>
      <c r="I14" s="23">
        <v>593.0</v>
      </c>
      <c r="J14" s="23">
        <v>2113.0</v>
      </c>
      <c r="K14" s="24">
        <f t="shared" si="2"/>
        <v>28.06436346</v>
      </c>
      <c r="L14" s="23">
        <v>206.0</v>
      </c>
      <c r="P14" s="26" t="s">
        <v>45</v>
      </c>
      <c r="Q14" s="34">
        <f t="shared" ref="Q14:U14" si="13">SUM(Q4:Q12)</f>
        <v>251731</v>
      </c>
      <c r="R14" s="34">
        <f t="shared" si="13"/>
        <v>414557</v>
      </c>
      <c r="S14" s="34">
        <f t="shared" si="13"/>
        <v>851884</v>
      </c>
      <c r="T14" s="34">
        <f t="shared" si="13"/>
        <v>1285810</v>
      </c>
      <c r="U14" s="34">
        <f t="shared" si="13"/>
        <v>2803982</v>
      </c>
      <c r="V14" s="35">
        <f>(T14/U14)*100</f>
        <v>45.85657112</v>
      </c>
      <c r="W14" s="34">
        <f>SUM(W4:W12)</f>
        <v>1518172</v>
      </c>
    </row>
    <row r="15" ht="14.25" customHeight="1">
      <c r="A15" s="22" t="s">
        <v>17</v>
      </c>
      <c r="B15" s="22" t="s">
        <v>41</v>
      </c>
      <c r="C15" s="22" t="s">
        <v>46</v>
      </c>
      <c r="D15" s="22" t="s">
        <v>47</v>
      </c>
      <c r="E15" s="23">
        <v>10403.0</v>
      </c>
      <c r="F15" s="23">
        <v>651.0</v>
      </c>
      <c r="G15" s="23">
        <v>549.0</v>
      </c>
      <c r="H15" s="23">
        <v>272.0</v>
      </c>
      <c r="I15" s="23">
        <v>538.0</v>
      </c>
      <c r="J15" s="23">
        <v>2010.0</v>
      </c>
      <c r="K15" s="24">
        <f t="shared" si="2"/>
        <v>26.76616915</v>
      </c>
      <c r="L15" s="23">
        <v>651.0</v>
      </c>
    </row>
    <row r="16" ht="14.25" customHeight="1">
      <c r="A16" s="22" t="s">
        <v>17</v>
      </c>
      <c r="B16" s="22" t="s">
        <v>41</v>
      </c>
      <c r="C16" s="22" t="s">
        <v>48</v>
      </c>
      <c r="D16" s="22" t="s">
        <v>49</v>
      </c>
      <c r="E16" s="23">
        <v>10404.0</v>
      </c>
      <c r="F16" s="23">
        <v>145.0</v>
      </c>
      <c r="G16" s="23">
        <v>374.0</v>
      </c>
      <c r="H16" s="23">
        <v>309.0</v>
      </c>
      <c r="I16" s="23">
        <v>244.0</v>
      </c>
      <c r="J16" s="23">
        <v>1072.0</v>
      </c>
      <c r="K16" s="24">
        <f t="shared" si="2"/>
        <v>22.76119403</v>
      </c>
      <c r="L16" s="23">
        <v>145.0</v>
      </c>
    </row>
    <row r="17" ht="14.25" customHeight="1">
      <c r="A17" s="22" t="s">
        <v>17</v>
      </c>
      <c r="B17" s="22" t="s">
        <v>41</v>
      </c>
      <c r="C17" s="22" t="s">
        <v>50</v>
      </c>
      <c r="D17" s="22" t="s">
        <v>50</v>
      </c>
      <c r="E17" s="23">
        <v>10405.0</v>
      </c>
      <c r="F17" s="23">
        <v>413.0</v>
      </c>
      <c r="G17" s="23">
        <v>260.0</v>
      </c>
      <c r="H17" s="23">
        <v>271.0</v>
      </c>
      <c r="I17" s="23">
        <v>268.0</v>
      </c>
      <c r="J17" s="23">
        <v>1212.0</v>
      </c>
      <c r="K17" s="24">
        <f t="shared" si="2"/>
        <v>22.11221122</v>
      </c>
      <c r="L17" s="23">
        <v>413.0</v>
      </c>
    </row>
    <row r="18" ht="14.25" customHeight="1">
      <c r="A18" s="22" t="s">
        <v>17</v>
      </c>
      <c r="B18" s="22" t="s">
        <v>51</v>
      </c>
      <c r="C18" s="22" t="s">
        <v>52</v>
      </c>
      <c r="D18" s="22" t="s">
        <v>52</v>
      </c>
      <c r="E18" s="23">
        <v>10501.0</v>
      </c>
      <c r="F18" s="23">
        <v>983.0</v>
      </c>
      <c r="G18" s="23">
        <v>1094.0</v>
      </c>
      <c r="H18" s="23">
        <v>1162.0</v>
      </c>
      <c r="I18" s="23">
        <v>2840.0</v>
      </c>
      <c r="J18" s="23">
        <v>6079.0</v>
      </c>
      <c r="K18" s="24">
        <f t="shared" si="2"/>
        <v>46.71821023</v>
      </c>
      <c r="L18" s="23">
        <v>983.0</v>
      </c>
    </row>
    <row r="19" ht="14.25" customHeight="1">
      <c r="A19" s="22" t="s">
        <v>17</v>
      </c>
      <c r="B19" s="22" t="s">
        <v>51</v>
      </c>
      <c r="C19" s="22" t="s">
        <v>53</v>
      </c>
      <c r="D19" s="22" t="s">
        <v>53</v>
      </c>
      <c r="E19" s="23">
        <v>10502.0</v>
      </c>
      <c r="F19" s="23">
        <v>489.0</v>
      </c>
      <c r="G19" s="23">
        <v>649.0</v>
      </c>
      <c r="H19" s="23">
        <v>381.0</v>
      </c>
      <c r="I19" s="23">
        <v>560.0</v>
      </c>
      <c r="J19" s="23">
        <v>2079.0</v>
      </c>
      <c r="K19" s="24">
        <f t="shared" si="2"/>
        <v>26.93602694</v>
      </c>
      <c r="L19" s="23">
        <v>489.0</v>
      </c>
    </row>
    <row r="20" ht="14.25" customHeight="1">
      <c r="A20" s="22" t="s">
        <v>17</v>
      </c>
      <c r="B20" s="22" t="s">
        <v>54</v>
      </c>
      <c r="C20" s="22" t="s">
        <v>55</v>
      </c>
      <c r="D20" s="22" t="s">
        <v>55</v>
      </c>
      <c r="E20" s="23">
        <v>10601.0</v>
      </c>
      <c r="F20" s="23">
        <v>1052.0</v>
      </c>
      <c r="G20" s="23">
        <v>1269.0</v>
      </c>
      <c r="H20" s="23">
        <v>1217.0</v>
      </c>
      <c r="I20" s="23">
        <v>848.0</v>
      </c>
      <c r="J20" s="23">
        <v>4386.0</v>
      </c>
      <c r="K20" s="24">
        <f t="shared" si="2"/>
        <v>19.33424533</v>
      </c>
      <c r="L20" s="23">
        <v>1052.0</v>
      </c>
    </row>
    <row r="21" ht="14.25" customHeight="1">
      <c r="A21" s="22" t="s">
        <v>17</v>
      </c>
      <c r="B21" s="22" t="s">
        <v>54</v>
      </c>
      <c r="C21" s="22" t="s">
        <v>54</v>
      </c>
      <c r="D21" s="22" t="s">
        <v>54</v>
      </c>
      <c r="E21" s="23">
        <v>10602.0</v>
      </c>
      <c r="F21" s="23">
        <v>972.0</v>
      </c>
      <c r="G21" s="23">
        <v>697.0</v>
      </c>
      <c r="H21" s="23">
        <v>670.0</v>
      </c>
      <c r="I21" s="23">
        <v>611.0</v>
      </c>
      <c r="J21" s="23">
        <v>2950.0</v>
      </c>
      <c r="K21" s="24">
        <f t="shared" si="2"/>
        <v>20.71186441</v>
      </c>
      <c r="L21" s="23">
        <v>972.0</v>
      </c>
    </row>
    <row r="22" ht="14.25" customHeight="1">
      <c r="A22" s="22" t="s">
        <v>17</v>
      </c>
      <c r="B22" s="22" t="s">
        <v>56</v>
      </c>
      <c r="C22" s="22" t="s">
        <v>57</v>
      </c>
      <c r="D22" s="22" t="s">
        <v>57</v>
      </c>
      <c r="E22" s="23">
        <v>10701.0</v>
      </c>
      <c r="F22" s="23">
        <v>636.0</v>
      </c>
      <c r="G22" s="23">
        <v>736.0</v>
      </c>
      <c r="H22" s="23">
        <v>1136.0</v>
      </c>
      <c r="I22" s="23">
        <v>1817.0</v>
      </c>
      <c r="J22" s="23">
        <v>4325.0</v>
      </c>
      <c r="K22" s="24">
        <f t="shared" si="2"/>
        <v>42.01156069</v>
      </c>
      <c r="L22" s="23">
        <v>636.0</v>
      </c>
    </row>
    <row r="23" ht="14.25" customHeight="1">
      <c r="A23" s="22" t="s">
        <v>17</v>
      </c>
      <c r="B23" s="22" t="s">
        <v>56</v>
      </c>
      <c r="C23" s="22" t="s">
        <v>58</v>
      </c>
      <c r="D23" s="22" t="s">
        <v>58</v>
      </c>
      <c r="E23" s="23">
        <v>10702.0</v>
      </c>
      <c r="F23" s="23">
        <v>3145.0</v>
      </c>
      <c r="G23" s="23">
        <v>2007.0</v>
      </c>
      <c r="H23" s="23">
        <v>1570.0</v>
      </c>
      <c r="I23" s="23">
        <v>1286.0</v>
      </c>
      <c r="J23" s="23">
        <v>8008.0</v>
      </c>
      <c r="K23" s="24">
        <f t="shared" si="2"/>
        <v>16.05894106</v>
      </c>
      <c r="L23" s="23">
        <v>3145.0</v>
      </c>
    </row>
    <row r="24" ht="14.25" customHeight="1">
      <c r="A24" s="22" t="s">
        <v>17</v>
      </c>
      <c r="B24" s="22" t="s">
        <v>56</v>
      </c>
      <c r="C24" s="22" t="s">
        <v>59</v>
      </c>
      <c r="D24" s="22" t="s">
        <v>59</v>
      </c>
      <c r="E24" s="23">
        <v>10703.0</v>
      </c>
      <c r="F24" s="23">
        <v>1317.0</v>
      </c>
      <c r="G24" s="23">
        <v>653.0</v>
      </c>
      <c r="H24" s="23">
        <v>426.0</v>
      </c>
      <c r="I24" s="23">
        <v>383.0</v>
      </c>
      <c r="J24" s="23">
        <v>2779.0</v>
      </c>
      <c r="K24" s="24">
        <f t="shared" si="2"/>
        <v>13.78193595</v>
      </c>
      <c r="L24" s="23">
        <v>1317.0</v>
      </c>
    </row>
    <row r="25" ht="14.25" customHeight="1">
      <c r="A25" s="22" t="s">
        <v>17</v>
      </c>
      <c r="B25" s="22" t="s">
        <v>56</v>
      </c>
      <c r="C25" s="22" t="s">
        <v>60</v>
      </c>
      <c r="D25" s="22" t="s">
        <v>60</v>
      </c>
      <c r="E25" s="23">
        <v>10704.0</v>
      </c>
      <c r="F25" s="23">
        <v>1443.0</v>
      </c>
      <c r="G25" s="23">
        <v>808.0</v>
      </c>
      <c r="H25" s="23">
        <v>674.0</v>
      </c>
      <c r="I25" s="23">
        <v>550.0</v>
      </c>
      <c r="J25" s="23">
        <v>3475.0</v>
      </c>
      <c r="K25" s="24">
        <f t="shared" si="2"/>
        <v>15.82733813</v>
      </c>
      <c r="L25" s="23">
        <v>1443.0</v>
      </c>
    </row>
    <row r="26" ht="14.25" customHeight="1">
      <c r="A26" s="22" t="s">
        <v>17</v>
      </c>
      <c r="B26" s="22" t="s">
        <v>61</v>
      </c>
      <c r="C26" s="22" t="s">
        <v>62</v>
      </c>
      <c r="D26" s="22" t="s">
        <v>62</v>
      </c>
      <c r="E26" s="23">
        <v>10801.0</v>
      </c>
      <c r="F26" s="23">
        <v>480.0</v>
      </c>
      <c r="G26" s="23">
        <v>741.0</v>
      </c>
      <c r="H26" s="23">
        <v>683.0</v>
      </c>
      <c r="I26" s="23">
        <v>1292.0</v>
      </c>
      <c r="J26" s="23">
        <v>3196.0</v>
      </c>
      <c r="K26" s="24">
        <f t="shared" si="2"/>
        <v>40.42553191</v>
      </c>
      <c r="L26" s="23">
        <v>480.0</v>
      </c>
    </row>
    <row r="27" ht="14.25" customHeight="1">
      <c r="A27" s="22" t="s">
        <v>17</v>
      </c>
      <c r="B27" s="22" t="s">
        <v>63</v>
      </c>
      <c r="C27" s="22" t="s">
        <v>64</v>
      </c>
      <c r="D27" s="22" t="s">
        <v>64</v>
      </c>
      <c r="E27" s="23">
        <v>10901.0</v>
      </c>
      <c r="F27" s="23">
        <v>297.0</v>
      </c>
      <c r="G27" s="23">
        <v>234.0</v>
      </c>
      <c r="H27" s="23">
        <v>176.0</v>
      </c>
      <c r="I27" s="23">
        <v>258.0</v>
      </c>
      <c r="J27" s="23">
        <v>965.0</v>
      </c>
      <c r="K27" s="24">
        <f t="shared" si="2"/>
        <v>26.7357513</v>
      </c>
      <c r="L27" s="23">
        <v>297.0</v>
      </c>
    </row>
    <row r="28" ht="14.25" customHeight="1">
      <c r="A28" s="22" t="s">
        <v>17</v>
      </c>
      <c r="B28" s="22" t="s">
        <v>63</v>
      </c>
      <c r="C28" s="22" t="s">
        <v>65</v>
      </c>
      <c r="D28" s="22" t="s">
        <v>65</v>
      </c>
      <c r="E28" s="23">
        <v>10902.0</v>
      </c>
      <c r="F28" s="23">
        <v>1037.0</v>
      </c>
      <c r="G28" s="23">
        <v>1180.0</v>
      </c>
      <c r="H28" s="23">
        <v>980.0</v>
      </c>
      <c r="I28" s="23">
        <v>1150.0</v>
      </c>
      <c r="J28" s="23">
        <v>4347.0</v>
      </c>
      <c r="K28" s="24">
        <f t="shared" si="2"/>
        <v>26.45502646</v>
      </c>
      <c r="L28" s="23">
        <v>1037.0</v>
      </c>
    </row>
    <row r="29" ht="14.25" customHeight="1">
      <c r="A29" s="22" t="s">
        <v>17</v>
      </c>
      <c r="B29" s="22" t="s">
        <v>63</v>
      </c>
      <c r="C29" s="22" t="s">
        <v>66</v>
      </c>
      <c r="D29" s="22" t="s">
        <v>66</v>
      </c>
      <c r="E29" s="23">
        <v>10903.0</v>
      </c>
      <c r="F29" s="23">
        <v>189.0</v>
      </c>
      <c r="G29" s="23">
        <v>203.0</v>
      </c>
      <c r="H29" s="23">
        <v>288.0</v>
      </c>
      <c r="I29" s="23">
        <v>382.0</v>
      </c>
      <c r="J29" s="23">
        <v>1062.0</v>
      </c>
      <c r="K29" s="24">
        <f t="shared" si="2"/>
        <v>35.96986817</v>
      </c>
      <c r="L29" s="23">
        <v>189.0</v>
      </c>
    </row>
    <row r="30" ht="14.25" customHeight="1">
      <c r="A30" s="22" t="s">
        <v>17</v>
      </c>
      <c r="B30" s="22" t="s">
        <v>67</v>
      </c>
      <c r="C30" s="22" t="s">
        <v>68</v>
      </c>
      <c r="D30" s="22" t="s">
        <v>68</v>
      </c>
      <c r="E30" s="23">
        <v>11001.0</v>
      </c>
      <c r="F30" s="23">
        <v>272.0</v>
      </c>
      <c r="G30" s="23">
        <v>557.0</v>
      </c>
      <c r="H30" s="23">
        <v>693.0</v>
      </c>
      <c r="I30" s="23">
        <v>1010.0</v>
      </c>
      <c r="J30" s="23">
        <v>2532.0</v>
      </c>
      <c r="K30" s="24">
        <f t="shared" si="2"/>
        <v>39.88941548</v>
      </c>
      <c r="L30" s="23">
        <v>272.0</v>
      </c>
    </row>
    <row r="31" ht="14.25" customHeight="1">
      <c r="A31" s="22" t="s">
        <v>17</v>
      </c>
      <c r="B31" s="22" t="s">
        <v>67</v>
      </c>
      <c r="C31" s="22" t="s">
        <v>69</v>
      </c>
      <c r="D31" s="22" t="s">
        <v>70</v>
      </c>
      <c r="E31" s="23">
        <v>11002.0</v>
      </c>
      <c r="F31" s="23">
        <v>115.0</v>
      </c>
      <c r="G31" s="23">
        <v>155.0</v>
      </c>
      <c r="H31" s="23">
        <v>193.0</v>
      </c>
      <c r="I31" s="23">
        <v>140.0</v>
      </c>
      <c r="J31" s="23">
        <v>603.0</v>
      </c>
      <c r="K31" s="24">
        <f t="shared" si="2"/>
        <v>23.2172471</v>
      </c>
      <c r="L31" s="23">
        <v>115.0</v>
      </c>
    </row>
    <row r="32" ht="14.25" customHeight="1">
      <c r="A32" s="22" t="s">
        <v>17</v>
      </c>
      <c r="B32" s="22" t="s">
        <v>67</v>
      </c>
      <c r="C32" s="22" t="s">
        <v>71</v>
      </c>
      <c r="D32" s="22" t="s">
        <v>72</v>
      </c>
      <c r="E32" s="23">
        <v>11003.0</v>
      </c>
      <c r="F32" s="23">
        <v>280.0</v>
      </c>
      <c r="G32" s="23">
        <v>367.0</v>
      </c>
      <c r="H32" s="23">
        <v>484.0</v>
      </c>
      <c r="I32" s="23">
        <v>620.0</v>
      </c>
      <c r="J32" s="23">
        <v>1751.0</v>
      </c>
      <c r="K32" s="24">
        <f t="shared" si="2"/>
        <v>35.40833809</v>
      </c>
      <c r="L32" s="23">
        <v>280.0</v>
      </c>
    </row>
    <row r="33" ht="14.25" customHeight="1">
      <c r="A33" s="22" t="s">
        <v>21</v>
      </c>
      <c r="B33" s="22" t="s">
        <v>73</v>
      </c>
      <c r="C33" s="22" t="s">
        <v>74</v>
      </c>
      <c r="D33" s="22" t="s">
        <v>74</v>
      </c>
      <c r="E33" s="23">
        <v>20101.0</v>
      </c>
      <c r="F33" s="23">
        <v>2093.0</v>
      </c>
      <c r="G33" s="23">
        <v>6242.0</v>
      </c>
      <c r="H33" s="23">
        <v>16427.0</v>
      </c>
      <c r="I33" s="23">
        <v>201696.0</v>
      </c>
      <c r="J33" s="23">
        <v>226458.0</v>
      </c>
      <c r="K33" s="24">
        <f t="shared" si="2"/>
        <v>89.06552208</v>
      </c>
      <c r="L33" s="23">
        <v>2093.0</v>
      </c>
    </row>
    <row r="34" ht="14.25" customHeight="1">
      <c r="A34" s="22" t="s">
        <v>21</v>
      </c>
      <c r="B34" s="22" t="s">
        <v>73</v>
      </c>
      <c r="C34" s="22" t="s">
        <v>75</v>
      </c>
      <c r="D34" s="22" t="s">
        <v>75</v>
      </c>
      <c r="E34" s="23">
        <v>20102.0</v>
      </c>
      <c r="F34" s="23">
        <v>629.0</v>
      </c>
      <c r="G34" s="23">
        <v>1251.0</v>
      </c>
      <c r="H34" s="23">
        <v>2220.0</v>
      </c>
      <c r="I34" s="23">
        <v>753.0</v>
      </c>
      <c r="J34" s="23">
        <v>4853.0</v>
      </c>
      <c r="K34" s="24">
        <f t="shared" si="2"/>
        <v>15.51617556</v>
      </c>
      <c r="L34" s="23">
        <v>629.0</v>
      </c>
    </row>
    <row r="35" ht="14.25" customHeight="1">
      <c r="A35" s="22" t="s">
        <v>21</v>
      </c>
      <c r="B35" s="22" t="s">
        <v>73</v>
      </c>
      <c r="C35" s="22" t="s">
        <v>76</v>
      </c>
      <c r="D35" s="22" t="s">
        <v>76</v>
      </c>
      <c r="E35" s="23">
        <v>20103.0</v>
      </c>
      <c r="F35" s="23">
        <v>504.0</v>
      </c>
      <c r="G35" s="23">
        <v>1466.0</v>
      </c>
      <c r="H35" s="23">
        <v>1254.0</v>
      </c>
      <c r="I35" s="23">
        <v>1548.0</v>
      </c>
      <c r="J35" s="23">
        <v>4772.0</v>
      </c>
      <c r="K35" s="24">
        <f t="shared" si="2"/>
        <v>32.43922883</v>
      </c>
      <c r="L35" s="23">
        <v>504.0</v>
      </c>
    </row>
    <row r="36" ht="14.25" customHeight="1">
      <c r="A36" s="22" t="s">
        <v>21</v>
      </c>
      <c r="B36" s="22" t="s">
        <v>73</v>
      </c>
      <c r="C36" s="22" t="s">
        <v>77</v>
      </c>
      <c r="D36" s="22" t="s">
        <v>77</v>
      </c>
      <c r="E36" s="23">
        <v>20104.0</v>
      </c>
      <c r="F36" s="23">
        <v>1235.0</v>
      </c>
      <c r="G36" s="23">
        <v>3121.0</v>
      </c>
      <c r="H36" s="23">
        <v>2314.0</v>
      </c>
      <c r="I36" s="23">
        <v>481.0</v>
      </c>
      <c r="J36" s="23">
        <v>7151.0</v>
      </c>
      <c r="K36" s="24">
        <f t="shared" si="2"/>
        <v>6.726331982</v>
      </c>
      <c r="L36" s="23">
        <v>1235.0</v>
      </c>
    </row>
    <row r="37" ht="14.25" customHeight="1">
      <c r="A37" s="22" t="s">
        <v>21</v>
      </c>
      <c r="B37" s="22" t="s">
        <v>73</v>
      </c>
      <c r="C37" s="22" t="s">
        <v>78</v>
      </c>
      <c r="D37" s="22" t="s">
        <v>78</v>
      </c>
      <c r="E37" s="23">
        <v>20105.0</v>
      </c>
      <c r="F37" s="23">
        <v>7118.0</v>
      </c>
      <c r="G37" s="23">
        <v>19963.0</v>
      </c>
      <c r="H37" s="23">
        <v>67885.0</v>
      </c>
      <c r="I37" s="23">
        <v>161886.0</v>
      </c>
      <c r="J37" s="23">
        <v>256852.0</v>
      </c>
      <c r="K37" s="24">
        <f t="shared" si="2"/>
        <v>63.02695716</v>
      </c>
      <c r="L37" s="23">
        <v>7118.0</v>
      </c>
    </row>
    <row r="38" ht="14.25" customHeight="1">
      <c r="A38" s="22" t="s">
        <v>21</v>
      </c>
      <c r="B38" s="22" t="s">
        <v>79</v>
      </c>
      <c r="C38" s="22" t="s">
        <v>80</v>
      </c>
      <c r="D38" s="22" t="s">
        <v>80</v>
      </c>
      <c r="E38" s="23">
        <v>20201.0</v>
      </c>
      <c r="F38" s="23">
        <v>1674.0</v>
      </c>
      <c r="G38" s="23">
        <v>3454.0</v>
      </c>
      <c r="H38" s="23">
        <v>4904.0</v>
      </c>
      <c r="I38" s="23">
        <v>6196.0</v>
      </c>
      <c r="J38" s="23">
        <v>16228.0</v>
      </c>
      <c r="K38" s="24">
        <f t="shared" si="2"/>
        <v>38.18092186</v>
      </c>
      <c r="L38" s="23">
        <v>1674.0</v>
      </c>
    </row>
    <row r="39" ht="14.25" customHeight="1">
      <c r="A39" s="22" t="s">
        <v>21</v>
      </c>
      <c r="B39" s="22" t="s">
        <v>79</v>
      </c>
      <c r="C39" s="22" t="s">
        <v>81</v>
      </c>
      <c r="D39" s="22" t="s">
        <v>82</v>
      </c>
      <c r="E39" s="23">
        <v>20202.0</v>
      </c>
      <c r="F39" s="23">
        <v>812.0</v>
      </c>
      <c r="G39" s="23">
        <v>1521.0</v>
      </c>
      <c r="H39" s="23">
        <v>1968.0</v>
      </c>
      <c r="I39" s="23">
        <v>726.0</v>
      </c>
      <c r="J39" s="23">
        <v>5027.0</v>
      </c>
      <c r="K39" s="24">
        <f t="shared" si="2"/>
        <v>14.44201313</v>
      </c>
      <c r="L39" s="23">
        <v>812.0</v>
      </c>
    </row>
    <row r="40" ht="14.25" customHeight="1">
      <c r="A40" s="22" t="s">
        <v>21</v>
      </c>
      <c r="B40" s="22" t="s">
        <v>79</v>
      </c>
      <c r="C40" s="22" t="s">
        <v>83</v>
      </c>
      <c r="D40" s="22" t="s">
        <v>83</v>
      </c>
      <c r="E40" s="23">
        <v>20203.0</v>
      </c>
      <c r="F40" s="23">
        <v>547.0</v>
      </c>
      <c r="G40" s="23">
        <v>914.0</v>
      </c>
      <c r="H40" s="23">
        <v>1091.0</v>
      </c>
      <c r="I40" s="23">
        <v>745.0</v>
      </c>
      <c r="J40" s="23">
        <v>3297.0</v>
      </c>
      <c r="K40" s="24">
        <f t="shared" si="2"/>
        <v>22.59629967</v>
      </c>
      <c r="L40" s="23">
        <v>547.0</v>
      </c>
    </row>
    <row r="41" ht="14.25" customHeight="1">
      <c r="A41" s="22" t="s">
        <v>21</v>
      </c>
      <c r="B41" s="22" t="s">
        <v>79</v>
      </c>
      <c r="C41" s="22" t="s">
        <v>84</v>
      </c>
      <c r="D41" s="22" t="s">
        <v>84</v>
      </c>
      <c r="E41" s="23">
        <v>20204.0</v>
      </c>
      <c r="F41" s="23">
        <v>485.0</v>
      </c>
      <c r="G41" s="23">
        <v>764.0</v>
      </c>
      <c r="H41" s="23">
        <v>1229.0</v>
      </c>
      <c r="I41" s="23">
        <v>1319.0</v>
      </c>
      <c r="J41" s="23">
        <v>3797.0</v>
      </c>
      <c r="K41" s="24">
        <f t="shared" si="2"/>
        <v>34.73795101</v>
      </c>
      <c r="L41" s="23">
        <v>485.0</v>
      </c>
    </row>
    <row r="42" ht="14.25" customHeight="1">
      <c r="A42" s="22" t="s">
        <v>21</v>
      </c>
      <c r="B42" s="22" t="s">
        <v>79</v>
      </c>
      <c r="C42" s="22" t="s">
        <v>85</v>
      </c>
      <c r="D42" s="22" t="s">
        <v>85</v>
      </c>
      <c r="E42" s="23">
        <v>20205.0</v>
      </c>
      <c r="F42" s="23">
        <v>83.0</v>
      </c>
      <c r="G42" s="23">
        <v>237.0</v>
      </c>
      <c r="H42" s="23">
        <v>479.0</v>
      </c>
      <c r="I42" s="23">
        <v>863.0</v>
      </c>
      <c r="J42" s="23">
        <v>1662.0</v>
      </c>
      <c r="K42" s="24">
        <f t="shared" si="2"/>
        <v>51.9253911</v>
      </c>
      <c r="L42" s="23">
        <v>83.0</v>
      </c>
    </row>
    <row r="43" ht="14.25" customHeight="1">
      <c r="A43" s="22" t="s">
        <v>21</v>
      </c>
      <c r="B43" s="22" t="s">
        <v>79</v>
      </c>
      <c r="C43" s="22" t="s">
        <v>86</v>
      </c>
      <c r="D43" s="22" t="s">
        <v>86</v>
      </c>
      <c r="E43" s="23">
        <v>20206.0</v>
      </c>
      <c r="F43" s="23">
        <v>193.0</v>
      </c>
      <c r="G43" s="23">
        <v>398.0</v>
      </c>
      <c r="H43" s="23">
        <v>842.0</v>
      </c>
      <c r="I43" s="23">
        <v>599.0</v>
      </c>
      <c r="J43" s="23">
        <v>2032.0</v>
      </c>
      <c r="K43" s="24">
        <f t="shared" si="2"/>
        <v>29.47834646</v>
      </c>
      <c r="L43" s="23">
        <v>193.0</v>
      </c>
    </row>
    <row r="44" ht="14.25" customHeight="1">
      <c r="A44" s="22" t="s">
        <v>21</v>
      </c>
      <c r="B44" s="22" t="s">
        <v>87</v>
      </c>
      <c r="C44" s="22" t="s">
        <v>88</v>
      </c>
      <c r="D44" s="22" t="s">
        <v>89</v>
      </c>
      <c r="E44" s="23">
        <v>20301.0</v>
      </c>
      <c r="F44" s="23">
        <v>1208.0</v>
      </c>
      <c r="G44" s="23">
        <v>1164.0</v>
      </c>
      <c r="H44" s="23">
        <v>1017.0</v>
      </c>
      <c r="I44" s="23">
        <v>351.0</v>
      </c>
      <c r="J44" s="23">
        <v>3740.0</v>
      </c>
      <c r="K44" s="24">
        <f t="shared" si="2"/>
        <v>9.385026738</v>
      </c>
      <c r="L44" s="23">
        <v>1208.0</v>
      </c>
    </row>
    <row r="45" ht="14.25" customHeight="1">
      <c r="A45" s="22" t="s">
        <v>21</v>
      </c>
      <c r="B45" s="22" t="s">
        <v>87</v>
      </c>
      <c r="C45" s="22" t="s">
        <v>90</v>
      </c>
      <c r="D45" s="22" t="s">
        <v>90</v>
      </c>
      <c r="E45" s="23">
        <v>20302.0</v>
      </c>
      <c r="F45" s="23">
        <v>1362.0</v>
      </c>
      <c r="G45" s="23">
        <v>1418.0</v>
      </c>
      <c r="H45" s="23">
        <v>1051.0</v>
      </c>
      <c r="I45" s="23">
        <v>438.0</v>
      </c>
      <c r="J45" s="23">
        <v>4269.0</v>
      </c>
      <c r="K45" s="24">
        <f t="shared" si="2"/>
        <v>10.26001405</v>
      </c>
      <c r="L45" s="23">
        <v>1362.0</v>
      </c>
    </row>
    <row r="46" ht="14.25" customHeight="1">
      <c r="A46" s="22" t="s">
        <v>21</v>
      </c>
      <c r="B46" s="22" t="s">
        <v>87</v>
      </c>
      <c r="C46" s="22" t="s">
        <v>91</v>
      </c>
      <c r="D46" s="22" t="s">
        <v>91</v>
      </c>
      <c r="E46" s="23">
        <v>20303.0</v>
      </c>
      <c r="F46" s="23">
        <v>1435.0</v>
      </c>
      <c r="G46" s="23">
        <v>1279.0</v>
      </c>
      <c r="H46" s="23">
        <v>605.0</v>
      </c>
      <c r="I46" s="23">
        <v>214.0</v>
      </c>
      <c r="J46" s="23">
        <v>3533.0</v>
      </c>
      <c r="K46" s="24">
        <f t="shared" si="2"/>
        <v>6.057175205</v>
      </c>
      <c r="L46" s="23">
        <v>1435.0</v>
      </c>
    </row>
    <row r="47" ht="14.25" customHeight="1">
      <c r="A47" s="22" t="s">
        <v>21</v>
      </c>
      <c r="B47" s="22" t="s">
        <v>87</v>
      </c>
      <c r="C47" s="22" t="s">
        <v>92</v>
      </c>
      <c r="D47" s="22" t="s">
        <v>92</v>
      </c>
      <c r="E47" s="23">
        <v>20304.0</v>
      </c>
      <c r="F47" s="23">
        <v>302.0</v>
      </c>
      <c r="G47" s="23">
        <v>448.0</v>
      </c>
      <c r="H47" s="23">
        <v>423.0</v>
      </c>
      <c r="I47" s="23">
        <v>138.0</v>
      </c>
      <c r="J47" s="23">
        <v>1311.0</v>
      </c>
      <c r="K47" s="24">
        <f t="shared" si="2"/>
        <v>10.52631579</v>
      </c>
      <c r="L47" s="23">
        <v>302.0</v>
      </c>
    </row>
    <row r="48" ht="14.25" customHeight="1">
      <c r="A48" s="22" t="s">
        <v>21</v>
      </c>
      <c r="B48" s="22" t="s">
        <v>87</v>
      </c>
      <c r="C48" s="22" t="s">
        <v>93</v>
      </c>
      <c r="D48" s="22" t="s">
        <v>93</v>
      </c>
      <c r="E48" s="23">
        <v>20305.0</v>
      </c>
      <c r="F48" s="23">
        <v>445.0</v>
      </c>
      <c r="G48" s="23">
        <v>269.0</v>
      </c>
      <c r="H48" s="23">
        <v>330.0</v>
      </c>
      <c r="I48" s="23">
        <v>115.0</v>
      </c>
      <c r="J48" s="23">
        <v>1159.0</v>
      </c>
      <c r="K48" s="24">
        <f t="shared" si="2"/>
        <v>9.922346851</v>
      </c>
      <c r="L48" s="23">
        <v>445.0</v>
      </c>
    </row>
    <row r="49" ht="14.25" customHeight="1">
      <c r="A49" s="22" t="s">
        <v>21</v>
      </c>
      <c r="B49" s="22" t="s">
        <v>87</v>
      </c>
      <c r="C49" s="22" t="s">
        <v>94</v>
      </c>
      <c r="D49" s="22" t="s">
        <v>94</v>
      </c>
      <c r="E49" s="23">
        <v>20306.0</v>
      </c>
      <c r="F49" s="23">
        <v>261.0</v>
      </c>
      <c r="G49" s="23">
        <v>382.0</v>
      </c>
      <c r="H49" s="23">
        <v>390.0</v>
      </c>
      <c r="I49" s="23">
        <v>37.0</v>
      </c>
      <c r="J49" s="23">
        <v>1070.0</v>
      </c>
      <c r="K49" s="24">
        <f t="shared" si="2"/>
        <v>3.457943925</v>
      </c>
      <c r="L49" s="23">
        <v>261.0</v>
      </c>
    </row>
    <row r="50" ht="14.25" customHeight="1">
      <c r="A50" s="22" t="s">
        <v>21</v>
      </c>
      <c r="B50" s="22" t="s">
        <v>87</v>
      </c>
      <c r="C50" s="22" t="s">
        <v>95</v>
      </c>
      <c r="D50" s="22" t="s">
        <v>95</v>
      </c>
      <c r="E50" s="23">
        <v>20307.0</v>
      </c>
      <c r="F50" s="23">
        <v>40.0</v>
      </c>
      <c r="G50" s="23">
        <v>117.0</v>
      </c>
      <c r="H50" s="23">
        <v>81.0</v>
      </c>
      <c r="I50" s="23">
        <v>51.0</v>
      </c>
      <c r="J50" s="23">
        <v>289.0</v>
      </c>
      <c r="K50" s="24">
        <f t="shared" si="2"/>
        <v>17.64705882</v>
      </c>
      <c r="L50" s="23">
        <v>40.0</v>
      </c>
    </row>
    <row r="51" ht="14.25" customHeight="1">
      <c r="A51" s="22" t="s">
        <v>21</v>
      </c>
      <c r="B51" s="22" t="s">
        <v>87</v>
      </c>
      <c r="C51" s="22" t="s">
        <v>96</v>
      </c>
      <c r="D51" s="22" t="s">
        <v>96</v>
      </c>
      <c r="E51" s="23">
        <v>20308.0</v>
      </c>
      <c r="F51" s="23">
        <v>1802.0</v>
      </c>
      <c r="G51" s="23">
        <v>767.0</v>
      </c>
      <c r="H51" s="23">
        <v>193.0</v>
      </c>
      <c r="I51" s="23">
        <v>28.0</v>
      </c>
      <c r="J51" s="23">
        <v>2790.0</v>
      </c>
      <c r="K51" s="24">
        <f t="shared" si="2"/>
        <v>1.003584229</v>
      </c>
      <c r="L51" s="23">
        <v>1802.0</v>
      </c>
    </row>
    <row r="52" ht="14.25" customHeight="1">
      <c r="A52" s="22" t="s">
        <v>21</v>
      </c>
      <c r="B52" s="22" t="s">
        <v>97</v>
      </c>
      <c r="C52" s="22" t="s">
        <v>98</v>
      </c>
      <c r="D52" s="22" t="s">
        <v>98</v>
      </c>
      <c r="E52" s="23">
        <v>20401.0</v>
      </c>
      <c r="F52" s="23">
        <v>1076.0</v>
      </c>
      <c r="G52" s="23">
        <v>1776.0</v>
      </c>
      <c r="H52" s="23">
        <v>1608.0</v>
      </c>
      <c r="I52" s="23">
        <v>551.0</v>
      </c>
      <c r="J52" s="23">
        <v>5011.0</v>
      </c>
      <c r="K52" s="24">
        <f t="shared" si="2"/>
        <v>10.99580922</v>
      </c>
      <c r="L52" s="23">
        <v>1076.0</v>
      </c>
    </row>
    <row r="53" ht="14.25" customHeight="1">
      <c r="A53" s="22" t="s">
        <v>21</v>
      </c>
      <c r="B53" s="22" t="s">
        <v>97</v>
      </c>
      <c r="C53" s="22" t="s">
        <v>99</v>
      </c>
      <c r="D53" s="22" t="s">
        <v>99</v>
      </c>
      <c r="E53" s="23">
        <v>20402.0</v>
      </c>
      <c r="F53" s="23">
        <v>1008.0</v>
      </c>
      <c r="G53" s="23">
        <v>2150.0</v>
      </c>
      <c r="H53" s="23">
        <v>2327.0</v>
      </c>
      <c r="I53" s="23">
        <v>1121.0</v>
      </c>
      <c r="J53" s="23">
        <v>6606.0</v>
      </c>
      <c r="K53" s="24">
        <f t="shared" si="2"/>
        <v>16.96942174</v>
      </c>
      <c r="L53" s="23">
        <v>1008.0</v>
      </c>
    </row>
    <row r="54" ht="14.25" customHeight="1">
      <c r="A54" s="22" t="s">
        <v>21</v>
      </c>
      <c r="B54" s="22" t="s">
        <v>97</v>
      </c>
      <c r="C54" s="22" t="s">
        <v>100</v>
      </c>
      <c r="D54" s="22" t="s">
        <v>101</v>
      </c>
      <c r="E54" s="23">
        <v>20403.0</v>
      </c>
      <c r="F54" s="23">
        <v>1065.0</v>
      </c>
      <c r="G54" s="23">
        <v>1661.0</v>
      </c>
      <c r="H54" s="23">
        <v>1769.0</v>
      </c>
      <c r="I54" s="23">
        <v>852.0</v>
      </c>
      <c r="J54" s="23">
        <v>5347.0</v>
      </c>
      <c r="K54" s="24">
        <f t="shared" si="2"/>
        <v>15.93416869</v>
      </c>
      <c r="L54" s="23">
        <v>1065.0</v>
      </c>
    </row>
    <row r="55" ht="14.25" customHeight="1">
      <c r="A55" s="22" t="s">
        <v>21</v>
      </c>
      <c r="B55" s="22" t="s">
        <v>97</v>
      </c>
      <c r="C55" s="22" t="s">
        <v>102</v>
      </c>
      <c r="D55" s="22" t="s">
        <v>102</v>
      </c>
      <c r="E55" s="23">
        <v>20404.0</v>
      </c>
      <c r="F55" s="23">
        <v>357.0</v>
      </c>
      <c r="G55" s="23">
        <v>790.0</v>
      </c>
      <c r="H55" s="23">
        <v>678.0</v>
      </c>
      <c r="I55" s="23">
        <v>283.0</v>
      </c>
      <c r="J55" s="23">
        <v>2108.0</v>
      </c>
      <c r="K55" s="24">
        <f t="shared" si="2"/>
        <v>13.42504744</v>
      </c>
      <c r="L55" s="23">
        <v>357.0</v>
      </c>
    </row>
    <row r="56" ht="14.25" customHeight="1">
      <c r="A56" s="22" t="s">
        <v>21</v>
      </c>
      <c r="B56" s="22" t="s">
        <v>97</v>
      </c>
      <c r="C56" s="22" t="s">
        <v>103</v>
      </c>
      <c r="D56" s="22" t="s">
        <v>103</v>
      </c>
      <c r="E56" s="23">
        <v>20405.0</v>
      </c>
      <c r="F56" s="23">
        <v>479.0</v>
      </c>
      <c r="G56" s="23">
        <v>1006.0</v>
      </c>
      <c r="H56" s="23">
        <v>1248.0</v>
      </c>
      <c r="I56" s="23">
        <v>294.0</v>
      </c>
      <c r="J56" s="23">
        <v>3027.0</v>
      </c>
      <c r="K56" s="24">
        <f t="shared" si="2"/>
        <v>9.71258672</v>
      </c>
      <c r="L56" s="23">
        <v>479.0</v>
      </c>
    </row>
    <row r="57" ht="14.25" customHeight="1">
      <c r="A57" s="22" t="s">
        <v>21</v>
      </c>
      <c r="B57" s="22" t="s">
        <v>104</v>
      </c>
      <c r="C57" s="22" t="s">
        <v>105</v>
      </c>
      <c r="D57" s="22" t="s">
        <v>105</v>
      </c>
      <c r="E57" s="23">
        <v>20501.0</v>
      </c>
      <c r="F57" s="23">
        <v>563.0</v>
      </c>
      <c r="G57" s="23">
        <v>1137.0</v>
      </c>
      <c r="H57" s="23">
        <v>1303.0</v>
      </c>
      <c r="I57" s="23">
        <v>935.0</v>
      </c>
      <c r="J57" s="23">
        <v>3938.0</v>
      </c>
      <c r="K57" s="24">
        <f t="shared" si="2"/>
        <v>23.74301676</v>
      </c>
      <c r="L57" s="23">
        <v>563.0</v>
      </c>
    </row>
    <row r="58" ht="14.25" customHeight="1">
      <c r="A58" s="22" t="s">
        <v>21</v>
      </c>
      <c r="B58" s="22" t="s">
        <v>104</v>
      </c>
      <c r="C58" s="22" t="s">
        <v>106</v>
      </c>
      <c r="D58" s="22" t="s">
        <v>106</v>
      </c>
      <c r="E58" s="23">
        <v>20502.0</v>
      </c>
      <c r="F58" s="23">
        <v>473.0</v>
      </c>
      <c r="G58" s="23">
        <v>725.0</v>
      </c>
      <c r="H58" s="23">
        <v>865.0</v>
      </c>
      <c r="I58" s="23">
        <v>684.0</v>
      </c>
      <c r="J58" s="23">
        <v>2747.0</v>
      </c>
      <c r="K58" s="24">
        <f t="shared" si="2"/>
        <v>24.89989079</v>
      </c>
      <c r="L58" s="23">
        <v>473.0</v>
      </c>
    </row>
    <row r="59" ht="14.25" customHeight="1">
      <c r="A59" s="22" t="s">
        <v>21</v>
      </c>
      <c r="B59" s="22" t="s">
        <v>104</v>
      </c>
      <c r="C59" s="22" t="s">
        <v>107</v>
      </c>
      <c r="D59" s="22" t="s">
        <v>107</v>
      </c>
      <c r="E59" s="23">
        <v>20503.0</v>
      </c>
      <c r="F59" s="23">
        <v>167.0</v>
      </c>
      <c r="G59" s="23">
        <v>535.0</v>
      </c>
      <c r="H59" s="23">
        <v>895.0</v>
      </c>
      <c r="I59" s="23">
        <v>341.0</v>
      </c>
      <c r="J59" s="23">
        <v>1938.0</v>
      </c>
      <c r="K59" s="24">
        <f t="shared" si="2"/>
        <v>17.59545924</v>
      </c>
      <c r="L59" s="23">
        <v>167.0</v>
      </c>
    </row>
    <row r="60" ht="14.25" customHeight="1">
      <c r="A60" s="22" t="s">
        <v>21</v>
      </c>
      <c r="B60" s="22" t="s">
        <v>108</v>
      </c>
      <c r="C60" s="22" t="s">
        <v>109</v>
      </c>
      <c r="D60" s="22" t="s">
        <v>109</v>
      </c>
      <c r="E60" s="23">
        <v>20601.0</v>
      </c>
      <c r="F60" s="23">
        <v>1697.0</v>
      </c>
      <c r="G60" s="23">
        <v>2268.0</v>
      </c>
      <c r="H60" s="23">
        <v>2510.0</v>
      </c>
      <c r="I60" s="23">
        <v>2300.0</v>
      </c>
      <c r="J60" s="23">
        <v>8775.0</v>
      </c>
      <c r="K60" s="24">
        <f t="shared" si="2"/>
        <v>26.21082621</v>
      </c>
      <c r="L60" s="23">
        <v>1697.0</v>
      </c>
    </row>
    <row r="61" ht="14.25" customHeight="1">
      <c r="A61" s="22" t="s">
        <v>21</v>
      </c>
      <c r="B61" s="22" t="s">
        <v>108</v>
      </c>
      <c r="C61" s="22" t="s">
        <v>110</v>
      </c>
      <c r="D61" s="22" t="s">
        <v>110</v>
      </c>
      <c r="E61" s="23">
        <v>20602.0</v>
      </c>
      <c r="F61" s="23">
        <v>1150.0</v>
      </c>
      <c r="G61" s="23">
        <v>617.0</v>
      </c>
      <c r="H61" s="23">
        <v>1405.0</v>
      </c>
      <c r="I61" s="23">
        <v>1509.0</v>
      </c>
      <c r="J61" s="23">
        <v>4681.0</v>
      </c>
      <c r="K61" s="24">
        <f t="shared" si="2"/>
        <v>32.23670156</v>
      </c>
      <c r="L61" s="23">
        <v>1150.0</v>
      </c>
    </row>
    <row r="62" ht="14.25" customHeight="1">
      <c r="A62" s="22" t="s">
        <v>21</v>
      </c>
      <c r="B62" s="22" t="s">
        <v>108</v>
      </c>
      <c r="C62" s="22" t="s">
        <v>111</v>
      </c>
      <c r="D62" s="22" t="s">
        <v>111</v>
      </c>
      <c r="E62" s="23">
        <v>20603.0</v>
      </c>
      <c r="F62" s="23">
        <v>713.0</v>
      </c>
      <c r="G62" s="23">
        <v>954.0</v>
      </c>
      <c r="H62" s="23">
        <v>684.0</v>
      </c>
      <c r="I62" s="23">
        <v>629.0</v>
      </c>
      <c r="J62" s="23">
        <v>2980.0</v>
      </c>
      <c r="K62" s="24">
        <f t="shared" si="2"/>
        <v>21.10738255</v>
      </c>
      <c r="L62" s="23">
        <v>713.0</v>
      </c>
    </row>
    <row r="63" ht="14.25" customHeight="1">
      <c r="A63" s="22" t="s">
        <v>21</v>
      </c>
      <c r="B63" s="22" t="s">
        <v>108</v>
      </c>
      <c r="C63" s="22" t="s">
        <v>112</v>
      </c>
      <c r="D63" s="22" t="s">
        <v>112</v>
      </c>
      <c r="E63" s="23">
        <v>20604.0</v>
      </c>
      <c r="F63" s="23">
        <v>222.0</v>
      </c>
      <c r="G63" s="23">
        <v>296.0</v>
      </c>
      <c r="H63" s="23">
        <v>306.0</v>
      </c>
      <c r="I63" s="23">
        <v>203.0</v>
      </c>
      <c r="J63" s="23">
        <v>1027.0</v>
      </c>
      <c r="K63" s="24">
        <f t="shared" si="2"/>
        <v>19.76630964</v>
      </c>
      <c r="L63" s="23">
        <v>222.0</v>
      </c>
    </row>
    <row r="64" ht="14.25" customHeight="1">
      <c r="A64" s="22" t="s">
        <v>21</v>
      </c>
      <c r="B64" s="22" t="s">
        <v>108</v>
      </c>
      <c r="C64" s="22" t="s">
        <v>113</v>
      </c>
      <c r="D64" s="22" t="s">
        <v>113</v>
      </c>
      <c r="E64" s="23">
        <v>20605.0</v>
      </c>
      <c r="F64" s="23">
        <v>89.0</v>
      </c>
      <c r="G64" s="23">
        <v>187.0</v>
      </c>
      <c r="H64" s="23">
        <v>482.0</v>
      </c>
      <c r="I64" s="23">
        <v>236.0</v>
      </c>
      <c r="J64" s="23">
        <v>994.0</v>
      </c>
      <c r="K64" s="24">
        <f t="shared" si="2"/>
        <v>23.74245473</v>
      </c>
      <c r="L64" s="23">
        <v>89.0</v>
      </c>
    </row>
    <row r="65" ht="14.25" customHeight="1">
      <c r="A65" s="22" t="s">
        <v>21</v>
      </c>
      <c r="B65" s="22" t="s">
        <v>108</v>
      </c>
      <c r="C65" s="22" t="s">
        <v>114</v>
      </c>
      <c r="D65" s="22" t="s">
        <v>114</v>
      </c>
      <c r="E65" s="23">
        <v>20606.0</v>
      </c>
      <c r="F65" s="23">
        <v>258.0</v>
      </c>
      <c r="G65" s="23">
        <v>939.0</v>
      </c>
      <c r="H65" s="23">
        <v>1356.0</v>
      </c>
      <c r="I65" s="23">
        <v>904.0</v>
      </c>
      <c r="J65" s="23">
        <v>3457.0</v>
      </c>
      <c r="K65" s="24">
        <f t="shared" si="2"/>
        <v>26.1498409</v>
      </c>
      <c r="L65" s="23">
        <v>258.0</v>
      </c>
    </row>
    <row r="66" ht="14.25" customHeight="1">
      <c r="A66" s="22" t="s">
        <v>21</v>
      </c>
      <c r="B66" s="22" t="s">
        <v>108</v>
      </c>
      <c r="C66" s="22" t="s">
        <v>115</v>
      </c>
      <c r="D66" s="22" t="s">
        <v>115</v>
      </c>
      <c r="E66" s="23">
        <v>20607.0</v>
      </c>
      <c r="F66" s="23">
        <v>178.0</v>
      </c>
      <c r="G66" s="23">
        <v>441.0</v>
      </c>
      <c r="H66" s="23">
        <v>2569.0</v>
      </c>
      <c r="I66" s="23">
        <v>862.0</v>
      </c>
      <c r="J66" s="23">
        <v>4050.0</v>
      </c>
      <c r="K66" s="24">
        <f t="shared" si="2"/>
        <v>21.28395062</v>
      </c>
      <c r="L66" s="23">
        <v>178.0</v>
      </c>
    </row>
    <row r="67" ht="14.25" customHeight="1">
      <c r="A67" s="22" t="s">
        <v>21</v>
      </c>
      <c r="B67" s="22" t="s">
        <v>108</v>
      </c>
      <c r="C67" s="22" t="s">
        <v>116</v>
      </c>
      <c r="D67" s="22" t="s">
        <v>116</v>
      </c>
      <c r="E67" s="23">
        <v>20608.0</v>
      </c>
      <c r="F67" s="23">
        <v>1363.0</v>
      </c>
      <c r="G67" s="23">
        <v>684.0</v>
      </c>
      <c r="H67" s="23">
        <v>626.0</v>
      </c>
      <c r="I67" s="23">
        <v>814.0</v>
      </c>
      <c r="J67" s="23">
        <v>3487.0</v>
      </c>
      <c r="K67" s="24">
        <f t="shared" si="2"/>
        <v>23.34384858</v>
      </c>
      <c r="L67" s="23">
        <v>1363.0</v>
      </c>
    </row>
    <row r="68" ht="14.25" customHeight="1">
      <c r="A68" s="22" t="s">
        <v>21</v>
      </c>
      <c r="B68" s="22" t="s">
        <v>117</v>
      </c>
      <c r="C68" s="22" t="s">
        <v>118</v>
      </c>
      <c r="D68" s="22" t="s">
        <v>118</v>
      </c>
      <c r="E68" s="23">
        <v>20701.0</v>
      </c>
      <c r="F68" s="23">
        <v>1010.0</v>
      </c>
      <c r="G68" s="23">
        <v>817.0</v>
      </c>
      <c r="H68" s="23">
        <v>1579.0</v>
      </c>
      <c r="I68" s="23">
        <v>1219.0</v>
      </c>
      <c r="J68" s="23">
        <v>4625.0</v>
      </c>
      <c r="K68" s="24">
        <f t="shared" si="2"/>
        <v>26.35675676</v>
      </c>
      <c r="L68" s="23">
        <v>1010.0</v>
      </c>
    </row>
    <row r="69" ht="14.25" customHeight="1">
      <c r="A69" s="22" t="s">
        <v>21</v>
      </c>
      <c r="B69" s="22" t="s">
        <v>117</v>
      </c>
      <c r="C69" s="22" t="s">
        <v>119</v>
      </c>
      <c r="D69" s="22" t="s">
        <v>119</v>
      </c>
      <c r="E69" s="23">
        <v>20702.0</v>
      </c>
      <c r="F69" s="23">
        <v>546.0</v>
      </c>
      <c r="G69" s="23">
        <v>795.0</v>
      </c>
      <c r="H69" s="23">
        <v>657.0</v>
      </c>
      <c r="I69" s="23">
        <v>232.0</v>
      </c>
      <c r="J69" s="23">
        <v>2230.0</v>
      </c>
      <c r="K69" s="24">
        <f t="shared" si="2"/>
        <v>10.40358744</v>
      </c>
      <c r="L69" s="23">
        <v>546.0</v>
      </c>
    </row>
    <row r="70" ht="14.25" customHeight="1">
      <c r="A70" s="22" t="s">
        <v>21</v>
      </c>
      <c r="B70" s="22" t="s">
        <v>120</v>
      </c>
      <c r="C70" s="22" t="s">
        <v>121</v>
      </c>
      <c r="D70" s="22" t="s">
        <v>121</v>
      </c>
      <c r="E70" s="23">
        <v>20801.0</v>
      </c>
      <c r="F70" s="23">
        <v>3146.0</v>
      </c>
      <c r="G70" s="23">
        <v>5613.0</v>
      </c>
      <c r="H70" s="23">
        <v>9800.0</v>
      </c>
      <c r="I70" s="23">
        <v>7689.0</v>
      </c>
      <c r="J70" s="23">
        <v>26248.0</v>
      </c>
      <c r="K70" s="24">
        <f t="shared" si="2"/>
        <v>29.29366047</v>
      </c>
      <c r="L70" s="23">
        <v>3146.0</v>
      </c>
    </row>
    <row r="71" ht="14.25" customHeight="1">
      <c r="A71" s="22" t="s">
        <v>21</v>
      </c>
      <c r="B71" s="22" t="s">
        <v>120</v>
      </c>
      <c r="C71" s="22" t="s">
        <v>122</v>
      </c>
      <c r="D71" s="22" t="s">
        <v>123</v>
      </c>
      <c r="E71" s="23">
        <v>20802.0</v>
      </c>
      <c r="F71" s="23">
        <v>251.0</v>
      </c>
      <c r="G71" s="23">
        <v>580.0</v>
      </c>
      <c r="H71" s="23">
        <v>1153.0</v>
      </c>
      <c r="I71" s="23">
        <v>747.0</v>
      </c>
      <c r="J71" s="23">
        <v>2731.0</v>
      </c>
      <c r="K71" s="24">
        <f t="shared" si="2"/>
        <v>27.35261809</v>
      </c>
      <c r="L71" s="23">
        <v>251.0</v>
      </c>
    </row>
    <row r="72" ht="14.25" customHeight="1">
      <c r="A72" s="22" t="s">
        <v>21</v>
      </c>
      <c r="B72" s="22" t="s">
        <v>120</v>
      </c>
      <c r="C72" s="22" t="s">
        <v>124</v>
      </c>
      <c r="D72" s="22" t="s">
        <v>124</v>
      </c>
      <c r="E72" s="23">
        <v>20803.0</v>
      </c>
      <c r="F72" s="23">
        <v>416.0</v>
      </c>
      <c r="G72" s="23">
        <v>943.0</v>
      </c>
      <c r="H72" s="23">
        <v>1245.0</v>
      </c>
      <c r="I72" s="23">
        <v>990.0</v>
      </c>
      <c r="J72" s="23">
        <v>3594.0</v>
      </c>
      <c r="K72" s="24">
        <f t="shared" si="2"/>
        <v>27.54590985</v>
      </c>
      <c r="L72" s="23">
        <v>416.0</v>
      </c>
    </row>
    <row r="73" ht="14.25" customHeight="1">
      <c r="A73" s="22" t="s">
        <v>21</v>
      </c>
      <c r="B73" s="22" t="s">
        <v>120</v>
      </c>
      <c r="C73" s="22" t="s">
        <v>125</v>
      </c>
      <c r="D73" s="22" t="s">
        <v>125</v>
      </c>
      <c r="E73" s="23">
        <v>20804.0</v>
      </c>
      <c r="F73" s="23">
        <v>84.0</v>
      </c>
      <c r="G73" s="23">
        <v>278.0</v>
      </c>
      <c r="H73" s="23">
        <v>1240.0</v>
      </c>
      <c r="I73" s="23">
        <v>648.0</v>
      </c>
      <c r="J73" s="23">
        <v>2250.0</v>
      </c>
      <c r="K73" s="24">
        <f t="shared" si="2"/>
        <v>28.8</v>
      </c>
      <c r="L73" s="23">
        <v>84.0</v>
      </c>
    </row>
    <row r="74" ht="14.25" customHeight="1">
      <c r="A74" s="22" t="s">
        <v>21</v>
      </c>
      <c r="B74" s="22" t="s">
        <v>120</v>
      </c>
      <c r="C74" s="22" t="s">
        <v>126</v>
      </c>
      <c r="D74" s="22" t="s">
        <v>127</v>
      </c>
      <c r="E74" s="23">
        <v>20805.0</v>
      </c>
      <c r="F74" s="23">
        <v>594.0</v>
      </c>
      <c r="G74" s="23">
        <v>868.0</v>
      </c>
      <c r="H74" s="23">
        <v>674.0</v>
      </c>
      <c r="I74" s="23">
        <v>255.0</v>
      </c>
      <c r="J74" s="23">
        <v>2391.0</v>
      </c>
      <c r="K74" s="24">
        <f t="shared" si="2"/>
        <v>10.66499373</v>
      </c>
      <c r="L74" s="23">
        <v>594.0</v>
      </c>
    </row>
    <row r="75" ht="14.25" customHeight="1">
      <c r="A75" s="22" t="s">
        <v>21</v>
      </c>
      <c r="B75" s="22" t="s">
        <v>120</v>
      </c>
      <c r="C75" s="22" t="s">
        <v>128</v>
      </c>
      <c r="D75" s="22" t="s">
        <v>129</v>
      </c>
      <c r="E75" s="23">
        <v>20806.0</v>
      </c>
      <c r="F75" s="23">
        <v>836.0</v>
      </c>
      <c r="G75" s="23">
        <v>1146.0</v>
      </c>
      <c r="H75" s="23">
        <v>1597.0</v>
      </c>
      <c r="I75" s="23">
        <v>1388.0</v>
      </c>
      <c r="J75" s="23">
        <v>4967.0</v>
      </c>
      <c r="K75" s="24">
        <f t="shared" si="2"/>
        <v>27.94443326</v>
      </c>
      <c r="L75" s="23">
        <v>836.0</v>
      </c>
    </row>
    <row r="76" ht="14.25" customHeight="1">
      <c r="A76" s="22" t="s">
        <v>21</v>
      </c>
      <c r="B76" s="22" t="s">
        <v>120</v>
      </c>
      <c r="C76" s="22" t="s">
        <v>130</v>
      </c>
      <c r="D76" s="22" t="s">
        <v>130</v>
      </c>
      <c r="E76" s="23">
        <v>20807.0</v>
      </c>
      <c r="F76" s="23">
        <v>166.0</v>
      </c>
      <c r="G76" s="23">
        <v>483.0</v>
      </c>
      <c r="H76" s="23">
        <v>818.0</v>
      </c>
      <c r="I76" s="23">
        <v>352.0</v>
      </c>
      <c r="J76" s="23">
        <v>1819.0</v>
      </c>
      <c r="K76" s="24">
        <f t="shared" si="2"/>
        <v>19.35129192</v>
      </c>
      <c r="L76" s="23">
        <v>166.0</v>
      </c>
    </row>
    <row r="77" ht="14.25" customHeight="1">
      <c r="A77" s="22" t="s">
        <v>21</v>
      </c>
      <c r="B77" s="22" t="s">
        <v>131</v>
      </c>
      <c r="C77" s="22" t="s">
        <v>132</v>
      </c>
      <c r="D77" s="22" t="s">
        <v>132</v>
      </c>
      <c r="E77" s="23">
        <v>20901.0</v>
      </c>
      <c r="F77" s="23">
        <v>569.0</v>
      </c>
      <c r="G77" s="23">
        <v>822.0</v>
      </c>
      <c r="H77" s="23">
        <v>1435.0</v>
      </c>
      <c r="I77" s="23">
        <v>1087.0</v>
      </c>
      <c r="J77" s="23">
        <v>3913.0</v>
      </c>
      <c r="K77" s="24">
        <f t="shared" si="2"/>
        <v>27.77919755</v>
      </c>
      <c r="L77" s="23">
        <v>569.0</v>
      </c>
    </row>
    <row r="78" ht="14.25" customHeight="1">
      <c r="A78" s="22" t="s">
        <v>21</v>
      </c>
      <c r="B78" s="22" t="s">
        <v>131</v>
      </c>
      <c r="C78" s="22" t="s">
        <v>133</v>
      </c>
      <c r="D78" s="22" t="s">
        <v>133</v>
      </c>
      <c r="E78" s="23">
        <v>20902.0</v>
      </c>
      <c r="F78" s="23">
        <v>1159.0</v>
      </c>
      <c r="G78" s="23">
        <v>1689.0</v>
      </c>
      <c r="H78" s="23">
        <v>1459.0</v>
      </c>
      <c r="I78" s="23">
        <v>317.0</v>
      </c>
      <c r="J78" s="23">
        <v>4624.0</v>
      </c>
      <c r="K78" s="24">
        <f t="shared" si="2"/>
        <v>6.855536332</v>
      </c>
      <c r="L78" s="23">
        <v>1159.0</v>
      </c>
    </row>
    <row r="79" ht="14.25" customHeight="1">
      <c r="A79" s="22" t="s">
        <v>21</v>
      </c>
      <c r="B79" s="22" t="s">
        <v>131</v>
      </c>
      <c r="C79" s="22" t="s">
        <v>134</v>
      </c>
      <c r="D79" s="22" t="s">
        <v>134</v>
      </c>
      <c r="E79" s="23">
        <v>20903.0</v>
      </c>
      <c r="F79" s="23">
        <v>351.0</v>
      </c>
      <c r="G79" s="23">
        <v>681.0</v>
      </c>
      <c r="H79" s="23">
        <v>1037.0</v>
      </c>
      <c r="I79" s="23">
        <v>237.0</v>
      </c>
      <c r="J79" s="23">
        <v>2306.0</v>
      </c>
      <c r="K79" s="24">
        <f t="shared" si="2"/>
        <v>10.27753686</v>
      </c>
      <c r="L79" s="23">
        <v>351.0</v>
      </c>
    </row>
    <row r="80" ht="14.25" customHeight="1">
      <c r="A80" s="22" t="s">
        <v>21</v>
      </c>
      <c r="B80" s="22" t="s">
        <v>131</v>
      </c>
      <c r="C80" s="22" t="s">
        <v>135</v>
      </c>
      <c r="D80" s="22" t="s">
        <v>135</v>
      </c>
      <c r="E80" s="23">
        <v>20904.0</v>
      </c>
      <c r="F80" s="23">
        <v>134.0</v>
      </c>
      <c r="G80" s="23">
        <v>347.0</v>
      </c>
      <c r="H80" s="23">
        <v>531.0</v>
      </c>
      <c r="I80" s="23">
        <v>222.0</v>
      </c>
      <c r="J80" s="23">
        <v>1234.0</v>
      </c>
      <c r="K80" s="24">
        <f t="shared" si="2"/>
        <v>17.99027553</v>
      </c>
      <c r="L80" s="23">
        <v>134.0</v>
      </c>
    </row>
    <row r="81" ht="14.25" customHeight="1">
      <c r="A81" s="22" t="s">
        <v>21</v>
      </c>
      <c r="B81" s="22" t="s">
        <v>131</v>
      </c>
      <c r="C81" s="22" t="s">
        <v>136</v>
      </c>
      <c r="D81" s="22" t="s">
        <v>136</v>
      </c>
      <c r="E81" s="23">
        <v>20905.0</v>
      </c>
      <c r="F81" s="23">
        <v>358.0</v>
      </c>
      <c r="G81" s="23">
        <v>605.0</v>
      </c>
      <c r="H81" s="23">
        <v>1640.0</v>
      </c>
      <c r="I81" s="23">
        <v>467.0</v>
      </c>
      <c r="J81" s="23">
        <v>3070.0</v>
      </c>
      <c r="K81" s="24">
        <f t="shared" si="2"/>
        <v>15.21172638</v>
      </c>
      <c r="L81" s="23">
        <v>358.0</v>
      </c>
    </row>
    <row r="82" ht="14.25" customHeight="1">
      <c r="A82" s="22" t="s">
        <v>21</v>
      </c>
      <c r="B82" s="22" t="s">
        <v>137</v>
      </c>
      <c r="C82" s="22" t="s">
        <v>137</v>
      </c>
      <c r="D82" s="22" t="s">
        <v>137</v>
      </c>
      <c r="E82" s="23">
        <v>21001.0</v>
      </c>
      <c r="F82" s="23">
        <v>1715.0</v>
      </c>
      <c r="G82" s="23">
        <v>1706.0</v>
      </c>
      <c r="H82" s="23">
        <v>1096.0</v>
      </c>
      <c r="I82" s="23">
        <v>377.0</v>
      </c>
      <c r="J82" s="23">
        <v>4894.0</v>
      </c>
      <c r="K82" s="24">
        <f t="shared" si="2"/>
        <v>7.703310176</v>
      </c>
      <c r="L82" s="23">
        <v>1715.0</v>
      </c>
    </row>
    <row r="83" ht="14.25" customHeight="1">
      <c r="A83" s="22" t="s">
        <v>21</v>
      </c>
      <c r="B83" s="22" t="s">
        <v>137</v>
      </c>
      <c r="C83" s="22" t="s">
        <v>138</v>
      </c>
      <c r="D83" s="22" t="s">
        <v>138</v>
      </c>
      <c r="E83" s="23">
        <v>21002.0</v>
      </c>
      <c r="F83" s="23">
        <v>409.0</v>
      </c>
      <c r="G83" s="23">
        <v>733.0</v>
      </c>
      <c r="H83" s="23">
        <v>1421.0</v>
      </c>
      <c r="I83" s="23">
        <v>824.0</v>
      </c>
      <c r="J83" s="23">
        <v>3387.0</v>
      </c>
      <c r="K83" s="24">
        <f t="shared" si="2"/>
        <v>24.32831414</v>
      </c>
      <c r="L83" s="23">
        <v>409.0</v>
      </c>
    </row>
    <row r="84" ht="14.25" customHeight="1">
      <c r="A84" s="22" t="s">
        <v>21</v>
      </c>
      <c r="B84" s="22" t="s">
        <v>137</v>
      </c>
      <c r="C84" s="22" t="s">
        <v>139</v>
      </c>
      <c r="D84" s="22" t="s">
        <v>139</v>
      </c>
      <c r="E84" s="23">
        <v>21003.0</v>
      </c>
      <c r="F84" s="23">
        <v>247.0</v>
      </c>
      <c r="G84" s="23">
        <v>362.0</v>
      </c>
      <c r="H84" s="23">
        <v>1343.0</v>
      </c>
      <c r="I84" s="23">
        <v>1067.0</v>
      </c>
      <c r="J84" s="23">
        <v>3019.0</v>
      </c>
      <c r="K84" s="24">
        <f t="shared" si="2"/>
        <v>35.34282875</v>
      </c>
      <c r="L84" s="23">
        <v>247.0</v>
      </c>
    </row>
    <row r="85" ht="14.25" customHeight="1">
      <c r="A85" s="22" t="s">
        <v>21</v>
      </c>
      <c r="B85" s="22" t="s">
        <v>137</v>
      </c>
      <c r="C85" s="22" t="s">
        <v>140</v>
      </c>
      <c r="D85" s="22" t="s">
        <v>140</v>
      </c>
      <c r="E85" s="23">
        <v>21004.0</v>
      </c>
      <c r="F85" s="23">
        <v>720.0</v>
      </c>
      <c r="G85" s="23">
        <v>1466.0</v>
      </c>
      <c r="H85" s="23">
        <v>2917.0</v>
      </c>
      <c r="I85" s="23">
        <v>727.0</v>
      </c>
      <c r="J85" s="23">
        <v>5830.0</v>
      </c>
      <c r="K85" s="24">
        <f t="shared" si="2"/>
        <v>12.46998285</v>
      </c>
      <c r="L85" s="23">
        <v>720.0</v>
      </c>
    </row>
    <row r="86" ht="14.25" customHeight="1">
      <c r="A86" s="22" t="s">
        <v>21</v>
      </c>
      <c r="B86" s="22" t="s">
        <v>137</v>
      </c>
      <c r="C86" s="22" t="s">
        <v>141</v>
      </c>
      <c r="D86" s="22" t="s">
        <v>141</v>
      </c>
      <c r="E86" s="23">
        <v>21005.0</v>
      </c>
      <c r="F86" s="23">
        <v>573.0</v>
      </c>
      <c r="G86" s="23">
        <v>466.0</v>
      </c>
      <c r="H86" s="23">
        <v>474.0</v>
      </c>
      <c r="I86" s="23">
        <v>182.0</v>
      </c>
      <c r="J86" s="23">
        <v>1695.0</v>
      </c>
      <c r="K86" s="24">
        <f t="shared" si="2"/>
        <v>10.73746313</v>
      </c>
      <c r="L86" s="23">
        <v>573.0</v>
      </c>
    </row>
    <row r="87" ht="14.25" customHeight="1">
      <c r="A87" s="22" t="s">
        <v>21</v>
      </c>
      <c r="B87" s="22" t="s">
        <v>137</v>
      </c>
      <c r="C87" s="22" t="s">
        <v>142</v>
      </c>
      <c r="D87" s="22" t="s">
        <v>142</v>
      </c>
      <c r="E87" s="23">
        <v>21006.0</v>
      </c>
      <c r="F87" s="23">
        <v>191.0</v>
      </c>
      <c r="G87" s="23">
        <v>244.0</v>
      </c>
      <c r="H87" s="23">
        <v>282.0</v>
      </c>
      <c r="I87" s="23">
        <v>304.0</v>
      </c>
      <c r="J87" s="23">
        <v>1021.0</v>
      </c>
      <c r="K87" s="24">
        <f t="shared" si="2"/>
        <v>29.77473066</v>
      </c>
      <c r="L87" s="23">
        <v>191.0</v>
      </c>
    </row>
    <row r="88" ht="14.25" customHeight="1">
      <c r="A88" s="22" t="s">
        <v>21</v>
      </c>
      <c r="B88" s="22" t="s">
        <v>143</v>
      </c>
      <c r="C88" s="22" t="s">
        <v>144</v>
      </c>
      <c r="D88" s="22" t="s">
        <v>145</v>
      </c>
      <c r="E88" s="23">
        <v>21101.0</v>
      </c>
      <c r="F88" s="23">
        <v>538.0</v>
      </c>
      <c r="G88" s="23">
        <v>874.0</v>
      </c>
      <c r="H88" s="23">
        <v>2396.0</v>
      </c>
      <c r="I88" s="23">
        <v>2271.0</v>
      </c>
      <c r="J88" s="23">
        <v>6079.0</v>
      </c>
      <c r="K88" s="24">
        <f t="shared" si="2"/>
        <v>37.35811811</v>
      </c>
      <c r="L88" s="23">
        <v>538.0</v>
      </c>
    </row>
    <row r="89" ht="14.25" customHeight="1">
      <c r="A89" s="22" t="s">
        <v>21</v>
      </c>
      <c r="B89" s="22" t="s">
        <v>143</v>
      </c>
      <c r="C89" s="22" t="s">
        <v>146</v>
      </c>
      <c r="D89" s="22" t="s">
        <v>147</v>
      </c>
      <c r="E89" s="23">
        <v>21102.0</v>
      </c>
      <c r="F89" s="23">
        <v>1194.0</v>
      </c>
      <c r="G89" s="23">
        <v>1236.0</v>
      </c>
      <c r="H89" s="23">
        <v>1747.0</v>
      </c>
      <c r="I89" s="23">
        <v>2322.0</v>
      </c>
      <c r="J89" s="23">
        <v>6499.0</v>
      </c>
      <c r="K89" s="24">
        <f t="shared" si="2"/>
        <v>35.72857363</v>
      </c>
      <c r="L89" s="23">
        <v>1194.0</v>
      </c>
    </row>
    <row r="90" ht="14.25" customHeight="1">
      <c r="A90" s="22" t="s">
        <v>21</v>
      </c>
      <c r="B90" s="22" t="s">
        <v>143</v>
      </c>
      <c r="C90" s="22" t="s">
        <v>148</v>
      </c>
      <c r="D90" s="22" t="s">
        <v>148</v>
      </c>
      <c r="E90" s="23">
        <v>21103.0</v>
      </c>
      <c r="F90" s="23">
        <v>236.0</v>
      </c>
      <c r="G90" s="23">
        <v>300.0</v>
      </c>
      <c r="H90" s="23">
        <v>565.0</v>
      </c>
      <c r="I90" s="23">
        <v>1207.0</v>
      </c>
      <c r="J90" s="23">
        <v>2308.0</v>
      </c>
      <c r="K90" s="24">
        <f t="shared" si="2"/>
        <v>52.29636049</v>
      </c>
      <c r="L90" s="23">
        <v>236.0</v>
      </c>
    </row>
    <row r="91" ht="14.25" customHeight="1">
      <c r="A91" s="22" t="s">
        <v>21</v>
      </c>
      <c r="B91" s="22" t="s">
        <v>143</v>
      </c>
      <c r="C91" s="22" t="s">
        <v>149</v>
      </c>
      <c r="D91" s="22" t="s">
        <v>149</v>
      </c>
      <c r="E91" s="23">
        <v>21104.0</v>
      </c>
      <c r="F91" s="23">
        <v>2449.0</v>
      </c>
      <c r="G91" s="23">
        <v>1705.0</v>
      </c>
      <c r="H91" s="23">
        <v>2077.0</v>
      </c>
      <c r="I91" s="23">
        <v>3015.0</v>
      </c>
      <c r="J91" s="23">
        <v>9246.0</v>
      </c>
      <c r="K91" s="24">
        <f t="shared" si="2"/>
        <v>32.60869565</v>
      </c>
      <c r="L91" s="23">
        <v>2449.0</v>
      </c>
    </row>
    <row r="92" ht="14.25" customHeight="1">
      <c r="A92" s="22" t="s">
        <v>21</v>
      </c>
      <c r="B92" s="22" t="s">
        <v>143</v>
      </c>
      <c r="C92" s="22" t="s">
        <v>150</v>
      </c>
      <c r="D92" s="22" t="s">
        <v>150</v>
      </c>
      <c r="E92" s="23">
        <v>21105.0</v>
      </c>
      <c r="F92" s="23">
        <v>6396.0</v>
      </c>
      <c r="G92" s="23">
        <v>3741.0</v>
      </c>
      <c r="H92" s="23">
        <v>2150.0</v>
      </c>
      <c r="I92" s="23">
        <v>1351.0</v>
      </c>
      <c r="J92" s="23">
        <v>13638.0</v>
      </c>
      <c r="K92" s="24">
        <f t="shared" si="2"/>
        <v>9.906144596</v>
      </c>
      <c r="L92" s="23">
        <v>6396.0</v>
      </c>
    </row>
    <row r="93" ht="14.25" customHeight="1">
      <c r="A93" s="22" t="s">
        <v>21</v>
      </c>
      <c r="B93" s="22" t="s">
        <v>151</v>
      </c>
      <c r="C93" s="22" t="s">
        <v>152</v>
      </c>
      <c r="D93" s="22" t="s">
        <v>152</v>
      </c>
      <c r="E93" s="23">
        <v>21201.0</v>
      </c>
      <c r="F93" s="23">
        <v>2422.0</v>
      </c>
      <c r="G93" s="23">
        <v>2950.0</v>
      </c>
      <c r="H93" s="23">
        <v>3759.0</v>
      </c>
      <c r="I93" s="23">
        <v>1990.0</v>
      </c>
      <c r="J93" s="23">
        <v>11121.0</v>
      </c>
      <c r="K93" s="24">
        <f t="shared" si="2"/>
        <v>17.89407427</v>
      </c>
      <c r="L93" s="23">
        <v>2422.0</v>
      </c>
    </row>
    <row r="94" ht="14.25" customHeight="1">
      <c r="A94" s="22" t="s">
        <v>21</v>
      </c>
      <c r="B94" s="22" t="s">
        <v>151</v>
      </c>
      <c r="C94" s="22" t="s">
        <v>153</v>
      </c>
      <c r="D94" s="22" t="s">
        <v>153</v>
      </c>
      <c r="E94" s="23">
        <v>21202.0</v>
      </c>
      <c r="F94" s="23">
        <v>1403.0</v>
      </c>
      <c r="G94" s="23">
        <v>2344.0</v>
      </c>
      <c r="H94" s="23">
        <v>2304.0</v>
      </c>
      <c r="I94" s="23">
        <v>1710.0</v>
      </c>
      <c r="J94" s="23">
        <v>7761.0</v>
      </c>
      <c r="K94" s="24">
        <f t="shared" si="2"/>
        <v>22.03324314</v>
      </c>
      <c r="L94" s="23">
        <v>1403.0</v>
      </c>
    </row>
    <row r="95" ht="14.25" customHeight="1">
      <c r="A95" s="22" t="s">
        <v>21</v>
      </c>
      <c r="B95" s="22" t="s">
        <v>151</v>
      </c>
      <c r="C95" s="22" t="s">
        <v>154</v>
      </c>
      <c r="D95" s="22" t="s">
        <v>154</v>
      </c>
      <c r="E95" s="23">
        <v>21203.0</v>
      </c>
      <c r="F95" s="23">
        <v>981.0</v>
      </c>
      <c r="G95" s="23">
        <v>1433.0</v>
      </c>
      <c r="H95" s="23">
        <v>1742.0</v>
      </c>
      <c r="I95" s="23">
        <v>1906.0</v>
      </c>
      <c r="J95" s="23">
        <v>6062.0</v>
      </c>
      <c r="K95" s="24">
        <f t="shared" si="2"/>
        <v>31.44176839</v>
      </c>
      <c r="L95" s="23">
        <v>981.0</v>
      </c>
    </row>
    <row r="96" ht="14.25" customHeight="1">
      <c r="A96" s="22" t="s">
        <v>21</v>
      </c>
      <c r="B96" s="22" t="s">
        <v>151</v>
      </c>
      <c r="C96" s="22" t="s">
        <v>155</v>
      </c>
      <c r="D96" s="22" t="s">
        <v>155</v>
      </c>
      <c r="E96" s="23">
        <v>21204.0</v>
      </c>
      <c r="F96" s="23">
        <v>210.0</v>
      </c>
      <c r="G96" s="23">
        <v>625.0</v>
      </c>
      <c r="H96" s="23">
        <v>1169.0</v>
      </c>
      <c r="I96" s="23">
        <v>344.0</v>
      </c>
      <c r="J96" s="23">
        <v>2348.0</v>
      </c>
      <c r="K96" s="24">
        <f t="shared" si="2"/>
        <v>14.65076661</v>
      </c>
      <c r="L96" s="23">
        <v>210.0</v>
      </c>
    </row>
    <row r="97" ht="14.25" customHeight="1">
      <c r="A97" s="22" t="s">
        <v>21</v>
      </c>
      <c r="B97" s="22" t="s">
        <v>156</v>
      </c>
      <c r="C97" s="22" t="s">
        <v>157</v>
      </c>
      <c r="D97" s="22" t="s">
        <v>158</v>
      </c>
      <c r="E97" s="23">
        <v>21301.0</v>
      </c>
      <c r="F97" s="23">
        <v>1950.0</v>
      </c>
      <c r="G97" s="23">
        <v>2751.0</v>
      </c>
      <c r="H97" s="23">
        <v>3635.0</v>
      </c>
      <c r="I97" s="23">
        <v>1084.0</v>
      </c>
      <c r="J97" s="23">
        <v>9420.0</v>
      </c>
      <c r="K97" s="24">
        <f t="shared" si="2"/>
        <v>11.507431</v>
      </c>
      <c r="L97" s="23">
        <v>1950.0</v>
      </c>
    </row>
    <row r="98" ht="14.25" customHeight="1">
      <c r="A98" s="22" t="s">
        <v>21</v>
      </c>
      <c r="B98" s="22" t="s">
        <v>156</v>
      </c>
      <c r="C98" s="22" t="s">
        <v>159</v>
      </c>
      <c r="D98" s="22" t="s">
        <v>159</v>
      </c>
      <c r="E98" s="23">
        <v>21302.0</v>
      </c>
      <c r="F98" s="23">
        <v>812.0</v>
      </c>
      <c r="G98" s="23">
        <v>941.0</v>
      </c>
      <c r="H98" s="23">
        <v>851.0</v>
      </c>
      <c r="I98" s="23">
        <v>645.0</v>
      </c>
      <c r="J98" s="23">
        <v>3249.0</v>
      </c>
      <c r="K98" s="24">
        <f t="shared" si="2"/>
        <v>19.85226223</v>
      </c>
      <c r="L98" s="23">
        <v>812.0</v>
      </c>
    </row>
    <row r="99" ht="14.25" customHeight="1">
      <c r="A99" s="22" t="s">
        <v>21</v>
      </c>
      <c r="B99" s="22" t="s">
        <v>156</v>
      </c>
      <c r="C99" s="22" t="s">
        <v>160</v>
      </c>
      <c r="D99" s="22" t="s">
        <v>160</v>
      </c>
      <c r="E99" s="23">
        <v>21303.0</v>
      </c>
      <c r="F99" s="23">
        <v>845.0</v>
      </c>
      <c r="G99" s="23">
        <v>911.0</v>
      </c>
      <c r="H99" s="23">
        <v>788.0</v>
      </c>
      <c r="I99" s="23">
        <v>279.0</v>
      </c>
      <c r="J99" s="23">
        <v>2823.0</v>
      </c>
      <c r="K99" s="24">
        <f t="shared" si="2"/>
        <v>9.883103082</v>
      </c>
      <c r="L99" s="23">
        <v>845.0</v>
      </c>
    </row>
    <row r="100" ht="14.25" customHeight="1">
      <c r="A100" s="22" t="s">
        <v>21</v>
      </c>
      <c r="B100" s="22" t="s">
        <v>156</v>
      </c>
      <c r="C100" s="22" t="s">
        <v>161</v>
      </c>
      <c r="D100" s="22" t="s">
        <v>161</v>
      </c>
      <c r="E100" s="23">
        <v>21304.0</v>
      </c>
      <c r="F100" s="23">
        <v>666.0</v>
      </c>
      <c r="G100" s="23">
        <v>1109.0</v>
      </c>
      <c r="H100" s="23">
        <v>1358.0</v>
      </c>
      <c r="I100" s="23">
        <v>694.0</v>
      </c>
      <c r="J100" s="23">
        <v>3827.0</v>
      </c>
      <c r="K100" s="24">
        <f t="shared" si="2"/>
        <v>18.13430886</v>
      </c>
      <c r="L100" s="23">
        <v>666.0</v>
      </c>
    </row>
    <row r="101" ht="14.25" customHeight="1">
      <c r="A101" s="22" t="s">
        <v>21</v>
      </c>
      <c r="B101" s="22" t="s">
        <v>156</v>
      </c>
      <c r="C101" s="22" t="s">
        <v>162</v>
      </c>
      <c r="D101" s="22" t="s">
        <v>162</v>
      </c>
      <c r="E101" s="23">
        <v>21305.0</v>
      </c>
      <c r="F101" s="23">
        <v>901.0</v>
      </c>
      <c r="G101" s="23">
        <v>1353.0</v>
      </c>
      <c r="H101" s="23">
        <v>2633.0</v>
      </c>
      <c r="I101" s="23">
        <v>2610.0</v>
      </c>
      <c r="J101" s="23">
        <v>7497.0</v>
      </c>
      <c r="K101" s="24">
        <f t="shared" si="2"/>
        <v>34.81392557</v>
      </c>
      <c r="L101" s="23">
        <v>901.0</v>
      </c>
    </row>
    <row r="102" ht="14.25" customHeight="1">
      <c r="A102" s="22" t="s">
        <v>21</v>
      </c>
      <c r="B102" s="22" t="s">
        <v>156</v>
      </c>
      <c r="C102" s="22" t="s">
        <v>163</v>
      </c>
      <c r="D102" s="22" t="s">
        <v>163</v>
      </c>
      <c r="E102" s="23">
        <v>21306.0</v>
      </c>
      <c r="F102" s="23">
        <v>865.0</v>
      </c>
      <c r="G102" s="23">
        <v>653.0</v>
      </c>
      <c r="H102" s="23">
        <v>1229.0</v>
      </c>
      <c r="I102" s="23">
        <v>453.0</v>
      </c>
      <c r="J102" s="23">
        <v>3200.0</v>
      </c>
      <c r="K102" s="24">
        <f t="shared" si="2"/>
        <v>14.15625</v>
      </c>
      <c r="L102" s="23">
        <v>865.0</v>
      </c>
    </row>
    <row r="103" ht="14.25" customHeight="1">
      <c r="A103" s="22" t="s">
        <v>21</v>
      </c>
      <c r="B103" s="22" t="s">
        <v>156</v>
      </c>
      <c r="C103" s="22" t="s">
        <v>164</v>
      </c>
      <c r="D103" s="22" t="s">
        <v>164</v>
      </c>
      <c r="E103" s="23">
        <v>21307.0</v>
      </c>
      <c r="F103" s="23">
        <v>174.0</v>
      </c>
      <c r="G103" s="23">
        <v>258.0</v>
      </c>
      <c r="H103" s="23">
        <v>659.0</v>
      </c>
      <c r="I103" s="23">
        <v>181.0</v>
      </c>
      <c r="J103" s="23">
        <v>1272.0</v>
      </c>
      <c r="K103" s="24">
        <f t="shared" si="2"/>
        <v>14.22955975</v>
      </c>
      <c r="L103" s="23">
        <v>174.0</v>
      </c>
    </row>
    <row r="104" ht="14.25" customHeight="1">
      <c r="A104" s="22" t="s">
        <v>21</v>
      </c>
      <c r="B104" s="22" t="s">
        <v>165</v>
      </c>
      <c r="C104" s="22" t="s">
        <v>166</v>
      </c>
      <c r="D104" s="22" t="s">
        <v>166</v>
      </c>
      <c r="E104" s="23">
        <v>21401.0</v>
      </c>
      <c r="F104" s="23">
        <v>1031.0</v>
      </c>
      <c r="G104" s="23">
        <v>1386.0</v>
      </c>
      <c r="H104" s="23">
        <v>2057.0</v>
      </c>
      <c r="I104" s="23">
        <v>2522.0</v>
      </c>
      <c r="J104" s="23">
        <v>6996.0</v>
      </c>
      <c r="K104" s="24">
        <f t="shared" si="2"/>
        <v>36.04917095</v>
      </c>
      <c r="L104" s="23">
        <v>1031.0</v>
      </c>
    </row>
    <row r="105" ht="14.25" customHeight="1">
      <c r="A105" s="22" t="s">
        <v>21</v>
      </c>
      <c r="B105" s="22" t="s">
        <v>165</v>
      </c>
      <c r="C105" s="22" t="s">
        <v>167</v>
      </c>
      <c r="D105" s="22" t="s">
        <v>167</v>
      </c>
      <c r="E105" s="23">
        <v>21402.0</v>
      </c>
      <c r="F105" s="23">
        <v>283.0</v>
      </c>
      <c r="G105" s="23">
        <v>469.0</v>
      </c>
      <c r="H105" s="23">
        <v>2152.0</v>
      </c>
      <c r="I105" s="23">
        <v>2476.0</v>
      </c>
      <c r="J105" s="23">
        <v>5380.0</v>
      </c>
      <c r="K105" s="24">
        <f t="shared" si="2"/>
        <v>46.02230483</v>
      </c>
      <c r="L105" s="23">
        <v>283.0</v>
      </c>
    </row>
    <row r="106" ht="14.25" customHeight="1">
      <c r="A106" s="22" t="s">
        <v>21</v>
      </c>
      <c r="B106" s="22" t="s">
        <v>168</v>
      </c>
      <c r="C106" s="22" t="s">
        <v>169</v>
      </c>
      <c r="D106" s="22" t="s">
        <v>169</v>
      </c>
      <c r="E106" s="23">
        <v>21501.0</v>
      </c>
      <c r="F106" s="23">
        <v>402.0</v>
      </c>
      <c r="G106" s="23">
        <v>607.0</v>
      </c>
      <c r="H106" s="23">
        <v>1137.0</v>
      </c>
      <c r="I106" s="23">
        <v>124.0</v>
      </c>
      <c r="J106" s="23">
        <v>2270.0</v>
      </c>
      <c r="K106" s="24">
        <f t="shared" si="2"/>
        <v>5.462555066</v>
      </c>
      <c r="L106" s="23">
        <v>402.0</v>
      </c>
    </row>
    <row r="107" ht="14.25" customHeight="1">
      <c r="A107" s="22" t="s">
        <v>21</v>
      </c>
      <c r="B107" s="22" t="s">
        <v>168</v>
      </c>
      <c r="C107" s="22" t="s">
        <v>170</v>
      </c>
      <c r="D107" s="22" t="s">
        <v>170</v>
      </c>
      <c r="E107" s="23">
        <v>21502.0</v>
      </c>
      <c r="F107" s="23">
        <v>180.0</v>
      </c>
      <c r="G107" s="23">
        <v>264.0</v>
      </c>
      <c r="H107" s="23">
        <v>690.0</v>
      </c>
      <c r="I107" s="23">
        <v>871.0</v>
      </c>
      <c r="J107" s="23">
        <v>2005.0</v>
      </c>
      <c r="K107" s="24">
        <f t="shared" si="2"/>
        <v>43.44139651</v>
      </c>
      <c r="L107" s="23">
        <v>180.0</v>
      </c>
    </row>
    <row r="108" ht="14.25" customHeight="1">
      <c r="A108" s="22" t="s">
        <v>21</v>
      </c>
      <c r="B108" s="22" t="s">
        <v>171</v>
      </c>
      <c r="C108" s="22" t="s">
        <v>172</v>
      </c>
      <c r="D108" s="22" t="s">
        <v>173</v>
      </c>
      <c r="E108" s="23">
        <v>21601.0</v>
      </c>
      <c r="F108" s="23">
        <v>676.0</v>
      </c>
      <c r="G108" s="23">
        <v>1047.0</v>
      </c>
      <c r="H108" s="23">
        <v>1489.0</v>
      </c>
      <c r="I108" s="23">
        <v>338.0</v>
      </c>
      <c r="J108" s="23">
        <v>3550.0</v>
      </c>
      <c r="K108" s="24">
        <f t="shared" si="2"/>
        <v>9.521126761</v>
      </c>
      <c r="L108" s="23">
        <v>676.0</v>
      </c>
    </row>
    <row r="109" ht="14.25" customHeight="1">
      <c r="A109" s="22" t="s">
        <v>21</v>
      </c>
      <c r="B109" s="22" t="s">
        <v>171</v>
      </c>
      <c r="C109" s="22" t="s">
        <v>174</v>
      </c>
      <c r="D109" s="22" t="s">
        <v>174</v>
      </c>
      <c r="E109" s="23">
        <v>21602.0</v>
      </c>
      <c r="F109" s="23">
        <v>196.0</v>
      </c>
      <c r="G109" s="23">
        <v>308.0</v>
      </c>
      <c r="H109" s="23">
        <v>298.0</v>
      </c>
      <c r="I109" s="23">
        <v>180.0</v>
      </c>
      <c r="J109" s="23">
        <v>982.0</v>
      </c>
      <c r="K109" s="24">
        <f t="shared" si="2"/>
        <v>18.3299389</v>
      </c>
      <c r="L109" s="23">
        <v>196.0</v>
      </c>
    </row>
    <row r="110" ht="14.25" customHeight="1">
      <c r="A110" s="22" t="s">
        <v>21</v>
      </c>
      <c r="B110" s="22" t="s">
        <v>175</v>
      </c>
      <c r="C110" s="22" t="s">
        <v>176</v>
      </c>
      <c r="D110" s="22" t="s">
        <v>176</v>
      </c>
      <c r="E110" s="23">
        <v>21701.0</v>
      </c>
      <c r="F110" s="23">
        <v>391.0</v>
      </c>
      <c r="G110" s="23">
        <v>1003.0</v>
      </c>
      <c r="H110" s="23">
        <v>1710.0</v>
      </c>
      <c r="I110" s="23">
        <v>2040.0</v>
      </c>
      <c r="J110" s="23">
        <v>5144.0</v>
      </c>
      <c r="K110" s="24">
        <f t="shared" si="2"/>
        <v>39.65785381</v>
      </c>
      <c r="L110" s="23">
        <v>391.0</v>
      </c>
    </row>
    <row r="111" ht="14.25" customHeight="1">
      <c r="A111" s="22" t="s">
        <v>21</v>
      </c>
      <c r="B111" s="22" t="s">
        <v>175</v>
      </c>
      <c r="C111" s="22" t="s">
        <v>177</v>
      </c>
      <c r="D111" s="22" t="s">
        <v>177</v>
      </c>
      <c r="E111" s="23">
        <v>21702.0</v>
      </c>
      <c r="F111" s="23">
        <v>477.0</v>
      </c>
      <c r="G111" s="23">
        <v>638.0</v>
      </c>
      <c r="H111" s="23">
        <v>972.0</v>
      </c>
      <c r="I111" s="23">
        <v>380.0</v>
      </c>
      <c r="J111" s="23">
        <v>2467.0</v>
      </c>
      <c r="K111" s="24">
        <f t="shared" si="2"/>
        <v>15.40332388</v>
      </c>
      <c r="L111" s="23">
        <v>477.0</v>
      </c>
    </row>
    <row r="112" ht="14.25" customHeight="1">
      <c r="A112" s="22" t="s">
        <v>21</v>
      </c>
      <c r="B112" s="22" t="s">
        <v>175</v>
      </c>
      <c r="C112" s="22" t="s">
        <v>178</v>
      </c>
      <c r="D112" s="22" t="s">
        <v>178</v>
      </c>
      <c r="E112" s="23">
        <v>21703.0</v>
      </c>
      <c r="F112" s="23">
        <v>306.0</v>
      </c>
      <c r="G112" s="23">
        <v>290.0</v>
      </c>
      <c r="H112" s="23">
        <v>627.0</v>
      </c>
      <c r="I112" s="23">
        <v>72.0</v>
      </c>
      <c r="J112" s="23">
        <v>1295.0</v>
      </c>
      <c r="K112" s="24">
        <f t="shared" si="2"/>
        <v>5.55984556</v>
      </c>
      <c r="L112" s="23">
        <v>306.0</v>
      </c>
    </row>
    <row r="113" ht="14.25" customHeight="1">
      <c r="A113" s="22" t="s">
        <v>21</v>
      </c>
      <c r="B113" s="22" t="s">
        <v>179</v>
      </c>
      <c r="C113" s="22" t="s">
        <v>180</v>
      </c>
      <c r="D113" s="22" t="s">
        <v>180</v>
      </c>
      <c r="E113" s="23">
        <v>21801.0</v>
      </c>
      <c r="F113" s="23">
        <v>1162.0</v>
      </c>
      <c r="G113" s="23">
        <v>887.0</v>
      </c>
      <c r="H113" s="23">
        <v>587.0</v>
      </c>
      <c r="I113" s="23">
        <v>192.0</v>
      </c>
      <c r="J113" s="23">
        <v>2828.0</v>
      </c>
      <c r="K113" s="24">
        <f t="shared" si="2"/>
        <v>6.789250354</v>
      </c>
      <c r="L113" s="23">
        <v>1162.0</v>
      </c>
    </row>
    <row r="114" ht="14.25" customHeight="1">
      <c r="A114" s="22" t="s">
        <v>21</v>
      </c>
      <c r="B114" s="22" t="s">
        <v>181</v>
      </c>
      <c r="C114" s="22" t="s">
        <v>182</v>
      </c>
      <c r="D114" s="22" t="s">
        <v>182</v>
      </c>
      <c r="E114" s="23">
        <v>21802.0</v>
      </c>
      <c r="F114" s="23">
        <v>546.0</v>
      </c>
      <c r="G114" s="23">
        <v>674.0</v>
      </c>
      <c r="H114" s="23">
        <v>677.0</v>
      </c>
      <c r="I114" s="23">
        <v>532.0</v>
      </c>
      <c r="J114" s="23">
        <v>2429.0</v>
      </c>
      <c r="K114" s="24">
        <f t="shared" si="2"/>
        <v>21.90201729</v>
      </c>
      <c r="L114" s="23">
        <v>546.0</v>
      </c>
    </row>
    <row r="115" ht="14.25" customHeight="1">
      <c r="A115" s="22" t="s">
        <v>21</v>
      </c>
      <c r="B115" s="22" t="s">
        <v>181</v>
      </c>
      <c r="C115" s="22" t="s">
        <v>183</v>
      </c>
      <c r="D115" s="22" t="s">
        <v>183</v>
      </c>
      <c r="E115" s="23">
        <v>21803.0</v>
      </c>
      <c r="F115" s="23">
        <v>298.0</v>
      </c>
      <c r="G115" s="23">
        <v>415.0</v>
      </c>
      <c r="H115" s="23">
        <v>55.0</v>
      </c>
      <c r="I115" s="23">
        <v>1.0</v>
      </c>
      <c r="J115" s="23">
        <v>769.0</v>
      </c>
      <c r="K115" s="24">
        <f t="shared" si="2"/>
        <v>0.1300390117</v>
      </c>
      <c r="L115" s="23">
        <v>298.0</v>
      </c>
    </row>
    <row r="116" ht="14.25" customHeight="1">
      <c r="A116" s="22" t="s">
        <v>21</v>
      </c>
      <c r="B116" s="22" t="s">
        <v>184</v>
      </c>
      <c r="C116" s="22" t="s">
        <v>185</v>
      </c>
      <c r="D116" s="22" t="s">
        <v>185</v>
      </c>
      <c r="E116" s="23">
        <v>21901.0</v>
      </c>
      <c r="F116" s="23">
        <v>254.0</v>
      </c>
      <c r="G116" s="23">
        <v>503.0</v>
      </c>
      <c r="H116" s="23">
        <v>688.0</v>
      </c>
      <c r="I116" s="23">
        <v>385.0</v>
      </c>
      <c r="J116" s="23">
        <v>1830.0</v>
      </c>
      <c r="K116" s="24">
        <f t="shared" si="2"/>
        <v>21.03825137</v>
      </c>
      <c r="L116" s="23">
        <v>254.0</v>
      </c>
    </row>
    <row r="117" ht="14.25" customHeight="1">
      <c r="A117" s="22" t="s">
        <v>21</v>
      </c>
      <c r="B117" s="22" t="s">
        <v>184</v>
      </c>
      <c r="C117" s="22" t="s">
        <v>186</v>
      </c>
      <c r="D117" s="22" t="s">
        <v>186</v>
      </c>
      <c r="E117" s="23">
        <v>21902.0</v>
      </c>
      <c r="F117" s="23">
        <v>133.0</v>
      </c>
      <c r="G117" s="23">
        <v>165.0</v>
      </c>
      <c r="H117" s="23">
        <v>223.0</v>
      </c>
      <c r="I117" s="23">
        <v>215.0</v>
      </c>
      <c r="J117" s="23">
        <v>736.0</v>
      </c>
      <c r="K117" s="24">
        <f t="shared" si="2"/>
        <v>29.21195652</v>
      </c>
      <c r="L117" s="23">
        <v>133.0</v>
      </c>
    </row>
    <row r="118" ht="14.25" customHeight="1">
      <c r="A118" s="22" t="s">
        <v>21</v>
      </c>
      <c r="B118" s="22" t="s">
        <v>187</v>
      </c>
      <c r="C118" s="22" t="s">
        <v>187</v>
      </c>
      <c r="D118" s="22" t="s">
        <v>187</v>
      </c>
      <c r="E118" s="23">
        <v>22001.0</v>
      </c>
      <c r="F118" s="23">
        <v>2741.0</v>
      </c>
      <c r="G118" s="23">
        <v>3625.0</v>
      </c>
      <c r="H118" s="23">
        <v>4502.0</v>
      </c>
      <c r="I118" s="23">
        <v>6153.0</v>
      </c>
      <c r="J118" s="23">
        <v>17021.0</v>
      </c>
      <c r="K118" s="24">
        <f t="shared" si="2"/>
        <v>36.14946243</v>
      </c>
      <c r="L118" s="23">
        <v>2741.0</v>
      </c>
    </row>
    <row r="119" ht="14.25" customHeight="1">
      <c r="A119" s="22" t="s">
        <v>21</v>
      </c>
      <c r="B119" s="22" t="s">
        <v>187</v>
      </c>
      <c r="C119" s="22" t="s">
        <v>188</v>
      </c>
      <c r="D119" s="22" t="s">
        <v>188</v>
      </c>
      <c r="E119" s="23">
        <v>22002.0</v>
      </c>
      <c r="F119" s="23">
        <v>1574.0</v>
      </c>
      <c r="G119" s="23">
        <v>908.0</v>
      </c>
      <c r="H119" s="23">
        <v>638.0</v>
      </c>
      <c r="I119" s="23">
        <v>1090.0</v>
      </c>
      <c r="J119" s="23">
        <v>4210.0</v>
      </c>
      <c r="K119" s="24">
        <f t="shared" si="2"/>
        <v>25.89073634</v>
      </c>
      <c r="L119" s="23">
        <v>1574.0</v>
      </c>
    </row>
    <row r="120" ht="14.25" customHeight="1">
      <c r="A120" s="22" t="s">
        <v>23</v>
      </c>
      <c r="B120" s="22" t="s">
        <v>189</v>
      </c>
      <c r="C120" s="22" t="s">
        <v>23</v>
      </c>
      <c r="D120" s="22" t="s">
        <v>23</v>
      </c>
      <c r="E120" s="23">
        <v>30101.0</v>
      </c>
      <c r="F120" s="23">
        <v>6236.0</v>
      </c>
      <c r="G120" s="23">
        <v>43470.0</v>
      </c>
      <c r="H120" s="23">
        <v>28108.0</v>
      </c>
      <c r="I120" s="23">
        <v>99562.0</v>
      </c>
      <c r="J120" s="23">
        <v>177376.0</v>
      </c>
      <c r="K120" s="24">
        <f t="shared" si="2"/>
        <v>56.13047988</v>
      </c>
      <c r="L120" s="23">
        <v>6236.0</v>
      </c>
    </row>
    <row r="121" ht="14.25" customHeight="1">
      <c r="A121" s="22" t="s">
        <v>23</v>
      </c>
      <c r="B121" s="22" t="s">
        <v>190</v>
      </c>
      <c r="C121" s="22" t="s">
        <v>191</v>
      </c>
      <c r="D121" s="22" t="s">
        <v>191</v>
      </c>
      <c r="E121" s="23">
        <v>30201.0</v>
      </c>
      <c r="F121" s="23">
        <v>1387.0</v>
      </c>
      <c r="G121" s="23">
        <v>1361.0</v>
      </c>
      <c r="H121" s="23">
        <v>1096.0</v>
      </c>
      <c r="I121" s="23">
        <v>2655.0</v>
      </c>
      <c r="J121" s="23">
        <v>6499.0</v>
      </c>
      <c r="K121" s="24">
        <f t="shared" si="2"/>
        <v>40.85243884</v>
      </c>
      <c r="L121" s="23">
        <v>1387.0</v>
      </c>
    </row>
    <row r="122" ht="14.25" customHeight="1">
      <c r="A122" s="22" t="s">
        <v>23</v>
      </c>
      <c r="B122" s="22" t="s">
        <v>190</v>
      </c>
      <c r="C122" s="22" t="s">
        <v>192</v>
      </c>
      <c r="D122" s="22" t="s">
        <v>192</v>
      </c>
      <c r="E122" s="23">
        <v>30202.0</v>
      </c>
      <c r="F122" s="23">
        <v>392.0</v>
      </c>
      <c r="G122" s="23">
        <v>320.0</v>
      </c>
      <c r="H122" s="23">
        <v>738.0</v>
      </c>
      <c r="I122" s="23">
        <v>87.0</v>
      </c>
      <c r="J122" s="23">
        <v>1537.0</v>
      </c>
      <c r="K122" s="24">
        <f t="shared" si="2"/>
        <v>5.660377358</v>
      </c>
      <c r="L122" s="23">
        <v>392.0</v>
      </c>
    </row>
    <row r="123" ht="14.25" customHeight="1">
      <c r="A123" s="22" t="s">
        <v>23</v>
      </c>
      <c r="B123" s="22" t="s">
        <v>190</v>
      </c>
      <c r="C123" s="22" t="s">
        <v>193</v>
      </c>
      <c r="D123" s="22" t="s">
        <v>193</v>
      </c>
      <c r="E123" s="23">
        <v>30203.0</v>
      </c>
      <c r="F123" s="23">
        <v>191.0</v>
      </c>
      <c r="G123" s="23">
        <v>226.0</v>
      </c>
      <c r="H123" s="23">
        <v>327.0</v>
      </c>
      <c r="I123" s="23">
        <v>690.0</v>
      </c>
      <c r="J123" s="23">
        <v>1434.0</v>
      </c>
      <c r="K123" s="24">
        <f t="shared" si="2"/>
        <v>48.11715481</v>
      </c>
      <c r="L123" s="23">
        <v>191.0</v>
      </c>
    </row>
    <row r="124" ht="14.25" customHeight="1">
      <c r="A124" s="22" t="s">
        <v>23</v>
      </c>
      <c r="B124" s="22" t="s">
        <v>194</v>
      </c>
      <c r="C124" s="22" t="s">
        <v>195</v>
      </c>
      <c r="D124" s="22" t="s">
        <v>196</v>
      </c>
      <c r="E124" s="23">
        <v>30301.0</v>
      </c>
      <c r="F124" s="23">
        <v>2151.0</v>
      </c>
      <c r="G124" s="23">
        <v>2237.0</v>
      </c>
      <c r="H124" s="23">
        <v>2134.0</v>
      </c>
      <c r="I124" s="23">
        <v>825.0</v>
      </c>
      <c r="J124" s="23">
        <v>7347.0</v>
      </c>
      <c r="K124" s="24">
        <f t="shared" si="2"/>
        <v>11.22907309</v>
      </c>
      <c r="L124" s="23">
        <v>2151.0</v>
      </c>
    </row>
    <row r="125" ht="14.25" customHeight="1">
      <c r="A125" s="22" t="s">
        <v>23</v>
      </c>
      <c r="B125" s="22" t="s">
        <v>194</v>
      </c>
      <c r="C125" s="22" t="s">
        <v>197</v>
      </c>
      <c r="D125" s="22" t="s">
        <v>197</v>
      </c>
      <c r="E125" s="23">
        <v>30302.0</v>
      </c>
      <c r="F125" s="23">
        <v>1224.0</v>
      </c>
      <c r="G125" s="23">
        <v>1178.0</v>
      </c>
      <c r="H125" s="23">
        <v>890.0</v>
      </c>
      <c r="I125" s="23">
        <v>644.0</v>
      </c>
      <c r="J125" s="23">
        <v>3936.0</v>
      </c>
      <c r="K125" s="24">
        <f t="shared" si="2"/>
        <v>16.36178862</v>
      </c>
      <c r="L125" s="23">
        <v>1224.0</v>
      </c>
    </row>
    <row r="126" ht="14.25" customHeight="1">
      <c r="A126" s="22" t="s">
        <v>23</v>
      </c>
      <c r="B126" s="22" t="s">
        <v>194</v>
      </c>
      <c r="C126" s="22" t="s">
        <v>198</v>
      </c>
      <c r="D126" s="22" t="s">
        <v>198</v>
      </c>
      <c r="E126" s="23">
        <v>30303.0</v>
      </c>
      <c r="F126" s="23">
        <v>1504.0</v>
      </c>
      <c r="G126" s="23">
        <v>1828.0</v>
      </c>
      <c r="H126" s="23">
        <v>1149.0</v>
      </c>
      <c r="I126" s="23">
        <v>439.0</v>
      </c>
      <c r="J126" s="23">
        <v>4920.0</v>
      </c>
      <c r="K126" s="24">
        <f t="shared" si="2"/>
        <v>8.922764228</v>
      </c>
      <c r="L126" s="23">
        <v>1504.0</v>
      </c>
    </row>
    <row r="127" ht="14.25" customHeight="1">
      <c r="A127" s="22" t="s">
        <v>23</v>
      </c>
      <c r="B127" s="22" t="s">
        <v>199</v>
      </c>
      <c r="C127" s="22" t="s">
        <v>200</v>
      </c>
      <c r="D127" s="22" t="s">
        <v>200</v>
      </c>
      <c r="E127" s="23">
        <v>30401.0</v>
      </c>
      <c r="F127" s="23">
        <v>449.0</v>
      </c>
      <c r="G127" s="23">
        <v>362.0</v>
      </c>
      <c r="H127" s="23">
        <v>730.0</v>
      </c>
      <c r="I127" s="23">
        <v>1052.0</v>
      </c>
      <c r="J127" s="23">
        <v>2593.0</v>
      </c>
      <c r="K127" s="24">
        <f t="shared" si="2"/>
        <v>40.57076745</v>
      </c>
      <c r="L127" s="23">
        <v>449.0</v>
      </c>
    </row>
    <row r="128" ht="14.25" customHeight="1">
      <c r="A128" s="22" t="s">
        <v>23</v>
      </c>
      <c r="B128" s="22" t="s">
        <v>199</v>
      </c>
      <c r="C128" s="22" t="s">
        <v>201</v>
      </c>
      <c r="D128" s="22" t="s">
        <v>202</v>
      </c>
      <c r="E128" s="23">
        <v>30402.0</v>
      </c>
      <c r="F128" s="23">
        <v>741.0</v>
      </c>
      <c r="G128" s="23">
        <v>887.0</v>
      </c>
      <c r="H128" s="23">
        <v>583.0</v>
      </c>
      <c r="I128" s="23">
        <v>425.0</v>
      </c>
      <c r="J128" s="23">
        <v>2636.0</v>
      </c>
      <c r="K128" s="24">
        <f t="shared" si="2"/>
        <v>16.12291351</v>
      </c>
      <c r="L128" s="23">
        <v>741.0</v>
      </c>
    </row>
    <row r="129" ht="14.25" customHeight="1">
      <c r="A129" s="22" t="s">
        <v>23</v>
      </c>
      <c r="B129" s="22" t="s">
        <v>199</v>
      </c>
      <c r="C129" s="22" t="s">
        <v>203</v>
      </c>
      <c r="D129" s="22" t="s">
        <v>203</v>
      </c>
      <c r="E129" s="23">
        <v>30403.0</v>
      </c>
      <c r="F129" s="23">
        <v>1026.0</v>
      </c>
      <c r="G129" s="23">
        <v>1308.0</v>
      </c>
      <c r="H129" s="23">
        <v>1057.0</v>
      </c>
      <c r="I129" s="23">
        <v>2141.0</v>
      </c>
      <c r="J129" s="23">
        <v>5532.0</v>
      </c>
      <c r="K129" s="24">
        <f t="shared" si="2"/>
        <v>38.70209689</v>
      </c>
      <c r="L129" s="23">
        <v>1026.0</v>
      </c>
    </row>
    <row r="130" ht="14.25" customHeight="1">
      <c r="A130" s="22" t="s">
        <v>23</v>
      </c>
      <c r="B130" s="22" t="s">
        <v>199</v>
      </c>
      <c r="C130" s="22" t="s">
        <v>204</v>
      </c>
      <c r="D130" s="22" t="s">
        <v>204</v>
      </c>
      <c r="E130" s="23">
        <v>30404.0</v>
      </c>
      <c r="F130" s="23">
        <v>371.0</v>
      </c>
      <c r="G130" s="23">
        <v>401.0</v>
      </c>
      <c r="H130" s="23">
        <v>440.0</v>
      </c>
      <c r="I130" s="23">
        <v>261.0</v>
      </c>
      <c r="J130" s="23">
        <v>1473.0</v>
      </c>
      <c r="K130" s="24">
        <f t="shared" si="2"/>
        <v>17.71894094</v>
      </c>
      <c r="L130" s="23">
        <v>371.0</v>
      </c>
    </row>
    <row r="131" ht="14.25" customHeight="1">
      <c r="A131" s="22" t="s">
        <v>23</v>
      </c>
      <c r="B131" s="22" t="s">
        <v>205</v>
      </c>
      <c r="C131" s="22" t="s">
        <v>205</v>
      </c>
      <c r="D131" s="22" t="s">
        <v>205</v>
      </c>
      <c r="E131" s="23">
        <v>30501.0</v>
      </c>
      <c r="F131" s="23">
        <v>234.0</v>
      </c>
      <c r="G131" s="23">
        <v>389.0</v>
      </c>
      <c r="H131" s="23">
        <v>1015.0</v>
      </c>
      <c r="I131" s="23">
        <v>1506.0</v>
      </c>
      <c r="J131" s="23">
        <v>3144.0</v>
      </c>
      <c r="K131" s="24">
        <f t="shared" si="2"/>
        <v>47.90076336</v>
      </c>
      <c r="L131" s="23">
        <v>234.0</v>
      </c>
    </row>
    <row r="132" ht="14.25" customHeight="1">
      <c r="A132" s="22" t="s">
        <v>23</v>
      </c>
      <c r="B132" s="22" t="s">
        <v>205</v>
      </c>
      <c r="C132" s="22" t="s">
        <v>206</v>
      </c>
      <c r="D132" s="22" t="s">
        <v>206</v>
      </c>
      <c r="E132" s="23">
        <v>30502.0</v>
      </c>
      <c r="F132" s="23">
        <v>491.0</v>
      </c>
      <c r="G132" s="23">
        <v>814.0</v>
      </c>
      <c r="H132" s="23">
        <v>1186.0</v>
      </c>
      <c r="I132" s="23">
        <v>711.0</v>
      </c>
      <c r="J132" s="23">
        <v>3202.0</v>
      </c>
      <c r="K132" s="24">
        <f t="shared" si="2"/>
        <v>22.20487196</v>
      </c>
      <c r="L132" s="23">
        <v>491.0</v>
      </c>
    </row>
    <row r="133" ht="14.25" customHeight="1">
      <c r="A133" s="22" t="s">
        <v>23</v>
      </c>
      <c r="B133" s="22" t="s">
        <v>207</v>
      </c>
      <c r="C133" s="22" t="s">
        <v>207</v>
      </c>
      <c r="D133" s="22" t="s">
        <v>208</v>
      </c>
      <c r="E133" s="23">
        <v>30601.0</v>
      </c>
      <c r="F133" s="23">
        <v>935.0</v>
      </c>
      <c r="G133" s="23">
        <v>1262.0</v>
      </c>
      <c r="H133" s="23">
        <v>929.0</v>
      </c>
      <c r="I133" s="23">
        <v>177.0</v>
      </c>
      <c r="J133" s="23">
        <v>3303.0</v>
      </c>
      <c r="K133" s="24">
        <f t="shared" si="2"/>
        <v>5.358764759</v>
      </c>
      <c r="L133" s="23">
        <v>935.0</v>
      </c>
    </row>
    <row r="134" ht="14.25" customHeight="1">
      <c r="A134" s="22" t="s">
        <v>23</v>
      </c>
      <c r="B134" s="22" t="s">
        <v>207</v>
      </c>
      <c r="C134" s="22" t="s">
        <v>209</v>
      </c>
      <c r="D134" s="22" t="s">
        <v>209</v>
      </c>
      <c r="E134" s="23">
        <v>30602.0</v>
      </c>
      <c r="F134" s="23">
        <v>360.0</v>
      </c>
      <c r="G134" s="23">
        <v>1117.0</v>
      </c>
      <c r="H134" s="23">
        <v>1147.0</v>
      </c>
      <c r="I134" s="23">
        <v>713.0</v>
      </c>
      <c r="J134" s="23">
        <v>3337.0</v>
      </c>
      <c r="K134" s="24">
        <f t="shared" si="2"/>
        <v>21.36649685</v>
      </c>
      <c r="L134" s="23">
        <v>360.0</v>
      </c>
    </row>
    <row r="135" ht="14.25" customHeight="1">
      <c r="A135" s="22" t="s">
        <v>23</v>
      </c>
      <c r="B135" s="22" t="s">
        <v>210</v>
      </c>
      <c r="C135" s="22" t="s">
        <v>210</v>
      </c>
      <c r="D135" s="22" t="s">
        <v>210</v>
      </c>
      <c r="E135" s="23">
        <v>30701.0</v>
      </c>
      <c r="F135" s="23">
        <v>980.0</v>
      </c>
      <c r="G135" s="23">
        <v>745.0</v>
      </c>
      <c r="H135" s="23">
        <v>1928.0</v>
      </c>
      <c r="I135" s="23">
        <v>2275.0</v>
      </c>
      <c r="J135" s="23">
        <v>5928.0</v>
      </c>
      <c r="K135" s="24">
        <f t="shared" si="2"/>
        <v>38.37719298</v>
      </c>
      <c r="L135" s="23">
        <v>980.0</v>
      </c>
    </row>
    <row r="136" ht="14.25" customHeight="1">
      <c r="A136" s="22" t="s">
        <v>23</v>
      </c>
      <c r="B136" s="22" t="s">
        <v>210</v>
      </c>
      <c r="C136" s="22" t="s">
        <v>211</v>
      </c>
      <c r="D136" s="22" t="s">
        <v>212</v>
      </c>
      <c r="E136" s="23">
        <v>30702.0</v>
      </c>
      <c r="F136" s="23">
        <v>345.0</v>
      </c>
      <c r="G136" s="23">
        <v>401.0</v>
      </c>
      <c r="H136" s="23">
        <v>617.0</v>
      </c>
      <c r="I136" s="23">
        <v>1040.0</v>
      </c>
      <c r="J136" s="23">
        <v>2403.0</v>
      </c>
      <c r="K136" s="24">
        <f t="shared" si="2"/>
        <v>43.27923429</v>
      </c>
      <c r="L136" s="23">
        <v>345.0</v>
      </c>
    </row>
    <row r="137" ht="14.25" customHeight="1">
      <c r="A137" s="22" t="s">
        <v>23</v>
      </c>
      <c r="B137" s="22" t="s">
        <v>210</v>
      </c>
      <c r="C137" s="22" t="s">
        <v>213</v>
      </c>
      <c r="D137" s="22" t="s">
        <v>213</v>
      </c>
      <c r="E137" s="23">
        <v>30703.0</v>
      </c>
      <c r="F137" s="23">
        <v>257.0</v>
      </c>
      <c r="G137" s="23">
        <v>272.0</v>
      </c>
      <c r="H137" s="23">
        <v>307.0</v>
      </c>
      <c r="I137" s="23">
        <v>247.0</v>
      </c>
      <c r="J137" s="23">
        <v>1083.0</v>
      </c>
      <c r="K137" s="24">
        <f t="shared" si="2"/>
        <v>22.80701754</v>
      </c>
      <c r="L137" s="23">
        <v>257.0</v>
      </c>
    </row>
    <row r="138" ht="14.25" customHeight="1">
      <c r="A138" s="22" t="s">
        <v>23</v>
      </c>
      <c r="B138" s="22" t="s">
        <v>214</v>
      </c>
      <c r="C138" s="22" t="s">
        <v>215</v>
      </c>
      <c r="D138" s="22" t="s">
        <v>215</v>
      </c>
      <c r="E138" s="23">
        <v>30801.0</v>
      </c>
      <c r="F138" s="23">
        <v>22.0</v>
      </c>
      <c r="G138" s="23">
        <v>358.0</v>
      </c>
      <c r="H138" s="23">
        <v>1701.0</v>
      </c>
      <c r="I138" s="23">
        <v>3879.0</v>
      </c>
      <c r="J138" s="23">
        <v>5960.0</v>
      </c>
      <c r="K138" s="24">
        <f t="shared" si="2"/>
        <v>65.08389262</v>
      </c>
      <c r="L138" s="23">
        <v>22.0</v>
      </c>
    </row>
    <row r="139" ht="14.25" customHeight="1">
      <c r="A139" s="22" t="s">
        <v>23</v>
      </c>
      <c r="B139" s="22" t="s">
        <v>214</v>
      </c>
      <c r="C139" s="22" t="s">
        <v>216</v>
      </c>
      <c r="D139" s="22" t="s">
        <v>216</v>
      </c>
      <c r="E139" s="23">
        <v>30802.0</v>
      </c>
      <c r="F139" s="23">
        <v>88.0</v>
      </c>
      <c r="G139" s="23">
        <v>261.0</v>
      </c>
      <c r="H139" s="23">
        <v>816.0</v>
      </c>
      <c r="I139" s="23">
        <v>896.0</v>
      </c>
      <c r="J139" s="23">
        <v>2061.0</v>
      </c>
      <c r="K139" s="24">
        <f t="shared" si="2"/>
        <v>43.47404173</v>
      </c>
      <c r="L139" s="23">
        <v>88.0</v>
      </c>
    </row>
    <row r="140" ht="14.25" customHeight="1">
      <c r="A140" s="22" t="s">
        <v>23</v>
      </c>
      <c r="B140" s="22" t="s">
        <v>214</v>
      </c>
      <c r="C140" s="22" t="s">
        <v>217</v>
      </c>
      <c r="D140" s="22" t="s">
        <v>217</v>
      </c>
      <c r="E140" s="23">
        <v>30803.0</v>
      </c>
      <c r="F140" s="23">
        <v>40.0</v>
      </c>
      <c r="G140" s="23">
        <v>274.0</v>
      </c>
      <c r="H140" s="23">
        <v>562.0</v>
      </c>
      <c r="I140" s="23">
        <v>594.0</v>
      </c>
      <c r="J140" s="23">
        <v>1470.0</v>
      </c>
      <c r="K140" s="24">
        <f t="shared" si="2"/>
        <v>40.40816327</v>
      </c>
      <c r="L140" s="23">
        <v>40.0</v>
      </c>
    </row>
    <row r="141" ht="14.25" customHeight="1">
      <c r="A141" s="22" t="s">
        <v>23</v>
      </c>
      <c r="B141" s="22" t="s">
        <v>218</v>
      </c>
      <c r="C141" s="22" t="s">
        <v>218</v>
      </c>
      <c r="D141" s="22" t="s">
        <v>218</v>
      </c>
      <c r="E141" s="23">
        <v>30901.0</v>
      </c>
      <c r="F141" s="23">
        <v>786.0</v>
      </c>
      <c r="G141" s="23">
        <v>3494.0</v>
      </c>
      <c r="H141" s="23">
        <v>13011.0</v>
      </c>
      <c r="I141" s="23">
        <v>18640.0</v>
      </c>
      <c r="J141" s="23">
        <v>35931.0</v>
      </c>
      <c r="K141" s="24">
        <f t="shared" si="2"/>
        <v>51.8772091</v>
      </c>
      <c r="L141" s="23">
        <v>786.0</v>
      </c>
    </row>
    <row r="142" ht="14.25" customHeight="1">
      <c r="A142" s="22" t="s">
        <v>23</v>
      </c>
      <c r="B142" s="22" t="s">
        <v>218</v>
      </c>
      <c r="C142" s="22" t="s">
        <v>219</v>
      </c>
      <c r="D142" s="22" t="s">
        <v>219</v>
      </c>
      <c r="E142" s="23">
        <v>30902.0</v>
      </c>
      <c r="F142" s="23">
        <v>1058.0</v>
      </c>
      <c r="G142" s="23">
        <v>1127.0</v>
      </c>
      <c r="H142" s="23">
        <v>3719.0</v>
      </c>
      <c r="I142" s="23">
        <v>5699.0</v>
      </c>
      <c r="J142" s="23">
        <v>11603.0</v>
      </c>
      <c r="K142" s="24">
        <f t="shared" si="2"/>
        <v>49.11660777</v>
      </c>
      <c r="L142" s="23">
        <v>1058.0</v>
      </c>
    </row>
    <row r="143" ht="14.25" customHeight="1">
      <c r="A143" s="22" t="s">
        <v>23</v>
      </c>
      <c r="B143" s="22" t="s">
        <v>218</v>
      </c>
      <c r="C143" s="22" t="s">
        <v>220</v>
      </c>
      <c r="D143" s="22" t="s">
        <v>220</v>
      </c>
      <c r="E143" s="23">
        <v>30903.0</v>
      </c>
      <c r="F143" s="23">
        <v>551.0</v>
      </c>
      <c r="G143" s="23">
        <v>2262.0</v>
      </c>
      <c r="H143" s="23">
        <v>6883.0</v>
      </c>
      <c r="I143" s="23">
        <v>4161.0</v>
      </c>
      <c r="J143" s="23">
        <v>13857.0</v>
      </c>
      <c r="K143" s="24">
        <f t="shared" si="2"/>
        <v>30.02814462</v>
      </c>
      <c r="L143" s="23">
        <v>551.0</v>
      </c>
    </row>
    <row r="144" ht="14.25" customHeight="1">
      <c r="A144" s="22" t="s">
        <v>23</v>
      </c>
      <c r="B144" s="22" t="s">
        <v>218</v>
      </c>
      <c r="C144" s="22" t="s">
        <v>221</v>
      </c>
      <c r="D144" s="22" t="s">
        <v>221</v>
      </c>
      <c r="E144" s="23">
        <v>30904.0</v>
      </c>
      <c r="F144" s="23">
        <v>611.0</v>
      </c>
      <c r="G144" s="23">
        <v>2270.0</v>
      </c>
      <c r="H144" s="23">
        <v>7102.0</v>
      </c>
      <c r="I144" s="23">
        <v>4329.0</v>
      </c>
      <c r="J144" s="23">
        <v>14312.0</v>
      </c>
      <c r="K144" s="24">
        <f t="shared" si="2"/>
        <v>30.24734489</v>
      </c>
      <c r="L144" s="23">
        <v>611.0</v>
      </c>
    </row>
    <row r="145" ht="14.25" customHeight="1">
      <c r="A145" s="22" t="s">
        <v>23</v>
      </c>
      <c r="B145" s="22" t="s">
        <v>218</v>
      </c>
      <c r="C145" s="22" t="s">
        <v>222</v>
      </c>
      <c r="D145" s="22" t="s">
        <v>222</v>
      </c>
      <c r="E145" s="23">
        <v>30905.0</v>
      </c>
      <c r="F145" s="23">
        <v>28.0</v>
      </c>
      <c r="G145" s="23">
        <v>864.0</v>
      </c>
      <c r="H145" s="23">
        <v>4605.0</v>
      </c>
      <c r="I145" s="23">
        <v>8017.0</v>
      </c>
      <c r="J145" s="23">
        <v>13514.0</v>
      </c>
      <c r="K145" s="24">
        <f t="shared" si="2"/>
        <v>59.32366435</v>
      </c>
      <c r="L145" s="23">
        <v>28.0</v>
      </c>
    </row>
    <row r="146" ht="14.25" customHeight="1">
      <c r="A146" s="22" t="s">
        <v>23</v>
      </c>
      <c r="B146" s="22" t="s">
        <v>223</v>
      </c>
      <c r="C146" s="22" t="s">
        <v>224</v>
      </c>
      <c r="D146" s="22" t="s">
        <v>224</v>
      </c>
      <c r="E146" s="23">
        <v>31001.0</v>
      </c>
      <c r="F146" s="23">
        <v>2451.0</v>
      </c>
      <c r="G146" s="23">
        <v>7988.0</v>
      </c>
      <c r="H146" s="23">
        <v>15414.0</v>
      </c>
      <c r="I146" s="23">
        <v>21683.0</v>
      </c>
      <c r="J146" s="23">
        <v>47536.0</v>
      </c>
      <c r="K146" s="24">
        <f t="shared" si="2"/>
        <v>45.61385056</v>
      </c>
      <c r="L146" s="23">
        <v>2451.0</v>
      </c>
    </row>
    <row r="147" ht="14.25" customHeight="1">
      <c r="A147" s="22" t="s">
        <v>23</v>
      </c>
      <c r="B147" s="22" t="s">
        <v>223</v>
      </c>
      <c r="C147" s="22" t="s">
        <v>225</v>
      </c>
      <c r="D147" s="22" t="s">
        <v>225</v>
      </c>
      <c r="E147" s="23">
        <v>31002.0</v>
      </c>
      <c r="F147" s="23">
        <v>1255.0</v>
      </c>
      <c r="G147" s="23">
        <v>865.0</v>
      </c>
      <c r="H147" s="23">
        <v>1211.0</v>
      </c>
      <c r="I147" s="23">
        <v>2691.0</v>
      </c>
      <c r="J147" s="23">
        <v>6022.0</v>
      </c>
      <c r="K147" s="24">
        <f t="shared" si="2"/>
        <v>44.68615078</v>
      </c>
      <c r="L147" s="23">
        <v>1255.0</v>
      </c>
    </row>
    <row r="148" ht="14.25" customHeight="1">
      <c r="A148" s="22" t="s">
        <v>23</v>
      </c>
      <c r="B148" s="22" t="s">
        <v>223</v>
      </c>
      <c r="C148" s="22" t="s">
        <v>226</v>
      </c>
      <c r="D148" s="22" t="s">
        <v>226</v>
      </c>
      <c r="E148" s="23">
        <v>31003.0</v>
      </c>
      <c r="F148" s="23">
        <v>7639.0</v>
      </c>
      <c r="G148" s="23">
        <v>8220.0</v>
      </c>
      <c r="H148" s="23">
        <v>5553.0</v>
      </c>
      <c r="I148" s="23">
        <v>5313.0</v>
      </c>
      <c r="J148" s="23">
        <v>26725.0</v>
      </c>
      <c r="K148" s="24">
        <f t="shared" si="2"/>
        <v>19.88026193</v>
      </c>
      <c r="L148" s="23">
        <v>7639.0</v>
      </c>
    </row>
    <row r="149" ht="14.25" customHeight="1">
      <c r="A149" s="22" t="s">
        <v>23</v>
      </c>
      <c r="B149" s="22" t="s">
        <v>227</v>
      </c>
      <c r="C149" s="22" t="s">
        <v>227</v>
      </c>
      <c r="D149" s="22" t="s">
        <v>227</v>
      </c>
      <c r="E149" s="23">
        <v>31101.0</v>
      </c>
      <c r="F149" s="23">
        <v>3053.0</v>
      </c>
      <c r="G149" s="23">
        <v>2917.0</v>
      </c>
      <c r="H149" s="23">
        <v>1582.0</v>
      </c>
      <c r="I149" s="23">
        <v>561.0</v>
      </c>
      <c r="J149" s="23">
        <v>8113.0</v>
      </c>
      <c r="K149" s="24">
        <f t="shared" si="2"/>
        <v>6.914828054</v>
      </c>
      <c r="L149" s="23">
        <v>3053.0</v>
      </c>
    </row>
    <row r="150" ht="14.25" customHeight="1">
      <c r="A150" s="22" t="s">
        <v>23</v>
      </c>
      <c r="B150" s="22" t="s">
        <v>228</v>
      </c>
      <c r="C150" s="22" t="s">
        <v>229</v>
      </c>
      <c r="D150" s="22" t="s">
        <v>229</v>
      </c>
      <c r="E150" s="23">
        <v>31201.0</v>
      </c>
      <c r="F150" s="23">
        <v>1701.0</v>
      </c>
      <c r="G150" s="23">
        <v>1378.0</v>
      </c>
      <c r="H150" s="23">
        <v>893.0</v>
      </c>
      <c r="I150" s="23">
        <v>757.0</v>
      </c>
      <c r="J150" s="23">
        <v>4729.0</v>
      </c>
      <c r="K150" s="24">
        <f t="shared" si="2"/>
        <v>16.0076126</v>
      </c>
      <c r="L150" s="23">
        <v>1701.0</v>
      </c>
    </row>
    <row r="151" ht="14.25" customHeight="1">
      <c r="A151" s="22" t="s">
        <v>23</v>
      </c>
      <c r="B151" s="22" t="s">
        <v>228</v>
      </c>
      <c r="C151" s="22" t="s">
        <v>230</v>
      </c>
      <c r="D151" s="22" t="s">
        <v>230</v>
      </c>
      <c r="E151" s="23">
        <v>31202.0</v>
      </c>
      <c r="F151" s="23">
        <v>1169.0</v>
      </c>
      <c r="G151" s="23">
        <v>831.0</v>
      </c>
      <c r="H151" s="23">
        <v>493.0</v>
      </c>
      <c r="I151" s="23">
        <v>510.0</v>
      </c>
      <c r="J151" s="23">
        <v>3003.0</v>
      </c>
      <c r="K151" s="24">
        <f t="shared" si="2"/>
        <v>16.98301698</v>
      </c>
      <c r="L151" s="23">
        <v>1169.0</v>
      </c>
    </row>
    <row r="152" ht="14.25" customHeight="1">
      <c r="A152" s="22" t="s">
        <v>23</v>
      </c>
      <c r="B152" s="22" t="s">
        <v>228</v>
      </c>
      <c r="C152" s="22" t="s">
        <v>231</v>
      </c>
      <c r="D152" s="22" t="s">
        <v>231</v>
      </c>
      <c r="E152" s="23">
        <v>31203.0</v>
      </c>
      <c r="F152" s="23">
        <v>539.0</v>
      </c>
      <c r="G152" s="23">
        <v>925.0</v>
      </c>
      <c r="H152" s="23">
        <v>1140.0</v>
      </c>
      <c r="I152" s="23">
        <v>940.0</v>
      </c>
      <c r="J152" s="23">
        <v>3544.0</v>
      </c>
      <c r="K152" s="24">
        <f t="shared" si="2"/>
        <v>26.52370203</v>
      </c>
      <c r="L152" s="23">
        <v>539.0</v>
      </c>
    </row>
    <row r="153" ht="14.25" customHeight="1">
      <c r="A153" s="22" t="s">
        <v>23</v>
      </c>
      <c r="B153" s="22" t="s">
        <v>228</v>
      </c>
      <c r="C153" s="22" t="s">
        <v>232</v>
      </c>
      <c r="D153" s="22" t="s">
        <v>232</v>
      </c>
      <c r="E153" s="23">
        <v>31204.0</v>
      </c>
      <c r="F153" s="23">
        <v>1799.0</v>
      </c>
      <c r="G153" s="23">
        <v>1815.0</v>
      </c>
      <c r="H153" s="23">
        <v>1936.0</v>
      </c>
      <c r="I153" s="23">
        <v>1713.0</v>
      </c>
      <c r="J153" s="23">
        <v>7263.0</v>
      </c>
      <c r="K153" s="24">
        <f t="shared" si="2"/>
        <v>23.58529533</v>
      </c>
      <c r="L153" s="23">
        <v>1799.0</v>
      </c>
    </row>
    <row r="154" ht="14.25" customHeight="1">
      <c r="A154" s="22" t="s">
        <v>23</v>
      </c>
      <c r="B154" s="22" t="s">
        <v>228</v>
      </c>
      <c r="C154" s="22" t="s">
        <v>233</v>
      </c>
      <c r="D154" s="22" t="s">
        <v>233</v>
      </c>
      <c r="E154" s="23">
        <v>31205.0</v>
      </c>
      <c r="F154" s="23">
        <v>4354.0</v>
      </c>
      <c r="G154" s="23">
        <v>3202.0</v>
      </c>
      <c r="H154" s="23">
        <v>4784.0</v>
      </c>
      <c r="I154" s="23">
        <v>4611.0</v>
      </c>
      <c r="J154" s="23">
        <v>16951.0</v>
      </c>
      <c r="K154" s="24">
        <f t="shared" si="2"/>
        <v>27.20193499</v>
      </c>
      <c r="L154" s="23">
        <v>4354.0</v>
      </c>
    </row>
    <row r="155" ht="14.25" customHeight="1">
      <c r="A155" s="22" t="s">
        <v>23</v>
      </c>
      <c r="B155" s="22" t="s">
        <v>228</v>
      </c>
      <c r="C155" s="22" t="s">
        <v>234</v>
      </c>
      <c r="D155" s="22" t="s">
        <v>234</v>
      </c>
      <c r="E155" s="23">
        <v>31206.0</v>
      </c>
      <c r="F155" s="23">
        <v>3921.0</v>
      </c>
      <c r="G155" s="23">
        <v>2501.0</v>
      </c>
      <c r="H155" s="23">
        <v>2965.0</v>
      </c>
      <c r="I155" s="23">
        <v>3088.0</v>
      </c>
      <c r="J155" s="23">
        <v>12475.0</v>
      </c>
      <c r="K155" s="24">
        <f t="shared" si="2"/>
        <v>24.75350701</v>
      </c>
      <c r="L155" s="23">
        <v>3921.0</v>
      </c>
    </row>
    <row r="156" ht="14.25" customHeight="1">
      <c r="A156" s="22" t="s">
        <v>23</v>
      </c>
      <c r="B156" s="22" t="s">
        <v>235</v>
      </c>
      <c r="C156" s="22" t="s">
        <v>235</v>
      </c>
      <c r="D156" s="22" t="s">
        <v>235</v>
      </c>
      <c r="E156" s="23">
        <v>31301.0</v>
      </c>
      <c r="F156" s="23">
        <v>1333.0</v>
      </c>
      <c r="G156" s="23">
        <v>1311.0</v>
      </c>
      <c r="H156" s="23">
        <v>2084.0</v>
      </c>
      <c r="I156" s="23">
        <v>1192.0</v>
      </c>
      <c r="J156" s="23">
        <v>5920.0</v>
      </c>
      <c r="K156" s="24">
        <f t="shared" si="2"/>
        <v>20.13513514</v>
      </c>
      <c r="L156" s="23">
        <v>1333.0</v>
      </c>
    </row>
    <row r="157" ht="14.25" customHeight="1">
      <c r="A157" s="22" t="s">
        <v>23</v>
      </c>
      <c r="B157" s="22" t="s">
        <v>235</v>
      </c>
      <c r="C157" s="22" t="s">
        <v>236</v>
      </c>
      <c r="D157" s="22" t="s">
        <v>236</v>
      </c>
      <c r="E157" s="23">
        <v>31302.0</v>
      </c>
      <c r="F157" s="23">
        <v>629.0</v>
      </c>
      <c r="G157" s="23">
        <v>491.0</v>
      </c>
      <c r="H157" s="23">
        <v>217.0</v>
      </c>
      <c r="I157" s="23">
        <v>203.0</v>
      </c>
      <c r="J157" s="23">
        <v>1540.0</v>
      </c>
      <c r="K157" s="24">
        <f t="shared" si="2"/>
        <v>13.18181818</v>
      </c>
      <c r="L157" s="23">
        <v>629.0</v>
      </c>
    </row>
    <row r="158" ht="14.25" customHeight="1">
      <c r="A158" s="22" t="s">
        <v>23</v>
      </c>
      <c r="B158" s="22" t="s">
        <v>235</v>
      </c>
      <c r="C158" s="22" t="s">
        <v>237</v>
      </c>
      <c r="D158" s="22" t="s">
        <v>237</v>
      </c>
      <c r="E158" s="23">
        <v>31303.0</v>
      </c>
      <c r="F158" s="23">
        <v>383.0</v>
      </c>
      <c r="G158" s="23">
        <v>550.0</v>
      </c>
      <c r="H158" s="23">
        <v>131.0</v>
      </c>
      <c r="I158" s="23">
        <v>58.0</v>
      </c>
      <c r="J158" s="23">
        <v>1122.0</v>
      </c>
      <c r="K158" s="24">
        <f t="shared" si="2"/>
        <v>5.169340463</v>
      </c>
      <c r="L158" s="23">
        <v>383.0</v>
      </c>
    </row>
    <row r="159" ht="14.25" customHeight="1">
      <c r="A159" s="36" t="s">
        <v>23</v>
      </c>
      <c r="B159" s="36" t="s">
        <v>235</v>
      </c>
      <c r="C159" s="36" t="s">
        <v>238</v>
      </c>
      <c r="D159" s="36" t="s">
        <v>239</v>
      </c>
      <c r="E159" s="37">
        <v>31304.0</v>
      </c>
      <c r="F159" s="23">
        <v>1249.0</v>
      </c>
      <c r="G159" s="23">
        <v>504.0</v>
      </c>
      <c r="H159" s="23">
        <v>214.0</v>
      </c>
      <c r="I159" s="23">
        <v>24.0</v>
      </c>
      <c r="J159" s="23">
        <v>1991.0</v>
      </c>
      <c r="K159" s="24">
        <f t="shared" si="2"/>
        <v>1.20542441</v>
      </c>
      <c r="L159" s="23">
        <v>1249.0</v>
      </c>
    </row>
    <row r="160" ht="14.25" customHeight="1">
      <c r="A160" s="22" t="s">
        <v>23</v>
      </c>
      <c r="B160" s="22" t="s">
        <v>240</v>
      </c>
      <c r="C160" s="22" t="s">
        <v>240</v>
      </c>
      <c r="D160" s="22" t="s">
        <v>241</v>
      </c>
      <c r="E160" s="23">
        <v>31401.0</v>
      </c>
      <c r="F160" s="38">
        <v>118.0</v>
      </c>
      <c r="G160" s="38">
        <v>848.0</v>
      </c>
      <c r="H160" s="38">
        <v>2935.0</v>
      </c>
      <c r="I160" s="38">
        <v>4883.0</v>
      </c>
      <c r="J160" s="38">
        <v>8784.0</v>
      </c>
      <c r="K160" s="39">
        <f t="shared" si="2"/>
        <v>55.58970856</v>
      </c>
      <c r="L160" s="38">
        <v>118.0</v>
      </c>
    </row>
    <row r="161" ht="14.25" customHeight="1">
      <c r="A161" s="22" t="s">
        <v>23</v>
      </c>
      <c r="B161" s="22" t="s">
        <v>240</v>
      </c>
      <c r="C161" s="22" t="s">
        <v>242</v>
      </c>
      <c r="D161" s="22" t="s">
        <v>242</v>
      </c>
      <c r="E161" s="23">
        <v>31402.0</v>
      </c>
      <c r="F161" s="23">
        <v>121.0</v>
      </c>
      <c r="G161" s="23">
        <v>415.0</v>
      </c>
      <c r="H161" s="23">
        <v>1522.0</v>
      </c>
      <c r="I161" s="23">
        <v>984.0</v>
      </c>
      <c r="J161" s="23">
        <v>3042.0</v>
      </c>
      <c r="K161" s="24">
        <f t="shared" si="2"/>
        <v>32.34714004</v>
      </c>
      <c r="L161" s="23">
        <v>121.0</v>
      </c>
    </row>
    <row r="162" ht="14.25" customHeight="1">
      <c r="A162" s="22" t="s">
        <v>23</v>
      </c>
      <c r="B162" s="22" t="s">
        <v>240</v>
      </c>
      <c r="C162" s="22" t="s">
        <v>243</v>
      </c>
      <c r="D162" s="22" t="s">
        <v>244</v>
      </c>
      <c r="E162" s="23">
        <v>31403.0</v>
      </c>
      <c r="F162" s="23">
        <v>150.0</v>
      </c>
      <c r="G162" s="23">
        <v>402.0</v>
      </c>
      <c r="H162" s="23">
        <v>2153.0</v>
      </c>
      <c r="I162" s="23">
        <v>1219.0</v>
      </c>
      <c r="J162" s="23">
        <v>3924.0</v>
      </c>
      <c r="K162" s="24">
        <f t="shared" si="2"/>
        <v>31.06523955</v>
      </c>
      <c r="L162" s="23">
        <v>150.0</v>
      </c>
    </row>
    <row r="163" ht="14.25" customHeight="1">
      <c r="A163" s="22" t="s">
        <v>23</v>
      </c>
      <c r="B163" s="22" t="s">
        <v>240</v>
      </c>
      <c r="C163" s="22" t="s">
        <v>245</v>
      </c>
      <c r="D163" s="22" t="s">
        <v>245</v>
      </c>
      <c r="E163" s="23">
        <v>31404.0</v>
      </c>
      <c r="F163" s="23">
        <v>27.0</v>
      </c>
      <c r="G163" s="23">
        <v>95.0</v>
      </c>
      <c r="H163" s="23">
        <v>173.0</v>
      </c>
      <c r="I163" s="23">
        <v>64.0</v>
      </c>
      <c r="J163" s="23">
        <v>359.0</v>
      </c>
      <c r="K163" s="24">
        <f t="shared" si="2"/>
        <v>17.82729805</v>
      </c>
      <c r="L163" s="23">
        <v>27.0</v>
      </c>
    </row>
    <row r="164" ht="14.25" customHeight="1">
      <c r="A164" s="22" t="s">
        <v>23</v>
      </c>
      <c r="B164" s="22" t="s">
        <v>240</v>
      </c>
      <c r="C164" s="22" t="s">
        <v>246</v>
      </c>
      <c r="D164" s="22" t="s">
        <v>247</v>
      </c>
      <c r="E164" s="23">
        <v>31405.0</v>
      </c>
      <c r="F164" s="23">
        <v>138.0</v>
      </c>
      <c r="G164" s="23">
        <v>178.0</v>
      </c>
      <c r="H164" s="23">
        <v>228.0</v>
      </c>
      <c r="I164" s="23">
        <v>157.0</v>
      </c>
      <c r="J164" s="23">
        <v>701.0</v>
      </c>
      <c r="K164" s="24">
        <f t="shared" si="2"/>
        <v>22.39657632</v>
      </c>
      <c r="L164" s="23">
        <v>138.0</v>
      </c>
    </row>
    <row r="165" ht="14.25" customHeight="1">
      <c r="A165" s="22" t="s">
        <v>23</v>
      </c>
      <c r="B165" s="22" t="s">
        <v>248</v>
      </c>
      <c r="C165" s="22" t="s">
        <v>248</v>
      </c>
      <c r="D165" s="22" t="s">
        <v>248</v>
      </c>
      <c r="E165" s="23">
        <v>31501.0</v>
      </c>
      <c r="F165" s="23">
        <v>307.0</v>
      </c>
      <c r="G165" s="23">
        <v>990.0</v>
      </c>
      <c r="H165" s="23">
        <v>982.0</v>
      </c>
      <c r="I165" s="23">
        <v>87.0</v>
      </c>
      <c r="J165" s="23">
        <v>2366.0</v>
      </c>
      <c r="K165" s="24">
        <f t="shared" si="2"/>
        <v>3.677092139</v>
      </c>
      <c r="L165" s="23">
        <v>307.0</v>
      </c>
    </row>
    <row r="166" ht="14.25" customHeight="1">
      <c r="A166" s="22" t="s">
        <v>23</v>
      </c>
      <c r="B166" s="22" t="s">
        <v>249</v>
      </c>
      <c r="C166" s="22" t="s">
        <v>249</v>
      </c>
      <c r="D166" s="22" t="s">
        <v>249</v>
      </c>
      <c r="E166" s="23">
        <v>31601.0</v>
      </c>
      <c r="F166" s="23">
        <v>863.0</v>
      </c>
      <c r="G166" s="23">
        <v>1149.0</v>
      </c>
      <c r="H166" s="23">
        <v>1958.0</v>
      </c>
      <c r="I166" s="23">
        <v>2526.0</v>
      </c>
      <c r="J166" s="23">
        <v>6496.0</v>
      </c>
      <c r="K166" s="24">
        <f t="shared" si="2"/>
        <v>38.88546798</v>
      </c>
      <c r="L166" s="23">
        <v>863.0</v>
      </c>
    </row>
    <row r="167" ht="14.25" customHeight="1">
      <c r="A167" s="22" t="s">
        <v>23</v>
      </c>
      <c r="B167" s="22" t="s">
        <v>249</v>
      </c>
      <c r="C167" s="22" t="s">
        <v>250</v>
      </c>
      <c r="D167" s="22" t="s">
        <v>250</v>
      </c>
      <c r="E167" s="23">
        <v>31602.0</v>
      </c>
      <c r="F167" s="23">
        <v>1403.0</v>
      </c>
      <c r="G167" s="23">
        <v>1809.0</v>
      </c>
      <c r="H167" s="23">
        <v>1357.0</v>
      </c>
      <c r="I167" s="23">
        <v>3042.0</v>
      </c>
      <c r="J167" s="23">
        <v>7611.0</v>
      </c>
      <c r="K167" s="24">
        <f t="shared" si="2"/>
        <v>39.96846669</v>
      </c>
      <c r="L167" s="23">
        <v>1403.0</v>
      </c>
    </row>
    <row r="168" ht="14.25" customHeight="1">
      <c r="A168" s="22" t="s">
        <v>26</v>
      </c>
      <c r="B168" s="22" t="s">
        <v>189</v>
      </c>
      <c r="C168" s="22" t="s">
        <v>26</v>
      </c>
      <c r="D168" s="22" t="s">
        <v>26</v>
      </c>
      <c r="E168" s="23">
        <v>40101.0</v>
      </c>
      <c r="F168" s="23">
        <v>2150.0</v>
      </c>
      <c r="G168" s="23">
        <v>5145.0</v>
      </c>
      <c r="H168" s="23">
        <v>18649.0</v>
      </c>
      <c r="I168" s="23">
        <v>50780.0</v>
      </c>
      <c r="J168" s="23">
        <v>76724.0</v>
      </c>
      <c r="K168" s="24">
        <f t="shared" si="2"/>
        <v>66.18528752</v>
      </c>
      <c r="L168" s="23">
        <v>2150.0</v>
      </c>
    </row>
    <row r="169" ht="14.25" customHeight="1">
      <c r="A169" s="22" t="s">
        <v>26</v>
      </c>
      <c r="B169" s="22" t="s">
        <v>189</v>
      </c>
      <c r="C169" s="22" t="s">
        <v>251</v>
      </c>
      <c r="D169" s="22" t="s">
        <v>251</v>
      </c>
      <c r="E169" s="23">
        <v>40102.0</v>
      </c>
      <c r="F169" s="23">
        <v>1401.0</v>
      </c>
      <c r="G169" s="23">
        <v>1857.0</v>
      </c>
      <c r="H169" s="23">
        <v>2342.0</v>
      </c>
      <c r="I169" s="23">
        <v>1090.0</v>
      </c>
      <c r="J169" s="23">
        <v>6690.0</v>
      </c>
      <c r="K169" s="24">
        <f t="shared" si="2"/>
        <v>16.29297459</v>
      </c>
      <c r="L169" s="23">
        <v>1401.0</v>
      </c>
    </row>
    <row r="170" ht="14.25" customHeight="1">
      <c r="A170" s="22" t="s">
        <v>26</v>
      </c>
      <c r="B170" s="22" t="s">
        <v>189</v>
      </c>
      <c r="C170" s="22" t="s">
        <v>252</v>
      </c>
      <c r="D170" s="22" t="s">
        <v>252</v>
      </c>
      <c r="E170" s="23">
        <v>40103.0</v>
      </c>
      <c r="F170" s="23">
        <v>2534.0</v>
      </c>
      <c r="G170" s="23">
        <v>639.0</v>
      </c>
      <c r="H170" s="23">
        <v>82.0</v>
      </c>
      <c r="I170" s="23">
        <v>6.0</v>
      </c>
      <c r="J170" s="23">
        <v>3261.0</v>
      </c>
      <c r="K170" s="24">
        <f t="shared" si="2"/>
        <v>0.1839926403</v>
      </c>
      <c r="L170" s="23">
        <v>2534.0</v>
      </c>
    </row>
    <row r="171" ht="14.25" customHeight="1">
      <c r="A171" s="22" t="s">
        <v>26</v>
      </c>
      <c r="B171" s="22" t="s">
        <v>189</v>
      </c>
      <c r="C171" s="22" t="s">
        <v>253</v>
      </c>
      <c r="D171" s="22" t="s">
        <v>254</v>
      </c>
      <c r="E171" s="23">
        <v>40104.0</v>
      </c>
      <c r="F171" s="23">
        <v>412.0</v>
      </c>
      <c r="G171" s="23">
        <v>869.0</v>
      </c>
      <c r="H171" s="23">
        <v>1949.0</v>
      </c>
      <c r="I171" s="23">
        <v>230.0</v>
      </c>
      <c r="J171" s="23">
        <v>3460.0</v>
      </c>
      <c r="K171" s="24">
        <f t="shared" si="2"/>
        <v>6.647398844</v>
      </c>
      <c r="L171" s="23">
        <v>412.0</v>
      </c>
    </row>
    <row r="172" ht="14.25" customHeight="1">
      <c r="A172" s="22" t="s">
        <v>26</v>
      </c>
      <c r="B172" s="22" t="s">
        <v>255</v>
      </c>
      <c r="C172" s="22" t="s">
        <v>256</v>
      </c>
      <c r="D172" s="22" t="s">
        <v>256</v>
      </c>
      <c r="E172" s="23">
        <v>40201.0</v>
      </c>
      <c r="F172" s="23">
        <v>1815.0</v>
      </c>
      <c r="G172" s="23">
        <v>2328.0</v>
      </c>
      <c r="H172" s="23">
        <v>3403.0</v>
      </c>
      <c r="I172" s="23">
        <v>2327.0</v>
      </c>
      <c r="J172" s="23">
        <v>9873.0</v>
      </c>
      <c r="K172" s="24">
        <f t="shared" si="2"/>
        <v>23.5693305</v>
      </c>
      <c r="L172" s="23">
        <v>1815.0</v>
      </c>
    </row>
    <row r="173" ht="14.25" customHeight="1">
      <c r="A173" s="22" t="s">
        <v>26</v>
      </c>
      <c r="B173" s="22" t="s">
        <v>255</v>
      </c>
      <c r="C173" s="22" t="s">
        <v>257</v>
      </c>
      <c r="D173" s="22" t="s">
        <v>257</v>
      </c>
      <c r="E173" s="23">
        <v>40202.0</v>
      </c>
      <c r="F173" s="23">
        <v>373.0</v>
      </c>
      <c r="G173" s="23">
        <v>366.0</v>
      </c>
      <c r="H173" s="23">
        <v>516.0</v>
      </c>
      <c r="I173" s="23">
        <v>300.0</v>
      </c>
      <c r="J173" s="23">
        <v>1555.0</v>
      </c>
      <c r="K173" s="24">
        <f t="shared" si="2"/>
        <v>19.2926045</v>
      </c>
      <c r="L173" s="23">
        <v>373.0</v>
      </c>
    </row>
    <row r="174" ht="14.25" customHeight="1">
      <c r="A174" s="22" t="s">
        <v>26</v>
      </c>
      <c r="B174" s="22" t="s">
        <v>258</v>
      </c>
      <c r="C174" s="22" t="s">
        <v>259</v>
      </c>
      <c r="D174" s="22" t="s">
        <v>259</v>
      </c>
      <c r="E174" s="23">
        <v>40301.0</v>
      </c>
      <c r="F174" s="23">
        <v>1348.0</v>
      </c>
      <c r="G174" s="23">
        <v>943.0</v>
      </c>
      <c r="H174" s="23">
        <v>784.0</v>
      </c>
      <c r="I174" s="23">
        <v>97.0</v>
      </c>
      <c r="J174" s="23">
        <v>3172.0</v>
      </c>
      <c r="K174" s="24">
        <f t="shared" si="2"/>
        <v>3.058007566</v>
      </c>
      <c r="L174" s="23">
        <v>1348.0</v>
      </c>
    </row>
    <row r="175" ht="14.25" customHeight="1">
      <c r="A175" s="22" t="s">
        <v>26</v>
      </c>
      <c r="B175" s="22" t="s">
        <v>258</v>
      </c>
      <c r="C175" s="22" t="s">
        <v>260</v>
      </c>
      <c r="D175" s="22" t="s">
        <v>260</v>
      </c>
      <c r="E175" s="23">
        <v>40302.0</v>
      </c>
      <c r="F175" s="23">
        <v>174.0</v>
      </c>
      <c r="G175" s="23">
        <v>172.0</v>
      </c>
      <c r="H175" s="23">
        <v>137.0</v>
      </c>
      <c r="I175" s="23">
        <v>33.0</v>
      </c>
      <c r="J175" s="23">
        <v>516.0</v>
      </c>
      <c r="K175" s="24">
        <f t="shared" si="2"/>
        <v>6.395348837</v>
      </c>
      <c r="L175" s="23">
        <v>174.0</v>
      </c>
    </row>
    <row r="176" ht="14.25" customHeight="1">
      <c r="A176" s="22" t="s">
        <v>26</v>
      </c>
      <c r="B176" s="22" t="s">
        <v>261</v>
      </c>
      <c r="C176" s="22" t="s">
        <v>262</v>
      </c>
      <c r="D176" s="22" t="s">
        <v>262</v>
      </c>
      <c r="E176" s="23">
        <v>40401.0</v>
      </c>
      <c r="F176" s="23">
        <v>246.0</v>
      </c>
      <c r="G176" s="23">
        <v>384.0</v>
      </c>
      <c r="H176" s="23">
        <v>332.0</v>
      </c>
      <c r="I176" s="23">
        <v>393.0</v>
      </c>
      <c r="J176" s="23">
        <v>1355.0</v>
      </c>
      <c r="K176" s="24">
        <f t="shared" si="2"/>
        <v>29.00369004</v>
      </c>
      <c r="L176" s="23">
        <v>246.0</v>
      </c>
    </row>
    <row r="177" ht="14.25" customHeight="1">
      <c r="A177" s="22" t="s">
        <v>26</v>
      </c>
      <c r="B177" s="22" t="s">
        <v>261</v>
      </c>
      <c r="C177" s="22" t="s">
        <v>263</v>
      </c>
      <c r="D177" s="22" t="s">
        <v>263</v>
      </c>
      <c r="E177" s="23">
        <v>40402.0</v>
      </c>
      <c r="F177" s="23">
        <v>393.0</v>
      </c>
      <c r="G177" s="23">
        <v>479.0</v>
      </c>
      <c r="H177" s="23">
        <v>402.0</v>
      </c>
      <c r="I177" s="23">
        <v>282.0</v>
      </c>
      <c r="J177" s="23">
        <v>1556.0</v>
      </c>
      <c r="K177" s="24">
        <f t="shared" si="2"/>
        <v>18.12339332</v>
      </c>
      <c r="L177" s="23">
        <v>393.0</v>
      </c>
    </row>
    <row r="178" ht="14.25" customHeight="1">
      <c r="A178" s="22" t="s">
        <v>26</v>
      </c>
      <c r="B178" s="22" t="s">
        <v>264</v>
      </c>
      <c r="C178" s="22" t="s">
        <v>265</v>
      </c>
      <c r="D178" s="22" t="s">
        <v>265</v>
      </c>
      <c r="E178" s="23">
        <v>40501.0</v>
      </c>
      <c r="F178" s="23">
        <v>3.0</v>
      </c>
      <c r="G178" s="23">
        <v>25.0</v>
      </c>
      <c r="H178" s="23">
        <v>79.0</v>
      </c>
      <c r="I178" s="23">
        <v>242.0</v>
      </c>
      <c r="J178" s="23">
        <v>349.0</v>
      </c>
      <c r="K178" s="24">
        <f t="shared" si="2"/>
        <v>69.34097421</v>
      </c>
      <c r="L178" s="23">
        <v>3.0</v>
      </c>
    </row>
    <row r="179" ht="14.25" customHeight="1">
      <c r="A179" s="22" t="s">
        <v>26</v>
      </c>
      <c r="B179" s="22" t="s">
        <v>264</v>
      </c>
      <c r="C179" s="22" t="s">
        <v>266</v>
      </c>
      <c r="D179" s="22" t="s">
        <v>266</v>
      </c>
      <c r="E179" s="23">
        <v>40502.0</v>
      </c>
      <c r="F179" s="23">
        <v>449.0</v>
      </c>
      <c r="G179" s="23">
        <v>354.0</v>
      </c>
      <c r="H179" s="23">
        <v>233.0</v>
      </c>
      <c r="I179" s="23">
        <v>46.0</v>
      </c>
      <c r="J179" s="23">
        <v>1082.0</v>
      </c>
      <c r="K179" s="24">
        <f t="shared" si="2"/>
        <v>4.251386322</v>
      </c>
      <c r="L179" s="23">
        <v>449.0</v>
      </c>
    </row>
    <row r="180" ht="14.25" customHeight="1">
      <c r="A180" s="22" t="s">
        <v>26</v>
      </c>
      <c r="B180" s="22" t="s">
        <v>264</v>
      </c>
      <c r="C180" s="22" t="s">
        <v>267</v>
      </c>
      <c r="D180" s="22" t="s">
        <v>267</v>
      </c>
      <c r="E180" s="23">
        <v>40503.0</v>
      </c>
      <c r="F180" s="23">
        <v>194.0</v>
      </c>
      <c r="G180" s="23">
        <v>141.0</v>
      </c>
      <c r="H180" s="23">
        <v>221.0</v>
      </c>
      <c r="I180" s="23">
        <v>28.0</v>
      </c>
      <c r="J180" s="23">
        <v>584.0</v>
      </c>
      <c r="K180" s="24">
        <f t="shared" si="2"/>
        <v>4.794520548</v>
      </c>
      <c r="L180" s="23">
        <v>194.0</v>
      </c>
    </row>
    <row r="181" ht="14.25" customHeight="1">
      <c r="A181" s="22" t="s">
        <v>26</v>
      </c>
      <c r="B181" s="22" t="s">
        <v>264</v>
      </c>
      <c r="C181" s="22" t="s">
        <v>268</v>
      </c>
      <c r="D181" s="22" t="s">
        <v>268</v>
      </c>
      <c r="E181" s="23">
        <v>40504.0</v>
      </c>
      <c r="F181" s="23">
        <v>40.0</v>
      </c>
      <c r="G181" s="23">
        <v>54.0</v>
      </c>
      <c r="H181" s="23">
        <v>73.0</v>
      </c>
      <c r="I181" s="23">
        <v>2.0</v>
      </c>
      <c r="J181" s="23">
        <v>169.0</v>
      </c>
      <c r="K181" s="24">
        <f t="shared" si="2"/>
        <v>1.183431953</v>
      </c>
      <c r="L181" s="23">
        <v>40.0</v>
      </c>
    </row>
    <row r="182" ht="14.25" customHeight="1">
      <c r="A182" s="22" t="s">
        <v>26</v>
      </c>
      <c r="B182" s="22" t="s">
        <v>264</v>
      </c>
      <c r="C182" s="22" t="s">
        <v>269</v>
      </c>
      <c r="D182" s="22" t="s">
        <v>269</v>
      </c>
      <c r="E182" s="23">
        <v>40505.0</v>
      </c>
      <c r="F182" s="23">
        <v>81.0</v>
      </c>
      <c r="G182" s="23">
        <v>137.0</v>
      </c>
      <c r="H182" s="23">
        <v>423.0</v>
      </c>
      <c r="I182" s="23">
        <v>78.0</v>
      </c>
      <c r="J182" s="23">
        <v>719.0</v>
      </c>
      <c r="K182" s="24">
        <f t="shared" si="2"/>
        <v>10.84840056</v>
      </c>
      <c r="L182" s="23">
        <v>81.0</v>
      </c>
    </row>
    <row r="183" ht="14.25" customHeight="1">
      <c r="A183" s="22" t="s">
        <v>26</v>
      </c>
      <c r="B183" s="22" t="s">
        <v>270</v>
      </c>
      <c r="C183" s="22" t="s">
        <v>270</v>
      </c>
      <c r="D183" s="22" t="s">
        <v>271</v>
      </c>
      <c r="E183" s="23">
        <v>40601.0</v>
      </c>
      <c r="F183" s="23">
        <v>457.0</v>
      </c>
      <c r="G183" s="23">
        <v>700.0</v>
      </c>
      <c r="H183" s="23">
        <v>1003.0</v>
      </c>
      <c r="I183" s="23">
        <v>679.0</v>
      </c>
      <c r="J183" s="23">
        <v>2839.0</v>
      </c>
      <c r="K183" s="24">
        <f t="shared" si="2"/>
        <v>23.91687214</v>
      </c>
      <c r="L183" s="23">
        <v>457.0</v>
      </c>
    </row>
    <row r="184" ht="14.25" customHeight="1">
      <c r="A184" s="22" t="s">
        <v>26</v>
      </c>
      <c r="B184" s="22" t="s">
        <v>270</v>
      </c>
      <c r="C184" s="22" t="s">
        <v>272</v>
      </c>
      <c r="D184" s="22" t="s">
        <v>272</v>
      </c>
      <c r="E184" s="23">
        <v>40602.0</v>
      </c>
      <c r="F184" s="23">
        <v>303.0</v>
      </c>
      <c r="G184" s="23">
        <v>451.0</v>
      </c>
      <c r="H184" s="23">
        <v>1145.0</v>
      </c>
      <c r="I184" s="23">
        <v>286.0</v>
      </c>
      <c r="J184" s="23">
        <v>2185.0</v>
      </c>
      <c r="K184" s="24">
        <f t="shared" si="2"/>
        <v>13.08924485</v>
      </c>
      <c r="L184" s="23">
        <v>303.0</v>
      </c>
    </row>
    <row r="185" ht="14.25" customHeight="1">
      <c r="A185" s="22" t="s">
        <v>26</v>
      </c>
      <c r="B185" s="22" t="s">
        <v>270</v>
      </c>
      <c r="C185" s="22" t="s">
        <v>273</v>
      </c>
      <c r="D185" s="22" t="s">
        <v>273</v>
      </c>
      <c r="E185" s="23">
        <v>40603.0</v>
      </c>
      <c r="F185" s="23">
        <v>117.0</v>
      </c>
      <c r="G185" s="23">
        <v>209.0</v>
      </c>
      <c r="H185" s="23">
        <v>488.0</v>
      </c>
      <c r="I185" s="23">
        <v>344.0</v>
      </c>
      <c r="J185" s="23">
        <v>1158.0</v>
      </c>
      <c r="K185" s="24">
        <f t="shared" si="2"/>
        <v>29.70639033</v>
      </c>
      <c r="L185" s="23">
        <v>117.0</v>
      </c>
    </row>
    <row r="186" ht="14.25" customHeight="1">
      <c r="A186" s="22" t="s">
        <v>26</v>
      </c>
      <c r="B186" s="22" t="s">
        <v>274</v>
      </c>
      <c r="C186" s="22" t="s">
        <v>275</v>
      </c>
      <c r="D186" s="22" t="s">
        <v>276</v>
      </c>
      <c r="E186" s="23">
        <v>40701.0</v>
      </c>
      <c r="F186" s="23">
        <v>266.0</v>
      </c>
      <c r="G186" s="23">
        <v>646.0</v>
      </c>
      <c r="H186" s="23">
        <v>3188.0</v>
      </c>
      <c r="I186" s="23">
        <v>3089.0</v>
      </c>
      <c r="J186" s="23">
        <v>7189.0</v>
      </c>
      <c r="K186" s="24">
        <f t="shared" si="2"/>
        <v>42.96842398</v>
      </c>
      <c r="L186" s="23">
        <v>266.0</v>
      </c>
    </row>
    <row r="187" ht="14.25" customHeight="1">
      <c r="A187" s="22" t="s">
        <v>26</v>
      </c>
      <c r="B187" s="22" t="s">
        <v>274</v>
      </c>
      <c r="C187" s="22" t="s">
        <v>277</v>
      </c>
      <c r="D187" s="22" t="s">
        <v>277</v>
      </c>
      <c r="E187" s="23">
        <v>40702.0</v>
      </c>
      <c r="F187" s="23">
        <v>102.0</v>
      </c>
      <c r="G187" s="23">
        <v>368.0</v>
      </c>
      <c r="H187" s="23">
        <v>558.0</v>
      </c>
      <c r="I187" s="23">
        <v>530.0</v>
      </c>
      <c r="J187" s="23">
        <v>1558.0</v>
      </c>
      <c r="K187" s="24">
        <f t="shared" si="2"/>
        <v>34.01797176</v>
      </c>
      <c r="L187" s="23">
        <v>102.0</v>
      </c>
    </row>
    <row r="188" ht="14.25" customHeight="1">
      <c r="A188" s="22" t="s">
        <v>26</v>
      </c>
      <c r="B188" s="22" t="s">
        <v>278</v>
      </c>
      <c r="C188" s="22" t="s">
        <v>279</v>
      </c>
      <c r="D188" s="22" t="s">
        <v>279</v>
      </c>
      <c r="E188" s="23">
        <v>40801.0</v>
      </c>
      <c r="F188" s="23">
        <v>686.0</v>
      </c>
      <c r="G188" s="23">
        <v>1408.0</v>
      </c>
      <c r="H188" s="23">
        <v>1443.0</v>
      </c>
      <c r="I188" s="23">
        <v>390.0</v>
      </c>
      <c r="J188" s="23">
        <v>3927.0</v>
      </c>
      <c r="K188" s="24">
        <f t="shared" si="2"/>
        <v>9.931245225</v>
      </c>
      <c r="L188" s="23">
        <v>686.0</v>
      </c>
    </row>
    <row r="189" ht="14.25" customHeight="1">
      <c r="A189" s="22" t="s">
        <v>26</v>
      </c>
      <c r="B189" s="22" t="s">
        <v>278</v>
      </c>
      <c r="C189" s="22" t="s">
        <v>280</v>
      </c>
      <c r="D189" s="22" t="s">
        <v>280</v>
      </c>
      <c r="E189" s="23">
        <v>40802.0</v>
      </c>
      <c r="F189" s="23">
        <v>271.0</v>
      </c>
      <c r="G189" s="23">
        <v>363.0</v>
      </c>
      <c r="H189" s="23">
        <v>278.0</v>
      </c>
      <c r="I189" s="23">
        <v>128.0</v>
      </c>
      <c r="J189" s="23">
        <v>1040.0</v>
      </c>
      <c r="K189" s="24">
        <f t="shared" si="2"/>
        <v>12.30769231</v>
      </c>
      <c r="L189" s="23">
        <v>271.0</v>
      </c>
    </row>
    <row r="190" ht="14.25" customHeight="1">
      <c r="A190" s="22" t="s">
        <v>26</v>
      </c>
      <c r="B190" s="22" t="s">
        <v>281</v>
      </c>
      <c r="C190" s="22" t="s">
        <v>281</v>
      </c>
      <c r="D190" s="22" t="s">
        <v>281</v>
      </c>
      <c r="E190" s="23">
        <v>40901.0</v>
      </c>
      <c r="F190" s="23">
        <v>364.0</v>
      </c>
      <c r="G190" s="23">
        <v>607.0</v>
      </c>
      <c r="H190" s="23">
        <v>1055.0</v>
      </c>
      <c r="I190" s="23">
        <v>221.0</v>
      </c>
      <c r="J190" s="23">
        <v>2247.0</v>
      </c>
      <c r="K190" s="24">
        <f t="shared" si="2"/>
        <v>9.835336004</v>
      </c>
      <c r="L190" s="23">
        <v>364.0</v>
      </c>
    </row>
    <row r="191" ht="14.25" customHeight="1">
      <c r="A191" s="22" t="s">
        <v>26</v>
      </c>
      <c r="B191" s="22" t="s">
        <v>281</v>
      </c>
      <c r="C191" s="22" t="s">
        <v>282</v>
      </c>
      <c r="D191" s="22" t="s">
        <v>282</v>
      </c>
      <c r="E191" s="23">
        <v>40902.0</v>
      </c>
      <c r="F191" s="23">
        <v>54.0</v>
      </c>
      <c r="G191" s="23">
        <v>154.0</v>
      </c>
      <c r="H191" s="23">
        <v>41.0</v>
      </c>
      <c r="I191" s="23">
        <v>4.0</v>
      </c>
      <c r="J191" s="23">
        <v>253.0</v>
      </c>
      <c r="K191" s="24">
        <f t="shared" si="2"/>
        <v>1.581027668</v>
      </c>
      <c r="L191" s="23">
        <v>54.0</v>
      </c>
    </row>
    <row r="192" ht="14.25" customHeight="1">
      <c r="A192" s="22" t="s">
        <v>26</v>
      </c>
      <c r="B192" s="22" t="s">
        <v>281</v>
      </c>
      <c r="C192" s="22" t="s">
        <v>283</v>
      </c>
      <c r="D192" s="22" t="s">
        <v>283</v>
      </c>
      <c r="E192" s="23">
        <v>40903.0</v>
      </c>
      <c r="F192" s="23">
        <v>58.0</v>
      </c>
      <c r="G192" s="23">
        <v>214.0</v>
      </c>
      <c r="H192" s="23">
        <v>210.0</v>
      </c>
      <c r="I192" s="23">
        <v>108.0</v>
      </c>
      <c r="J192" s="23">
        <v>590.0</v>
      </c>
      <c r="K192" s="24">
        <f t="shared" si="2"/>
        <v>18.30508475</v>
      </c>
      <c r="L192" s="23">
        <v>58.0</v>
      </c>
    </row>
    <row r="193" ht="14.25" customHeight="1">
      <c r="A193" s="22" t="s">
        <v>26</v>
      </c>
      <c r="B193" s="22" t="s">
        <v>284</v>
      </c>
      <c r="C193" s="22" t="s">
        <v>285</v>
      </c>
      <c r="D193" s="22" t="s">
        <v>285</v>
      </c>
      <c r="E193" s="23">
        <v>41001.0</v>
      </c>
      <c r="F193" s="23">
        <v>2368.0</v>
      </c>
      <c r="G193" s="23">
        <v>1244.0</v>
      </c>
      <c r="H193" s="23">
        <v>534.0</v>
      </c>
      <c r="I193" s="23">
        <v>185.0</v>
      </c>
      <c r="J193" s="23">
        <v>4331.0</v>
      </c>
      <c r="K193" s="24">
        <f t="shared" si="2"/>
        <v>4.271530824</v>
      </c>
      <c r="L193" s="23">
        <v>2368.0</v>
      </c>
    </row>
    <row r="194" ht="14.25" customHeight="1">
      <c r="A194" s="22" t="s">
        <v>26</v>
      </c>
      <c r="B194" s="22" t="s">
        <v>286</v>
      </c>
      <c r="C194" s="22" t="s">
        <v>287</v>
      </c>
      <c r="D194" s="22" t="s">
        <v>287</v>
      </c>
      <c r="E194" s="23">
        <v>41101.0</v>
      </c>
      <c r="F194" s="23">
        <v>218.0</v>
      </c>
      <c r="G194" s="23">
        <v>408.0</v>
      </c>
      <c r="H194" s="23">
        <v>1052.0</v>
      </c>
      <c r="I194" s="23">
        <v>220.0</v>
      </c>
      <c r="J194" s="23">
        <v>1898.0</v>
      </c>
      <c r="K194" s="24">
        <f t="shared" si="2"/>
        <v>11.59114858</v>
      </c>
      <c r="L194" s="23">
        <v>218.0</v>
      </c>
    </row>
    <row r="195" ht="14.25" customHeight="1">
      <c r="A195" s="22" t="s">
        <v>26</v>
      </c>
      <c r="B195" s="22" t="s">
        <v>288</v>
      </c>
      <c r="C195" s="22" t="s">
        <v>289</v>
      </c>
      <c r="D195" s="22" t="s">
        <v>290</v>
      </c>
      <c r="E195" s="23">
        <v>41201.0</v>
      </c>
      <c r="F195" s="23">
        <v>768.0</v>
      </c>
      <c r="G195" s="23">
        <v>628.0</v>
      </c>
      <c r="H195" s="23">
        <v>501.0</v>
      </c>
      <c r="I195" s="23">
        <v>95.0</v>
      </c>
      <c r="J195" s="23">
        <v>1992.0</v>
      </c>
      <c r="K195" s="24">
        <f t="shared" si="2"/>
        <v>4.769076305</v>
      </c>
      <c r="L195" s="23">
        <v>768.0</v>
      </c>
    </row>
    <row r="196" ht="14.25" customHeight="1">
      <c r="A196" s="22" t="s">
        <v>26</v>
      </c>
      <c r="B196" s="22" t="s">
        <v>288</v>
      </c>
      <c r="C196" s="22" t="s">
        <v>291</v>
      </c>
      <c r="D196" s="22" t="s">
        <v>291</v>
      </c>
      <c r="E196" s="23">
        <v>41202.0</v>
      </c>
      <c r="F196" s="23">
        <v>169.0</v>
      </c>
      <c r="G196" s="23">
        <v>236.0</v>
      </c>
      <c r="H196" s="23">
        <v>306.0</v>
      </c>
      <c r="I196" s="23">
        <v>17.0</v>
      </c>
      <c r="J196" s="23">
        <v>728.0</v>
      </c>
      <c r="K196" s="24">
        <f t="shared" si="2"/>
        <v>2.335164835</v>
      </c>
      <c r="L196" s="23">
        <v>169.0</v>
      </c>
    </row>
    <row r="197" ht="14.25" customHeight="1">
      <c r="A197" s="22" t="s">
        <v>26</v>
      </c>
      <c r="B197" s="22" t="s">
        <v>292</v>
      </c>
      <c r="C197" s="22" t="s">
        <v>229</v>
      </c>
      <c r="D197" s="22" t="s">
        <v>229</v>
      </c>
      <c r="E197" s="23">
        <v>41301.0</v>
      </c>
      <c r="F197" s="23">
        <v>755.0</v>
      </c>
      <c r="G197" s="23">
        <v>594.0</v>
      </c>
      <c r="H197" s="23">
        <v>433.0</v>
      </c>
      <c r="I197" s="23">
        <v>104.0</v>
      </c>
      <c r="J197" s="23">
        <v>1886.0</v>
      </c>
      <c r="K197" s="24">
        <f t="shared" si="2"/>
        <v>5.514316013</v>
      </c>
      <c r="L197" s="23">
        <v>755.0</v>
      </c>
    </row>
    <row r="198" ht="14.25" customHeight="1">
      <c r="A198" s="22" t="s">
        <v>26</v>
      </c>
      <c r="B198" s="22" t="s">
        <v>293</v>
      </c>
      <c r="C198" s="22" t="s">
        <v>294</v>
      </c>
      <c r="D198" s="22" t="s">
        <v>294</v>
      </c>
      <c r="E198" s="23">
        <v>41401.0</v>
      </c>
      <c r="F198" s="23">
        <v>1133.0</v>
      </c>
      <c r="G198" s="23">
        <v>1081.0</v>
      </c>
      <c r="H198" s="23">
        <v>1255.0</v>
      </c>
      <c r="I198" s="23">
        <v>833.0</v>
      </c>
      <c r="J198" s="23">
        <v>4302.0</v>
      </c>
      <c r="K198" s="24">
        <f t="shared" si="2"/>
        <v>19.36308694</v>
      </c>
      <c r="L198" s="23">
        <v>1133.0</v>
      </c>
    </row>
    <row r="199" ht="14.25" customHeight="1">
      <c r="A199" s="22" t="s">
        <v>26</v>
      </c>
      <c r="B199" s="22" t="s">
        <v>295</v>
      </c>
      <c r="C199" s="22" t="s">
        <v>296</v>
      </c>
      <c r="D199" s="22" t="s">
        <v>296</v>
      </c>
      <c r="E199" s="23">
        <v>41501.0</v>
      </c>
      <c r="F199" s="23">
        <v>60.0</v>
      </c>
      <c r="G199" s="23">
        <v>69.0</v>
      </c>
      <c r="H199" s="23">
        <v>24.0</v>
      </c>
      <c r="I199" s="23">
        <v>28.0</v>
      </c>
      <c r="J199" s="23">
        <v>181.0</v>
      </c>
      <c r="K199" s="24">
        <f t="shared" si="2"/>
        <v>15.46961326</v>
      </c>
      <c r="L199" s="23">
        <v>60.0</v>
      </c>
    </row>
    <row r="200" ht="14.25" customHeight="1">
      <c r="A200" s="22" t="s">
        <v>26</v>
      </c>
      <c r="B200" s="22" t="s">
        <v>295</v>
      </c>
      <c r="C200" s="22" t="s">
        <v>297</v>
      </c>
      <c r="D200" s="22" t="s">
        <v>297</v>
      </c>
      <c r="E200" s="23">
        <v>41502.0</v>
      </c>
      <c r="F200" s="23">
        <v>86.0</v>
      </c>
      <c r="G200" s="23">
        <v>52.0</v>
      </c>
      <c r="H200" s="23">
        <v>31.0</v>
      </c>
      <c r="I200" s="23">
        <v>24.0</v>
      </c>
      <c r="J200" s="23">
        <v>193.0</v>
      </c>
      <c r="K200" s="24">
        <f t="shared" si="2"/>
        <v>12.43523316</v>
      </c>
      <c r="L200" s="23">
        <v>86.0</v>
      </c>
    </row>
    <row r="201" ht="14.25" customHeight="1">
      <c r="A201" s="22" t="s">
        <v>26</v>
      </c>
      <c r="B201" s="22" t="s">
        <v>295</v>
      </c>
      <c r="C201" s="22" t="s">
        <v>258</v>
      </c>
      <c r="D201" s="22" t="s">
        <v>258</v>
      </c>
      <c r="E201" s="23">
        <v>41503.0</v>
      </c>
      <c r="F201" s="23">
        <v>103.0</v>
      </c>
      <c r="G201" s="23">
        <v>79.0</v>
      </c>
      <c r="H201" s="23">
        <v>60.0</v>
      </c>
      <c r="I201" s="23">
        <v>3.0</v>
      </c>
      <c r="J201" s="23">
        <v>245.0</v>
      </c>
      <c r="K201" s="24">
        <f t="shared" si="2"/>
        <v>1.224489796</v>
      </c>
      <c r="L201" s="23">
        <v>103.0</v>
      </c>
    </row>
    <row r="202" ht="14.25" customHeight="1">
      <c r="A202" s="22" t="s">
        <v>26</v>
      </c>
      <c r="B202" s="22" t="s">
        <v>298</v>
      </c>
      <c r="C202" s="22" t="s">
        <v>299</v>
      </c>
      <c r="D202" s="22" t="s">
        <v>300</v>
      </c>
      <c r="E202" s="23">
        <v>41601.0</v>
      </c>
      <c r="F202" s="23">
        <v>1097.0</v>
      </c>
      <c r="G202" s="23">
        <v>539.0</v>
      </c>
      <c r="H202" s="23">
        <v>522.0</v>
      </c>
      <c r="I202" s="23">
        <v>96.0</v>
      </c>
      <c r="J202" s="23">
        <v>2254.0</v>
      </c>
      <c r="K202" s="24">
        <f t="shared" si="2"/>
        <v>4.259094942</v>
      </c>
      <c r="L202" s="23">
        <v>1097.0</v>
      </c>
    </row>
    <row r="203" ht="14.25" customHeight="1">
      <c r="A203" s="22" t="s">
        <v>29</v>
      </c>
      <c r="B203" s="22" t="s">
        <v>301</v>
      </c>
      <c r="C203" s="22" t="s">
        <v>29</v>
      </c>
      <c r="D203" s="22" t="s">
        <v>29</v>
      </c>
      <c r="E203" s="23">
        <v>50101.0</v>
      </c>
      <c r="F203" s="23">
        <v>1117.0</v>
      </c>
      <c r="G203" s="23">
        <v>2857.0</v>
      </c>
      <c r="H203" s="23">
        <v>6464.0</v>
      </c>
      <c r="I203" s="23">
        <v>41168.0</v>
      </c>
      <c r="J203" s="23">
        <v>51606.0</v>
      </c>
      <c r="K203" s="24">
        <f t="shared" si="2"/>
        <v>79.77366973</v>
      </c>
      <c r="L203" s="23">
        <v>1117.0</v>
      </c>
    </row>
    <row r="204" ht="14.25" customHeight="1">
      <c r="A204" s="22" t="s">
        <v>29</v>
      </c>
      <c r="B204" s="22" t="s">
        <v>301</v>
      </c>
      <c r="C204" s="22" t="s">
        <v>302</v>
      </c>
      <c r="D204" s="22" t="s">
        <v>302</v>
      </c>
      <c r="E204" s="23">
        <v>50102.0</v>
      </c>
      <c r="F204" s="23">
        <v>2087.0</v>
      </c>
      <c r="G204" s="23">
        <v>2799.0</v>
      </c>
      <c r="H204" s="23">
        <v>2205.0</v>
      </c>
      <c r="I204" s="23">
        <v>454.0</v>
      </c>
      <c r="J204" s="23">
        <v>7545.0</v>
      </c>
      <c r="K204" s="24">
        <f t="shared" si="2"/>
        <v>6.017229954</v>
      </c>
      <c r="L204" s="23">
        <v>2087.0</v>
      </c>
    </row>
    <row r="205" ht="14.25" customHeight="1">
      <c r="A205" s="22" t="s">
        <v>29</v>
      </c>
      <c r="B205" s="22" t="s">
        <v>301</v>
      </c>
      <c r="C205" s="22" t="s">
        <v>303</v>
      </c>
      <c r="D205" s="22" t="s">
        <v>304</v>
      </c>
      <c r="E205" s="23">
        <v>50103.0</v>
      </c>
      <c r="F205" s="23">
        <v>279.0</v>
      </c>
      <c r="G205" s="23">
        <v>436.0</v>
      </c>
      <c r="H205" s="23">
        <v>1396.0</v>
      </c>
      <c r="I205" s="23">
        <v>805.0</v>
      </c>
      <c r="J205" s="23">
        <v>2916.0</v>
      </c>
      <c r="K205" s="24">
        <f t="shared" si="2"/>
        <v>27.60631001</v>
      </c>
      <c r="L205" s="23">
        <v>279.0</v>
      </c>
    </row>
    <row r="206" ht="14.25" customHeight="1">
      <c r="A206" s="22" t="s">
        <v>29</v>
      </c>
      <c r="B206" s="22" t="s">
        <v>301</v>
      </c>
      <c r="C206" s="22" t="s">
        <v>305</v>
      </c>
      <c r="D206" s="22" t="s">
        <v>306</v>
      </c>
      <c r="E206" s="23">
        <v>50104.0</v>
      </c>
      <c r="F206" s="23">
        <v>408.0</v>
      </c>
      <c r="G206" s="23">
        <v>277.0</v>
      </c>
      <c r="H206" s="23">
        <v>361.0</v>
      </c>
      <c r="I206" s="23">
        <v>56.0</v>
      </c>
      <c r="J206" s="23">
        <v>1102.0</v>
      </c>
      <c r="K206" s="24">
        <f t="shared" si="2"/>
        <v>5.081669691</v>
      </c>
      <c r="L206" s="23">
        <v>408.0</v>
      </c>
    </row>
    <row r="207" ht="14.25" customHeight="1">
      <c r="A207" s="22" t="s">
        <v>29</v>
      </c>
      <c r="B207" s="22" t="s">
        <v>307</v>
      </c>
      <c r="C207" s="22" t="s">
        <v>308</v>
      </c>
      <c r="D207" s="22" t="s">
        <v>308</v>
      </c>
      <c r="E207" s="23">
        <v>50201.0</v>
      </c>
      <c r="F207" s="23">
        <v>537.0</v>
      </c>
      <c r="G207" s="23">
        <v>1490.0</v>
      </c>
      <c r="H207" s="23">
        <v>2415.0</v>
      </c>
      <c r="I207" s="23">
        <v>2178.0</v>
      </c>
      <c r="J207" s="23">
        <v>6620.0</v>
      </c>
      <c r="K207" s="24">
        <f t="shared" si="2"/>
        <v>32.90030211</v>
      </c>
      <c r="L207" s="23">
        <v>537.0</v>
      </c>
    </row>
    <row r="208" ht="14.25" customHeight="1">
      <c r="A208" s="22" t="s">
        <v>29</v>
      </c>
      <c r="B208" s="22" t="s">
        <v>307</v>
      </c>
      <c r="C208" s="22" t="s">
        <v>309</v>
      </c>
      <c r="D208" s="22" t="s">
        <v>309</v>
      </c>
      <c r="E208" s="23">
        <v>50202.0</v>
      </c>
      <c r="F208" s="23">
        <v>273.0</v>
      </c>
      <c r="G208" s="23">
        <v>969.0</v>
      </c>
      <c r="H208" s="23">
        <v>2573.0</v>
      </c>
      <c r="I208" s="23">
        <v>852.0</v>
      </c>
      <c r="J208" s="23">
        <v>4667.0</v>
      </c>
      <c r="K208" s="24">
        <f t="shared" si="2"/>
        <v>18.25583887</v>
      </c>
      <c r="L208" s="23">
        <v>273.0</v>
      </c>
    </row>
    <row r="209" ht="14.25" customHeight="1">
      <c r="A209" s="22" t="s">
        <v>29</v>
      </c>
      <c r="B209" s="22" t="s">
        <v>307</v>
      </c>
      <c r="C209" s="22" t="s">
        <v>310</v>
      </c>
      <c r="D209" s="22" t="s">
        <v>310</v>
      </c>
      <c r="E209" s="23">
        <v>50203.0</v>
      </c>
      <c r="F209" s="23">
        <v>509.0</v>
      </c>
      <c r="G209" s="23">
        <v>1630.0</v>
      </c>
      <c r="H209" s="23">
        <v>3689.0</v>
      </c>
      <c r="I209" s="23">
        <v>6581.0</v>
      </c>
      <c r="J209" s="23">
        <v>12409.0</v>
      </c>
      <c r="K209" s="24">
        <f t="shared" si="2"/>
        <v>53.03408816</v>
      </c>
      <c r="L209" s="23">
        <v>509.0</v>
      </c>
    </row>
    <row r="210" ht="14.25" customHeight="1">
      <c r="A210" s="22" t="s">
        <v>29</v>
      </c>
      <c r="B210" s="22" t="s">
        <v>307</v>
      </c>
      <c r="C210" s="22" t="s">
        <v>311</v>
      </c>
      <c r="D210" s="22" t="s">
        <v>311</v>
      </c>
      <c r="E210" s="23">
        <v>50204.0</v>
      </c>
      <c r="F210" s="23">
        <v>372.0</v>
      </c>
      <c r="G210" s="23">
        <v>634.0</v>
      </c>
      <c r="H210" s="23">
        <v>1153.0</v>
      </c>
      <c r="I210" s="23">
        <v>110.0</v>
      </c>
      <c r="J210" s="23">
        <v>2269.0</v>
      </c>
      <c r="K210" s="24">
        <f t="shared" si="2"/>
        <v>4.847950639</v>
      </c>
      <c r="L210" s="23">
        <v>372.0</v>
      </c>
    </row>
    <row r="211" ht="14.25" customHeight="1">
      <c r="A211" s="22" t="s">
        <v>29</v>
      </c>
      <c r="B211" s="22" t="s">
        <v>312</v>
      </c>
      <c r="C211" s="22" t="s">
        <v>313</v>
      </c>
      <c r="D211" s="22" t="s">
        <v>314</v>
      </c>
      <c r="E211" s="23">
        <v>50301.0</v>
      </c>
      <c r="F211" s="23">
        <v>1958.0</v>
      </c>
      <c r="G211" s="23">
        <v>3009.0</v>
      </c>
      <c r="H211" s="23">
        <v>2615.0</v>
      </c>
      <c r="I211" s="23">
        <v>2139.0</v>
      </c>
      <c r="J211" s="23">
        <v>9721.0</v>
      </c>
      <c r="K211" s="24">
        <f t="shared" si="2"/>
        <v>22.00390906</v>
      </c>
      <c r="L211" s="23">
        <v>1958.0</v>
      </c>
    </row>
    <row r="212" ht="14.25" customHeight="1">
      <c r="A212" s="22" t="s">
        <v>29</v>
      </c>
      <c r="B212" s="22" t="s">
        <v>312</v>
      </c>
      <c r="C212" s="22" t="s">
        <v>315</v>
      </c>
      <c r="D212" s="22" t="s">
        <v>315</v>
      </c>
      <c r="E212" s="23">
        <v>50302.0</v>
      </c>
      <c r="F212" s="23">
        <v>622.0</v>
      </c>
      <c r="G212" s="23">
        <v>919.0</v>
      </c>
      <c r="H212" s="23">
        <v>1017.0</v>
      </c>
      <c r="I212" s="23">
        <v>664.0</v>
      </c>
      <c r="J212" s="23">
        <v>3222.0</v>
      </c>
      <c r="K212" s="24">
        <f t="shared" si="2"/>
        <v>20.60831782</v>
      </c>
      <c r="L212" s="23">
        <v>622.0</v>
      </c>
    </row>
    <row r="213" ht="14.25" customHeight="1">
      <c r="A213" s="22" t="s">
        <v>29</v>
      </c>
      <c r="B213" s="22" t="s">
        <v>312</v>
      </c>
      <c r="C213" s="22" t="s">
        <v>316</v>
      </c>
      <c r="D213" s="22" t="s">
        <v>316</v>
      </c>
      <c r="E213" s="23">
        <v>50303.0</v>
      </c>
      <c r="F213" s="23">
        <v>1863.0</v>
      </c>
      <c r="G213" s="23">
        <v>1277.0</v>
      </c>
      <c r="H213" s="23">
        <v>694.0</v>
      </c>
      <c r="I213" s="23">
        <v>63.0</v>
      </c>
      <c r="J213" s="23">
        <v>3897.0</v>
      </c>
      <c r="K213" s="24">
        <f t="shared" si="2"/>
        <v>1.616628176</v>
      </c>
      <c r="L213" s="23">
        <v>1863.0</v>
      </c>
    </row>
    <row r="214" ht="14.25" customHeight="1">
      <c r="A214" s="22" t="s">
        <v>29</v>
      </c>
      <c r="B214" s="22" t="s">
        <v>309</v>
      </c>
      <c r="C214" s="22" t="s">
        <v>317</v>
      </c>
      <c r="D214" s="22" t="s">
        <v>317</v>
      </c>
      <c r="E214" s="23">
        <v>50401.0</v>
      </c>
      <c r="F214" s="23">
        <v>919.0</v>
      </c>
      <c r="G214" s="23">
        <v>1384.0</v>
      </c>
      <c r="H214" s="23">
        <v>1308.0</v>
      </c>
      <c r="I214" s="23">
        <v>675.0</v>
      </c>
      <c r="J214" s="23">
        <v>4286.0</v>
      </c>
      <c r="K214" s="24">
        <f t="shared" si="2"/>
        <v>15.74895007</v>
      </c>
      <c r="L214" s="23">
        <v>919.0</v>
      </c>
    </row>
    <row r="215" ht="14.25" customHeight="1">
      <c r="A215" s="22" t="s">
        <v>29</v>
      </c>
      <c r="B215" s="22" t="s">
        <v>309</v>
      </c>
      <c r="C215" s="22" t="s">
        <v>318</v>
      </c>
      <c r="D215" s="22" t="s">
        <v>318</v>
      </c>
      <c r="E215" s="23">
        <v>50402.0</v>
      </c>
      <c r="F215" s="23">
        <v>1664.0</v>
      </c>
      <c r="G215" s="23">
        <v>2462.0</v>
      </c>
      <c r="H215" s="23">
        <v>1513.0</v>
      </c>
      <c r="I215" s="23">
        <v>1046.0</v>
      </c>
      <c r="J215" s="23">
        <v>6685.0</v>
      </c>
      <c r="K215" s="24">
        <f t="shared" si="2"/>
        <v>15.64697083</v>
      </c>
      <c r="L215" s="23">
        <v>1664.0</v>
      </c>
    </row>
    <row r="216" ht="14.25" customHeight="1">
      <c r="A216" s="22" t="s">
        <v>29</v>
      </c>
      <c r="B216" s="22" t="s">
        <v>309</v>
      </c>
      <c r="C216" s="22" t="s">
        <v>319</v>
      </c>
      <c r="D216" s="22" t="s">
        <v>319</v>
      </c>
      <c r="E216" s="23">
        <v>50403.0</v>
      </c>
      <c r="F216" s="23">
        <v>2044.0</v>
      </c>
      <c r="G216" s="23">
        <v>3086.0</v>
      </c>
      <c r="H216" s="23">
        <v>2696.0</v>
      </c>
      <c r="I216" s="23">
        <v>610.0</v>
      </c>
      <c r="J216" s="23">
        <v>8436.0</v>
      </c>
      <c r="K216" s="24">
        <f t="shared" si="2"/>
        <v>7.230915126</v>
      </c>
      <c r="L216" s="23">
        <v>2044.0</v>
      </c>
    </row>
    <row r="217" ht="14.25" customHeight="1">
      <c r="A217" s="22" t="s">
        <v>29</v>
      </c>
      <c r="B217" s="22" t="s">
        <v>309</v>
      </c>
      <c r="C217" s="22" t="s">
        <v>320</v>
      </c>
      <c r="D217" s="22" t="s">
        <v>320</v>
      </c>
      <c r="E217" s="23">
        <v>50404.0</v>
      </c>
      <c r="F217" s="23">
        <v>1480.0</v>
      </c>
      <c r="G217" s="23">
        <v>1715.0</v>
      </c>
      <c r="H217" s="23">
        <v>1325.0</v>
      </c>
      <c r="I217" s="23">
        <v>573.0</v>
      </c>
      <c r="J217" s="23">
        <v>5093.0</v>
      </c>
      <c r="K217" s="24">
        <f t="shared" si="2"/>
        <v>11.2507363</v>
      </c>
      <c r="L217" s="23">
        <v>1480.0</v>
      </c>
    </row>
    <row r="218" ht="14.25" customHeight="1">
      <c r="A218" s="22" t="s">
        <v>29</v>
      </c>
      <c r="B218" s="22" t="s">
        <v>309</v>
      </c>
      <c r="C218" s="22" t="s">
        <v>321</v>
      </c>
      <c r="D218" s="22" t="s">
        <v>321</v>
      </c>
      <c r="E218" s="37">
        <v>50405.0</v>
      </c>
      <c r="F218" s="23">
        <v>1242.0</v>
      </c>
      <c r="G218" s="23">
        <v>2152.0</v>
      </c>
      <c r="H218" s="23">
        <v>2152.0</v>
      </c>
      <c r="I218" s="23">
        <v>818.0</v>
      </c>
      <c r="J218" s="23">
        <v>6364.0</v>
      </c>
      <c r="K218" s="24">
        <v>14.018779342723004</v>
      </c>
      <c r="L218" s="23">
        <v>1242.0</v>
      </c>
    </row>
    <row r="219" ht="14.25" customHeight="1">
      <c r="A219" s="22" t="s">
        <v>29</v>
      </c>
      <c r="B219" s="22" t="s">
        <v>322</v>
      </c>
      <c r="C219" s="22" t="s">
        <v>323</v>
      </c>
      <c r="D219" s="22" t="s">
        <v>323</v>
      </c>
      <c r="E219" s="23">
        <v>50501.0</v>
      </c>
      <c r="F219" s="23">
        <v>2967.0</v>
      </c>
      <c r="G219" s="23">
        <v>3653.0</v>
      </c>
      <c r="H219" s="23">
        <v>1241.0</v>
      </c>
      <c r="I219" s="23">
        <v>416.0</v>
      </c>
      <c r="J219" s="23">
        <v>8277.0</v>
      </c>
      <c r="K219" s="24">
        <f t="shared" ref="K219:K347" si="14">(I219/J219)*100</f>
        <v>5.025975595</v>
      </c>
      <c r="L219" s="23">
        <v>2967.0</v>
      </c>
    </row>
    <row r="220" ht="14.25" customHeight="1">
      <c r="A220" s="22" t="s">
        <v>29</v>
      </c>
      <c r="B220" s="22" t="s">
        <v>322</v>
      </c>
      <c r="C220" s="22" t="s">
        <v>324</v>
      </c>
      <c r="D220" s="22" t="s">
        <v>324</v>
      </c>
      <c r="E220" s="23">
        <v>50502.0</v>
      </c>
      <c r="F220" s="38">
        <v>906.0</v>
      </c>
      <c r="G220" s="38">
        <v>1368.0</v>
      </c>
      <c r="H220" s="38">
        <v>699.0</v>
      </c>
      <c r="I220" s="38">
        <v>538.0</v>
      </c>
      <c r="J220" s="38">
        <v>3511.0</v>
      </c>
      <c r="K220" s="39">
        <f t="shared" si="14"/>
        <v>15.32326972</v>
      </c>
      <c r="L220" s="23">
        <v>906.0</v>
      </c>
    </row>
    <row r="221" ht="14.25" customHeight="1">
      <c r="A221" s="22" t="s">
        <v>29</v>
      </c>
      <c r="B221" s="22" t="s">
        <v>325</v>
      </c>
      <c r="C221" s="22" t="s">
        <v>326</v>
      </c>
      <c r="D221" s="22" t="s">
        <v>326</v>
      </c>
      <c r="E221" s="23">
        <v>50601.0</v>
      </c>
      <c r="F221" s="23">
        <v>1796.0</v>
      </c>
      <c r="G221" s="23">
        <v>2453.0</v>
      </c>
      <c r="H221" s="23">
        <v>3227.0</v>
      </c>
      <c r="I221" s="23">
        <v>1995.0</v>
      </c>
      <c r="J221" s="23">
        <v>9471.0</v>
      </c>
      <c r="K221" s="24">
        <f t="shared" si="14"/>
        <v>21.06430155</v>
      </c>
      <c r="L221" s="23">
        <v>1796.0</v>
      </c>
    </row>
    <row r="222" ht="14.25" customHeight="1">
      <c r="A222" s="22" t="s">
        <v>29</v>
      </c>
      <c r="B222" s="22" t="s">
        <v>325</v>
      </c>
      <c r="C222" s="22" t="s">
        <v>327</v>
      </c>
      <c r="D222" s="22" t="s">
        <v>327</v>
      </c>
      <c r="E222" s="23">
        <v>50602.0</v>
      </c>
      <c r="F222" s="23">
        <v>495.0</v>
      </c>
      <c r="G222" s="23">
        <v>688.0</v>
      </c>
      <c r="H222" s="23">
        <v>1191.0</v>
      </c>
      <c r="I222" s="23">
        <v>750.0</v>
      </c>
      <c r="J222" s="23">
        <v>3124.0</v>
      </c>
      <c r="K222" s="24">
        <f t="shared" si="14"/>
        <v>24.00768246</v>
      </c>
      <c r="L222" s="23">
        <v>495.0</v>
      </c>
    </row>
    <row r="223" ht="14.25" customHeight="1">
      <c r="A223" s="22" t="s">
        <v>29</v>
      </c>
      <c r="B223" s="22" t="s">
        <v>328</v>
      </c>
      <c r="C223" s="22" t="s">
        <v>329</v>
      </c>
      <c r="D223" s="22" t="s">
        <v>330</v>
      </c>
      <c r="E223" s="23">
        <v>50701.0</v>
      </c>
      <c r="F223" s="23">
        <v>919.0</v>
      </c>
      <c r="G223" s="23">
        <v>1790.0</v>
      </c>
      <c r="H223" s="23">
        <v>2139.0</v>
      </c>
      <c r="I223" s="23">
        <v>770.0</v>
      </c>
      <c r="J223" s="23">
        <v>5618.0</v>
      </c>
      <c r="K223" s="24">
        <f t="shared" si="14"/>
        <v>13.70594518</v>
      </c>
      <c r="L223" s="23">
        <v>919.0</v>
      </c>
    </row>
    <row r="224" ht="14.25" customHeight="1">
      <c r="A224" s="22" t="s">
        <v>29</v>
      </c>
      <c r="B224" s="22" t="s">
        <v>328</v>
      </c>
      <c r="C224" s="22" t="s">
        <v>331</v>
      </c>
      <c r="D224" s="22" t="s">
        <v>331</v>
      </c>
      <c r="E224" s="23">
        <v>50702.0</v>
      </c>
      <c r="F224" s="23">
        <v>247.0</v>
      </c>
      <c r="G224" s="23">
        <v>1186.0</v>
      </c>
      <c r="H224" s="23">
        <v>1081.0</v>
      </c>
      <c r="I224" s="23">
        <v>227.0</v>
      </c>
      <c r="J224" s="23">
        <v>2741.0</v>
      </c>
      <c r="K224" s="24">
        <f t="shared" si="14"/>
        <v>8.281649033</v>
      </c>
      <c r="L224" s="23">
        <v>247.0</v>
      </c>
    </row>
    <row r="225" ht="14.25" customHeight="1">
      <c r="A225" s="22" t="s">
        <v>29</v>
      </c>
      <c r="B225" s="22" t="s">
        <v>332</v>
      </c>
      <c r="C225" s="22" t="s">
        <v>333</v>
      </c>
      <c r="D225" s="22" t="s">
        <v>333</v>
      </c>
      <c r="E225" s="23">
        <v>50801.0</v>
      </c>
      <c r="F225" s="23">
        <v>1151.0</v>
      </c>
      <c r="G225" s="23">
        <v>1540.0</v>
      </c>
      <c r="H225" s="23">
        <v>2761.0</v>
      </c>
      <c r="I225" s="23">
        <v>7867.0</v>
      </c>
      <c r="J225" s="23">
        <v>13319.0</v>
      </c>
      <c r="K225" s="24">
        <f t="shared" si="14"/>
        <v>59.06599595</v>
      </c>
      <c r="L225" s="23">
        <v>1151.0</v>
      </c>
    </row>
    <row r="226" ht="14.25" customHeight="1">
      <c r="A226" s="22" t="s">
        <v>29</v>
      </c>
      <c r="B226" s="22" t="s">
        <v>332</v>
      </c>
      <c r="C226" s="22" t="s">
        <v>334</v>
      </c>
      <c r="D226" s="22" t="s">
        <v>334</v>
      </c>
      <c r="E226" s="23">
        <v>50802.0</v>
      </c>
      <c r="F226" s="23">
        <v>176.0</v>
      </c>
      <c r="G226" s="23">
        <v>340.0</v>
      </c>
      <c r="H226" s="23">
        <v>2332.0</v>
      </c>
      <c r="I226" s="23">
        <v>728.0</v>
      </c>
      <c r="J226" s="23">
        <v>3576.0</v>
      </c>
      <c r="K226" s="24">
        <f t="shared" si="14"/>
        <v>20.35794183</v>
      </c>
      <c r="L226" s="23">
        <v>176.0</v>
      </c>
    </row>
    <row r="227" ht="14.25" customHeight="1">
      <c r="A227" s="22" t="s">
        <v>29</v>
      </c>
      <c r="B227" s="22" t="s">
        <v>335</v>
      </c>
      <c r="C227" s="22" t="s">
        <v>336</v>
      </c>
      <c r="D227" s="22" t="s">
        <v>337</v>
      </c>
      <c r="E227" s="23">
        <v>50901.0</v>
      </c>
      <c r="F227" s="23">
        <v>393.0</v>
      </c>
      <c r="G227" s="23">
        <v>726.0</v>
      </c>
      <c r="H227" s="23">
        <v>1273.0</v>
      </c>
      <c r="I227" s="23">
        <v>915.0</v>
      </c>
      <c r="J227" s="23">
        <v>3307.0</v>
      </c>
      <c r="K227" s="24">
        <f t="shared" si="14"/>
        <v>27.6685818</v>
      </c>
      <c r="L227" s="23">
        <v>393.0</v>
      </c>
    </row>
    <row r="228" ht="14.25" customHeight="1">
      <c r="A228" s="22" t="s">
        <v>29</v>
      </c>
      <c r="B228" s="22" t="s">
        <v>335</v>
      </c>
      <c r="C228" s="22" t="s">
        <v>338</v>
      </c>
      <c r="D228" s="22" t="s">
        <v>339</v>
      </c>
      <c r="E228" s="23">
        <v>50902.0</v>
      </c>
      <c r="F228" s="23">
        <v>88.0</v>
      </c>
      <c r="G228" s="23">
        <v>70.0</v>
      </c>
      <c r="H228" s="23">
        <v>136.0</v>
      </c>
      <c r="I228" s="23">
        <v>78.0</v>
      </c>
      <c r="J228" s="23">
        <v>372.0</v>
      </c>
      <c r="K228" s="24">
        <f t="shared" si="14"/>
        <v>20.96774194</v>
      </c>
      <c r="L228" s="23">
        <v>88.0</v>
      </c>
    </row>
    <row r="229" ht="14.25" customHeight="1">
      <c r="A229" s="22" t="s">
        <v>29</v>
      </c>
      <c r="B229" s="22" t="s">
        <v>340</v>
      </c>
      <c r="C229" s="22" t="s">
        <v>341</v>
      </c>
      <c r="D229" s="22" t="s">
        <v>342</v>
      </c>
      <c r="E229" s="23">
        <v>51001.0</v>
      </c>
      <c r="F229" s="23">
        <v>138.0</v>
      </c>
      <c r="G229" s="23">
        <v>234.0</v>
      </c>
      <c r="H229" s="23">
        <v>354.0</v>
      </c>
      <c r="I229" s="23">
        <v>145.0</v>
      </c>
      <c r="J229" s="23">
        <v>871.0</v>
      </c>
      <c r="K229" s="24">
        <f t="shared" si="14"/>
        <v>16.64753157</v>
      </c>
      <c r="L229" s="23">
        <v>138.0</v>
      </c>
    </row>
    <row r="230" ht="14.25" customHeight="1">
      <c r="A230" s="22" t="s">
        <v>29</v>
      </c>
      <c r="B230" s="22" t="s">
        <v>340</v>
      </c>
      <c r="C230" s="22" t="s">
        <v>343</v>
      </c>
      <c r="D230" s="22" t="s">
        <v>343</v>
      </c>
      <c r="E230" s="23">
        <v>51002.0</v>
      </c>
      <c r="F230" s="23">
        <v>162.0</v>
      </c>
      <c r="G230" s="23">
        <v>74.0</v>
      </c>
      <c r="H230" s="23">
        <v>64.0</v>
      </c>
      <c r="I230" s="23">
        <v>58.0</v>
      </c>
      <c r="J230" s="23">
        <v>358.0</v>
      </c>
      <c r="K230" s="24">
        <f t="shared" si="14"/>
        <v>16.20111732</v>
      </c>
      <c r="L230" s="23">
        <v>162.0</v>
      </c>
    </row>
    <row r="231" ht="14.25" customHeight="1">
      <c r="A231" s="22" t="s">
        <v>29</v>
      </c>
      <c r="B231" s="22" t="s">
        <v>340</v>
      </c>
      <c r="C231" s="22" t="s">
        <v>344</v>
      </c>
      <c r="D231" s="22" t="s">
        <v>344</v>
      </c>
      <c r="E231" s="23">
        <v>51003.0</v>
      </c>
      <c r="F231" s="23">
        <v>156.0</v>
      </c>
      <c r="G231" s="23">
        <v>153.0</v>
      </c>
      <c r="H231" s="23">
        <v>253.0</v>
      </c>
      <c r="I231" s="23">
        <v>153.0</v>
      </c>
      <c r="J231" s="23">
        <v>715.0</v>
      </c>
      <c r="K231" s="24">
        <f t="shared" si="14"/>
        <v>21.3986014</v>
      </c>
      <c r="L231" s="23">
        <v>156.0</v>
      </c>
    </row>
    <row r="232" ht="14.25" customHeight="1">
      <c r="A232" s="22" t="s">
        <v>29</v>
      </c>
      <c r="B232" s="22" t="s">
        <v>345</v>
      </c>
      <c r="C232" s="22" t="s">
        <v>346</v>
      </c>
      <c r="D232" s="22" t="s">
        <v>347</v>
      </c>
      <c r="E232" s="23">
        <v>51101.0</v>
      </c>
      <c r="F232" s="23">
        <v>1312.0</v>
      </c>
      <c r="G232" s="23">
        <v>1936.0</v>
      </c>
      <c r="H232" s="23">
        <v>2209.0</v>
      </c>
      <c r="I232" s="23">
        <v>1646.0</v>
      </c>
      <c r="J232" s="23">
        <v>7103.0</v>
      </c>
      <c r="K232" s="24">
        <f t="shared" si="14"/>
        <v>23.17330705</v>
      </c>
      <c r="L232" s="23">
        <v>1312.0</v>
      </c>
    </row>
    <row r="233" ht="14.25" customHeight="1">
      <c r="A233" s="22" t="s">
        <v>29</v>
      </c>
      <c r="B233" s="22" t="s">
        <v>345</v>
      </c>
      <c r="C233" s="22" t="s">
        <v>348</v>
      </c>
      <c r="D233" s="22" t="s">
        <v>348</v>
      </c>
      <c r="E233" s="23">
        <v>51102.0</v>
      </c>
      <c r="F233" s="23">
        <v>605.0</v>
      </c>
      <c r="G233" s="23">
        <v>872.0</v>
      </c>
      <c r="H233" s="23">
        <v>1258.0</v>
      </c>
      <c r="I233" s="23">
        <v>808.0</v>
      </c>
      <c r="J233" s="23">
        <v>3543.0</v>
      </c>
      <c r="K233" s="24">
        <f t="shared" si="14"/>
        <v>22.80553203</v>
      </c>
      <c r="L233" s="23">
        <v>605.0</v>
      </c>
    </row>
    <row r="234" ht="14.25" customHeight="1">
      <c r="A234" s="22" t="s">
        <v>29</v>
      </c>
      <c r="B234" s="22" t="s">
        <v>345</v>
      </c>
      <c r="C234" s="22" t="s">
        <v>349</v>
      </c>
      <c r="D234" s="22" t="s">
        <v>349</v>
      </c>
      <c r="E234" s="23">
        <v>51103.0</v>
      </c>
      <c r="F234" s="23">
        <v>1416.0</v>
      </c>
      <c r="G234" s="23">
        <v>1591.0</v>
      </c>
      <c r="H234" s="23">
        <v>713.0</v>
      </c>
      <c r="I234" s="23">
        <v>106.0</v>
      </c>
      <c r="J234" s="23">
        <v>3826.0</v>
      </c>
      <c r="K234" s="24">
        <f t="shared" si="14"/>
        <v>2.770517512</v>
      </c>
      <c r="L234" s="23">
        <v>1416.0</v>
      </c>
    </row>
    <row r="235" ht="14.25" customHeight="1">
      <c r="A235" s="22" t="s">
        <v>29</v>
      </c>
      <c r="B235" s="22" t="s">
        <v>350</v>
      </c>
      <c r="C235" s="22" t="s">
        <v>351</v>
      </c>
      <c r="D235" s="22" t="s">
        <v>351</v>
      </c>
      <c r="E235" s="23">
        <v>51201.0</v>
      </c>
      <c r="F235" s="23">
        <v>1393.0</v>
      </c>
      <c r="G235" s="23">
        <v>1444.0</v>
      </c>
      <c r="H235" s="23">
        <v>5211.0</v>
      </c>
      <c r="I235" s="23">
        <v>1549.0</v>
      </c>
      <c r="J235" s="23">
        <v>9597.0</v>
      </c>
      <c r="K235" s="24">
        <f t="shared" si="14"/>
        <v>16.14046056</v>
      </c>
      <c r="L235" s="23">
        <v>1393.0</v>
      </c>
    </row>
    <row r="236" ht="14.25" customHeight="1">
      <c r="A236" s="22" t="s">
        <v>29</v>
      </c>
      <c r="B236" s="22" t="s">
        <v>350</v>
      </c>
      <c r="C236" s="22" t="s">
        <v>352</v>
      </c>
      <c r="D236" s="22" t="s">
        <v>352</v>
      </c>
      <c r="E236" s="23">
        <v>51202.0</v>
      </c>
      <c r="F236" s="23">
        <v>951.0</v>
      </c>
      <c r="G236" s="23">
        <v>849.0</v>
      </c>
      <c r="H236" s="23">
        <v>1119.0</v>
      </c>
      <c r="I236" s="23">
        <v>158.0</v>
      </c>
      <c r="J236" s="23">
        <v>3077.0</v>
      </c>
      <c r="K236" s="24">
        <f t="shared" si="14"/>
        <v>5.134871628</v>
      </c>
      <c r="L236" s="23">
        <v>951.0</v>
      </c>
    </row>
    <row r="237" ht="14.25" customHeight="1">
      <c r="A237" s="22" t="s">
        <v>29</v>
      </c>
      <c r="B237" s="22" t="s">
        <v>350</v>
      </c>
      <c r="C237" s="22" t="s">
        <v>353</v>
      </c>
      <c r="D237" s="22" t="s">
        <v>353</v>
      </c>
      <c r="E237" s="23">
        <v>51203.0</v>
      </c>
      <c r="F237" s="23">
        <v>521.0</v>
      </c>
      <c r="G237" s="23">
        <v>276.0</v>
      </c>
      <c r="H237" s="23">
        <v>518.0</v>
      </c>
      <c r="I237" s="23">
        <v>1841.0</v>
      </c>
      <c r="J237" s="23">
        <v>3156.0</v>
      </c>
      <c r="K237" s="24">
        <f t="shared" si="14"/>
        <v>58.33333333</v>
      </c>
      <c r="L237" s="23">
        <v>521.0</v>
      </c>
    </row>
    <row r="238" ht="14.25" customHeight="1">
      <c r="A238" s="22" t="s">
        <v>29</v>
      </c>
      <c r="B238" s="22" t="s">
        <v>352</v>
      </c>
      <c r="C238" s="22" t="s">
        <v>354</v>
      </c>
      <c r="D238" s="36" t="s">
        <v>354</v>
      </c>
      <c r="E238" s="23">
        <v>51204.0</v>
      </c>
      <c r="F238" s="23">
        <v>630.0</v>
      </c>
      <c r="G238" s="23">
        <v>526.0</v>
      </c>
      <c r="H238" s="23">
        <v>842.0</v>
      </c>
      <c r="I238" s="23">
        <v>141.0</v>
      </c>
      <c r="J238" s="23">
        <v>2139.0</v>
      </c>
      <c r="K238" s="24">
        <f t="shared" si="14"/>
        <v>6.591865358</v>
      </c>
      <c r="L238" s="23">
        <v>630.0</v>
      </c>
    </row>
    <row r="239" ht="14.25" customHeight="1">
      <c r="A239" s="22" t="s">
        <v>29</v>
      </c>
      <c r="B239" s="22" t="s">
        <v>355</v>
      </c>
      <c r="C239" s="22" t="s">
        <v>356</v>
      </c>
      <c r="D239" s="22" t="s">
        <v>356</v>
      </c>
      <c r="E239" s="23">
        <v>51301.0</v>
      </c>
      <c r="F239" s="23">
        <v>257.0</v>
      </c>
      <c r="G239" s="23">
        <v>458.0</v>
      </c>
      <c r="H239" s="23">
        <v>404.0</v>
      </c>
      <c r="I239" s="23">
        <v>179.0</v>
      </c>
      <c r="J239" s="23">
        <v>1298.0</v>
      </c>
      <c r="K239" s="24">
        <f t="shared" si="14"/>
        <v>13.79044684</v>
      </c>
      <c r="L239" s="23">
        <v>257.0</v>
      </c>
    </row>
    <row r="240" ht="14.25" customHeight="1">
      <c r="A240" s="22" t="s">
        <v>29</v>
      </c>
      <c r="B240" s="22" t="s">
        <v>355</v>
      </c>
      <c r="C240" s="22" t="s">
        <v>357</v>
      </c>
      <c r="D240" s="22" t="s">
        <v>357</v>
      </c>
      <c r="E240" s="23">
        <v>51302.0</v>
      </c>
      <c r="F240" s="38">
        <v>300.0</v>
      </c>
      <c r="G240" s="38">
        <v>449.0</v>
      </c>
      <c r="H240" s="38">
        <v>758.0</v>
      </c>
      <c r="I240" s="38">
        <v>212.0</v>
      </c>
      <c r="J240" s="38">
        <v>1719.0</v>
      </c>
      <c r="K240" s="24">
        <f t="shared" si="14"/>
        <v>12.3327516</v>
      </c>
      <c r="L240" s="23">
        <v>300.0</v>
      </c>
    </row>
    <row r="241" ht="14.25" customHeight="1">
      <c r="A241" s="22" t="s">
        <v>29</v>
      </c>
      <c r="B241" s="22" t="s">
        <v>358</v>
      </c>
      <c r="C241" s="22" t="s">
        <v>359</v>
      </c>
      <c r="D241" s="22" t="s">
        <v>359</v>
      </c>
      <c r="E241" s="23">
        <v>51401.0</v>
      </c>
      <c r="F241" s="38">
        <v>308.0</v>
      </c>
      <c r="G241" s="38">
        <v>485.0</v>
      </c>
      <c r="H241" s="38">
        <v>427.0</v>
      </c>
      <c r="I241" s="38">
        <v>284.0</v>
      </c>
      <c r="J241" s="38">
        <v>1504.0</v>
      </c>
      <c r="K241" s="24">
        <f t="shared" si="14"/>
        <v>18.88297872</v>
      </c>
      <c r="L241" s="23">
        <v>308.0</v>
      </c>
    </row>
    <row r="242" ht="14.25" customHeight="1">
      <c r="A242" s="22" t="s">
        <v>29</v>
      </c>
      <c r="B242" s="22" t="s">
        <v>358</v>
      </c>
      <c r="C242" s="22" t="s">
        <v>360</v>
      </c>
      <c r="D242" s="22" t="s">
        <v>360</v>
      </c>
      <c r="E242" s="23">
        <v>51402.0</v>
      </c>
      <c r="F242" s="23">
        <v>108.0</v>
      </c>
      <c r="G242" s="23">
        <v>155.0</v>
      </c>
      <c r="H242" s="23">
        <v>372.0</v>
      </c>
      <c r="I242" s="23">
        <v>44.0</v>
      </c>
      <c r="J242" s="23">
        <v>679.0</v>
      </c>
      <c r="K242" s="24">
        <f t="shared" si="14"/>
        <v>6.48011782</v>
      </c>
      <c r="L242" s="23">
        <v>108.0</v>
      </c>
    </row>
    <row r="243" ht="14.25" customHeight="1">
      <c r="A243" s="22" t="s">
        <v>29</v>
      </c>
      <c r="B243" s="22" t="s">
        <v>361</v>
      </c>
      <c r="C243" s="22" t="s">
        <v>362</v>
      </c>
      <c r="D243" s="22" t="s">
        <v>362</v>
      </c>
      <c r="E243" s="23">
        <v>51501.0</v>
      </c>
      <c r="F243" s="23">
        <v>736.0</v>
      </c>
      <c r="G243" s="23">
        <v>1411.0</v>
      </c>
      <c r="H243" s="23">
        <v>2335.0</v>
      </c>
      <c r="I243" s="23">
        <v>7592.0</v>
      </c>
      <c r="J243" s="23">
        <v>12074.0</v>
      </c>
      <c r="K243" s="24">
        <f t="shared" si="14"/>
        <v>62.87891337</v>
      </c>
      <c r="L243" s="23">
        <v>736.0</v>
      </c>
    </row>
    <row r="244" ht="14.25" customHeight="1">
      <c r="A244" s="22" t="s">
        <v>29</v>
      </c>
      <c r="B244" s="22" t="s">
        <v>363</v>
      </c>
      <c r="C244" s="22" t="s">
        <v>364</v>
      </c>
      <c r="D244" s="22" t="s">
        <v>364</v>
      </c>
      <c r="E244" s="23">
        <v>51601.0</v>
      </c>
      <c r="F244" s="23">
        <v>79.0</v>
      </c>
      <c r="G244" s="23">
        <v>126.0</v>
      </c>
      <c r="H244" s="23">
        <v>167.0</v>
      </c>
      <c r="I244" s="23">
        <v>117.0</v>
      </c>
      <c r="J244" s="23">
        <v>489.0</v>
      </c>
      <c r="K244" s="24">
        <f t="shared" si="14"/>
        <v>23.92638037</v>
      </c>
      <c r="L244" s="23">
        <v>79.0</v>
      </c>
    </row>
    <row r="245" ht="14.25" customHeight="1">
      <c r="A245" s="22" t="s">
        <v>33</v>
      </c>
      <c r="B245" s="22" t="s">
        <v>189</v>
      </c>
      <c r="C245" s="22" t="s">
        <v>33</v>
      </c>
      <c r="D245" s="22" t="s">
        <v>33</v>
      </c>
      <c r="E245" s="23">
        <v>60101.0</v>
      </c>
      <c r="F245" s="23">
        <v>1314.0</v>
      </c>
      <c r="G245" s="23">
        <v>2762.0</v>
      </c>
      <c r="H245" s="23">
        <v>9301.0</v>
      </c>
      <c r="I245" s="23">
        <v>41549.0</v>
      </c>
      <c r="J245" s="23">
        <v>54926.0</v>
      </c>
      <c r="K245" s="24">
        <f t="shared" si="14"/>
        <v>75.64541383</v>
      </c>
      <c r="L245" s="23">
        <v>1314.0</v>
      </c>
    </row>
    <row r="246" ht="14.25" customHeight="1">
      <c r="A246" s="22" t="s">
        <v>33</v>
      </c>
      <c r="B246" s="22" t="s">
        <v>365</v>
      </c>
      <c r="C246" s="22" t="s">
        <v>366</v>
      </c>
      <c r="D246" s="22" t="s">
        <v>366</v>
      </c>
      <c r="E246" s="23">
        <v>60201.0</v>
      </c>
      <c r="F246" s="23">
        <v>363.0</v>
      </c>
      <c r="G246" s="23">
        <v>729.0</v>
      </c>
      <c r="H246" s="23">
        <v>1595.0</v>
      </c>
      <c r="I246" s="23">
        <v>2403.0</v>
      </c>
      <c r="J246" s="23">
        <v>5090.0</v>
      </c>
      <c r="K246" s="24">
        <f t="shared" si="14"/>
        <v>47.21021611</v>
      </c>
      <c r="L246" s="23">
        <v>363.0</v>
      </c>
    </row>
    <row r="247" ht="14.25" customHeight="1">
      <c r="A247" s="22" t="s">
        <v>33</v>
      </c>
      <c r="B247" s="22" t="s">
        <v>365</v>
      </c>
      <c r="C247" s="22" t="s">
        <v>367</v>
      </c>
      <c r="D247" s="22" t="s">
        <v>367</v>
      </c>
      <c r="E247" s="23">
        <v>60202.0</v>
      </c>
      <c r="F247" s="23">
        <v>226.0</v>
      </c>
      <c r="G247" s="23">
        <v>475.0</v>
      </c>
      <c r="H247" s="23">
        <v>1763.0</v>
      </c>
      <c r="I247" s="23">
        <v>6548.0</v>
      </c>
      <c r="J247" s="23">
        <v>9012.0</v>
      </c>
      <c r="K247" s="24">
        <f t="shared" si="14"/>
        <v>72.65867732</v>
      </c>
      <c r="L247" s="23">
        <v>226.0</v>
      </c>
    </row>
    <row r="248" ht="14.25" customHeight="1">
      <c r="A248" s="22" t="s">
        <v>33</v>
      </c>
      <c r="B248" s="22" t="s">
        <v>43</v>
      </c>
      <c r="C248" s="22" t="s">
        <v>368</v>
      </c>
      <c r="D248" s="22" t="s">
        <v>368</v>
      </c>
      <c r="E248" s="23">
        <v>60301.0</v>
      </c>
      <c r="F248" s="23">
        <v>410.0</v>
      </c>
      <c r="G248" s="23">
        <v>1569.0</v>
      </c>
      <c r="H248" s="23">
        <v>4352.0</v>
      </c>
      <c r="I248" s="23">
        <v>15807.0</v>
      </c>
      <c r="J248" s="23">
        <v>22138.0</v>
      </c>
      <c r="K248" s="24">
        <f t="shared" si="14"/>
        <v>71.40211401</v>
      </c>
      <c r="L248" s="23">
        <v>410.0</v>
      </c>
    </row>
    <row r="249" ht="14.25" customHeight="1">
      <c r="A249" s="22" t="s">
        <v>33</v>
      </c>
      <c r="B249" s="22" t="s">
        <v>43</v>
      </c>
      <c r="C249" s="22" t="s">
        <v>369</v>
      </c>
      <c r="D249" s="22" t="s">
        <v>369</v>
      </c>
      <c r="E249" s="23">
        <v>60302.0</v>
      </c>
      <c r="F249" s="23">
        <v>126.0</v>
      </c>
      <c r="G249" s="23">
        <v>244.0</v>
      </c>
      <c r="H249" s="23">
        <v>723.0</v>
      </c>
      <c r="I249" s="23">
        <v>2902.0</v>
      </c>
      <c r="J249" s="23">
        <v>3995.0</v>
      </c>
      <c r="K249" s="24">
        <f t="shared" si="14"/>
        <v>72.640801</v>
      </c>
      <c r="L249" s="23">
        <v>126.0</v>
      </c>
    </row>
    <row r="250" ht="14.25" customHeight="1">
      <c r="A250" s="22" t="s">
        <v>33</v>
      </c>
      <c r="B250" s="22" t="s">
        <v>43</v>
      </c>
      <c r="C250" s="22" t="s">
        <v>370</v>
      </c>
      <c r="D250" s="22" t="s">
        <v>370</v>
      </c>
      <c r="E250" s="23">
        <v>60303.0</v>
      </c>
      <c r="F250" s="23">
        <v>265.0</v>
      </c>
      <c r="G250" s="23">
        <v>1270.0</v>
      </c>
      <c r="H250" s="23">
        <v>3761.0</v>
      </c>
      <c r="I250" s="23">
        <v>4993.0</v>
      </c>
      <c r="J250" s="23">
        <v>10289.0</v>
      </c>
      <c r="K250" s="24">
        <f t="shared" si="14"/>
        <v>48.5275537</v>
      </c>
      <c r="L250" s="23">
        <v>265.0</v>
      </c>
    </row>
    <row r="251" ht="14.25" customHeight="1">
      <c r="A251" s="22" t="s">
        <v>33</v>
      </c>
      <c r="B251" s="22" t="s">
        <v>371</v>
      </c>
      <c r="C251" s="22" t="s">
        <v>372</v>
      </c>
      <c r="D251" s="22" t="s">
        <v>373</v>
      </c>
      <c r="E251" s="23">
        <v>60401.0</v>
      </c>
      <c r="F251" s="23">
        <v>318.0</v>
      </c>
      <c r="G251" s="23">
        <v>675.0</v>
      </c>
      <c r="H251" s="23">
        <v>1174.0</v>
      </c>
      <c r="I251" s="23">
        <v>1995.0</v>
      </c>
      <c r="J251" s="23">
        <v>4162.0</v>
      </c>
      <c r="K251" s="24">
        <f t="shared" si="14"/>
        <v>47.93368573</v>
      </c>
      <c r="L251" s="23">
        <v>318.0</v>
      </c>
    </row>
    <row r="252" ht="14.25" customHeight="1">
      <c r="A252" s="22" t="s">
        <v>33</v>
      </c>
      <c r="B252" s="22" t="s">
        <v>371</v>
      </c>
      <c r="C252" s="22" t="s">
        <v>374</v>
      </c>
      <c r="D252" s="22" t="s">
        <v>374</v>
      </c>
      <c r="E252" s="23">
        <v>60402.0</v>
      </c>
      <c r="F252" s="23">
        <v>126.0</v>
      </c>
      <c r="G252" s="23">
        <v>183.0</v>
      </c>
      <c r="H252" s="23">
        <v>356.0</v>
      </c>
      <c r="I252" s="23">
        <v>819.0</v>
      </c>
      <c r="J252" s="23">
        <v>1484.0</v>
      </c>
      <c r="K252" s="24">
        <f t="shared" si="14"/>
        <v>55.18867925</v>
      </c>
      <c r="L252" s="23">
        <v>126.0</v>
      </c>
    </row>
    <row r="253" ht="14.25" customHeight="1">
      <c r="A253" s="22" t="s">
        <v>33</v>
      </c>
      <c r="B253" s="22" t="s">
        <v>375</v>
      </c>
      <c r="C253" s="22" t="s">
        <v>376</v>
      </c>
      <c r="D253" s="22" t="s">
        <v>377</v>
      </c>
      <c r="E253" s="23">
        <v>60501.0</v>
      </c>
      <c r="F253" s="23">
        <v>577.0</v>
      </c>
      <c r="G253" s="23">
        <v>828.0</v>
      </c>
      <c r="H253" s="23">
        <v>1587.0</v>
      </c>
      <c r="I253" s="23">
        <v>3492.0</v>
      </c>
      <c r="J253" s="23">
        <v>6484.0</v>
      </c>
      <c r="K253" s="24">
        <f t="shared" si="14"/>
        <v>53.85564466</v>
      </c>
      <c r="L253" s="23">
        <v>577.0</v>
      </c>
    </row>
    <row r="254" ht="14.25" customHeight="1">
      <c r="A254" s="22" t="s">
        <v>33</v>
      </c>
      <c r="B254" s="22" t="s">
        <v>375</v>
      </c>
      <c r="C254" s="22" t="s">
        <v>378</v>
      </c>
      <c r="D254" s="22" t="s">
        <v>378</v>
      </c>
      <c r="E254" s="23">
        <v>60502.0</v>
      </c>
      <c r="F254" s="23">
        <v>203.0</v>
      </c>
      <c r="G254" s="23">
        <v>407.0</v>
      </c>
      <c r="H254" s="23">
        <v>779.0</v>
      </c>
      <c r="I254" s="23">
        <v>1864.0</v>
      </c>
      <c r="J254" s="23">
        <v>3253.0</v>
      </c>
      <c r="K254" s="24">
        <f t="shared" si="14"/>
        <v>57.30095297</v>
      </c>
      <c r="L254" s="23">
        <v>203.0</v>
      </c>
    </row>
    <row r="255" ht="14.25" customHeight="1">
      <c r="A255" s="22" t="s">
        <v>33</v>
      </c>
      <c r="B255" s="22" t="s">
        <v>379</v>
      </c>
      <c r="C255" s="22" t="s">
        <v>234</v>
      </c>
      <c r="D255" s="22" t="s">
        <v>234</v>
      </c>
      <c r="E255" s="23">
        <v>60601.0</v>
      </c>
      <c r="F255" s="23">
        <v>455.0</v>
      </c>
      <c r="G255" s="23">
        <v>950.0</v>
      </c>
      <c r="H255" s="23">
        <v>1575.0</v>
      </c>
      <c r="I255" s="23">
        <v>2435.0</v>
      </c>
      <c r="J255" s="23">
        <v>5415.0</v>
      </c>
      <c r="K255" s="24">
        <f t="shared" si="14"/>
        <v>44.96768236</v>
      </c>
      <c r="L255" s="23">
        <v>455.0</v>
      </c>
    </row>
    <row r="256" ht="14.25" customHeight="1">
      <c r="A256" s="22" t="s">
        <v>35</v>
      </c>
      <c r="B256" s="22" t="s">
        <v>380</v>
      </c>
      <c r="C256" s="22" t="s">
        <v>381</v>
      </c>
      <c r="D256" s="22" t="s">
        <v>381</v>
      </c>
      <c r="E256" s="23">
        <v>70101.0</v>
      </c>
      <c r="F256" s="23">
        <v>451.0</v>
      </c>
      <c r="G256" s="23">
        <v>5058.0</v>
      </c>
      <c r="H256" s="23">
        <v>161414.0</v>
      </c>
      <c r="I256" s="23">
        <v>193518.0</v>
      </c>
      <c r="J256" s="23">
        <v>360441.0</v>
      </c>
      <c r="K256" s="24">
        <f t="shared" si="14"/>
        <v>53.68923069</v>
      </c>
      <c r="L256" s="23">
        <v>451.0</v>
      </c>
    </row>
    <row r="257" ht="14.25" customHeight="1">
      <c r="A257" s="22" t="s">
        <v>35</v>
      </c>
      <c r="B257" s="22" t="s">
        <v>380</v>
      </c>
      <c r="C257" s="22" t="s">
        <v>382</v>
      </c>
      <c r="D257" s="22" t="s">
        <v>382</v>
      </c>
      <c r="E257" s="23">
        <v>70102.0</v>
      </c>
      <c r="F257" s="23">
        <v>168.0</v>
      </c>
      <c r="G257" s="23">
        <v>958.0</v>
      </c>
      <c r="H257" s="23">
        <v>6897.0</v>
      </c>
      <c r="I257" s="23">
        <v>4654.0</v>
      </c>
      <c r="J257" s="23">
        <v>12677.0</v>
      </c>
      <c r="K257" s="24">
        <f t="shared" si="14"/>
        <v>36.71215587</v>
      </c>
      <c r="L257" s="23">
        <v>168.0</v>
      </c>
    </row>
    <row r="258" ht="14.25" customHeight="1">
      <c r="A258" s="22" t="s">
        <v>35</v>
      </c>
      <c r="B258" s="22" t="s">
        <v>380</v>
      </c>
      <c r="C258" s="22" t="s">
        <v>383</v>
      </c>
      <c r="D258" s="22" t="s">
        <v>384</v>
      </c>
      <c r="E258" s="23">
        <v>70103.0</v>
      </c>
      <c r="F258" s="23">
        <v>283.0</v>
      </c>
      <c r="G258" s="23">
        <v>442.0</v>
      </c>
      <c r="H258" s="23">
        <v>1076.0</v>
      </c>
      <c r="I258" s="23">
        <v>1821.0</v>
      </c>
      <c r="J258" s="23">
        <v>3622.0</v>
      </c>
      <c r="K258" s="24">
        <f t="shared" si="14"/>
        <v>50.27609056</v>
      </c>
      <c r="L258" s="23">
        <v>283.0</v>
      </c>
    </row>
    <row r="259" ht="14.25" customHeight="1">
      <c r="A259" s="22" t="s">
        <v>35</v>
      </c>
      <c r="B259" s="22" t="s">
        <v>380</v>
      </c>
      <c r="C259" s="22" t="s">
        <v>385</v>
      </c>
      <c r="D259" s="22" t="s">
        <v>385</v>
      </c>
      <c r="E259" s="23">
        <v>70104.0</v>
      </c>
      <c r="F259" s="23">
        <v>134.0</v>
      </c>
      <c r="G259" s="23">
        <v>1302.0</v>
      </c>
      <c r="H259" s="23">
        <v>17957.0</v>
      </c>
      <c r="I259" s="23">
        <v>1921.0</v>
      </c>
      <c r="J259" s="23">
        <v>21314.0</v>
      </c>
      <c r="K259" s="24">
        <f t="shared" si="14"/>
        <v>9.0128554</v>
      </c>
      <c r="L259" s="23">
        <v>134.0</v>
      </c>
    </row>
    <row r="260" ht="14.25" customHeight="1">
      <c r="A260" s="22" t="s">
        <v>35</v>
      </c>
      <c r="B260" s="22" t="s">
        <v>380</v>
      </c>
      <c r="C260" s="22" t="s">
        <v>386</v>
      </c>
      <c r="D260" s="22" t="s">
        <v>386</v>
      </c>
      <c r="E260" s="23">
        <v>70105.0</v>
      </c>
      <c r="F260" s="23">
        <v>878.0</v>
      </c>
      <c r="G260" s="23">
        <v>1004.0</v>
      </c>
      <c r="H260" s="23">
        <v>5782.0</v>
      </c>
      <c r="I260" s="23">
        <v>4571.0</v>
      </c>
      <c r="J260" s="23">
        <v>12235.0</v>
      </c>
      <c r="K260" s="24">
        <f t="shared" si="14"/>
        <v>37.36003269</v>
      </c>
      <c r="L260" s="23">
        <v>878.0</v>
      </c>
    </row>
    <row r="261" ht="14.25" customHeight="1">
      <c r="A261" s="22" t="s">
        <v>35</v>
      </c>
      <c r="B261" s="22" t="s">
        <v>387</v>
      </c>
      <c r="C261" s="22" t="s">
        <v>387</v>
      </c>
      <c r="D261" s="22" t="s">
        <v>387</v>
      </c>
      <c r="E261" s="23">
        <v>70201.0</v>
      </c>
      <c r="F261" s="23">
        <v>181.0</v>
      </c>
      <c r="G261" s="23">
        <v>1425.0</v>
      </c>
      <c r="H261" s="23">
        <v>14355.0</v>
      </c>
      <c r="I261" s="23">
        <v>7257.0</v>
      </c>
      <c r="J261" s="23">
        <v>23218.0</v>
      </c>
      <c r="K261" s="24">
        <f t="shared" si="14"/>
        <v>31.25592213</v>
      </c>
      <c r="L261" s="23">
        <v>181.0</v>
      </c>
    </row>
    <row r="262" ht="14.25" customHeight="1">
      <c r="A262" s="22" t="s">
        <v>35</v>
      </c>
      <c r="B262" s="22" t="s">
        <v>387</v>
      </c>
      <c r="C262" s="22" t="s">
        <v>388</v>
      </c>
      <c r="D262" s="22" t="s">
        <v>388</v>
      </c>
      <c r="E262" s="23">
        <v>70202.0</v>
      </c>
      <c r="F262" s="38">
        <v>34.0</v>
      </c>
      <c r="G262" s="38">
        <v>183.0</v>
      </c>
      <c r="H262" s="38">
        <v>1331.0</v>
      </c>
      <c r="I262" s="38">
        <v>1012.0</v>
      </c>
      <c r="J262" s="38">
        <v>2560.0</v>
      </c>
      <c r="K262" s="24">
        <f t="shared" si="14"/>
        <v>39.53125</v>
      </c>
      <c r="L262" s="23">
        <v>34.0</v>
      </c>
    </row>
    <row r="263" ht="14.25" customHeight="1">
      <c r="A263" s="22" t="s">
        <v>35</v>
      </c>
      <c r="B263" s="22" t="s">
        <v>389</v>
      </c>
      <c r="C263" s="22" t="s">
        <v>390</v>
      </c>
      <c r="D263" s="22" t="s">
        <v>391</v>
      </c>
      <c r="E263" s="23">
        <v>70301.0</v>
      </c>
      <c r="F263" s="23">
        <v>264.0</v>
      </c>
      <c r="G263" s="23">
        <v>1241.0</v>
      </c>
      <c r="H263" s="23">
        <v>5469.0</v>
      </c>
      <c r="I263" s="23">
        <v>3851.0</v>
      </c>
      <c r="J263" s="23">
        <v>10825.0</v>
      </c>
      <c r="K263" s="24">
        <f t="shared" si="14"/>
        <v>35.57505774</v>
      </c>
      <c r="L263" s="23">
        <v>264.0</v>
      </c>
    </row>
    <row r="264" ht="14.25" customHeight="1">
      <c r="A264" s="22" t="s">
        <v>35</v>
      </c>
      <c r="B264" s="22" t="s">
        <v>389</v>
      </c>
      <c r="C264" s="22" t="s">
        <v>392</v>
      </c>
      <c r="D264" s="22" t="s">
        <v>393</v>
      </c>
      <c r="E264" s="23">
        <v>70302.0</v>
      </c>
      <c r="F264" s="23">
        <v>231.0</v>
      </c>
      <c r="G264" s="23">
        <v>613.0</v>
      </c>
      <c r="H264" s="23">
        <v>1511.0</v>
      </c>
      <c r="I264" s="23">
        <v>227.0</v>
      </c>
      <c r="J264" s="23">
        <v>2582.0</v>
      </c>
      <c r="K264" s="24">
        <f t="shared" si="14"/>
        <v>8.791634392</v>
      </c>
      <c r="L264" s="23">
        <v>231.0</v>
      </c>
    </row>
    <row r="265" ht="14.25" customHeight="1">
      <c r="A265" s="22" t="s">
        <v>35</v>
      </c>
      <c r="B265" s="22" t="s">
        <v>389</v>
      </c>
      <c r="C265" s="22" t="s">
        <v>394</v>
      </c>
      <c r="D265" s="22" t="s">
        <v>394</v>
      </c>
      <c r="E265" s="23">
        <v>70303.0</v>
      </c>
      <c r="F265" s="23">
        <v>97.0</v>
      </c>
      <c r="G265" s="23">
        <v>239.0</v>
      </c>
      <c r="H265" s="23">
        <v>688.0</v>
      </c>
      <c r="I265" s="23">
        <v>115.0</v>
      </c>
      <c r="J265" s="23">
        <v>1139.0</v>
      </c>
      <c r="K265" s="24">
        <f t="shared" si="14"/>
        <v>10.09657594</v>
      </c>
      <c r="L265" s="23">
        <v>97.0</v>
      </c>
    </row>
    <row r="266" ht="14.25" customHeight="1">
      <c r="A266" s="22" t="s">
        <v>35</v>
      </c>
      <c r="B266" s="22" t="s">
        <v>395</v>
      </c>
      <c r="C266" s="22" t="s">
        <v>396</v>
      </c>
      <c r="D266" s="22" t="s">
        <v>396</v>
      </c>
      <c r="E266" s="23">
        <v>70401.0</v>
      </c>
      <c r="F266" s="23">
        <v>208.0</v>
      </c>
      <c r="G266" s="23">
        <v>337.0</v>
      </c>
      <c r="H266" s="23">
        <v>972.0</v>
      </c>
      <c r="I266" s="23">
        <v>1654.0</v>
      </c>
      <c r="J266" s="23">
        <v>3171.0</v>
      </c>
      <c r="K266" s="24">
        <f t="shared" si="14"/>
        <v>52.16020183</v>
      </c>
      <c r="L266" s="23">
        <v>208.0</v>
      </c>
    </row>
    <row r="267" ht="14.25" customHeight="1">
      <c r="A267" s="22" t="s">
        <v>35</v>
      </c>
      <c r="B267" s="22" t="s">
        <v>395</v>
      </c>
      <c r="C267" s="22" t="s">
        <v>397</v>
      </c>
      <c r="D267" s="22" t="s">
        <v>397</v>
      </c>
      <c r="E267" s="23">
        <v>70402.0</v>
      </c>
      <c r="F267" s="23">
        <v>382.0</v>
      </c>
      <c r="G267" s="23">
        <v>581.0</v>
      </c>
      <c r="H267" s="23">
        <v>2804.0</v>
      </c>
      <c r="I267" s="23">
        <v>806.0</v>
      </c>
      <c r="J267" s="23">
        <v>4573.0</v>
      </c>
      <c r="K267" s="24">
        <f t="shared" si="14"/>
        <v>17.62519134</v>
      </c>
      <c r="L267" s="23">
        <v>382.0</v>
      </c>
    </row>
    <row r="268" ht="14.25" customHeight="1">
      <c r="A268" s="22" t="s">
        <v>35</v>
      </c>
      <c r="B268" s="22" t="s">
        <v>395</v>
      </c>
      <c r="C268" s="22" t="s">
        <v>398</v>
      </c>
      <c r="D268" s="22" t="s">
        <v>398</v>
      </c>
      <c r="E268" s="23">
        <v>70403.0</v>
      </c>
      <c r="F268" s="23">
        <v>4041.0</v>
      </c>
      <c r="G268" s="23">
        <v>2176.0</v>
      </c>
      <c r="H268" s="23">
        <v>5833.0</v>
      </c>
      <c r="I268" s="23">
        <v>2725.0</v>
      </c>
      <c r="J268" s="23">
        <v>14775.0</v>
      </c>
      <c r="K268" s="24">
        <f t="shared" si="14"/>
        <v>18.44331641</v>
      </c>
      <c r="L268" s="23">
        <v>4041.0</v>
      </c>
    </row>
    <row r="269" ht="14.25" customHeight="1">
      <c r="A269" s="22" t="s">
        <v>35</v>
      </c>
      <c r="B269" s="22" t="s">
        <v>395</v>
      </c>
      <c r="C269" s="22" t="s">
        <v>399</v>
      </c>
      <c r="D269" s="22" t="s">
        <v>399</v>
      </c>
      <c r="E269" s="23">
        <v>70404.0</v>
      </c>
      <c r="F269" s="23">
        <v>213.0</v>
      </c>
      <c r="G269" s="23">
        <v>424.0</v>
      </c>
      <c r="H269" s="23">
        <v>845.0</v>
      </c>
      <c r="I269" s="23">
        <v>573.0</v>
      </c>
      <c r="J269" s="23">
        <v>2055.0</v>
      </c>
      <c r="K269" s="24">
        <f t="shared" si="14"/>
        <v>27.88321168</v>
      </c>
      <c r="L269" s="23">
        <v>213.0</v>
      </c>
    </row>
    <row r="270" ht="14.25" customHeight="1">
      <c r="A270" s="22" t="s">
        <v>35</v>
      </c>
      <c r="B270" s="22" t="s">
        <v>400</v>
      </c>
      <c r="C270" s="22" t="s">
        <v>401</v>
      </c>
      <c r="D270" s="22" t="s">
        <v>402</v>
      </c>
      <c r="E270" s="23">
        <v>70501.0</v>
      </c>
      <c r="F270" s="23">
        <v>54.0</v>
      </c>
      <c r="G270" s="23">
        <v>230.0</v>
      </c>
      <c r="H270" s="23">
        <v>3004.0</v>
      </c>
      <c r="I270" s="23">
        <v>1278.0</v>
      </c>
      <c r="J270" s="23">
        <v>4566.0</v>
      </c>
      <c r="K270" s="24">
        <f t="shared" si="14"/>
        <v>27.98948752</v>
      </c>
      <c r="L270" s="23">
        <v>54.0</v>
      </c>
    </row>
    <row r="271" ht="14.25" customHeight="1">
      <c r="A271" s="22" t="s">
        <v>35</v>
      </c>
      <c r="B271" s="22" t="s">
        <v>400</v>
      </c>
      <c r="C271" s="22" t="s">
        <v>403</v>
      </c>
      <c r="D271" s="22" t="s">
        <v>403</v>
      </c>
      <c r="E271" s="23">
        <v>70502.0</v>
      </c>
      <c r="F271" s="23">
        <v>117.0</v>
      </c>
      <c r="G271" s="23">
        <v>398.0</v>
      </c>
      <c r="H271" s="23">
        <v>3343.0</v>
      </c>
      <c r="I271" s="23">
        <v>3324.0</v>
      </c>
      <c r="J271" s="23">
        <v>7182.0</v>
      </c>
      <c r="K271" s="24">
        <f t="shared" si="14"/>
        <v>46.2823726</v>
      </c>
      <c r="L271" s="23">
        <v>117.0</v>
      </c>
    </row>
    <row r="272" ht="14.25" customHeight="1">
      <c r="A272" s="22" t="s">
        <v>35</v>
      </c>
      <c r="B272" s="22" t="s">
        <v>400</v>
      </c>
      <c r="C272" s="22" t="s">
        <v>404</v>
      </c>
      <c r="D272" s="22" t="s">
        <v>404</v>
      </c>
      <c r="E272" s="23">
        <v>70503.0</v>
      </c>
      <c r="F272" s="23">
        <v>201.0</v>
      </c>
      <c r="G272" s="23">
        <v>264.0</v>
      </c>
      <c r="H272" s="23">
        <v>1999.0</v>
      </c>
      <c r="I272" s="23">
        <v>1283.0</v>
      </c>
      <c r="J272" s="23">
        <v>3747.0</v>
      </c>
      <c r="K272" s="24">
        <f t="shared" si="14"/>
        <v>34.24072591</v>
      </c>
      <c r="L272" s="23">
        <v>201.0</v>
      </c>
    </row>
    <row r="273" ht="14.25" customHeight="1">
      <c r="A273" s="22" t="s">
        <v>35</v>
      </c>
      <c r="B273" s="22" t="s">
        <v>405</v>
      </c>
      <c r="C273" s="22" t="s">
        <v>406</v>
      </c>
      <c r="D273" s="22" t="s">
        <v>406</v>
      </c>
      <c r="E273" s="23">
        <v>70601.0</v>
      </c>
      <c r="F273" s="23">
        <v>96.0</v>
      </c>
      <c r="G273" s="23">
        <v>304.0</v>
      </c>
      <c r="H273" s="23">
        <v>1463.0</v>
      </c>
      <c r="I273" s="23">
        <v>2256.0</v>
      </c>
      <c r="J273" s="23">
        <v>4119.0</v>
      </c>
      <c r="K273" s="24">
        <f t="shared" si="14"/>
        <v>54.77057538</v>
      </c>
      <c r="L273" s="23">
        <v>96.0</v>
      </c>
    </row>
    <row r="274" ht="14.25" customHeight="1">
      <c r="A274" s="22" t="s">
        <v>35</v>
      </c>
      <c r="B274" s="22" t="s">
        <v>405</v>
      </c>
      <c r="C274" s="22" t="s">
        <v>407</v>
      </c>
      <c r="D274" s="22" t="s">
        <v>408</v>
      </c>
      <c r="E274" s="23">
        <v>70602.0</v>
      </c>
      <c r="F274" s="23">
        <v>767.0</v>
      </c>
      <c r="G274" s="23">
        <v>987.0</v>
      </c>
      <c r="H274" s="23">
        <v>1922.0</v>
      </c>
      <c r="I274" s="23">
        <v>1302.0</v>
      </c>
      <c r="J274" s="23">
        <v>4978.0</v>
      </c>
      <c r="K274" s="24">
        <f t="shared" si="14"/>
        <v>26.15508236</v>
      </c>
      <c r="L274" s="23">
        <v>767.0</v>
      </c>
    </row>
    <row r="275" ht="14.25" customHeight="1">
      <c r="A275" s="22" t="s">
        <v>35</v>
      </c>
      <c r="B275" s="22" t="s">
        <v>405</v>
      </c>
      <c r="C275" s="22" t="s">
        <v>409</v>
      </c>
      <c r="D275" s="22" t="s">
        <v>409</v>
      </c>
      <c r="E275" s="23">
        <v>70603.0</v>
      </c>
      <c r="F275" s="23">
        <v>39.0</v>
      </c>
      <c r="G275" s="23">
        <v>110.0</v>
      </c>
      <c r="H275" s="23">
        <v>1016.0</v>
      </c>
      <c r="I275" s="23">
        <v>189.0</v>
      </c>
      <c r="J275" s="23">
        <v>1354.0</v>
      </c>
      <c r="K275" s="24">
        <f t="shared" si="14"/>
        <v>13.95864106</v>
      </c>
      <c r="L275" s="23">
        <v>39.0</v>
      </c>
    </row>
    <row r="276" ht="14.25" customHeight="1">
      <c r="A276" s="22" t="s">
        <v>35</v>
      </c>
      <c r="B276" s="22" t="s">
        <v>410</v>
      </c>
      <c r="C276" s="22" t="s">
        <v>411</v>
      </c>
      <c r="D276" s="22" t="s">
        <v>411</v>
      </c>
      <c r="E276" s="23">
        <v>70701.0</v>
      </c>
      <c r="F276" s="23">
        <v>98.0</v>
      </c>
      <c r="G276" s="23">
        <v>314.0</v>
      </c>
      <c r="H276" s="23">
        <v>224.0</v>
      </c>
      <c r="I276" s="23">
        <v>435.0</v>
      </c>
      <c r="J276" s="23">
        <v>1071.0</v>
      </c>
      <c r="K276" s="24">
        <f t="shared" si="14"/>
        <v>40.6162465</v>
      </c>
      <c r="L276" s="23">
        <v>98.0</v>
      </c>
    </row>
    <row r="277" ht="14.25" customHeight="1">
      <c r="A277" s="22" t="s">
        <v>35</v>
      </c>
      <c r="B277" s="22" t="s">
        <v>410</v>
      </c>
      <c r="C277" s="22" t="s">
        <v>412</v>
      </c>
      <c r="D277" s="22" t="s">
        <v>412</v>
      </c>
      <c r="E277" s="23">
        <v>70702.0</v>
      </c>
      <c r="F277" s="23">
        <v>246.0</v>
      </c>
      <c r="G277" s="23">
        <v>1489.0</v>
      </c>
      <c r="H277" s="23">
        <v>2046.0</v>
      </c>
      <c r="I277" s="23">
        <v>2508.0</v>
      </c>
      <c r="J277" s="23">
        <v>6289.0</v>
      </c>
      <c r="K277" s="24">
        <f t="shared" si="14"/>
        <v>39.87915408</v>
      </c>
      <c r="L277" s="23">
        <v>246.0</v>
      </c>
    </row>
    <row r="278" ht="14.25" customHeight="1">
      <c r="A278" s="22" t="s">
        <v>35</v>
      </c>
      <c r="B278" s="22" t="s">
        <v>410</v>
      </c>
      <c r="C278" s="22" t="s">
        <v>413</v>
      </c>
      <c r="D278" s="22" t="s">
        <v>413</v>
      </c>
      <c r="E278" s="23">
        <v>70703.0</v>
      </c>
      <c r="F278" s="23">
        <v>329.0</v>
      </c>
      <c r="G278" s="23">
        <v>623.0</v>
      </c>
      <c r="H278" s="23">
        <v>1988.0</v>
      </c>
      <c r="I278" s="23">
        <v>2688.0</v>
      </c>
      <c r="J278" s="23">
        <v>5628.0</v>
      </c>
      <c r="K278" s="24">
        <f t="shared" si="14"/>
        <v>47.76119403</v>
      </c>
      <c r="L278" s="23">
        <v>329.0</v>
      </c>
    </row>
    <row r="279" ht="14.25" customHeight="1">
      <c r="A279" s="22" t="s">
        <v>35</v>
      </c>
      <c r="B279" s="22" t="s">
        <v>410</v>
      </c>
      <c r="C279" s="22" t="s">
        <v>414</v>
      </c>
      <c r="D279" s="22" t="s">
        <v>414</v>
      </c>
      <c r="E279" s="23">
        <v>70704.0</v>
      </c>
      <c r="F279" s="23">
        <v>162.0</v>
      </c>
      <c r="G279" s="23">
        <v>167.0</v>
      </c>
      <c r="H279" s="23">
        <v>678.0</v>
      </c>
      <c r="I279" s="23">
        <v>110.0</v>
      </c>
      <c r="J279" s="23">
        <v>1117.0</v>
      </c>
      <c r="K279" s="24">
        <f t="shared" si="14"/>
        <v>9.847806625</v>
      </c>
      <c r="L279" s="23">
        <v>162.0</v>
      </c>
    </row>
    <row r="280" ht="14.25" customHeight="1">
      <c r="A280" s="22" t="s">
        <v>35</v>
      </c>
      <c r="B280" s="22" t="s">
        <v>410</v>
      </c>
      <c r="C280" s="22" t="s">
        <v>415</v>
      </c>
      <c r="D280" s="22" t="s">
        <v>415</v>
      </c>
      <c r="E280" s="23">
        <v>70705.0</v>
      </c>
      <c r="F280" s="23">
        <v>400.0</v>
      </c>
      <c r="G280" s="23">
        <v>805.0</v>
      </c>
      <c r="H280" s="23">
        <v>788.0</v>
      </c>
      <c r="I280" s="23">
        <v>397.0</v>
      </c>
      <c r="J280" s="23">
        <v>2390.0</v>
      </c>
      <c r="K280" s="24">
        <f t="shared" si="14"/>
        <v>16.61087866</v>
      </c>
      <c r="L280" s="23">
        <v>400.0</v>
      </c>
    </row>
    <row r="281" ht="14.25" customHeight="1">
      <c r="A281" s="22" t="s">
        <v>35</v>
      </c>
      <c r="B281" s="22" t="s">
        <v>410</v>
      </c>
      <c r="C281" s="22" t="s">
        <v>416</v>
      </c>
      <c r="D281" s="22" t="s">
        <v>416</v>
      </c>
      <c r="E281" s="23">
        <v>70706.0</v>
      </c>
      <c r="F281" s="23">
        <v>115.0</v>
      </c>
      <c r="G281" s="23">
        <v>430.0</v>
      </c>
      <c r="H281" s="23">
        <v>2569.0</v>
      </c>
      <c r="I281" s="23">
        <v>5260.0</v>
      </c>
      <c r="J281" s="23">
        <v>8374.0</v>
      </c>
      <c r="K281" s="24">
        <f t="shared" si="14"/>
        <v>62.81347027</v>
      </c>
      <c r="L281" s="23">
        <v>115.0</v>
      </c>
    </row>
    <row r="282" ht="14.25" customHeight="1">
      <c r="A282" s="22" t="s">
        <v>35</v>
      </c>
      <c r="B282" s="22" t="s">
        <v>410</v>
      </c>
      <c r="C282" s="22" t="s">
        <v>417</v>
      </c>
      <c r="D282" s="22" t="s">
        <v>417</v>
      </c>
      <c r="E282" s="23">
        <v>70707.0</v>
      </c>
      <c r="F282" s="23">
        <v>91.0</v>
      </c>
      <c r="G282" s="23">
        <v>234.0</v>
      </c>
      <c r="H282" s="23">
        <v>407.0</v>
      </c>
      <c r="I282" s="23">
        <v>281.0</v>
      </c>
      <c r="J282" s="23">
        <v>1013.0</v>
      </c>
      <c r="K282" s="24">
        <f t="shared" si="14"/>
        <v>27.73938796</v>
      </c>
      <c r="L282" s="23">
        <v>91.0</v>
      </c>
    </row>
    <row r="283" ht="14.25" customHeight="1">
      <c r="A283" s="22" t="s">
        <v>35</v>
      </c>
      <c r="B283" s="22" t="s">
        <v>418</v>
      </c>
      <c r="C283" s="22" t="s">
        <v>418</v>
      </c>
      <c r="D283" s="22" t="s">
        <v>418</v>
      </c>
      <c r="E283" s="23">
        <v>70801.0</v>
      </c>
      <c r="F283" s="23">
        <v>545.0</v>
      </c>
      <c r="G283" s="23">
        <v>787.0</v>
      </c>
      <c r="H283" s="23">
        <v>795.0</v>
      </c>
      <c r="I283" s="23">
        <v>3148.0</v>
      </c>
      <c r="J283" s="23">
        <v>5275.0</v>
      </c>
      <c r="K283" s="24">
        <f t="shared" si="14"/>
        <v>59.67772512</v>
      </c>
      <c r="L283" s="23">
        <v>545.0</v>
      </c>
    </row>
    <row r="284" ht="14.25" customHeight="1">
      <c r="A284" s="22" t="s">
        <v>35</v>
      </c>
      <c r="B284" s="22" t="s">
        <v>418</v>
      </c>
      <c r="C284" s="22" t="s">
        <v>419</v>
      </c>
      <c r="D284" s="22" t="s">
        <v>419</v>
      </c>
      <c r="E284" s="23">
        <v>70802.0</v>
      </c>
      <c r="F284" s="23">
        <v>33.0</v>
      </c>
      <c r="G284" s="23">
        <v>60.0</v>
      </c>
      <c r="H284" s="23">
        <v>127.0</v>
      </c>
      <c r="I284" s="23">
        <v>356.0</v>
      </c>
      <c r="J284" s="23">
        <v>576.0</v>
      </c>
      <c r="K284" s="24">
        <f t="shared" si="14"/>
        <v>61.80555556</v>
      </c>
      <c r="L284" s="23">
        <v>33.0</v>
      </c>
    </row>
    <row r="285" ht="14.25" customHeight="1">
      <c r="A285" s="22" t="s">
        <v>35</v>
      </c>
      <c r="B285" s="22" t="s">
        <v>418</v>
      </c>
      <c r="C285" s="22" t="s">
        <v>420</v>
      </c>
      <c r="D285" s="22" t="s">
        <v>421</v>
      </c>
      <c r="E285" s="23">
        <v>70803.0</v>
      </c>
      <c r="F285" s="23">
        <v>143.0</v>
      </c>
      <c r="G285" s="23">
        <v>195.0</v>
      </c>
      <c r="H285" s="23">
        <v>208.0</v>
      </c>
      <c r="I285" s="23">
        <v>324.0</v>
      </c>
      <c r="J285" s="23">
        <v>870.0</v>
      </c>
      <c r="K285" s="24">
        <f t="shared" si="14"/>
        <v>37.24137931</v>
      </c>
      <c r="L285" s="23">
        <v>143.0</v>
      </c>
    </row>
    <row r="286" ht="14.25" customHeight="1">
      <c r="A286" s="22" t="s">
        <v>35</v>
      </c>
      <c r="B286" s="22" t="s">
        <v>418</v>
      </c>
      <c r="C286" s="22" t="s">
        <v>422</v>
      </c>
      <c r="D286" s="22" t="s">
        <v>422</v>
      </c>
      <c r="E286" s="23">
        <v>70804.0</v>
      </c>
      <c r="F286" s="23">
        <v>196.0</v>
      </c>
      <c r="G286" s="23">
        <v>97.0</v>
      </c>
      <c r="H286" s="23">
        <v>75.0</v>
      </c>
      <c r="I286" s="23">
        <v>232.0</v>
      </c>
      <c r="J286" s="23">
        <v>600.0</v>
      </c>
      <c r="K286" s="24">
        <f t="shared" si="14"/>
        <v>38.66666667</v>
      </c>
      <c r="L286" s="23">
        <v>196.0</v>
      </c>
    </row>
    <row r="287" ht="14.25" customHeight="1">
      <c r="A287" s="22" t="s">
        <v>35</v>
      </c>
      <c r="B287" s="22" t="s">
        <v>418</v>
      </c>
      <c r="C287" s="22" t="s">
        <v>423</v>
      </c>
      <c r="D287" s="22" t="s">
        <v>423</v>
      </c>
      <c r="E287" s="23">
        <v>70805.0</v>
      </c>
      <c r="F287" s="23">
        <v>142.0</v>
      </c>
      <c r="G287" s="23">
        <v>156.0</v>
      </c>
      <c r="H287" s="23">
        <v>151.0</v>
      </c>
      <c r="I287" s="23">
        <v>186.0</v>
      </c>
      <c r="J287" s="23">
        <v>635.0</v>
      </c>
      <c r="K287" s="24">
        <f t="shared" si="14"/>
        <v>29.29133858</v>
      </c>
      <c r="L287" s="23">
        <v>142.0</v>
      </c>
    </row>
    <row r="288" ht="14.25" customHeight="1">
      <c r="A288" s="22" t="s">
        <v>35</v>
      </c>
      <c r="B288" s="22" t="s">
        <v>424</v>
      </c>
      <c r="C288" s="22" t="s">
        <v>425</v>
      </c>
      <c r="D288" s="22" t="s">
        <v>425</v>
      </c>
      <c r="E288" s="23">
        <v>70901.0</v>
      </c>
      <c r="F288" s="23">
        <v>403.0</v>
      </c>
      <c r="G288" s="23">
        <v>382.0</v>
      </c>
      <c r="H288" s="23">
        <v>1066.0</v>
      </c>
      <c r="I288" s="23">
        <v>1248.0</v>
      </c>
      <c r="J288" s="23">
        <v>3099.0</v>
      </c>
      <c r="K288" s="24">
        <f t="shared" si="14"/>
        <v>40.27105518</v>
      </c>
      <c r="L288" s="23">
        <v>403.0</v>
      </c>
    </row>
    <row r="289" ht="14.25" customHeight="1">
      <c r="A289" s="22" t="s">
        <v>35</v>
      </c>
      <c r="B289" s="22" t="s">
        <v>424</v>
      </c>
      <c r="C289" s="22" t="s">
        <v>426</v>
      </c>
      <c r="D289" s="22" t="s">
        <v>426</v>
      </c>
      <c r="E289" s="23">
        <v>70902.0</v>
      </c>
      <c r="F289" s="23">
        <v>224.0</v>
      </c>
      <c r="G289" s="23">
        <v>309.0</v>
      </c>
      <c r="H289" s="23">
        <v>1178.0</v>
      </c>
      <c r="I289" s="23">
        <v>1003.0</v>
      </c>
      <c r="J289" s="23">
        <v>2714.0</v>
      </c>
      <c r="K289" s="24">
        <f t="shared" si="14"/>
        <v>36.95652174</v>
      </c>
      <c r="L289" s="23">
        <v>224.0</v>
      </c>
    </row>
    <row r="290" ht="14.25" customHeight="1">
      <c r="A290" s="22" t="s">
        <v>35</v>
      </c>
      <c r="B290" s="22" t="s">
        <v>424</v>
      </c>
      <c r="C290" s="22" t="s">
        <v>427</v>
      </c>
      <c r="D290" s="22" t="s">
        <v>427</v>
      </c>
      <c r="E290" s="23">
        <v>70903.0</v>
      </c>
      <c r="F290" s="23">
        <v>196.0</v>
      </c>
      <c r="G290" s="23">
        <v>191.0</v>
      </c>
      <c r="H290" s="23">
        <v>1945.0</v>
      </c>
      <c r="I290" s="23">
        <v>632.0</v>
      </c>
      <c r="J290" s="23">
        <v>2964.0</v>
      </c>
      <c r="K290" s="24">
        <f t="shared" si="14"/>
        <v>21.32253711</v>
      </c>
      <c r="L290" s="23">
        <v>196.0</v>
      </c>
    </row>
    <row r="291" ht="14.25" customHeight="1">
      <c r="A291" s="22" t="s">
        <v>35</v>
      </c>
      <c r="B291" s="22" t="s">
        <v>424</v>
      </c>
      <c r="C291" s="22" t="s">
        <v>428</v>
      </c>
      <c r="D291" s="22" t="s">
        <v>428</v>
      </c>
      <c r="E291" s="23">
        <v>70904.0</v>
      </c>
      <c r="F291" s="23">
        <v>81.0</v>
      </c>
      <c r="G291" s="23">
        <v>86.0</v>
      </c>
      <c r="H291" s="23">
        <v>179.0</v>
      </c>
      <c r="I291" s="23">
        <v>384.0</v>
      </c>
      <c r="J291" s="23">
        <v>730.0</v>
      </c>
      <c r="K291" s="24">
        <f t="shared" si="14"/>
        <v>52.60273973</v>
      </c>
      <c r="L291" s="23">
        <v>81.0</v>
      </c>
    </row>
    <row r="292" ht="14.25" customHeight="1">
      <c r="A292" s="22" t="s">
        <v>35</v>
      </c>
      <c r="B292" s="22" t="s">
        <v>429</v>
      </c>
      <c r="C292" s="22" t="s">
        <v>430</v>
      </c>
      <c r="D292" s="22" t="s">
        <v>430</v>
      </c>
      <c r="E292" s="23">
        <v>71001.0</v>
      </c>
      <c r="F292" s="23">
        <v>495.0</v>
      </c>
      <c r="G292" s="23">
        <v>1801.0</v>
      </c>
      <c r="H292" s="23">
        <v>12084.0</v>
      </c>
      <c r="I292" s="23">
        <v>11963.0</v>
      </c>
      <c r="J292" s="23">
        <v>26343.0</v>
      </c>
      <c r="K292" s="24">
        <f t="shared" si="14"/>
        <v>45.41244353</v>
      </c>
      <c r="L292" s="23">
        <v>495.0</v>
      </c>
    </row>
    <row r="293" ht="14.25" customHeight="1">
      <c r="A293" s="22" t="s">
        <v>35</v>
      </c>
      <c r="B293" s="22" t="s">
        <v>429</v>
      </c>
      <c r="C293" s="22" t="s">
        <v>431</v>
      </c>
      <c r="D293" s="22" t="s">
        <v>431</v>
      </c>
      <c r="E293" s="23">
        <v>71002.0</v>
      </c>
      <c r="F293" s="23">
        <v>92.0</v>
      </c>
      <c r="G293" s="23">
        <v>310.0</v>
      </c>
      <c r="H293" s="23">
        <v>1590.0</v>
      </c>
      <c r="I293" s="23">
        <v>1244.0</v>
      </c>
      <c r="J293" s="23">
        <v>3236.0</v>
      </c>
      <c r="K293" s="24">
        <f t="shared" si="14"/>
        <v>38.44252163</v>
      </c>
      <c r="L293" s="23">
        <v>92.0</v>
      </c>
    </row>
    <row r="294" ht="14.25" customHeight="1">
      <c r="A294" s="22" t="s">
        <v>35</v>
      </c>
      <c r="B294" s="22" t="s">
        <v>429</v>
      </c>
      <c r="C294" s="22" t="s">
        <v>432</v>
      </c>
      <c r="D294" s="22" t="s">
        <v>432</v>
      </c>
      <c r="E294" s="23">
        <v>71003.0</v>
      </c>
      <c r="F294" s="23">
        <v>97.0</v>
      </c>
      <c r="G294" s="23">
        <v>424.0</v>
      </c>
      <c r="H294" s="23">
        <v>4183.0</v>
      </c>
      <c r="I294" s="23">
        <v>623.0</v>
      </c>
      <c r="J294" s="23">
        <v>5327.0</v>
      </c>
      <c r="K294" s="24">
        <f t="shared" si="14"/>
        <v>11.69513798</v>
      </c>
      <c r="L294" s="23">
        <v>97.0</v>
      </c>
    </row>
    <row r="295" ht="14.25" customHeight="1">
      <c r="A295" s="22" t="s">
        <v>35</v>
      </c>
      <c r="B295" s="22" t="s">
        <v>429</v>
      </c>
      <c r="C295" s="22" t="s">
        <v>433</v>
      </c>
      <c r="D295" s="22" t="s">
        <v>433</v>
      </c>
      <c r="E295" s="23">
        <v>71004.0</v>
      </c>
      <c r="F295" s="23">
        <v>48.0</v>
      </c>
      <c r="G295" s="23">
        <v>329.0</v>
      </c>
      <c r="H295" s="23">
        <v>2195.0</v>
      </c>
      <c r="I295" s="23">
        <v>591.0</v>
      </c>
      <c r="J295" s="23">
        <v>3163.0</v>
      </c>
      <c r="K295" s="24">
        <f t="shared" si="14"/>
        <v>18.68479292</v>
      </c>
      <c r="L295" s="23">
        <v>48.0</v>
      </c>
    </row>
    <row r="296" ht="14.25" customHeight="1">
      <c r="A296" s="22" t="s">
        <v>35</v>
      </c>
      <c r="B296" s="22" t="s">
        <v>429</v>
      </c>
      <c r="C296" s="22" t="s">
        <v>323</v>
      </c>
      <c r="D296" s="22" t="s">
        <v>323</v>
      </c>
      <c r="E296" s="23">
        <v>71005.0</v>
      </c>
      <c r="F296" s="23">
        <v>46.0</v>
      </c>
      <c r="G296" s="23">
        <v>181.0</v>
      </c>
      <c r="H296" s="23">
        <v>1630.0</v>
      </c>
      <c r="I296" s="23">
        <v>1620.0</v>
      </c>
      <c r="J296" s="23">
        <v>3477.0</v>
      </c>
      <c r="K296" s="24">
        <f t="shared" si="14"/>
        <v>46.59188956</v>
      </c>
      <c r="L296" s="23">
        <v>46.0</v>
      </c>
    </row>
    <row r="297" ht="14.25" customHeight="1">
      <c r="A297" s="22" t="s">
        <v>35</v>
      </c>
      <c r="B297" s="22" t="s">
        <v>434</v>
      </c>
      <c r="C297" s="22" t="s">
        <v>373</v>
      </c>
      <c r="D297" s="22" t="s">
        <v>373</v>
      </c>
      <c r="E297" s="23">
        <v>71101.0</v>
      </c>
      <c r="F297" s="23">
        <v>629.0</v>
      </c>
      <c r="G297" s="23">
        <v>988.0</v>
      </c>
      <c r="H297" s="23">
        <v>2118.0</v>
      </c>
      <c r="I297" s="23">
        <v>526.0</v>
      </c>
      <c r="J297" s="23">
        <v>4261.0</v>
      </c>
      <c r="K297" s="24">
        <f t="shared" si="14"/>
        <v>12.34452007</v>
      </c>
      <c r="L297" s="23">
        <v>629.0</v>
      </c>
    </row>
    <row r="298" ht="14.25" customHeight="1">
      <c r="A298" s="22" t="s">
        <v>35</v>
      </c>
      <c r="B298" s="22" t="s">
        <v>434</v>
      </c>
      <c r="C298" s="22" t="s">
        <v>435</v>
      </c>
      <c r="D298" s="22" t="s">
        <v>435</v>
      </c>
      <c r="E298" s="23">
        <v>71102.0</v>
      </c>
      <c r="F298" s="23">
        <v>337.0</v>
      </c>
      <c r="G298" s="23">
        <v>645.0</v>
      </c>
      <c r="H298" s="23">
        <v>1880.0</v>
      </c>
      <c r="I298" s="23">
        <v>323.0</v>
      </c>
      <c r="J298" s="23">
        <v>3185.0</v>
      </c>
      <c r="K298" s="24">
        <f t="shared" si="14"/>
        <v>10.14128728</v>
      </c>
      <c r="L298" s="23">
        <v>337.0</v>
      </c>
    </row>
    <row r="299" ht="14.25" customHeight="1">
      <c r="A299" s="22" t="s">
        <v>35</v>
      </c>
      <c r="B299" s="22" t="s">
        <v>434</v>
      </c>
      <c r="C299" s="22" t="s">
        <v>436</v>
      </c>
      <c r="D299" s="22" t="s">
        <v>436</v>
      </c>
      <c r="E299" s="23">
        <v>71103.0</v>
      </c>
      <c r="F299" s="23">
        <v>523.0</v>
      </c>
      <c r="G299" s="23">
        <v>2212.0</v>
      </c>
      <c r="H299" s="23">
        <v>6716.0</v>
      </c>
      <c r="I299" s="23">
        <v>3316.0</v>
      </c>
      <c r="J299" s="23">
        <v>12767.0</v>
      </c>
      <c r="K299" s="24">
        <f t="shared" si="14"/>
        <v>25.97321219</v>
      </c>
      <c r="L299" s="23">
        <v>523.0</v>
      </c>
    </row>
    <row r="300" ht="14.25" customHeight="1">
      <c r="A300" s="22" t="s">
        <v>35</v>
      </c>
      <c r="B300" s="22" t="s">
        <v>434</v>
      </c>
      <c r="C300" s="22" t="s">
        <v>437</v>
      </c>
      <c r="D300" s="22" t="s">
        <v>437</v>
      </c>
      <c r="E300" s="23">
        <v>71104.0</v>
      </c>
      <c r="F300" s="23">
        <v>43.0</v>
      </c>
      <c r="G300" s="23">
        <v>100.0</v>
      </c>
      <c r="H300" s="23">
        <v>308.0</v>
      </c>
      <c r="I300" s="23">
        <v>695.0</v>
      </c>
      <c r="J300" s="23">
        <v>1146.0</v>
      </c>
      <c r="K300" s="24">
        <f t="shared" si="14"/>
        <v>60.64572426</v>
      </c>
      <c r="L300" s="23">
        <v>43.0</v>
      </c>
    </row>
    <row r="301" ht="14.25" customHeight="1">
      <c r="A301" s="22" t="s">
        <v>35</v>
      </c>
      <c r="B301" s="22" t="s">
        <v>434</v>
      </c>
      <c r="C301" s="22" t="s">
        <v>438</v>
      </c>
      <c r="D301" s="22" t="s">
        <v>438</v>
      </c>
      <c r="E301" s="23">
        <v>71105.0</v>
      </c>
      <c r="F301" s="23">
        <v>109.0</v>
      </c>
      <c r="G301" s="23">
        <v>389.0</v>
      </c>
      <c r="H301" s="23">
        <v>1133.0</v>
      </c>
      <c r="I301" s="23">
        <v>54.0</v>
      </c>
      <c r="J301" s="23">
        <v>1685.0</v>
      </c>
      <c r="K301" s="24">
        <f t="shared" si="14"/>
        <v>3.204747774</v>
      </c>
      <c r="L301" s="23">
        <v>109.0</v>
      </c>
    </row>
    <row r="302" ht="14.25" customHeight="1">
      <c r="A302" s="22" t="s">
        <v>35</v>
      </c>
      <c r="B302" s="22" t="s">
        <v>434</v>
      </c>
      <c r="C302" s="22" t="s">
        <v>439</v>
      </c>
      <c r="D302" s="22" t="s">
        <v>439</v>
      </c>
      <c r="E302" s="23">
        <v>71106.0</v>
      </c>
      <c r="F302" s="23">
        <v>48.0</v>
      </c>
      <c r="G302" s="23">
        <v>446.0</v>
      </c>
      <c r="H302" s="23">
        <v>2474.0</v>
      </c>
      <c r="I302" s="23">
        <v>2090.0</v>
      </c>
      <c r="J302" s="23">
        <v>5058.0</v>
      </c>
      <c r="K302" s="24">
        <f t="shared" si="14"/>
        <v>41.32068011</v>
      </c>
      <c r="L302" s="23">
        <v>48.0</v>
      </c>
    </row>
    <row r="303" ht="14.25" customHeight="1">
      <c r="A303" s="22" t="s">
        <v>35</v>
      </c>
      <c r="B303" s="22" t="s">
        <v>440</v>
      </c>
      <c r="C303" s="22" t="s">
        <v>441</v>
      </c>
      <c r="D303" s="22" t="s">
        <v>441</v>
      </c>
      <c r="E303" s="23">
        <v>71201.0</v>
      </c>
      <c r="F303" s="23">
        <v>205.0</v>
      </c>
      <c r="G303" s="23">
        <v>858.0</v>
      </c>
      <c r="H303" s="23">
        <v>1581.0</v>
      </c>
      <c r="I303" s="23">
        <v>571.0</v>
      </c>
      <c r="J303" s="23">
        <v>3215.0</v>
      </c>
      <c r="K303" s="24">
        <f t="shared" si="14"/>
        <v>17.76049767</v>
      </c>
      <c r="L303" s="23">
        <v>205.0</v>
      </c>
    </row>
    <row r="304" ht="14.25" customHeight="1">
      <c r="A304" s="22" t="s">
        <v>35</v>
      </c>
      <c r="B304" s="22" t="s">
        <v>442</v>
      </c>
      <c r="C304" s="22" t="s">
        <v>443</v>
      </c>
      <c r="D304" s="22" t="s">
        <v>443</v>
      </c>
      <c r="E304" s="23">
        <v>71301.0</v>
      </c>
      <c r="F304" s="23">
        <v>602.0</v>
      </c>
      <c r="G304" s="23">
        <v>726.0</v>
      </c>
      <c r="H304" s="23">
        <v>930.0</v>
      </c>
      <c r="I304" s="23">
        <v>2381.0</v>
      </c>
      <c r="J304" s="23">
        <v>4639.0</v>
      </c>
      <c r="K304" s="24">
        <f t="shared" si="14"/>
        <v>51.32571675</v>
      </c>
      <c r="L304" s="23">
        <v>602.0</v>
      </c>
    </row>
    <row r="305" ht="14.25" customHeight="1">
      <c r="A305" s="22" t="s">
        <v>35</v>
      </c>
      <c r="B305" s="22" t="s">
        <v>442</v>
      </c>
      <c r="C305" s="22" t="s">
        <v>444</v>
      </c>
      <c r="D305" s="22" t="s">
        <v>444</v>
      </c>
      <c r="E305" s="23">
        <v>71302.0</v>
      </c>
      <c r="F305" s="23">
        <v>120.0</v>
      </c>
      <c r="G305" s="23">
        <v>200.0</v>
      </c>
      <c r="H305" s="23">
        <v>1097.0</v>
      </c>
      <c r="I305" s="23">
        <v>366.0</v>
      </c>
      <c r="J305" s="23">
        <v>1783.0</v>
      </c>
      <c r="K305" s="24">
        <f t="shared" si="14"/>
        <v>20.52720135</v>
      </c>
      <c r="L305" s="23">
        <v>120.0</v>
      </c>
    </row>
    <row r="306" ht="14.25" customHeight="1">
      <c r="A306" s="22" t="s">
        <v>35</v>
      </c>
      <c r="B306" s="22" t="s">
        <v>445</v>
      </c>
      <c r="C306" s="22" t="s">
        <v>446</v>
      </c>
      <c r="D306" s="22" t="s">
        <v>446</v>
      </c>
      <c r="E306" s="23">
        <v>71401.0</v>
      </c>
      <c r="F306" s="23">
        <v>234.0</v>
      </c>
      <c r="G306" s="23">
        <v>300.0</v>
      </c>
      <c r="H306" s="23">
        <v>3343.0</v>
      </c>
      <c r="I306" s="23">
        <v>677.0</v>
      </c>
      <c r="J306" s="23">
        <v>4554.0</v>
      </c>
      <c r="K306" s="24">
        <f t="shared" si="14"/>
        <v>14.86605182</v>
      </c>
      <c r="L306" s="23">
        <v>234.0</v>
      </c>
    </row>
    <row r="307" ht="14.25" customHeight="1">
      <c r="A307" s="22" t="s">
        <v>35</v>
      </c>
      <c r="B307" s="22" t="s">
        <v>445</v>
      </c>
      <c r="C307" s="22" t="s">
        <v>447</v>
      </c>
      <c r="D307" s="22" t="s">
        <v>447</v>
      </c>
      <c r="E307" s="23">
        <v>71402.0</v>
      </c>
      <c r="F307" s="23">
        <v>12.0</v>
      </c>
      <c r="G307" s="23">
        <v>275.0</v>
      </c>
      <c r="H307" s="23">
        <v>3465.0</v>
      </c>
      <c r="I307" s="23">
        <v>129.0</v>
      </c>
      <c r="J307" s="23">
        <v>3881.0</v>
      </c>
      <c r="K307" s="24">
        <f t="shared" si="14"/>
        <v>3.323885596</v>
      </c>
      <c r="L307" s="23">
        <v>12.0</v>
      </c>
    </row>
    <row r="308" ht="14.25" customHeight="1">
      <c r="A308" s="22" t="s">
        <v>35</v>
      </c>
      <c r="B308" s="22" t="s">
        <v>445</v>
      </c>
      <c r="C308" s="22" t="s">
        <v>448</v>
      </c>
      <c r="D308" s="22" t="s">
        <v>448</v>
      </c>
      <c r="E308" s="23">
        <v>71403.0</v>
      </c>
      <c r="F308" s="23">
        <v>154.0</v>
      </c>
      <c r="G308" s="23">
        <v>304.0</v>
      </c>
      <c r="H308" s="23">
        <v>777.0</v>
      </c>
      <c r="I308" s="23">
        <v>257.0</v>
      </c>
      <c r="J308" s="23">
        <v>1492.0</v>
      </c>
      <c r="K308" s="24">
        <f t="shared" si="14"/>
        <v>17.22520107</v>
      </c>
      <c r="L308" s="23">
        <v>154.0</v>
      </c>
    </row>
    <row r="309" ht="14.25" customHeight="1">
      <c r="A309" s="22" t="s">
        <v>35</v>
      </c>
      <c r="B309" s="22" t="s">
        <v>449</v>
      </c>
      <c r="C309" s="22" t="s">
        <v>450</v>
      </c>
      <c r="D309" s="22" t="s">
        <v>450</v>
      </c>
      <c r="E309" s="23">
        <v>71501.0</v>
      </c>
      <c r="F309" s="23">
        <v>623.0</v>
      </c>
      <c r="G309" s="23">
        <v>2637.0</v>
      </c>
      <c r="H309" s="23">
        <v>1606.0</v>
      </c>
      <c r="I309" s="23">
        <v>655.0</v>
      </c>
      <c r="J309" s="23">
        <v>5521.0</v>
      </c>
      <c r="K309" s="24">
        <f t="shared" si="14"/>
        <v>11.86379279</v>
      </c>
      <c r="L309" s="23">
        <v>623.0</v>
      </c>
    </row>
    <row r="310" ht="14.25" customHeight="1">
      <c r="A310" s="22" t="s">
        <v>35</v>
      </c>
      <c r="B310" s="22" t="s">
        <v>449</v>
      </c>
      <c r="C310" s="22" t="s">
        <v>451</v>
      </c>
      <c r="D310" s="22" t="s">
        <v>452</v>
      </c>
      <c r="E310" s="23">
        <v>71502.0</v>
      </c>
      <c r="F310" s="23">
        <v>141.0</v>
      </c>
      <c r="G310" s="23">
        <v>335.0</v>
      </c>
      <c r="H310" s="23">
        <v>664.0</v>
      </c>
      <c r="I310" s="23">
        <v>42.0</v>
      </c>
      <c r="J310" s="23">
        <v>1182.0</v>
      </c>
      <c r="K310" s="24">
        <f t="shared" si="14"/>
        <v>3.553299492</v>
      </c>
      <c r="L310" s="23">
        <v>141.0</v>
      </c>
    </row>
    <row r="311" ht="14.25" customHeight="1">
      <c r="A311" s="22" t="s">
        <v>35</v>
      </c>
      <c r="B311" s="22" t="s">
        <v>449</v>
      </c>
      <c r="C311" s="22" t="s">
        <v>378</v>
      </c>
      <c r="D311" s="22" t="s">
        <v>378</v>
      </c>
      <c r="E311" s="23">
        <v>71503.0</v>
      </c>
      <c r="F311" s="23">
        <v>972.0</v>
      </c>
      <c r="G311" s="23">
        <v>1473.0</v>
      </c>
      <c r="H311" s="23">
        <v>1396.0</v>
      </c>
      <c r="I311" s="23">
        <v>620.0</v>
      </c>
      <c r="J311" s="23">
        <v>4461.0</v>
      </c>
      <c r="K311" s="24">
        <f t="shared" si="14"/>
        <v>13.8982291</v>
      </c>
      <c r="L311" s="23">
        <v>972.0</v>
      </c>
    </row>
    <row r="312" ht="14.25" customHeight="1">
      <c r="A312" s="22" t="s">
        <v>38</v>
      </c>
      <c r="B312" s="22" t="s">
        <v>189</v>
      </c>
      <c r="C312" s="22" t="s">
        <v>453</v>
      </c>
      <c r="D312" s="22" t="s">
        <v>453</v>
      </c>
      <c r="E312" s="23">
        <v>80101.0</v>
      </c>
      <c r="F312" s="23">
        <v>917.0</v>
      </c>
      <c r="G312" s="23">
        <v>6882.0</v>
      </c>
      <c r="H312" s="23">
        <v>9663.0</v>
      </c>
      <c r="I312" s="23">
        <v>7262.0</v>
      </c>
      <c r="J312" s="23">
        <v>24724.0</v>
      </c>
      <c r="K312" s="24">
        <f t="shared" si="14"/>
        <v>29.37226986</v>
      </c>
      <c r="L312" s="23">
        <v>917.0</v>
      </c>
    </row>
    <row r="313" ht="14.25" customHeight="1">
      <c r="A313" s="22" t="s">
        <v>38</v>
      </c>
      <c r="B313" s="22" t="s">
        <v>189</v>
      </c>
      <c r="C313" s="22" t="s">
        <v>435</v>
      </c>
      <c r="D313" s="22" t="s">
        <v>435</v>
      </c>
      <c r="E313" s="23">
        <v>80102.0</v>
      </c>
      <c r="F313" s="23">
        <v>73.0</v>
      </c>
      <c r="G313" s="23">
        <v>290.0</v>
      </c>
      <c r="H313" s="23">
        <v>521.0</v>
      </c>
      <c r="I313" s="23">
        <v>346.0</v>
      </c>
      <c r="J313" s="23">
        <v>1230.0</v>
      </c>
      <c r="K313" s="24">
        <f t="shared" si="14"/>
        <v>28.1300813</v>
      </c>
      <c r="L313" s="23">
        <v>73.0</v>
      </c>
    </row>
    <row r="314" ht="14.25" customHeight="1">
      <c r="A314" s="22" t="s">
        <v>38</v>
      </c>
      <c r="B314" s="22" t="s">
        <v>454</v>
      </c>
      <c r="C314" s="22" t="s">
        <v>455</v>
      </c>
      <c r="D314" s="22" t="s">
        <v>455</v>
      </c>
      <c r="E314" s="23">
        <v>80201.0</v>
      </c>
      <c r="F314" s="23">
        <v>1309.0</v>
      </c>
      <c r="G314" s="23">
        <v>12589.0</v>
      </c>
      <c r="H314" s="23">
        <v>3211.0</v>
      </c>
      <c r="I314" s="23">
        <v>2479.0</v>
      </c>
      <c r="J314" s="23">
        <v>19588.0</v>
      </c>
      <c r="K314" s="24">
        <f t="shared" si="14"/>
        <v>12.65570758</v>
      </c>
      <c r="L314" s="23">
        <v>1309.0</v>
      </c>
    </row>
    <row r="315" ht="14.25" customHeight="1">
      <c r="A315" s="22" t="s">
        <v>38</v>
      </c>
      <c r="B315" s="22" t="s">
        <v>454</v>
      </c>
      <c r="C315" s="22" t="s">
        <v>456</v>
      </c>
      <c r="D315" s="22" t="s">
        <v>456</v>
      </c>
      <c r="E315" s="23">
        <v>80202.0</v>
      </c>
      <c r="F315" s="23">
        <v>289.0</v>
      </c>
      <c r="G315" s="23">
        <v>1224.0</v>
      </c>
      <c r="H315" s="23">
        <v>4939.0</v>
      </c>
      <c r="I315" s="23">
        <v>2809.0</v>
      </c>
      <c r="J315" s="23">
        <v>9261.0</v>
      </c>
      <c r="K315" s="24">
        <f t="shared" si="14"/>
        <v>30.33149768</v>
      </c>
      <c r="L315" s="23">
        <v>289.0</v>
      </c>
    </row>
    <row r="316" ht="14.25" customHeight="1">
      <c r="A316" s="22" t="s">
        <v>38</v>
      </c>
      <c r="B316" s="22" t="s">
        <v>457</v>
      </c>
      <c r="C316" s="22" t="s">
        <v>458</v>
      </c>
      <c r="D316" s="22" t="s">
        <v>458</v>
      </c>
      <c r="E316" s="23">
        <v>80301.0</v>
      </c>
      <c r="F316" s="23">
        <v>303.0</v>
      </c>
      <c r="G316" s="23">
        <v>1495.0</v>
      </c>
      <c r="H316" s="23">
        <v>997.0</v>
      </c>
      <c r="I316" s="23">
        <v>167.0</v>
      </c>
      <c r="J316" s="23">
        <v>2962.0</v>
      </c>
      <c r="K316" s="24">
        <f t="shared" si="14"/>
        <v>5.638082377</v>
      </c>
      <c r="L316" s="23">
        <v>303.0</v>
      </c>
    </row>
    <row r="317" ht="14.25" customHeight="1">
      <c r="A317" s="22" t="s">
        <v>38</v>
      </c>
      <c r="B317" s="22" t="s">
        <v>457</v>
      </c>
      <c r="C317" s="22" t="s">
        <v>459</v>
      </c>
      <c r="D317" s="40" t="s">
        <v>459</v>
      </c>
      <c r="E317" s="23">
        <v>80302.0</v>
      </c>
      <c r="F317" s="23">
        <v>2386.0</v>
      </c>
      <c r="G317" s="23">
        <v>1702.0</v>
      </c>
      <c r="H317" s="23">
        <v>4854.0</v>
      </c>
      <c r="I317" s="23">
        <v>470.0</v>
      </c>
      <c r="J317" s="23">
        <v>9412.0</v>
      </c>
      <c r="K317" s="24">
        <f t="shared" si="14"/>
        <v>4.993625159</v>
      </c>
      <c r="L317" s="23">
        <v>2386.0</v>
      </c>
    </row>
    <row r="318" ht="14.25" customHeight="1">
      <c r="A318" s="22" t="s">
        <v>38</v>
      </c>
      <c r="B318" s="22" t="s">
        <v>457</v>
      </c>
      <c r="C318" s="22" t="s">
        <v>408</v>
      </c>
      <c r="D318" s="40" t="s">
        <v>408</v>
      </c>
      <c r="E318" s="23">
        <v>80303.0</v>
      </c>
      <c r="F318" s="23">
        <v>47.0</v>
      </c>
      <c r="G318" s="23">
        <v>253.0</v>
      </c>
      <c r="H318" s="23">
        <v>1228.0</v>
      </c>
      <c r="I318" s="23">
        <v>448.0</v>
      </c>
      <c r="J318" s="23">
        <v>1976.0</v>
      </c>
      <c r="K318" s="24">
        <f t="shared" si="14"/>
        <v>22.67206478</v>
      </c>
      <c r="L318" s="23">
        <v>47.0</v>
      </c>
    </row>
    <row r="319" ht="14.25" customHeight="1">
      <c r="A319" s="22" t="s">
        <v>38</v>
      </c>
      <c r="B319" s="22" t="s">
        <v>457</v>
      </c>
      <c r="C319" s="22" t="s">
        <v>460</v>
      </c>
      <c r="D319" s="40" t="s">
        <v>461</v>
      </c>
      <c r="E319" s="23">
        <v>80304.0</v>
      </c>
      <c r="F319" s="23">
        <v>581.0</v>
      </c>
      <c r="G319" s="23">
        <v>594.0</v>
      </c>
      <c r="H319" s="23">
        <v>1882.0</v>
      </c>
      <c r="I319" s="23">
        <v>1800.0</v>
      </c>
      <c r="J319" s="23">
        <v>4857.0</v>
      </c>
      <c r="K319" s="24">
        <f t="shared" si="14"/>
        <v>37.05991353</v>
      </c>
      <c r="L319" s="23">
        <v>581.0</v>
      </c>
    </row>
    <row r="320" ht="14.25" customHeight="1">
      <c r="A320" s="22" t="s">
        <v>38</v>
      </c>
      <c r="B320" s="22" t="s">
        <v>462</v>
      </c>
      <c r="C320" s="22" t="s">
        <v>463</v>
      </c>
      <c r="D320" s="40" t="s">
        <v>464</v>
      </c>
      <c r="E320" s="23">
        <v>80401.0</v>
      </c>
      <c r="F320" s="23">
        <v>182.0</v>
      </c>
      <c r="G320" s="23">
        <v>504.0</v>
      </c>
      <c r="H320" s="23">
        <v>1333.0</v>
      </c>
      <c r="I320" s="23">
        <v>1411.0</v>
      </c>
      <c r="J320" s="23">
        <v>3430.0</v>
      </c>
      <c r="K320" s="24">
        <f t="shared" si="14"/>
        <v>41.13702624</v>
      </c>
      <c r="L320" s="23">
        <v>182.0</v>
      </c>
    </row>
    <row r="321" ht="14.25" customHeight="1">
      <c r="A321" s="22" t="s">
        <v>38</v>
      </c>
      <c r="B321" s="22" t="s">
        <v>462</v>
      </c>
      <c r="C321" s="22" t="s">
        <v>465</v>
      </c>
      <c r="D321" s="40" t="s">
        <v>465</v>
      </c>
      <c r="E321" s="23">
        <v>80402.0</v>
      </c>
      <c r="F321" s="23">
        <v>67.0</v>
      </c>
      <c r="G321" s="23">
        <v>250.0</v>
      </c>
      <c r="H321" s="23">
        <v>367.0</v>
      </c>
      <c r="I321" s="23">
        <v>254.0</v>
      </c>
      <c r="J321" s="23">
        <v>938.0</v>
      </c>
      <c r="K321" s="24">
        <f t="shared" si="14"/>
        <v>27.07889126</v>
      </c>
      <c r="L321" s="23">
        <v>67.0</v>
      </c>
    </row>
    <row r="322" ht="14.25" customHeight="1">
      <c r="A322" s="22" t="s">
        <v>38</v>
      </c>
      <c r="B322" s="22" t="s">
        <v>466</v>
      </c>
      <c r="C322" s="22" t="s">
        <v>391</v>
      </c>
      <c r="D322" s="40" t="s">
        <v>391</v>
      </c>
      <c r="E322" s="23">
        <v>80501.0</v>
      </c>
      <c r="F322" s="23">
        <v>554.0</v>
      </c>
      <c r="G322" s="23">
        <v>1824.0</v>
      </c>
      <c r="H322" s="23">
        <v>1262.0</v>
      </c>
      <c r="I322" s="23">
        <v>365.0</v>
      </c>
      <c r="J322" s="23">
        <v>4005.0</v>
      </c>
      <c r="K322" s="24">
        <f t="shared" si="14"/>
        <v>9.11360799</v>
      </c>
      <c r="L322" s="23">
        <v>554.0</v>
      </c>
    </row>
    <row r="323" ht="14.25" customHeight="1">
      <c r="A323" s="22" t="s">
        <v>38</v>
      </c>
      <c r="B323" s="22" t="s">
        <v>467</v>
      </c>
      <c r="C323" s="22" t="s">
        <v>468</v>
      </c>
      <c r="D323" s="40" t="s">
        <v>468</v>
      </c>
      <c r="E323" s="23">
        <v>80601.0</v>
      </c>
      <c r="F323" s="23">
        <v>85.0</v>
      </c>
      <c r="G323" s="23">
        <v>215.0</v>
      </c>
      <c r="H323" s="23">
        <v>298.0</v>
      </c>
      <c r="I323" s="23">
        <v>266.0</v>
      </c>
      <c r="J323" s="23">
        <v>864.0</v>
      </c>
      <c r="K323" s="24">
        <f t="shared" si="14"/>
        <v>30.78703704</v>
      </c>
      <c r="L323" s="23">
        <v>85.0</v>
      </c>
    </row>
    <row r="324" ht="14.25" customHeight="1">
      <c r="A324" s="22" t="s">
        <v>38</v>
      </c>
      <c r="B324" s="22" t="s">
        <v>467</v>
      </c>
      <c r="C324" s="22" t="s">
        <v>469</v>
      </c>
      <c r="D324" s="22" t="s">
        <v>469</v>
      </c>
      <c r="E324" s="23">
        <v>80602.0</v>
      </c>
      <c r="F324" s="23">
        <v>337.0</v>
      </c>
      <c r="G324" s="23">
        <v>636.0</v>
      </c>
      <c r="H324" s="23">
        <v>1280.0</v>
      </c>
      <c r="I324" s="23">
        <v>743.0</v>
      </c>
      <c r="J324" s="23">
        <v>2996.0</v>
      </c>
      <c r="K324" s="24">
        <f t="shared" si="14"/>
        <v>24.79973298</v>
      </c>
      <c r="L324" s="23">
        <v>337.0</v>
      </c>
    </row>
    <row r="325" ht="14.25" customHeight="1">
      <c r="A325" s="22" t="s">
        <v>38</v>
      </c>
      <c r="B325" s="22" t="s">
        <v>470</v>
      </c>
      <c r="C325" s="22" t="s">
        <v>471</v>
      </c>
      <c r="D325" s="22" t="s">
        <v>471</v>
      </c>
      <c r="E325" s="23">
        <v>80701.0</v>
      </c>
      <c r="F325" s="23">
        <v>38.0</v>
      </c>
      <c r="G325" s="23">
        <v>476.0</v>
      </c>
      <c r="H325" s="23">
        <v>610.0</v>
      </c>
      <c r="I325" s="23">
        <v>130.0</v>
      </c>
      <c r="J325" s="23">
        <v>1254.0</v>
      </c>
      <c r="K325" s="24">
        <f t="shared" si="14"/>
        <v>10.36682616</v>
      </c>
      <c r="L325" s="23">
        <v>38.0</v>
      </c>
    </row>
    <row r="326" ht="14.25" customHeight="1">
      <c r="A326" s="22" t="s">
        <v>38</v>
      </c>
      <c r="B326" s="22" t="s">
        <v>470</v>
      </c>
      <c r="C326" s="22" t="s">
        <v>436</v>
      </c>
      <c r="D326" s="22" t="s">
        <v>436</v>
      </c>
      <c r="E326" s="23">
        <v>80702.0</v>
      </c>
      <c r="F326" s="23">
        <v>40.0</v>
      </c>
      <c r="G326" s="23">
        <v>279.0</v>
      </c>
      <c r="H326" s="23">
        <v>773.0</v>
      </c>
      <c r="I326" s="23">
        <v>68.0</v>
      </c>
      <c r="J326" s="23">
        <v>1160.0</v>
      </c>
      <c r="K326" s="24">
        <f t="shared" si="14"/>
        <v>5.862068966</v>
      </c>
      <c r="L326" s="23">
        <v>40.0</v>
      </c>
    </row>
    <row r="327" ht="14.25" customHeight="1">
      <c r="A327" s="22" t="s">
        <v>38</v>
      </c>
      <c r="B327" s="22" t="s">
        <v>470</v>
      </c>
      <c r="C327" s="22" t="s">
        <v>472</v>
      </c>
      <c r="D327" s="22" t="s">
        <v>472</v>
      </c>
      <c r="E327" s="23">
        <v>80703.0</v>
      </c>
      <c r="F327" s="23">
        <v>12.0</v>
      </c>
      <c r="G327" s="23">
        <v>37.0</v>
      </c>
      <c r="H327" s="23">
        <v>51.0</v>
      </c>
      <c r="I327" s="23">
        <v>95.0</v>
      </c>
      <c r="J327" s="23">
        <v>195.0</v>
      </c>
      <c r="K327" s="24">
        <f t="shared" si="14"/>
        <v>48.71794872</v>
      </c>
      <c r="L327" s="23">
        <v>12.0</v>
      </c>
    </row>
    <row r="328" ht="14.25" customHeight="1">
      <c r="A328" s="22" t="s">
        <v>38</v>
      </c>
      <c r="B328" s="22" t="s">
        <v>473</v>
      </c>
      <c r="C328" s="22" t="s">
        <v>474</v>
      </c>
      <c r="D328" s="22" t="s">
        <v>474</v>
      </c>
      <c r="E328" s="23">
        <v>80801.0</v>
      </c>
      <c r="F328" s="23">
        <v>104.0</v>
      </c>
      <c r="G328" s="23">
        <v>873.0</v>
      </c>
      <c r="H328" s="23">
        <v>1179.0</v>
      </c>
      <c r="I328" s="23">
        <v>76.0</v>
      </c>
      <c r="J328" s="23">
        <v>2232.0</v>
      </c>
      <c r="K328" s="24">
        <f t="shared" si="14"/>
        <v>3.405017921</v>
      </c>
      <c r="L328" s="23">
        <v>104.0</v>
      </c>
    </row>
    <row r="329" ht="14.25" customHeight="1">
      <c r="A329" s="22" t="s">
        <v>38</v>
      </c>
      <c r="B329" s="22" t="s">
        <v>473</v>
      </c>
      <c r="C329" s="22" t="s">
        <v>475</v>
      </c>
      <c r="D329" s="22" t="s">
        <v>475</v>
      </c>
      <c r="E329" s="23">
        <v>80802.0</v>
      </c>
      <c r="F329" s="23">
        <v>127.0</v>
      </c>
      <c r="G329" s="23">
        <v>446.0</v>
      </c>
      <c r="H329" s="23">
        <v>701.0</v>
      </c>
      <c r="I329" s="23">
        <v>82.0</v>
      </c>
      <c r="J329" s="23">
        <v>1356.0</v>
      </c>
      <c r="K329" s="24">
        <f t="shared" si="14"/>
        <v>6.04719764</v>
      </c>
      <c r="L329" s="23">
        <v>127.0</v>
      </c>
    </row>
    <row r="330" ht="14.25" customHeight="1">
      <c r="A330" s="22" t="s">
        <v>38</v>
      </c>
      <c r="B330" s="22" t="s">
        <v>473</v>
      </c>
      <c r="C330" s="22" t="s">
        <v>476</v>
      </c>
      <c r="D330" s="22" t="s">
        <v>476</v>
      </c>
      <c r="E330" s="23">
        <v>80803.0</v>
      </c>
      <c r="F330" s="23">
        <v>57.0</v>
      </c>
      <c r="G330" s="23">
        <v>409.0</v>
      </c>
      <c r="H330" s="23">
        <v>137.0</v>
      </c>
      <c r="I330" s="23">
        <v>216.0</v>
      </c>
      <c r="J330" s="23">
        <v>819.0</v>
      </c>
      <c r="K330" s="24">
        <f t="shared" si="14"/>
        <v>26.37362637</v>
      </c>
      <c r="L330" s="23">
        <v>57.0</v>
      </c>
    </row>
    <row r="331" ht="14.25" customHeight="1">
      <c r="A331" s="22" t="s">
        <v>38</v>
      </c>
      <c r="B331" s="22" t="s">
        <v>466</v>
      </c>
      <c r="C331" s="22" t="s">
        <v>477</v>
      </c>
      <c r="D331" s="22" t="s">
        <v>477</v>
      </c>
      <c r="E331" s="37">
        <v>80901.0</v>
      </c>
      <c r="F331" s="23">
        <v>128.0</v>
      </c>
      <c r="G331" s="23">
        <v>236.0</v>
      </c>
      <c r="H331" s="23">
        <v>256.0</v>
      </c>
      <c r="I331" s="23">
        <v>11.0</v>
      </c>
      <c r="J331" s="23">
        <v>631.0</v>
      </c>
      <c r="K331" s="24">
        <f t="shared" si="14"/>
        <v>1.743264659</v>
      </c>
      <c r="L331" s="23">
        <v>128.0</v>
      </c>
    </row>
    <row r="332" ht="14.25" customHeight="1">
      <c r="A332" s="22" t="s">
        <v>40</v>
      </c>
      <c r="B332" s="22" t="s">
        <v>478</v>
      </c>
      <c r="C332" s="22" t="s">
        <v>479</v>
      </c>
      <c r="D332" s="22" t="s">
        <v>479</v>
      </c>
      <c r="E332" s="23">
        <v>90101.0</v>
      </c>
      <c r="F332" s="23">
        <v>691.0</v>
      </c>
      <c r="G332" s="23">
        <v>2283.0</v>
      </c>
      <c r="H332" s="23">
        <v>6069.0</v>
      </c>
      <c r="I332" s="23">
        <v>3261.0</v>
      </c>
      <c r="J332" s="23">
        <v>12304.0</v>
      </c>
      <c r="K332" s="24">
        <f t="shared" si="14"/>
        <v>26.50357607</v>
      </c>
      <c r="L332" s="23">
        <v>691.0</v>
      </c>
    </row>
    <row r="333" ht="14.25" customHeight="1">
      <c r="A333" s="22" t="s">
        <v>40</v>
      </c>
      <c r="B333" s="22" t="s">
        <v>478</v>
      </c>
      <c r="C333" s="22" t="s">
        <v>480</v>
      </c>
      <c r="D333" s="22" t="s">
        <v>480</v>
      </c>
      <c r="E333" s="23">
        <v>90102.0</v>
      </c>
      <c r="F333" s="23">
        <v>81.0</v>
      </c>
      <c r="G333" s="23">
        <v>385.0</v>
      </c>
      <c r="H333" s="23">
        <v>864.0</v>
      </c>
      <c r="I333" s="23">
        <v>325.0</v>
      </c>
      <c r="J333" s="23">
        <v>1655.0</v>
      </c>
      <c r="K333" s="24">
        <f t="shared" si="14"/>
        <v>19.63746224</v>
      </c>
      <c r="L333" s="23">
        <v>81.0</v>
      </c>
    </row>
    <row r="334" ht="14.25" customHeight="1">
      <c r="A334" s="22" t="s">
        <v>40</v>
      </c>
      <c r="B334" s="22" t="s">
        <v>478</v>
      </c>
      <c r="C334" s="22" t="s">
        <v>481</v>
      </c>
      <c r="D334" s="22" t="s">
        <v>481</v>
      </c>
      <c r="E334" s="23">
        <v>90103.0</v>
      </c>
      <c r="F334" s="23">
        <v>110.0</v>
      </c>
      <c r="G334" s="23">
        <v>207.0</v>
      </c>
      <c r="H334" s="23">
        <v>187.0</v>
      </c>
      <c r="I334" s="23">
        <v>41.0</v>
      </c>
      <c r="J334" s="23">
        <v>545.0</v>
      </c>
      <c r="K334" s="24">
        <f t="shared" si="14"/>
        <v>7.52293578</v>
      </c>
      <c r="L334" s="23">
        <v>110.0</v>
      </c>
    </row>
    <row r="335" ht="14.25" customHeight="1">
      <c r="A335" s="22" t="s">
        <v>40</v>
      </c>
      <c r="B335" s="22" t="s">
        <v>478</v>
      </c>
      <c r="C335" s="22" t="s">
        <v>482</v>
      </c>
      <c r="D335" s="22" t="s">
        <v>482</v>
      </c>
      <c r="E335" s="23">
        <v>90104.0</v>
      </c>
      <c r="F335" s="38">
        <v>191.0</v>
      </c>
      <c r="G335" s="38">
        <v>253.0</v>
      </c>
      <c r="H335" s="38">
        <v>302.0</v>
      </c>
      <c r="I335" s="38">
        <v>198.0</v>
      </c>
      <c r="J335" s="38">
        <v>944.0</v>
      </c>
      <c r="K335" s="24">
        <f t="shared" si="14"/>
        <v>20.97457627</v>
      </c>
      <c r="L335" s="23">
        <v>191.0</v>
      </c>
    </row>
    <row r="336" ht="14.25" customHeight="1">
      <c r="A336" s="22" t="s">
        <v>40</v>
      </c>
      <c r="B336" s="22" t="s">
        <v>483</v>
      </c>
      <c r="C336" s="22" t="s">
        <v>484</v>
      </c>
      <c r="D336" s="22" t="s">
        <v>484</v>
      </c>
      <c r="E336" s="23">
        <v>90201.0</v>
      </c>
      <c r="F336" s="38">
        <v>100.0</v>
      </c>
      <c r="G336" s="38">
        <v>387.0</v>
      </c>
      <c r="H336" s="38">
        <v>667.0</v>
      </c>
      <c r="I336" s="38">
        <v>228.0</v>
      </c>
      <c r="J336" s="38">
        <v>1382.0</v>
      </c>
      <c r="K336" s="24">
        <f t="shared" si="14"/>
        <v>16.49782923</v>
      </c>
      <c r="L336" s="23">
        <v>100.0</v>
      </c>
    </row>
    <row r="337" ht="14.25" customHeight="1">
      <c r="A337" s="22" t="s">
        <v>40</v>
      </c>
      <c r="B337" s="22" t="s">
        <v>483</v>
      </c>
      <c r="C337" s="22" t="s">
        <v>323</v>
      </c>
      <c r="D337" s="22" t="s">
        <v>323</v>
      </c>
      <c r="E337" s="23">
        <v>90202.0</v>
      </c>
      <c r="F337" s="23">
        <v>179.0</v>
      </c>
      <c r="G337" s="23">
        <v>288.0</v>
      </c>
      <c r="H337" s="23">
        <v>132.0</v>
      </c>
      <c r="I337" s="23">
        <v>12.0</v>
      </c>
      <c r="J337" s="23">
        <v>611.0</v>
      </c>
      <c r="K337" s="24">
        <f t="shared" si="14"/>
        <v>1.963993453</v>
      </c>
      <c r="L337" s="23">
        <v>179.0</v>
      </c>
    </row>
    <row r="338" ht="14.25" customHeight="1">
      <c r="A338" s="22" t="s">
        <v>40</v>
      </c>
      <c r="B338" s="22" t="s">
        <v>483</v>
      </c>
      <c r="C338" s="22" t="s">
        <v>485</v>
      </c>
      <c r="D338" s="22" t="s">
        <v>485</v>
      </c>
      <c r="E338" s="23">
        <v>90203.0</v>
      </c>
      <c r="F338" s="23">
        <v>173.0</v>
      </c>
      <c r="G338" s="23">
        <v>525.0</v>
      </c>
      <c r="H338" s="23">
        <v>535.0</v>
      </c>
      <c r="I338" s="23">
        <v>194.0</v>
      </c>
      <c r="J338" s="23">
        <v>1427.0</v>
      </c>
      <c r="K338" s="24">
        <f t="shared" si="14"/>
        <v>13.59495445</v>
      </c>
      <c r="L338" s="23">
        <v>173.0</v>
      </c>
    </row>
    <row r="339" ht="14.25" customHeight="1">
      <c r="A339" s="22" t="s">
        <v>40</v>
      </c>
      <c r="B339" s="22" t="s">
        <v>486</v>
      </c>
      <c r="C339" s="22" t="s">
        <v>487</v>
      </c>
      <c r="D339" s="22" t="s">
        <v>487</v>
      </c>
      <c r="E339" s="23">
        <v>90301.0</v>
      </c>
      <c r="F339" s="23">
        <v>96.0</v>
      </c>
      <c r="G339" s="23">
        <v>310.0</v>
      </c>
      <c r="H339" s="23">
        <v>432.0</v>
      </c>
      <c r="I339" s="23">
        <v>188.0</v>
      </c>
      <c r="J339" s="23">
        <v>1026.0</v>
      </c>
      <c r="K339" s="24">
        <f t="shared" si="14"/>
        <v>18.32358674</v>
      </c>
      <c r="L339" s="23">
        <v>96.0</v>
      </c>
    </row>
    <row r="340" ht="14.25" customHeight="1">
      <c r="A340" s="22" t="s">
        <v>40</v>
      </c>
      <c r="B340" s="22" t="s">
        <v>486</v>
      </c>
      <c r="C340" s="22" t="s">
        <v>376</v>
      </c>
      <c r="D340" s="22" t="s">
        <v>376</v>
      </c>
      <c r="E340" s="23">
        <v>90302.0</v>
      </c>
      <c r="F340" s="23">
        <v>213.0</v>
      </c>
      <c r="G340" s="23">
        <v>418.0</v>
      </c>
      <c r="H340" s="23">
        <v>610.0</v>
      </c>
      <c r="I340" s="23">
        <v>101.0</v>
      </c>
      <c r="J340" s="23">
        <v>1342.0</v>
      </c>
      <c r="K340" s="24">
        <f t="shared" si="14"/>
        <v>7.526080477</v>
      </c>
      <c r="L340" s="23">
        <v>213.0</v>
      </c>
    </row>
    <row r="341" ht="14.25" customHeight="1">
      <c r="A341" s="22" t="s">
        <v>40</v>
      </c>
      <c r="B341" s="22" t="s">
        <v>486</v>
      </c>
      <c r="C341" s="22" t="s">
        <v>488</v>
      </c>
      <c r="D341" s="22" t="s">
        <v>488</v>
      </c>
      <c r="E341" s="23">
        <v>90303.0</v>
      </c>
      <c r="F341" s="23">
        <v>832.0</v>
      </c>
      <c r="G341" s="23">
        <v>728.0</v>
      </c>
      <c r="H341" s="23">
        <v>88.0</v>
      </c>
      <c r="I341" s="23">
        <v>5.0</v>
      </c>
      <c r="J341" s="23">
        <v>1653.0</v>
      </c>
      <c r="K341" s="24">
        <f t="shared" si="14"/>
        <v>0.3024803388</v>
      </c>
      <c r="L341" s="23">
        <v>832.0</v>
      </c>
    </row>
    <row r="342" ht="14.25" customHeight="1">
      <c r="A342" s="22" t="s">
        <v>40</v>
      </c>
      <c r="B342" s="22" t="s">
        <v>489</v>
      </c>
      <c r="C342" s="22" t="s">
        <v>408</v>
      </c>
      <c r="D342" s="22" t="s">
        <v>408</v>
      </c>
      <c r="E342" s="23">
        <v>90401.0</v>
      </c>
      <c r="F342" s="23">
        <v>82.0</v>
      </c>
      <c r="G342" s="23">
        <v>149.0</v>
      </c>
      <c r="H342" s="23">
        <v>245.0</v>
      </c>
      <c r="I342" s="23">
        <v>135.0</v>
      </c>
      <c r="J342" s="23">
        <v>611.0</v>
      </c>
      <c r="K342" s="24">
        <f t="shared" si="14"/>
        <v>22.09492635</v>
      </c>
      <c r="L342" s="23">
        <v>82.0</v>
      </c>
    </row>
    <row r="343" ht="14.25" customHeight="1">
      <c r="A343" s="22" t="s">
        <v>40</v>
      </c>
      <c r="B343" s="22" t="s">
        <v>489</v>
      </c>
      <c r="C343" s="22" t="s">
        <v>120</v>
      </c>
      <c r="D343" s="22" t="s">
        <v>120</v>
      </c>
      <c r="E343" s="23">
        <v>90402.0</v>
      </c>
      <c r="F343" s="23">
        <v>26.0</v>
      </c>
      <c r="G343" s="23">
        <v>108.0</v>
      </c>
      <c r="H343" s="23">
        <v>122.0</v>
      </c>
      <c r="I343" s="23">
        <v>88.0</v>
      </c>
      <c r="J343" s="23">
        <v>344.0</v>
      </c>
      <c r="K343" s="24">
        <f t="shared" si="14"/>
        <v>25.58139535</v>
      </c>
      <c r="L343" s="23">
        <v>26.0</v>
      </c>
    </row>
    <row r="344" ht="14.25" customHeight="1">
      <c r="A344" s="22" t="s">
        <v>40</v>
      </c>
      <c r="B344" s="22" t="s">
        <v>490</v>
      </c>
      <c r="C344" s="22" t="s">
        <v>491</v>
      </c>
      <c r="D344" s="22" t="s">
        <v>491</v>
      </c>
      <c r="E344" s="23">
        <v>90501.0</v>
      </c>
      <c r="F344" s="23">
        <v>103.0</v>
      </c>
      <c r="G344" s="23">
        <v>176.0</v>
      </c>
      <c r="H344" s="23">
        <v>163.0</v>
      </c>
      <c r="I344" s="23">
        <v>24.0</v>
      </c>
      <c r="J344" s="23">
        <v>466.0</v>
      </c>
      <c r="K344" s="24">
        <f t="shared" si="14"/>
        <v>5.150214592</v>
      </c>
      <c r="L344" s="23">
        <v>103.0</v>
      </c>
    </row>
    <row r="345" ht="14.25" customHeight="1">
      <c r="A345" s="22" t="s">
        <v>40</v>
      </c>
      <c r="B345" s="22" t="s">
        <v>490</v>
      </c>
      <c r="C345" s="22" t="s">
        <v>492</v>
      </c>
      <c r="D345" s="22" t="s">
        <v>493</v>
      </c>
      <c r="E345" s="23">
        <v>90502.0</v>
      </c>
      <c r="F345" s="23">
        <v>89.0</v>
      </c>
      <c r="G345" s="23">
        <v>185.0</v>
      </c>
      <c r="H345" s="23">
        <v>272.0</v>
      </c>
      <c r="I345" s="23">
        <v>43.0</v>
      </c>
      <c r="J345" s="23">
        <v>589.0</v>
      </c>
      <c r="K345" s="24">
        <f t="shared" si="14"/>
        <v>7.300509338</v>
      </c>
      <c r="L345" s="23">
        <v>89.0</v>
      </c>
    </row>
    <row r="346" ht="14.25" customHeight="1">
      <c r="A346" s="22" t="s">
        <v>40</v>
      </c>
      <c r="B346" s="22" t="s">
        <v>490</v>
      </c>
      <c r="C346" s="22" t="s">
        <v>494</v>
      </c>
      <c r="D346" s="22" t="s">
        <v>494</v>
      </c>
      <c r="E346" s="23">
        <v>90503.0</v>
      </c>
      <c r="F346" s="41">
        <v>67.0</v>
      </c>
      <c r="G346" s="41">
        <v>163.0</v>
      </c>
      <c r="H346" s="41">
        <v>197.0</v>
      </c>
      <c r="I346" s="41">
        <v>39.0</v>
      </c>
      <c r="J346" s="41">
        <v>466.0</v>
      </c>
      <c r="K346" s="42">
        <f t="shared" si="14"/>
        <v>8.369098712</v>
      </c>
      <c r="L346" s="41">
        <v>67.0</v>
      </c>
    </row>
    <row r="347" ht="14.25" customHeight="1">
      <c r="E347" s="22" t="s">
        <v>43</v>
      </c>
      <c r="F347" s="23">
        <f t="shared" ref="F347:J347" si="15">SUM(F248:F250)</f>
        <v>801</v>
      </c>
      <c r="G347" s="23">
        <f t="shared" si="15"/>
        <v>3083</v>
      </c>
      <c r="H347" s="23">
        <f t="shared" si="15"/>
        <v>8836</v>
      </c>
      <c r="I347" s="23">
        <f t="shared" si="15"/>
        <v>23702</v>
      </c>
      <c r="J347" s="23">
        <f t="shared" si="15"/>
        <v>36422</v>
      </c>
      <c r="K347" s="24">
        <f t="shared" si="14"/>
        <v>65.07605294</v>
      </c>
      <c r="L347" s="23">
        <f>SUM(L248:L250)</f>
        <v>801</v>
      </c>
    </row>
    <row r="348" ht="14.25" customHeight="1">
      <c r="F348" s="25"/>
      <c r="G348" s="25"/>
      <c r="H348" s="25"/>
      <c r="I348" s="25"/>
      <c r="J348" s="25"/>
      <c r="K348" s="43"/>
      <c r="L348" s="25"/>
    </row>
    <row r="349" ht="14.25" customHeight="1">
      <c r="F349" s="25"/>
      <c r="G349" s="25"/>
      <c r="H349" s="25"/>
      <c r="I349" s="25"/>
      <c r="J349" s="25"/>
      <c r="K349" s="43"/>
      <c r="L349" s="25"/>
    </row>
    <row r="350" ht="14.25" customHeight="1">
      <c r="F350" s="25"/>
      <c r="G350" s="25"/>
      <c r="H350" s="25"/>
      <c r="I350" s="25"/>
      <c r="J350" s="25"/>
      <c r="K350" s="43"/>
      <c r="L350" s="25"/>
    </row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K1:K3"/>
    <mergeCell ref="L1:L3"/>
    <mergeCell ref="P1:P3"/>
    <mergeCell ref="Q1:T2"/>
    <mergeCell ref="U1:U3"/>
    <mergeCell ref="V1:V3"/>
    <mergeCell ref="W1:W3"/>
    <mergeCell ref="A1:A3"/>
    <mergeCell ref="B1:B3"/>
    <mergeCell ref="C1:C3"/>
    <mergeCell ref="D1:D3"/>
    <mergeCell ref="E1:E3"/>
    <mergeCell ref="F1:I1"/>
    <mergeCell ref="J1:J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10.71"/>
    <col customWidth="1" min="6" max="6" width="11.43"/>
    <col customWidth="1" min="7" max="10" width="9.14"/>
    <col customWidth="1" min="11" max="11" width="13.43"/>
    <col customWidth="1" min="12" max="12" width="19.29"/>
    <col customWidth="1" min="13" max="15" width="9.14"/>
    <col customWidth="1" min="16" max="16" width="16.57"/>
    <col customWidth="1" min="17" max="17" width="11.43"/>
    <col customWidth="1" min="18" max="18" width="12.0"/>
    <col customWidth="1" min="19" max="19" width="12.57"/>
    <col customWidth="1" min="20" max="20" width="12.14"/>
    <col customWidth="1" min="21" max="21" width="10.86"/>
    <col customWidth="1" min="22" max="22" width="14.43"/>
    <col customWidth="1" min="23" max="26" width="9.14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4"/>
      <c r="J1" s="1" t="s">
        <v>6</v>
      </c>
      <c r="K1" s="5" t="s">
        <v>7</v>
      </c>
      <c r="L1" s="6" t="s">
        <v>495</v>
      </c>
      <c r="P1" s="7" t="s">
        <v>9</v>
      </c>
      <c r="Q1" s="8" t="s">
        <v>5</v>
      </c>
      <c r="R1" s="9"/>
      <c r="S1" s="9"/>
      <c r="T1" s="10"/>
      <c r="U1" s="11" t="s">
        <v>10</v>
      </c>
      <c r="V1" s="6" t="s">
        <v>7</v>
      </c>
      <c r="W1" s="6" t="s">
        <v>11</v>
      </c>
    </row>
    <row r="2" ht="14.25" customHeight="1">
      <c r="A2" s="12"/>
      <c r="B2" s="12"/>
      <c r="C2" s="12"/>
      <c r="D2" s="12"/>
      <c r="E2" s="12"/>
      <c r="F2" s="13" t="s">
        <v>12</v>
      </c>
      <c r="G2" s="13" t="s">
        <v>13</v>
      </c>
      <c r="H2" s="13" t="s">
        <v>14</v>
      </c>
      <c r="I2" s="13" t="s">
        <v>15</v>
      </c>
      <c r="J2" s="12"/>
      <c r="K2" s="12"/>
      <c r="L2" s="12"/>
      <c r="P2" s="14"/>
      <c r="Q2" s="15"/>
      <c r="R2" s="16"/>
      <c r="S2" s="16"/>
      <c r="T2" s="17"/>
      <c r="U2" s="12"/>
      <c r="V2" s="12"/>
      <c r="W2" s="12"/>
    </row>
    <row r="3" ht="14.25" customHeight="1">
      <c r="A3" s="18"/>
      <c r="B3" s="18"/>
      <c r="C3" s="18"/>
      <c r="D3" s="18"/>
      <c r="E3" s="18"/>
      <c r="F3" s="19" t="s">
        <v>16</v>
      </c>
      <c r="G3" s="19" t="s">
        <v>16</v>
      </c>
      <c r="H3" s="19" t="s">
        <v>16</v>
      </c>
      <c r="I3" s="19" t="s">
        <v>16</v>
      </c>
      <c r="J3" s="18"/>
      <c r="K3" s="18"/>
      <c r="L3" s="18"/>
      <c r="P3" s="20"/>
      <c r="Q3" s="21">
        <v>0.0</v>
      </c>
      <c r="R3" s="21">
        <v>1.0</v>
      </c>
      <c r="S3" s="21">
        <v>2.0</v>
      </c>
      <c r="T3" s="21">
        <v>3.0</v>
      </c>
      <c r="U3" s="18"/>
      <c r="V3" s="18"/>
      <c r="W3" s="18"/>
    </row>
    <row r="4" ht="14.25" customHeight="1">
      <c r="A4" s="22" t="s">
        <v>17</v>
      </c>
      <c r="B4" s="22" t="s">
        <v>18</v>
      </c>
      <c r="C4" s="22" t="s">
        <v>19</v>
      </c>
      <c r="D4" s="22" t="s">
        <v>19</v>
      </c>
      <c r="E4" s="23">
        <v>10101.0</v>
      </c>
      <c r="F4" s="23">
        <v>1401.0</v>
      </c>
      <c r="G4" s="23">
        <v>4366.0</v>
      </c>
      <c r="H4" s="23">
        <v>9559.0</v>
      </c>
      <c r="I4" s="23">
        <v>77205.0</v>
      </c>
      <c r="J4" s="23">
        <v>92531.0</v>
      </c>
      <c r="K4" s="24">
        <f t="shared" ref="K4:K347" si="2">(I4/J4)*100</f>
        <v>83.43690223</v>
      </c>
      <c r="L4" s="23">
        <v>1401.0</v>
      </c>
      <c r="M4" s="25"/>
      <c r="P4" s="26" t="s">
        <v>17</v>
      </c>
      <c r="Q4" s="27">
        <f t="shared" ref="Q4:U4" si="1">+SUM(F4:F32)</f>
        <v>11084</v>
      </c>
      <c r="R4" s="27">
        <f t="shared" si="1"/>
        <v>19888</v>
      </c>
      <c r="S4" s="27">
        <f t="shared" si="1"/>
        <v>35053</v>
      </c>
      <c r="T4" s="27">
        <f t="shared" si="1"/>
        <v>118944</v>
      </c>
      <c r="U4" s="27">
        <f t="shared" si="1"/>
        <v>184969</v>
      </c>
      <c r="V4" s="44">
        <f t="shared" ref="V4:V12" si="4">(T4/U4)*100</f>
        <v>64.30482946</v>
      </c>
      <c r="W4" s="45">
        <f t="shared" ref="W4:W12" si="5">U4-T4</f>
        <v>66025</v>
      </c>
    </row>
    <row r="5" ht="14.25" customHeight="1">
      <c r="A5" s="22" t="s">
        <v>17</v>
      </c>
      <c r="B5" s="22" t="s">
        <v>18</v>
      </c>
      <c r="C5" s="22" t="s">
        <v>20</v>
      </c>
      <c r="D5" s="22" t="s">
        <v>20</v>
      </c>
      <c r="E5" s="23">
        <v>10102.0</v>
      </c>
      <c r="F5" s="23">
        <v>107.0</v>
      </c>
      <c r="G5" s="23">
        <v>304.0</v>
      </c>
      <c r="H5" s="23">
        <v>700.0</v>
      </c>
      <c r="I5" s="23">
        <v>1945.0</v>
      </c>
      <c r="J5" s="23">
        <v>3056.0</v>
      </c>
      <c r="K5" s="24">
        <f t="shared" si="2"/>
        <v>63.64528796</v>
      </c>
      <c r="L5" s="23">
        <v>107.0</v>
      </c>
      <c r="P5" s="26" t="s">
        <v>21</v>
      </c>
      <c r="Q5" s="29">
        <f t="shared" ref="Q5:U5" si="3">+SUM(F33:F119)</f>
        <v>44442</v>
      </c>
      <c r="R5" s="29">
        <f t="shared" si="3"/>
        <v>101197</v>
      </c>
      <c r="S5" s="29">
        <f t="shared" si="3"/>
        <v>226641</v>
      </c>
      <c r="T5" s="29">
        <f t="shared" si="3"/>
        <v>697558</v>
      </c>
      <c r="U5" s="29">
        <f t="shared" si="3"/>
        <v>1069838</v>
      </c>
      <c r="V5" s="44">
        <f t="shared" si="4"/>
        <v>65.20220818</v>
      </c>
      <c r="W5" s="45">
        <f t="shared" si="5"/>
        <v>372280</v>
      </c>
    </row>
    <row r="6" ht="14.25" customHeight="1">
      <c r="A6" s="22" t="s">
        <v>17</v>
      </c>
      <c r="B6" s="22" t="s">
        <v>18</v>
      </c>
      <c r="C6" s="22" t="s">
        <v>22</v>
      </c>
      <c r="D6" s="22" t="s">
        <v>22</v>
      </c>
      <c r="E6" s="23">
        <v>10103.0</v>
      </c>
      <c r="F6" s="23">
        <v>1195.0</v>
      </c>
      <c r="G6" s="23">
        <v>1632.0</v>
      </c>
      <c r="H6" s="23">
        <v>1229.0</v>
      </c>
      <c r="I6" s="23">
        <v>598.0</v>
      </c>
      <c r="J6" s="23">
        <v>4654.0</v>
      </c>
      <c r="K6" s="24">
        <f t="shared" si="2"/>
        <v>12.84916201</v>
      </c>
      <c r="L6" s="23">
        <v>1195.0</v>
      </c>
      <c r="P6" s="26" t="s">
        <v>23</v>
      </c>
      <c r="Q6" s="29">
        <f t="shared" ref="Q6:U6" si="6">+SUM(F120:F167)</f>
        <v>40277</v>
      </c>
      <c r="R6" s="29">
        <f t="shared" si="6"/>
        <v>111567</v>
      </c>
      <c r="S6" s="29">
        <f t="shared" si="6"/>
        <v>178688</v>
      </c>
      <c r="T6" s="29">
        <f t="shared" si="6"/>
        <v>344532</v>
      </c>
      <c r="U6" s="29">
        <f t="shared" si="6"/>
        <v>675064</v>
      </c>
      <c r="V6" s="44">
        <f t="shared" si="4"/>
        <v>51.03693872</v>
      </c>
      <c r="W6" s="45">
        <f t="shared" si="5"/>
        <v>330532</v>
      </c>
    </row>
    <row r="7" ht="14.25" customHeight="1">
      <c r="A7" s="22" t="s">
        <v>17</v>
      </c>
      <c r="B7" s="22" t="s">
        <v>24</v>
      </c>
      <c r="C7" s="22" t="s">
        <v>25</v>
      </c>
      <c r="D7" s="22" t="s">
        <v>25</v>
      </c>
      <c r="E7" s="23">
        <v>10201.0</v>
      </c>
      <c r="F7" s="23">
        <v>487.0</v>
      </c>
      <c r="G7" s="23">
        <v>699.0</v>
      </c>
      <c r="H7" s="23">
        <v>540.0</v>
      </c>
      <c r="I7" s="23">
        <v>724.0</v>
      </c>
      <c r="J7" s="23">
        <v>2450.0</v>
      </c>
      <c r="K7" s="24">
        <f t="shared" si="2"/>
        <v>29.55102041</v>
      </c>
      <c r="L7" s="23">
        <v>487.0</v>
      </c>
      <c r="P7" s="26" t="s">
        <v>26</v>
      </c>
      <c r="Q7" s="29">
        <f t="shared" ref="Q7:U7" si="7">+SUM(F168:F202)</f>
        <v>12424</v>
      </c>
      <c r="R7" s="29">
        <f t="shared" si="7"/>
        <v>22102</v>
      </c>
      <c r="S7" s="29">
        <f t="shared" si="7"/>
        <v>51590</v>
      </c>
      <c r="T7" s="29">
        <f t="shared" si="7"/>
        <v>104857</v>
      </c>
      <c r="U7" s="29">
        <f t="shared" si="7"/>
        <v>190973</v>
      </c>
      <c r="V7" s="44">
        <f t="shared" si="4"/>
        <v>54.90671456</v>
      </c>
      <c r="W7" s="45">
        <f t="shared" si="5"/>
        <v>86116</v>
      </c>
    </row>
    <row r="8" ht="14.25" customHeight="1">
      <c r="A8" s="22" t="s">
        <v>17</v>
      </c>
      <c r="B8" s="22" t="s">
        <v>24</v>
      </c>
      <c r="C8" s="22" t="s">
        <v>27</v>
      </c>
      <c r="D8" s="22" t="s">
        <v>28</v>
      </c>
      <c r="E8" s="23">
        <v>10202.0</v>
      </c>
      <c r="F8" s="23">
        <v>688.0</v>
      </c>
      <c r="G8" s="23">
        <v>956.0</v>
      </c>
      <c r="H8" s="23">
        <v>1415.0</v>
      </c>
      <c r="I8" s="23">
        <v>1539.0</v>
      </c>
      <c r="J8" s="23">
        <v>4598.0</v>
      </c>
      <c r="K8" s="24">
        <f t="shared" si="2"/>
        <v>33.47107438</v>
      </c>
      <c r="L8" s="23">
        <v>688.0</v>
      </c>
      <c r="P8" s="26" t="s">
        <v>29</v>
      </c>
      <c r="Q8" s="29">
        <f t="shared" ref="Q8:U8" si="8">+SUM(F203:F244)</f>
        <v>24693</v>
      </c>
      <c r="R8" s="29">
        <f t="shared" si="8"/>
        <v>47119</v>
      </c>
      <c r="S8" s="29">
        <f t="shared" si="8"/>
        <v>91145</v>
      </c>
      <c r="T8" s="29">
        <f t="shared" si="8"/>
        <v>140788</v>
      </c>
      <c r="U8" s="29">
        <f t="shared" si="8"/>
        <v>303745</v>
      </c>
      <c r="V8" s="44">
        <f t="shared" si="4"/>
        <v>46.35072182</v>
      </c>
      <c r="W8" s="45">
        <f t="shared" si="5"/>
        <v>162957</v>
      </c>
    </row>
    <row r="9" ht="14.25" customHeight="1">
      <c r="A9" s="22" t="s">
        <v>17</v>
      </c>
      <c r="B9" s="22" t="s">
        <v>30</v>
      </c>
      <c r="C9" s="22" t="s">
        <v>31</v>
      </c>
      <c r="D9" s="22" t="s">
        <v>32</v>
      </c>
      <c r="E9" s="23">
        <v>10301.0</v>
      </c>
      <c r="F9" s="23">
        <v>200.0</v>
      </c>
      <c r="G9" s="23">
        <v>439.0</v>
      </c>
      <c r="H9" s="23">
        <v>1194.0</v>
      </c>
      <c r="I9" s="23">
        <v>1354.0</v>
      </c>
      <c r="J9" s="23">
        <v>3187.0</v>
      </c>
      <c r="K9" s="24">
        <f t="shared" si="2"/>
        <v>42.4850957</v>
      </c>
      <c r="L9" s="23">
        <v>200.0</v>
      </c>
      <c r="P9" s="26" t="s">
        <v>33</v>
      </c>
      <c r="Q9" s="29">
        <f t="shared" ref="Q9:U9" si="9">+SUM(F245:F255)</f>
        <v>1913</v>
      </c>
      <c r="R9" s="29">
        <f t="shared" si="9"/>
        <v>9171</v>
      </c>
      <c r="S9" s="29">
        <f t="shared" si="9"/>
        <v>30572</v>
      </c>
      <c r="T9" s="29">
        <f t="shared" si="9"/>
        <v>118598</v>
      </c>
      <c r="U9" s="29">
        <f t="shared" si="9"/>
        <v>160254</v>
      </c>
      <c r="V9" s="44">
        <f t="shared" si="4"/>
        <v>74.00626505</v>
      </c>
      <c r="W9" s="45">
        <f t="shared" si="5"/>
        <v>41656</v>
      </c>
    </row>
    <row r="10" ht="14.25" customHeight="1">
      <c r="A10" s="22" t="s">
        <v>17</v>
      </c>
      <c r="B10" s="22" t="s">
        <v>30</v>
      </c>
      <c r="C10" s="22" t="s">
        <v>34</v>
      </c>
      <c r="D10" s="22" t="s">
        <v>34</v>
      </c>
      <c r="E10" s="23">
        <v>10302.0</v>
      </c>
      <c r="F10" s="23">
        <v>401.0</v>
      </c>
      <c r="G10" s="23">
        <v>618.0</v>
      </c>
      <c r="H10" s="23">
        <v>1016.0</v>
      </c>
      <c r="I10" s="23">
        <v>1236.0</v>
      </c>
      <c r="J10" s="23">
        <v>3271.0</v>
      </c>
      <c r="K10" s="24">
        <f t="shared" si="2"/>
        <v>37.7866096</v>
      </c>
      <c r="L10" s="23">
        <v>401.0</v>
      </c>
      <c r="P10" s="26" t="s">
        <v>35</v>
      </c>
      <c r="Q10" s="29">
        <f t="shared" ref="Q10:U10" si="10">+SUM(F256:F311)</f>
        <v>10375</v>
      </c>
      <c r="R10" s="29">
        <f t="shared" si="10"/>
        <v>34490</v>
      </c>
      <c r="S10" s="29">
        <f t="shared" si="10"/>
        <v>330919</v>
      </c>
      <c r="T10" s="29">
        <f t="shared" si="10"/>
        <v>501473</v>
      </c>
      <c r="U10" s="29">
        <f t="shared" si="10"/>
        <v>877257</v>
      </c>
      <c r="V10" s="44">
        <f t="shared" si="4"/>
        <v>57.16375019</v>
      </c>
      <c r="W10" s="45">
        <f t="shared" si="5"/>
        <v>375784</v>
      </c>
    </row>
    <row r="11" ht="14.25" customHeight="1">
      <c r="A11" s="22" t="s">
        <v>17</v>
      </c>
      <c r="B11" s="22" t="s">
        <v>30</v>
      </c>
      <c r="C11" s="22" t="s">
        <v>36</v>
      </c>
      <c r="D11" s="22" t="s">
        <v>37</v>
      </c>
      <c r="E11" s="23">
        <v>10303.0</v>
      </c>
      <c r="F11" s="23">
        <v>158.0</v>
      </c>
      <c r="G11" s="23">
        <v>460.0</v>
      </c>
      <c r="H11" s="23">
        <v>678.0</v>
      </c>
      <c r="I11" s="23">
        <v>1247.0</v>
      </c>
      <c r="J11" s="23">
        <v>2543.0</v>
      </c>
      <c r="K11" s="24">
        <f t="shared" si="2"/>
        <v>49.03657098</v>
      </c>
      <c r="L11" s="23">
        <v>158.0</v>
      </c>
      <c r="P11" s="26" t="s">
        <v>38</v>
      </c>
      <c r="Q11" s="29">
        <f t="shared" ref="Q11:U11" si="11">+SUM(F312:F331)</f>
        <v>6135</v>
      </c>
      <c r="R11" s="29">
        <f t="shared" si="11"/>
        <v>39651</v>
      </c>
      <c r="S11" s="29">
        <f t="shared" si="11"/>
        <v>44698</v>
      </c>
      <c r="T11" s="29">
        <f t="shared" si="11"/>
        <v>36184</v>
      </c>
      <c r="U11" s="29">
        <f t="shared" si="11"/>
        <v>126668</v>
      </c>
      <c r="V11" s="44">
        <f t="shared" si="4"/>
        <v>28.56601509</v>
      </c>
      <c r="W11" s="45">
        <f t="shared" si="5"/>
        <v>90484</v>
      </c>
    </row>
    <row r="12" ht="14.25" customHeight="1">
      <c r="A12" s="22" t="s">
        <v>17</v>
      </c>
      <c r="B12" s="22" t="s">
        <v>30</v>
      </c>
      <c r="C12" s="22" t="s">
        <v>39</v>
      </c>
      <c r="D12" s="22" t="s">
        <v>39</v>
      </c>
      <c r="E12" s="23">
        <v>10304.0</v>
      </c>
      <c r="F12" s="23">
        <v>241.0</v>
      </c>
      <c r="G12" s="23">
        <v>478.0</v>
      </c>
      <c r="H12" s="23">
        <v>780.0</v>
      </c>
      <c r="I12" s="23">
        <v>1136.0</v>
      </c>
      <c r="J12" s="23">
        <v>2635.0</v>
      </c>
      <c r="K12" s="24">
        <f t="shared" si="2"/>
        <v>43.11195446</v>
      </c>
      <c r="L12" s="23">
        <v>241.0</v>
      </c>
      <c r="P12" s="30" t="s">
        <v>40</v>
      </c>
      <c r="Q12" s="31">
        <f t="shared" ref="Q12:U12" si="12">+SUM(F332:F346)</f>
        <v>911</v>
      </c>
      <c r="R12" s="31">
        <f t="shared" si="12"/>
        <v>6313</v>
      </c>
      <c r="S12" s="31">
        <f t="shared" si="12"/>
        <v>16074</v>
      </c>
      <c r="T12" s="31">
        <f t="shared" si="12"/>
        <v>11645</v>
      </c>
      <c r="U12" s="31">
        <f t="shared" si="12"/>
        <v>34943</v>
      </c>
      <c r="V12" s="46">
        <f t="shared" si="4"/>
        <v>33.32570186</v>
      </c>
      <c r="W12" s="47">
        <f t="shared" si="5"/>
        <v>23298</v>
      </c>
    </row>
    <row r="13" ht="14.25" customHeight="1">
      <c r="A13" s="22" t="s">
        <v>17</v>
      </c>
      <c r="B13" s="22" t="s">
        <v>41</v>
      </c>
      <c r="C13" s="22" t="s">
        <v>42</v>
      </c>
      <c r="D13" s="22" t="s">
        <v>42</v>
      </c>
      <c r="E13" s="23">
        <v>10401.0</v>
      </c>
      <c r="F13" s="23">
        <v>206.0</v>
      </c>
      <c r="G13" s="23">
        <v>489.0</v>
      </c>
      <c r="H13" s="23">
        <v>823.0</v>
      </c>
      <c r="I13" s="23">
        <v>1668.0</v>
      </c>
      <c r="J13" s="23">
        <v>3186.0</v>
      </c>
      <c r="K13" s="24">
        <f t="shared" si="2"/>
        <v>52.35404896</v>
      </c>
      <c r="L13" s="23">
        <v>206.0</v>
      </c>
      <c r="P13" s="22" t="s">
        <v>43</v>
      </c>
      <c r="Q13" s="22">
        <v>373.0</v>
      </c>
      <c r="R13" s="22">
        <v>2105.0</v>
      </c>
      <c r="S13" s="22">
        <v>9943.0</v>
      </c>
      <c r="T13" s="22">
        <v>33611.0</v>
      </c>
      <c r="U13" s="22">
        <v>46032.0</v>
      </c>
      <c r="V13" s="39">
        <v>73.01659714980883</v>
      </c>
      <c r="W13" s="38">
        <v>12421.0</v>
      </c>
    </row>
    <row r="14" ht="14.25" customHeight="1">
      <c r="A14" s="22" t="s">
        <v>17</v>
      </c>
      <c r="B14" s="22" t="s">
        <v>41</v>
      </c>
      <c r="C14" s="22" t="s">
        <v>41</v>
      </c>
      <c r="D14" s="22" t="s">
        <v>44</v>
      </c>
      <c r="E14" s="23">
        <v>10402.0</v>
      </c>
      <c r="F14" s="23">
        <v>81.0</v>
      </c>
      <c r="G14" s="23">
        <v>197.0</v>
      </c>
      <c r="H14" s="23">
        <v>657.0</v>
      </c>
      <c r="I14" s="23">
        <v>1308.0</v>
      </c>
      <c r="J14" s="23">
        <v>2243.0</v>
      </c>
      <c r="K14" s="24">
        <f t="shared" si="2"/>
        <v>58.31475702</v>
      </c>
      <c r="L14" s="23">
        <v>81.0</v>
      </c>
      <c r="P14" s="26" t="s">
        <v>45</v>
      </c>
      <c r="Q14" s="34">
        <f t="shared" ref="Q14:U14" si="13">SUM(Q4:Q12)</f>
        <v>152254</v>
      </c>
      <c r="R14" s="34">
        <f t="shared" si="13"/>
        <v>391498</v>
      </c>
      <c r="S14" s="34">
        <f t="shared" si="13"/>
        <v>1005380</v>
      </c>
      <c r="T14" s="34">
        <f t="shared" si="13"/>
        <v>2074579</v>
      </c>
      <c r="U14" s="34">
        <f t="shared" si="13"/>
        <v>3623711</v>
      </c>
      <c r="V14" s="39">
        <f>(T14/U14)*100</f>
        <v>57.25012287</v>
      </c>
      <c r="W14" s="38">
        <f>U14-T14</f>
        <v>1549132</v>
      </c>
    </row>
    <row r="15" ht="14.25" customHeight="1">
      <c r="A15" s="22" t="s">
        <v>17</v>
      </c>
      <c r="B15" s="22" t="s">
        <v>41</v>
      </c>
      <c r="C15" s="22" t="s">
        <v>46</v>
      </c>
      <c r="D15" s="22" t="s">
        <v>47</v>
      </c>
      <c r="E15" s="23">
        <v>10403.0</v>
      </c>
      <c r="F15" s="23">
        <v>246.0</v>
      </c>
      <c r="G15" s="23">
        <v>550.0</v>
      </c>
      <c r="H15" s="23">
        <v>440.0</v>
      </c>
      <c r="I15" s="23">
        <v>851.0</v>
      </c>
      <c r="J15" s="23">
        <v>2087.0</v>
      </c>
      <c r="K15" s="24">
        <f t="shared" si="2"/>
        <v>40.77623383</v>
      </c>
      <c r="L15" s="23">
        <v>246.0</v>
      </c>
    </row>
    <row r="16" ht="14.25" customHeight="1">
      <c r="A16" s="22" t="s">
        <v>17</v>
      </c>
      <c r="B16" s="22" t="s">
        <v>41</v>
      </c>
      <c r="C16" s="22" t="s">
        <v>48</v>
      </c>
      <c r="D16" s="22" t="s">
        <v>49</v>
      </c>
      <c r="E16" s="23">
        <v>10404.0</v>
      </c>
      <c r="F16" s="23">
        <v>22.0</v>
      </c>
      <c r="G16" s="23">
        <v>111.0</v>
      </c>
      <c r="H16" s="23">
        <v>346.0</v>
      </c>
      <c r="I16" s="23">
        <v>710.0</v>
      </c>
      <c r="J16" s="23">
        <v>1189.0</v>
      </c>
      <c r="K16" s="24">
        <f t="shared" si="2"/>
        <v>59.71404542</v>
      </c>
      <c r="L16" s="23">
        <v>22.0</v>
      </c>
    </row>
    <row r="17" ht="14.25" customHeight="1">
      <c r="A17" s="22" t="s">
        <v>17</v>
      </c>
      <c r="B17" s="22" t="s">
        <v>41</v>
      </c>
      <c r="C17" s="22" t="s">
        <v>50</v>
      </c>
      <c r="D17" s="22" t="s">
        <v>50</v>
      </c>
      <c r="E17" s="23">
        <v>10405.0</v>
      </c>
      <c r="F17" s="23">
        <v>141.0</v>
      </c>
      <c r="G17" s="23">
        <v>227.0</v>
      </c>
      <c r="H17" s="23">
        <v>353.0</v>
      </c>
      <c r="I17" s="23">
        <v>718.0</v>
      </c>
      <c r="J17" s="23">
        <v>1439.0</v>
      </c>
      <c r="K17" s="24">
        <f t="shared" si="2"/>
        <v>49.89576095</v>
      </c>
      <c r="L17" s="23">
        <v>141.0</v>
      </c>
    </row>
    <row r="18" ht="14.25" customHeight="1">
      <c r="A18" s="22" t="s">
        <v>17</v>
      </c>
      <c r="B18" s="22" t="s">
        <v>51</v>
      </c>
      <c r="C18" s="22" t="s">
        <v>52</v>
      </c>
      <c r="D18" s="22" t="s">
        <v>52</v>
      </c>
      <c r="E18" s="23">
        <v>10501.0</v>
      </c>
      <c r="F18" s="23">
        <v>400.0</v>
      </c>
      <c r="G18" s="23">
        <v>687.0</v>
      </c>
      <c r="H18" s="23">
        <v>1546.0</v>
      </c>
      <c r="I18" s="23">
        <v>5109.0</v>
      </c>
      <c r="J18" s="23">
        <v>7742.0</v>
      </c>
      <c r="K18" s="24">
        <f t="shared" si="2"/>
        <v>65.99070008</v>
      </c>
      <c r="L18" s="23">
        <v>400.0</v>
      </c>
    </row>
    <row r="19" ht="14.25" customHeight="1">
      <c r="A19" s="22" t="s">
        <v>17</v>
      </c>
      <c r="B19" s="22" t="s">
        <v>51</v>
      </c>
      <c r="C19" s="22" t="s">
        <v>53</v>
      </c>
      <c r="D19" s="22" t="s">
        <v>53</v>
      </c>
      <c r="E19" s="23">
        <v>10502.0</v>
      </c>
      <c r="F19" s="23">
        <v>71.0</v>
      </c>
      <c r="G19" s="23">
        <v>406.0</v>
      </c>
      <c r="H19" s="23">
        <v>710.0</v>
      </c>
      <c r="I19" s="23">
        <v>1114.0</v>
      </c>
      <c r="J19" s="23">
        <v>2301.0</v>
      </c>
      <c r="K19" s="24">
        <f t="shared" si="2"/>
        <v>48.41373316</v>
      </c>
      <c r="L19" s="23">
        <v>71.0</v>
      </c>
    </row>
    <row r="20" ht="14.25" customHeight="1">
      <c r="A20" s="22" t="s">
        <v>17</v>
      </c>
      <c r="B20" s="22" t="s">
        <v>54</v>
      </c>
      <c r="C20" s="22" t="s">
        <v>55</v>
      </c>
      <c r="D20" s="22" t="s">
        <v>55</v>
      </c>
      <c r="E20" s="23">
        <v>10601.0</v>
      </c>
      <c r="F20" s="23">
        <v>247.0</v>
      </c>
      <c r="G20" s="23">
        <v>711.0</v>
      </c>
      <c r="H20" s="23">
        <v>1415.0</v>
      </c>
      <c r="I20" s="23">
        <v>1906.0</v>
      </c>
      <c r="J20" s="23">
        <v>4279.0</v>
      </c>
      <c r="K20" s="24">
        <f t="shared" si="2"/>
        <v>44.54311755</v>
      </c>
      <c r="L20" s="23">
        <v>247.0</v>
      </c>
    </row>
    <row r="21" ht="14.25" customHeight="1">
      <c r="A21" s="22" t="s">
        <v>17</v>
      </c>
      <c r="B21" s="22" t="s">
        <v>54</v>
      </c>
      <c r="C21" s="22" t="s">
        <v>54</v>
      </c>
      <c r="D21" s="22" t="s">
        <v>54</v>
      </c>
      <c r="E21" s="23">
        <v>10602.0</v>
      </c>
      <c r="F21" s="23">
        <v>255.0</v>
      </c>
      <c r="G21" s="23">
        <v>565.0</v>
      </c>
      <c r="H21" s="23">
        <v>872.0</v>
      </c>
      <c r="I21" s="23">
        <v>1377.0</v>
      </c>
      <c r="J21" s="23">
        <v>3069.0</v>
      </c>
      <c r="K21" s="24">
        <f t="shared" si="2"/>
        <v>44.86803519</v>
      </c>
      <c r="L21" s="23">
        <v>255.0</v>
      </c>
    </row>
    <row r="22" ht="14.25" customHeight="1">
      <c r="A22" s="22" t="s">
        <v>17</v>
      </c>
      <c r="B22" s="22" t="s">
        <v>56</v>
      </c>
      <c r="C22" s="22" t="s">
        <v>57</v>
      </c>
      <c r="D22" s="22" t="s">
        <v>57</v>
      </c>
      <c r="E22" s="23">
        <v>10701.0</v>
      </c>
      <c r="F22" s="23">
        <v>314.0</v>
      </c>
      <c r="G22" s="23">
        <v>541.0</v>
      </c>
      <c r="H22" s="23">
        <v>1503.0</v>
      </c>
      <c r="I22" s="23">
        <v>2689.0</v>
      </c>
      <c r="J22" s="23">
        <v>5047.0</v>
      </c>
      <c r="K22" s="24">
        <f t="shared" si="2"/>
        <v>53.27917575</v>
      </c>
      <c r="L22" s="23">
        <v>314.0</v>
      </c>
    </row>
    <row r="23" ht="14.25" customHeight="1">
      <c r="A23" s="22" t="s">
        <v>17</v>
      </c>
      <c r="B23" s="22" t="s">
        <v>56</v>
      </c>
      <c r="C23" s="22" t="s">
        <v>58</v>
      </c>
      <c r="D23" s="22" t="s">
        <v>58</v>
      </c>
      <c r="E23" s="23">
        <v>10702.0</v>
      </c>
      <c r="F23" s="23">
        <v>1247.0</v>
      </c>
      <c r="G23" s="23">
        <v>1744.0</v>
      </c>
      <c r="H23" s="23">
        <v>2766.0</v>
      </c>
      <c r="I23" s="23">
        <v>2894.0</v>
      </c>
      <c r="J23" s="23">
        <v>8651.0</v>
      </c>
      <c r="K23" s="24">
        <f t="shared" si="2"/>
        <v>33.45278003</v>
      </c>
      <c r="L23" s="23">
        <v>1247.0</v>
      </c>
    </row>
    <row r="24" ht="14.25" customHeight="1">
      <c r="A24" s="22" t="s">
        <v>17</v>
      </c>
      <c r="B24" s="22" t="s">
        <v>56</v>
      </c>
      <c r="C24" s="22" t="s">
        <v>59</v>
      </c>
      <c r="D24" s="22" t="s">
        <v>59</v>
      </c>
      <c r="E24" s="23">
        <v>10703.0</v>
      </c>
      <c r="F24" s="23">
        <v>1037.0</v>
      </c>
      <c r="G24" s="23">
        <v>888.0</v>
      </c>
      <c r="H24" s="23">
        <v>1011.0</v>
      </c>
      <c r="I24" s="23">
        <v>1135.0</v>
      </c>
      <c r="J24" s="23">
        <v>4071.0</v>
      </c>
      <c r="K24" s="24">
        <f t="shared" si="2"/>
        <v>27.88012773</v>
      </c>
      <c r="L24" s="23">
        <v>1037.0</v>
      </c>
    </row>
    <row r="25" ht="14.25" customHeight="1">
      <c r="A25" s="22" t="s">
        <v>17</v>
      </c>
      <c r="B25" s="22" t="s">
        <v>56</v>
      </c>
      <c r="C25" s="22" t="s">
        <v>60</v>
      </c>
      <c r="D25" s="22" t="s">
        <v>60</v>
      </c>
      <c r="E25" s="23">
        <v>10704.0</v>
      </c>
      <c r="F25" s="23">
        <v>735.0</v>
      </c>
      <c r="G25" s="23">
        <v>686.0</v>
      </c>
      <c r="H25" s="23">
        <v>1113.0</v>
      </c>
      <c r="I25" s="23">
        <v>1466.0</v>
      </c>
      <c r="J25" s="23">
        <v>4000.0</v>
      </c>
      <c r="K25" s="24">
        <f t="shared" si="2"/>
        <v>36.65</v>
      </c>
      <c r="L25" s="23">
        <v>735.0</v>
      </c>
    </row>
    <row r="26" ht="14.25" customHeight="1">
      <c r="A26" s="22" t="s">
        <v>17</v>
      </c>
      <c r="B26" s="22" t="s">
        <v>61</v>
      </c>
      <c r="C26" s="22" t="s">
        <v>62</v>
      </c>
      <c r="D26" s="22" t="s">
        <v>62</v>
      </c>
      <c r="E26" s="23">
        <v>10801.0</v>
      </c>
      <c r="F26" s="23">
        <v>119.0</v>
      </c>
      <c r="G26" s="23">
        <v>373.0</v>
      </c>
      <c r="H26" s="23">
        <v>800.0</v>
      </c>
      <c r="I26" s="23">
        <v>1895.0</v>
      </c>
      <c r="J26" s="23">
        <v>3187.0</v>
      </c>
      <c r="K26" s="24">
        <f t="shared" si="2"/>
        <v>59.4603075</v>
      </c>
      <c r="L26" s="23">
        <v>119.0</v>
      </c>
    </row>
    <row r="27" ht="14.25" customHeight="1">
      <c r="A27" s="22" t="s">
        <v>17</v>
      </c>
      <c r="B27" s="22" t="s">
        <v>63</v>
      </c>
      <c r="C27" s="22" t="s">
        <v>64</v>
      </c>
      <c r="D27" s="22" t="s">
        <v>64</v>
      </c>
      <c r="E27" s="23">
        <v>10901.0</v>
      </c>
      <c r="F27" s="23">
        <v>93.0</v>
      </c>
      <c r="G27" s="23">
        <v>151.0</v>
      </c>
      <c r="H27" s="23">
        <v>516.0</v>
      </c>
      <c r="I27" s="23">
        <v>611.0</v>
      </c>
      <c r="J27" s="23">
        <v>1371.0</v>
      </c>
      <c r="K27" s="24">
        <f t="shared" si="2"/>
        <v>44.56601021</v>
      </c>
      <c r="L27" s="23">
        <v>93.0</v>
      </c>
    </row>
    <row r="28" ht="14.25" customHeight="1">
      <c r="A28" s="22" t="s">
        <v>17</v>
      </c>
      <c r="B28" s="22" t="s">
        <v>63</v>
      </c>
      <c r="C28" s="22" t="s">
        <v>65</v>
      </c>
      <c r="D28" s="22" t="s">
        <v>65</v>
      </c>
      <c r="E28" s="23">
        <v>10902.0</v>
      </c>
      <c r="F28" s="23">
        <v>703.0</v>
      </c>
      <c r="G28" s="23">
        <v>821.0</v>
      </c>
      <c r="H28" s="23">
        <v>1252.0</v>
      </c>
      <c r="I28" s="23">
        <v>1884.0</v>
      </c>
      <c r="J28" s="23">
        <v>4660.0</v>
      </c>
      <c r="K28" s="24">
        <f t="shared" si="2"/>
        <v>40.42918455</v>
      </c>
      <c r="L28" s="23">
        <v>703.0</v>
      </c>
    </row>
    <row r="29" ht="14.25" customHeight="1">
      <c r="A29" s="22" t="s">
        <v>17</v>
      </c>
      <c r="B29" s="22" t="s">
        <v>63</v>
      </c>
      <c r="C29" s="22" t="s">
        <v>66</v>
      </c>
      <c r="D29" s="22" t="s">
        <v>66</v>
      </c>
      <c r="E29" s="23">
        <v>10903.0</v>
      </c>
      <c r="F29" s="23">
        <v>58.0</v>
      </c>
      <c r="G29" s="23">
        <v>125.0</v>
      </c>
      <c r="H29" s="23">
        <v>311.0</v>
      </c>
      <c r="I29" s="23">
        <v>786.0</v>
      </c>
      <c r="J29" s="23">
        <v>1280.0</v>
      </c>
      <c r="K29" s="24">
        <f t="shared" si="2"/>
        <v>61.40625</v>
      </c>
      <c r="L29" s="23">
        <v>58.0</v>
      </c>
    </row>
    <row r="30" ht="14.25" customHeight="1">
      <c r="A30" s="22" t="s">
        <v>17</v>
      </c>
      <c r="B30" s="22" t="s">
        <v>67</v>
      </c>
      <c r="C30" s="22" t="s">
        <v>68</v>
      </c>
      <c r="D30" s="22" t="s">
        <v>68</v>
      </c>
      <c r="E30" s="23">
        <v>11001.0</v>
      </c>
      <c r="F30" s="23">
        <v>175.0</v>
      </c>
      <c r="G30" s="23">
        <v>393.0</v>
      </c>
      <c r="H30" s="23">
        <v>831.0</v>
      </c>
      <c r="I30" s="23">
        <v>1737.0</v>
      </c>
      <c r="J30" s="23">
        <v>3136.0</v>
      </c>
      <c r="K30" s="24">
        <f t="shared" si="2"/>
        <v>55.38903061</v>
      </c>
      <c r="L30" s="23">
        <v>175.0</v>
      </c>
    </row>
    <row r="31" ht="14.25" customHeight="1">
      <c r="A31" s="22" t="s">
        <v>17</v>
      </c>
      <c r="B31" s="22" t="s">
        <v>67</v>
      </c>
      <c r="C31" s="22" t="s">
        <v>69</v>
      </c>
      <c r="D31" s="22" t="s">
        <v>70</v>
      </c>
      <c r="E31" s="23">
        <v>11002.0</v>
      </c>
      <c r="F31" s="23">
        <v>15.0</v>
      </c>
      <c r="G31" s="23">
        <v>70.0</v>
      </c>
      <c r="H31" s="23">
        <v>175.0</v>
      </c>
      <c r="I31" s="23">
        <v>558.0</v>
      </c>
      <c r="J31" s="23">
        <v>818.0</v>
      </c>
      <c r="K31" s="24">
        <f t="shared" si="2"/>
        <v>68.21515892</v>
      </c>
      <c r="L31" s="23">
        <v>15.0</v>
      </c>
    </row>
    <row r="32" ht="14.25" customHeight="1">
      <c r="A32" s="22" t="s">
        <v>17</v>
      </c>
      <c r="B32" s="22" t="s">
        <v>67</v>
      </c>
      <c r="C32" s="22" t="s">
        <v>71</v>
      </c>
      <c r="D32" s="22" t="s">
        <v>72</v>
      </c>
      <c r="E32" s="23">
        <v>11003.0</v>
      </c>
      <c r="F32" s="23">
        <v>41.0</v>
      </c>
      <c r="G32" s="23">
        <v>201.0</v>
      </c>
      <c r="H32" s="23">
        <v>502.0</v>
      </c>
      <c r="I32" s="23">
        <v>1544.0</v>
      </c>
      <c r="J32" s="23">
        <v>2288.0</v>
      </c>
      <c r="K32" s="24">
        <f t="shared" si="2"/>
        <v>67.48251748</v>
      </c>
      <c r="L32" s="23">
        <v>41.0</v>
      </c>
    </row>
    <row r="33" ht="14.25" customHeight="1">
      <c r="A33" s="22" t="s">
        <v>21</v>
      </c>
      <c r="B33" s="22" t="s">
        <v>73</v>
      </c>
      <c r="C33" s="22" t="s">
        <v>74</v>
      </c>
      <c r="D33" s="22" t="s">
        <v>74</v>
      </c>
      <c r="E33" s="23">
        <v>20101.0</v>
      </c>
      <c r="F33" s="23">
        <v>1201.0</v>
      </c>
      <c r="G33" s="23">
        <v>4112.0</v>
      </c>
      <c r="H33" s="23">
        <v>13961.0</v>
      </c>
      <c r="I33" s="23">
        <v>231657.0</v>
      </c>
      <c r="J33" s="23">
        <v>250931.0</v>
      </c>
      <c r="K33" s="24">
        <f t="shared" si="2"/>
        <v>92.31900403</v>
      </c>
      <c r="L33" s="23">
        <v>1201.0</v>
      </c>
    </row>
    <row r="34" ht="14.25" customHeight="1">
      <c r="A34" s="22" t="s">
        <v>21</v>
      </c>
      <c r="B34" s="22" t="s">
        <v>73</v>
      </c>
      <c r="C34" s="22" t="s">
        <v>75</v>
      </c>
      <c r="D34" s="22" t="s">
        <v>75</v>
      </c>
      <c r="E34" s="23">
        <v>20102.0</v>
      </c>
      <c r="F34" s="23">
        <v>464.0</v>
      </c>
      <c r="G34" s="23">
        <v>1528.0</v>
      </c>
      <c r="H34" s="23">
        <v>3108.0</v>
      </c>
      <c r="I34" s="23">
        <v>2485.0</v>
      </c>
      <c r="J34" s="23">
        <v>7585.0</v>
      </c>
      <c r="K34" s="24">
        <f t="shared" si="2"/>
        <v>32.76203032</v>
      </c>
      <c r="L34" s="23">
        <v>464.0</v>
      </c>
    </row>
    <row r="35" ht="14.25" customHeight="1">
      <c r="A35" s="22" t="s">
        <v>21</v>
      </c>
      <c r="B35" s="22" t="s">
        <v>73</v>
      </c>
      <c r="C35" s="22" t="s">
        <v>76</v>
      </c>
      <c r="D35" s="22" t="s">
        <v>76</v>
      </c>
      <c r="E35" s="23">
        <v>20103.0</v>
      </c>
      <c r="F35" s="23">
        <v>192.0</v>
      </c>
      <c r="G35" s="23">
        <v>670.0</v>
      </c>
      <c r="H35" s="23">
        <v>2117.0</v>
      </c>
      <c r="I35" s="23">
        <v>3870.0</v>
      </c>
      <c r="J35" s="23">
        <v>6849.0</v>
      </c>
      <c r="K35" s="24">
        <f t="shared" si="2"/>
        <v>56.50459921</v>
      </c>
      <c r="L35" s="23">
        <v>192.0</v>
      </c>
    </row>
    <row r="36" ht="14.25" customHeight="1">
      <c r="A36" s="22" t="s">
        <v>21</v>
      </c>
      <c r="B36" s="22" t="s">
        <v>73</v>
      </c>
      <c r="C36" s="22" t="s">
        <v>77</v>
      </c>
      <c r="D36" s="22" t="s">
        <v>77</v>
      </c>
      <c r="E36" s="23">
        <v>20104.0</v>
      </c>
      <c r="F36" s="23">
        <v>1130.0</v>
      </c>
      <c r="G36" s="23">
        <v>4628.0</v>
      </c>
      <c r="H36" s="23">
        <v>8248.0</v>
      </c>
      <c r="I36" s="23">
        <v>2291.0</v>
      </c>
      <c r="J36" s="23">
        <v>16297.0</v>
      </c>
      <c r="K36" s="24">
        <f t="shared" si="2"/>
        <v>14.05780205</v>
      </c>
      <c r="L36" s="23">
        <v>1130.0</v>
      </c>
    </row>
    <row r="37" ht="14.25" customHeight="1">
      <c r="A37" s="22" t="s">
        <v>21</v>
      </c>
      <c r="B37" s="22" t="s">
        <v>73</v>
      </c>
      <c r="C37" s="22" t="s">
        <v>78</v>
      </c>
      <c r="D37" s="22" t="s">
        <v>78</v>
      </c>
      <c r="E37" s="23">
        <v>20105.0</v>
      </c>
      <c r="F37" s="23">
        <v>2972.0</v>
      </c>
      <c r="G37" s="23">
        <v>8065.0</v>
      </c>
      <c r="H37" s="23">
        <v>35631.0</v>
      </c>
      <c r="I37" s="23">
        <v>251230.0</v>
      </c>
      <c r="J37" s="23">
        <v>297898.0</v>
      </c>
      <c r="K37" s="24">
        <f t="shared" si="2"/>
        <v>84.33423521</v>
      </c>
      <c r="L37" s="23">
        <v>2972.0</v>
      </c>
    </row>
    <row r="38" ht="14.25" customHeight="1">
      <c r="A38" s="22" t="s">
        <v>21</v>
      </c>
      <c r="B38" s="22" t="s">
        <v>79</v>
      </c>
      <c r="C38" s="22" t="s">
        <v>80</v>
      </c>
      <c r="D38" s="22" t="s">
        <v>80</v>
      </c>
      <c r="E38" s="23">
        <v>20201.0</v>
      </c>
      <c r="F38" s="23">
        <v>846.0</v>
      </c>
      <c r="G38" s="23">
        <v>2148.0</v>
      </c>
      <c r="H38" s="23">
        <v>4582.0</v>
      </c>
      <c r="I38" s="23">
        <v>10740.0</v>
      </c>
      <c r="J38" s="23">
        <v>18316.0</v>
      </c>
      <c r="K38" s="24">
        <f t="shared" si="2"/>
        <v>58.63725704</v>
      </c>
      <c r="L38" s="23">
        <v>846.0</v>
      </c>
    </row>
    <row r="39" ht="14.25" customHeight="1">
      <c r="A39" s="22" t="s">
        <v>21</v>
      </c>
      <c r="B39" s="22" t="s">
        <v>79</v>
      </c>
      <c r="C39" s="22" t="s">
        <v>81</v>
      </c>
      <c r="D39" s="22" t="s">
        <v>82</v>
      </c>
      <c r="E39" s="23">
        <v>20202.0</v>
      </c>
      <c r="F39" s="23">
        <v>518.0</v>
      </c>
      <c r="G39" s="23">
        <v>1210.0</v>
      </c>
      <c r="H39" s="23">
        <v>2362.0</v>
      </c>
      <c r="I39" s="23">
        <v>2647.0</v>
      </c>
      <c r="J39" s="23">
        <v>6737.0</v>
      </c>
      <c r="K39" s="24">
        <f t="shared" si="2"/>
        <v>39.29048538</v>
      </c>
      <c r="L39" s="23">
        <v>518.0</v>
      </c>
    </row>
    <row r="40" ht="14.25" customHeight="1">
      <c r="A40" s="40" t="s">
        <v>21</v>
      </c>
      <c r="B40" s="40" t="s">
        <v>79</v>
      </c>
      <c r="C40" s="40" t="s">
        <v>83</v>
      </c>
      <c r="D40" s="40" t="s">
        <v>83</v>
      </c>
      <c r="E40" s="38">
        <v>20203.0</v>
      </c>
      <c r="F40" s="38">
        <v>171.0</v>
      </c>
      <c r="G40" s="38">
        <v>355.0</v>
      </c>
      <c r="H40" s="38">
        <v>805.0</v>
      </c>
      <c r="I40" s="38">
        <v>1300.0</v>
      </c>
      <c r="J40" s="38">
        <v>2631.0</v>
      </c>
      <c r="K40" s="24">
        <f t="shared" si="2"/>
        <v>49.41087039</v>
      </c>
      <c r="L40" s="38">
        <v>171.0</v>
      </c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4.25" customHeight="1">
      <c r="A41" s="40" t="s">
        <v>21</v>
      </c>
      <c r="B41" s="40" t="s">
        <v>79</v>
      </c>
      <c r="C41" s="40" t="s">
        <v>84</v>
      </c>
      <c r="D41" s="40" t="s">
        <v>84</v>
      </c>
      <c r="E41" s="38">
        <v>20204.0</v>
      </c>
      <c r="F41" s="38">
        <v>257.0</v>
      </c>
      <c r="G41" s="38">
        <v>602.0</v>
      </c>
      <c r="H41" s="38">
        <v>1091.0</v>
      </c>
      <c r="I41" s="38">
        <v>2006.0</v>
      </c>
      <c r="J41" s="38">
        <v>3956.0</v>
      </c>
      <c r="K41" s="24">
        <f t="shared" si="2"/>
        <v>50.70778564</v>
      </c>
      <c r="L41" s="38">
        <v>257.0</v>
      </c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4.25" customHeight="1">
      <c r="A42" s="40" t="s">
        <v>21</v>
      </c>
      <c r="B42" s="40" t="s">
        <v>79</v>
      </c>
      <c r="C42" s="40" t="s">
        <v>85</v>
      </c>
      <c r="D42" s="40" t="s">
        <v>85</v>
      </c>
      <c r="E42" s="38">
        <v>20205.0</v>
      </c>
      <c r="F42" s="38">
        <v>214.0</v>
      </c>
      <c r="G42" s="38">
        <v>543.0</v>
      </c>
      <c r="H42" s="38">
        <v>1171.0</v>
      </c>
      <c r="I42" s="38">
        <v>2551.0</v>
      </c>
      <c r="J42" s="38">
        <v>4479.0</v>
      </c>
      <c r="K42" s="24">
        <f t="shared" si="2"/>
        <v>56.95467738</v>
      </c>
      <c r="L42" s="38">
        <v>214.0</v>
      </c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4.25" customHeight="1">
      <c r="A43" s="40" t="s">
        <v>21</v>
      </c>
      <c r="B43" s="40" t="s">
        <v>79</v>
      </c>
      <c r="C43" s="40" t="s">
        <v>86</v>
      </c>
      <c r="D43" s="40" t="s">
        <v>86</v>
      </c>
      <c r="E43" s="38">
        <v>20206.0</v>
      </c>
      <c r="F43" s="38">
        <v>113.0</v>
      </c>
      <c r="G43" s="38">
        <v>200.0</v>
      </c>
      <c r="H43" s="38">
        <v>423.0</v>
      </c>
      <c r="I43" s="38">
        <v>1773.0</v>
      </c>
      <c r="J43" s="38">
        <v>2509.0</v>
      </c>
      <c r="K43" s="24">
        <f t="shared" si="2"/>
        <v>70.66560383</v>
      </c>
      <c r="L43" s="38">
        <v>113.0</v>
      </c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4.25" customHeight="1">
      <c r="A44" s="22" t="s">
        <v>21</v>
      </c>
      <c r="B44" s="22" t="s">
        <v>87</v>
      </c>
      <c r="C44" s="22" t="s">
        <v>88</v>
      </c>
      <c r="D44" s="22" t="s">
        <v>89</v>
      </c>
      <c r="E44" s="23">
        <v>20301.0</v>
      </c>
      <c r="F44" s="23">
        <v>684.0</v>
      </c>
      <c r="G44" s="23">
        <v>1358.0</v>
      </c>
      <c r="H44" s="23">
        <v>1788.0</v>
      </c>
      <c r="I44" s="23">
        <v>1414.0</v>
      </c>
      <c r="J44" s="23">
        <v>5244.0</v>
      </c>
      <c r="K44" s="24">
        <f t="shared" si="2"/>
        <v>26.9641495</v>
      </c>
      <c r="L44" s="23">
        <v>684.0</v>
      </c>
    </row>
    <row r="45" ht="14.25" customHeight="1">
      <c r="A45" s="22" t="s">
        <v>21</v>
      </c>
      <c r="B45" s="22" t="s">
        <v>87</v>
      </c>
      <c r="C45" s="22" t="s">
        <v>90</v>
      </c>
      <c r="D45" s="22" t="s">
        <v>90</v>
      </c>
      <c r="E45" s="23">
        <v>20302.0</v>
      </c>
      <c r="F45" s="23">
        <v>373.0</v>
      </c>
      <c r="G45" s="23">
        <v>1129.0</v>
      </c>
      <c r="H45" s="23">
        <v>1957.0</v>
      </c>
      <c r="I45" s="23">
        <v>1774.0</v>
      </c>
      <c r="J45" s="23">
        <v>5233.0</v>
      </c>
      <c r="K45" s="24">
        <f t="shared" si="2"/>
        <v>33.90024842</v>
      </c>
      <c r="L45" s="23">
        <v>373.0</v>
      </c>
    </row>
    <row r="46" ht="14.25" customHeight="1">
      <c r="A46" s="22" t="s">
        <v>21</v>
      </c>
      <c r="B46" s="22" t="s">
        <v>87</v>
      </c>
      <c r="C46" s="22" t="s">
        <v>91</v>
      </c>
      <c r="D46" s="22" t="s">
        <v>91</v>
      </c>
      <c r="E46" s="23">
        <v>20303.0</v>
      </c>
      <c r="F46" s="23">
        <v>719.0</v>
      </c>
      <c r="G46" s="23">
        <v>1471.0</v>
      </c>
      <c r="H46" s="23">
        <v>1806.0</v>
      </c>
      <c r="I46" s="23">
        <v>1112.0</v>
      </c>
      <c r="J46" s="23">
        <v>5108.0</v>
      </c>
      <c r="K46" s="24">
        <f t="shared" si="2"/>
        <v>21.76977291</v>
      </c>
      <c r="L46" s="23">
        <v>719.0</v>
      </c>
    </row>
    <row r="47" ht="14.25" customHeight="1">
      <c r="A47" s="22" t="s">
        <v>21</v>
      </c>
      <c r="B47" s="22" t="s">
        <v>87</v>
      </c>
      <c r="C47" s="22" t="s">
        <v>92</v>
      </c>
      <c r="D47" s="22" t="s">
        <v>92</v>
      </c>
      <c r="E47" s="23">
        <v>20304.0</v>
      </c>
      <c r="F47" s="23">
        <v>109.0</v>
      </c>
      <c r="G47" s="23">
        <v>366.0</v>
      </c>
      <c r="H47" s="23">
        <v>685.0</v>
      </c>
      <c r="I47" s="23">
        <v>770.0</v>
      </c>
      <c r="J47" s="23">
        <v>1930.0</v>
      </c>
      <c r="K47" s="24">
        <f t="shared" si="2"/>
        <v>39.89637306</v>
      </c>
      <c r="L47" s="23">
        <v>109.0</v>
      </c>
    </row>
    <row r="48" ht="14.25" customHeight="1">
      <c r="A48" s="22" t="s">
        <v>21</v>
      </c>
      <c r="B48" s="22" t="s">
        <v>87</v>
      </c>
      <c r="C48" s="22" t="s">
        <v>93</v>
      </c>
      <c r="D48" s="22" t="s">
        <v>93</v>
      </c>
      <c r="E48" s="23">
        <v>20305.0</v>
      </c>
      <c r="F48" s="23">
        <v>476.0</v>
      </c>
      <c r="G48" s="23">
        <v>412.0</v>
      </c>
      <c r="H48" s="23">
        <v>413.0</v>
      </c>
      <c r="I48" s="23">
        <v>441.0</v>
      </c>
      <c r="J48" s="23">
        <v>1742.0</v>
      </c>
      <c r="K48" s="24">
        <f t="shared" si="2"/>
        <v>25.31572905</v>
      </c>
      <c r="L48" s="23">
        <v>476.0</v>
      </c>
    </row>
    <row r="49" ht="14.25" customHeight="1">
      <c r="A49" s="22" t="s">
        <v>21</v>
      </c>
      <c r="B49" s="22" t="s">
        <v>87</v>
      </c>
      <c r="C49" s="22" t="s">
        <v>94</v>
      </c>
      <c r="D49" s="22" t="s">
        <v>94</v>
      </c>
      <c r="E49" s="23">
        <v>20306.0</v>
      </c>
      <c r="F49" s="23">
        <v>152.0</v>
      </c>
      <c r="G49" s="23">
        <v>304.0</v>
      </c>
      <c r="H49" s="23">
        <v>589.0</v>
      </c>
      <c r="I49" s="23">
        <v>418.0</v>
      </c>
      <c r="J49" s="23">
        <v>1463.0</v>
      </c>
      <c r="K49" s="24">
        <f t="shared" si="2"/>
        <v>28.57142857</v>
      </c>
      <c r="L49" s="23">
        <v>152.0</v>
      </c>
    </row>
    <row r="50" ht="14.25" customHeight="1">
      <c r="A50" s="22" t="s">
        <v>21</v>
      </c>
      <c r="B50" s="22" t="s">
        <v>87</v>
      </c>
      <c r="C50" s="22" t="s">
        <v>95</v>
      </c>
      <c r="D50" s="22" t="s">
        <v>95</v>
      </c>
      <c r="E50" s="23">
        <v>20307.0</v>
      </c>
      <c r="F50" s="23">
        <v>95.0</v>
      </c>
      <c r="G50" s="23">
        <v>305.0</v>
      </c>
      <c r="H50" s="23">
        <v>442.0</v>
      </c>
      <c r="I50" s="23">
        <v>371.0</v>
      </c>
      <c r="J50" s="23">
        <v>1213.0</v>
      </c>
      <c r="K50" s="24">
        <f t="shared" si="2"/>
        <v>30.58532564</v>
      </c>
      <c r="L50" s="23">
        <v>95.0</v>
      </c>
    </row>
    <row r="51" ht="14.25" customHeight="1">
      <c r="A51" s="22" t="s">
        <v>21</v>
      </c>
      <c r="B51" s="22" t="s">
        <v>87</v>
      </c>
      <c r="C51" s="22" t="s">
        <v>96</v>
      </c>
      <c r="D51" s="22" t="s">
        <v>96</v>
      </c>
      <c r="E51" s="23">
        <v>20308.0</v>
      </c>
      <c r="F51" s="23">
        <v>690.0</v>
      </c>
      <c r="G51" s="23">
        <v>1431.0</v>
      </c>
      <c r="H51" s="23">
        <v>1102.0</v>
      </c>
      <c r="I51" s="23">
        <v>346.0</v>
      </c>
      <c r="J51" s="23">
        <v>3569.0</v>
      </c>
      <c r="K51" s="24">
        <f t="shared" si="2"/>
        <v>9.694592323</v>
      </c>
      <c r="L51" s="23">
        <v>690.0</v>
      </c>
    </row>
    <row r="52" ht="14.25" customHeight="1">
      <c r="A52" s="22" t="s">
        <v>21</v>
      </c>
      <c r="B52" s="22" t="s">
        <v>97</v>
      </c>
      <c r="C52" s="22" t="s">
        <v>98</v>
      </c>
      <c r="D52" s="22" t="s">
        <v>98</v>
      </c>
      <c r="E52" s="23">
        <v>20401.0</v>
      </c>
      <c r="F52" s="23">
        <v>800.0</v>
      </c>
      <c r="G52" s="23">
        <v>1650.0</v>
      </c>
      <c r="H52" s="23">
        <v>2617.0</v>
      </c>
      <c r="I52" s="23">
        <v>1537.0</v>
      </c>
      <c r="J52" s="23">
        <v>6604.0</v>
      </c>
      <c r="K52" s="24">
        <f t="shared" si="2"/>
        <v>23.27377347</v>
      </c>
      <c r="L52" s="23">
        <v>800.0</v>
      </c>
    </row>
    <row r="53" ht="14.25" customHeight="1">
      <c r="A53" s="22" t="s">
        <v>21</v>
      </c>
      <c r="B53" s="22" t="s">
        <v>97</v>
      </c>
      <c r="C53" s="22" t="s">
        <v>99</v>
      </c>
      <c r="D53" s="22" t="s">
        <v>99</v>
      </c>
      <c r="E53" s="23">
        <v>20402.0</v>
      </c>
      <c r="F53" s="23">
        <v>609.0</v>
      </c>
      <c r="G53" s="23">
        <v>1598.0</v>
      </c>
      <c r="H53" s="23">
        <v>3042.0</v>
      </c>
      <c r="I53" s="23">
        <v>2764.0</v>
      </c>
      <c r="J53" s="23">
        <v>8013.0</v>
      </c>
      <c r="K53" s="24">
        <f t="shared" si="2"/>
        <v>34.49394734</v>
      </c>
      <c r="L53" s="23">
        <v>609.0</v>
      </c>
    </row>
    <row r="54" ht="14.25" customHeight="1">
      <c r="A54" s="22" t="s">
        <v>21</v>
      </c>
      <c r="B54" s="22" t="s">
        <v>97</v>
      </c>
      <c r="C54" s="22" t="s">
        <v>100</v>
      </c>
      <c r="D54" s="22" t="s">
        <v>101</v>
      </c>
      <c r="E54" s="23">
        <v>20403.0</v>
      </c>
      <c r="F54" s="23">
        <v>610.0</v>
      </c>
      <c r="G54" s="23">
        <v>1344.0</v>
      </c>
      <c r="H54" s="23">
        <v>2817.0</v>
      </c>
      <c r="I54" s="23">
        <v>2294.0</v>
      </c>
      <c r="J54" s="23">
        <v>7065.0</v>
      </c>
      <c r="K54" s="24">
        <f t="shared" si="2"/>
        <v>32.46992215</v>
      </c>
      <c r="L54" s="23">
        <v>610.0</v>
      </c>
    </row>
    <row r="55" ht="14.25" customHeight="1">
      <c r="A55" s="22" t="s">
        <v>21</v>
      </c>
      <c r="B55" s="22" t="s">
        <v>97</v>
      </c>
      <c r="C55" s="22" t="s">
        <v>102</v>
      </c>
      <c r="D55" s="22" t="s">
        <v>102</v>
      </c>
      <c r="E55" s="23">
        <v>20404.0</v>
      </c>
      <c r="F55" s="23">
        <v>274.0</v>
      </c>
      <c r="G55" s="23">
        <v>681.0</v>
      </c>
      <c r="H55" s="23">
        <v>1056.0</v>
      </c>
      <c r="I55" s="23">
        <v>516.0</v>
      </c>
      <c r="J55" s="23">
        <v>2527.0</v>
      </c>
      <c r="K55" s="24">
        <f t="shared" si="2"/>
        <v>20.41946973</v>
      </c>
      <c r="L55" s="23">
        <v>274.0</v>
      </c>
    </row>
    <row r="56" ht="14.25" customHeight="1">
      <c r="A56" s="22" t="s">
        <v>21</v>
      </c>
      <c r="B56" s="22" t="s">
        <v>97</v>
      </c>
      <c r="C56" s="22" t="s">
        <v>103</v>
      </c>
      <c r="D56" s="22" t="s">
        <v>103</v>
      </c>
      <c r="E56" s="23">
        <v>20405.0</v>
      </c>
      <c r="F56" s="23">
        <v>465.0</v>
      </c>
      <c r="G56" s="23">
        <v>1014.0</v>
      </c>
      <c r="H56" s="23">
        <v>1492.0</v>
      </c>
      <c r="I56" s="23">
        <v>1145.0</v>
      </c>
      <c r="J56" s="23">
        <v>4116.0</v>
      </c>
      <c r="K56" s="24">
        <f t="shared" si="2"/>
        <v>27.81827017</v>
      </c>
      <c r="L56" s="23">
        <v>465.0</v>
      </c>
    </row>
    <row r="57" ht="14.25" customHeight="1">
      <c r="A57" s="22" t="s">
        <v>21</v>
      </c>
      <c r="B57" s="22" t="s">
        <v>104</v>
      </c>
      <c r="C57" s="22" t="s">
        <v>105</v>
      </c>
      <c r="D57" s="22" t="s">
        <v>105</v>
      </c>
      <c r="E57" s="23">
        <v>20501.0</v>
      </c>
      <c r="F57" s="23">
        <v>325.0</v>
      </c>
      <c r="G57" s="23">
        <v>1104.0</v>
      </c>
      <c r="H57" s="23">
        <v>2264.0</v>
      </c>
      <c r="I57" s="23">
        <v>2695.0</v>
      </c>
      <c r="J57" s="23">
        <v>6388.0</v>
      </c>
      <c r="K57" s="24">
        <f t="shared" si="2"/>
        <v>42.1884784</v>
      </c>
      <c r="L57" s="23">
        <v>325.0</v>
      </c>
    </row>
    <row r="58" ht="14.25" customHeight="1">
      <c r="A58" s="22" t="s">
        <v>21</v>
      </c>
      <c r="B58" s="22" t="s">
        <v>104</v>
      </c>
      <c r="C58" s="22" t="s">
        <v>106</v>
      </c>
      <c r="D58" s="22" t="s">
        <v>106</v>
      </c>
      <c r="E58" s="23">
        <v>20502.0</v>
      </c>
      <c r="F58" s="23">
        <v>253.0</v>
      </c>
      <c r="G58" s="23">
        <v>703.0</v>
      </c>
      <c r="H58" s="23">
        <v>1234.0</v>
      </c>
      <c r="I58" s="23">
        <v>1304.0</v>
      </c>
      <c r="J58" s="23">
        <v>3494.0</v>
      </c>
      <c r="K58" s="24">
        <f t="shared" si="2"/>
        <v>37.32112192</v>
      </c>
      <c r="L58" s="23">
        <v>253.0</v>
      </c>
    </row>
    <row r="59" ht="14.25" customHeight="1">
      <c r="A59" s="22" t="s">
        <v>21</v>
      </c>
      <c r="B59" s="22" t="s">
        <v>104</v>
      </c>
      <c r="C59" s="22" t="s">
        <v>107</v>
      </c>
      <c r="D59" s="22" t="s">
        <v>107</v>
      </c>
      <c r="E59" s="23">
        <v>20503.0</v>
      </c>
      <c r="F59" s="23">
        <v>202.0</v>
      </c>
      <c r="G59" s="23">
        <v>376.0</v>
      </c>
      <c r="H59" s="23">
        <v>1085.0</v>
      </c>
      <c r="I59" s="23">
        <v>837.0</v>
      </c>
      <c r="J59" s="23">
        <v>2500.0</v>
      </c>
      <c r="K59" s="24">
        <f t="shared" si="2"/>
        <v>33.48</v>
      </c>
      <c r="L59" s="23">
        <v>202.0</v>
      </c>
    </row>
    <row r="60" ht="14.25" customHeight="1">
      <c r="A60" s="22" t="s">
        <v>21</v>
      </c>
      <c r="B60" s="22" t="s">
        <v>108</v>
      </c>
      <c r="C60" s="22" t="s">
        <v>109</v>
      </c>
      <c r="D60" s="22" t="s">
        <v>109</v>
      </c>
      <c r="E60" s="23">
        <v>20601.0</v>
      </c>
      <c r="F60" s="23">
        <v>739.0</v>
      </c>
      <c r="G60" s="23">
        <v>1963.0</v>
      </c>
      <c r="H60" s="23">
        <v>3846.0</v>
      </c>
      <c r="I60" s="23">
        <v>4911.0</v>
      </c>
      <c r="J60" s="23">
        <v>11459.0</v>
      </c>
      <c r="K60" s="24">
        <f t="shared" si="2"/>
        <v>42.85714286</v>
      </c>
      <c r="L60" s="23">
        <v>739.0</v>
      </c>
    </row>
    <row r="61" ht="14.25" customHeight="1">
      <c r="A61" s="22" t="s">
        <v>21</v>
      </c>
      <c r="B61" s="22" t="s">
        <v>108</v>
      </c>
      <c r="C61" s="22" t="s">
        <v>110</v>
      </c>
      <c r="D61" s="22" t="s">
        <v>110</v>
      </c>
      <c r="E61" s="23">
        <v>20602.0</v>
      </c>
      <c r="F61" s="23">
        <v>723.0</v>
      </c>
      <c r="G61" s="23">
        <v>720.0</v>
      </c>
      <c r="H61" s="23">
        <v>1453.0</v>
      </c>
      <c r="I61" s="23">
        <v>3373.0</v>
      </c>
      <c r="J61" s="23">
        <v>6269.0</v>
      </c>
      <c r="K61" s="24">
        <f t="shared" si="2"/>
        <v>53.80443452</v>
      </c>
      <c r="L61" s="23">
        <v>723.0</v>
      </c>
    </row>
    <row r="62" ht="14.25" customHeight="1">
      <c r="A62" s="22" t="s">
        <v>21</v>
      </c>
      <c r="B62" s="22" t="s">
        <v>108</v>
      </c>
      <c r="C62" s="22" t="s">
        <v>111</v>
      </c>
      <c r="D62" s="22" t="s">
        <v>111</v>
      </c>
      <c r="E62" s="23">
        <v>20603.0</v>
      </c>
      <c r="F62" s="23">
        <v>427.0</v>
      </c>
      <c r="G62" s="23">
        <v>866.0</v>
      </c>
      <c r="H62" s="23">
        <v>1320.0</v>
      </c>
      <c r="I62" s="23">
        <v>1539.0</v>
      </c>
      <c r="J62" s="23">
        <v>4152.0</v>
      </c>
      <c r="K62" s="24">
        <f t="shared" si="2"/>
        <v>37.06647399</v>
      </c>
      <c r="L62" s="23">
        <v>427.0</v>
      </c>
    </row>
    <row r="63" ht="14.25" customHeight="1">
      <c r="A63" s="22" t="s">
        <v>21</v>
      </c>
      <c r="B63" s="22" t="s">
        <v>108</v>
      </c>
      <c r="C63" s="22" t="s">
        <v>112</v>
      </c>
      <c r="D63" s="22" t="s">
        <v>112</v>
      </c>
      <c r="E63" s="23">
        <v>20604.0</v>
      </c>
      <c r="F63" s="23">
        <v>107.0</v>
      </c>
      <c r="G63" s="23">
        <v>319.0</v>
      </c>
      <c r="H63" s="23">
        <v>491.0</v>
      </c>
      <c r="I63" s="23">
        <v>474.0</v>
      </c>
      <c r="J63" s="23">
        <v>1391.0</v>
      </c>
      <c r="K63" s="24">
        <f t="shared" si="2"/>
        <v>34.07620417</v>
      </c>
      <c r="L63" s="23">
        <v>107.0</v>
      </c>
    </row>
    <row r="64" ht="14.25" customHeight="1">
      <c r="A64" s="22" t="s">
        <v>21</v>
      </c>
      <c r="B64" s="22" t="s">
        <v>108</v>
      </c>
      <c r="C64" s="22" t="s">
        <v>113</v>
      </c>
      <c r="D64" s="22" t="s">
        <v>113</v>
      </c>
      <c r="E64" s="23">
        <v>20605.0</v>
      </c>
      <c r="F64" s="23">
        <v>90.0</v>
      </c>
      <c r="G64" s="23">
        <v>222.0</v>
      </c>
      <c r="H64" s="23">
        <v>593.0</v>
      </c>
      <c r="I64" s="23">
        <v>520.0</v>
      </c>
      <c r="J64" s="23">
        <v>1425.0</v>
      </c>
      <c r="K64" s="24">
        <f t="shared" si="2"/>
        <v>36.49122807</v>
      </c>
      <c r="L64" s="23">
        <v>90.0</v>
      </c>
    </row>
    <row r="65" ht="14.25" customHeight="1">
      <c r="A65" s="22" t="s">
        <v>21</v>
      </c>
      <c r="B65" s="22" t="s">
        <v>108</v>
      </c>
      <c r="C65" s="22" t="s">
        <v>114</v>
      </c>
      <c r="D65" s="22" t="s">
        <v>114</v>
      </c>
      <c r="E65" s="23">
        <v>20606.0</v>
      </c>
      <c r="F65" s="23">
        <v>117.0</v>
      </c>
      <c r="G65" s="23">
        <v>651.0</v>
      </c>
      <c r="H65" s="23">
        <v>1302.0</v>
      </c>
      <c r="I65" s="23">
        <v>1173.0</v>
      </c>
      <c r="J65" s="23">
        <v>3243.0</v>
      </c>
      <c r="K65" s="24">
        <f t="shared" si="2"/>
        <v>36.17021277</v>
      </c>
      <c r="L65" s="23">
        <v>117.0</v>
      </c>
    </row>
    <row r="66" ht="14.25" customHeight="1">
      <c r="A66" s="22" t="s">
        <v>21</v>
      </c>
      <c r="B66" s="22" t="s">
        <v>108</v>
      </c>
      <c r="C66" s="22" t="s">
        <v>115</v>
      </c>
      <c r="D66" s="22" t="s">
        <v>115</v>
      </c>
      <c r="E66" s="23">
        <v>20607.0</v>
      </c>
      <c r="F66" s="23">
        <v>170.0</v>
      </c>
      <c r="G66" s="23">
        <v>456.0</v>
      </c>
      <c r="H66" s="23">
        <v>2095.0</v>
      </c>
      <c r="I66" s="23">
        <v>4177.0</v>
      </c>
      <c r="J66" s="23">
        <v>6898.0</v>
      </c>
      <c r="K66" s="24">
        <f t="shared" si="2"/>
        <v>60.55378371</v>
      </c>
      <c r="L66" s="23">
        <v>170.0</v>
      </c>
    </row>
    <row r="67" ht="14.25" customHeight="1">
      <c r="A67" s="22" t="s">
        <v>21</v>
      </c>
      <c r="B67" s="22" t="s">
        <v>108</v>
      </c>
      <c r="C67" s="22" t="s">
        <v>116</v>
      </c>
      <c r="D67" s="22" t="s">
        <v>116</v>
      </c>
      <c r="E67" s="23">
        <v>20608.0</v>
      </c>
      <c r="F67" s="23">
        <v>702.0</v>
      </c>
      <c r="G67" s="23">
        <v>966.0</v>
      </c>
      <c r="H67" s="23">
        <v>1345.0</v>
      </c>
      <c r="I67" s="23">
        <v>1589.0</v>
      </c>
      <c r="J67" s="23">
        <v>4602.0</v>
      </c>
      <c r="K67" s="24">
        <f t="shared" si="2"/>
        <v>34.52846588</v>
      </c>
      <c r="L67" s="23">
        <v>702.0</v>
      </c>
    </row>
    <row r="68" ht="14.25" customHeight="1">
      <c r="A68" s="22" t="s">
        <v>21</v>
      </c>
      <c r="B68" s="22" t="s">
        <v>117</v>
      </c>
      <c r="C68" s="22" t="s">
        <v>118</v>
      </c>
      <c r="D68" s="22" t="s">
        <v>118</v>
      </c>
      <c r="E68" s="23">
        <v>20701.0</v>
      </c>
      <c r="F68" s="23">
        <v>551.0</v>
      </c>
      <c r="G68" s="23">
        <v>1085.0</v>
      </c>
      <c r="H68" s="23">
        <v>2331.0</v>
      </c>
      <c r="I68" s="23">
        <v>2197.0</v>
      </c>
      <c r="J68" s="23">
        <v>6164.0</v>
      </c>
      <c r="K68" s="24">
        <f t="shared" si="2"/>
        <v>35.64243997</v>
      </c>
      <c r="L68" s="23">
        <v>551.0</v>
      </c>
    </row>
    <row r="69" ht="14.25" customHeight="1">
      <c r="A69" s="22" t="s">
        <v>21</v>
      </c>
      <c r="B69" s="22" t="s">
        <v>117</v>
      </c>
      <c r="C69" s="22" t="s">
        <v>119</v>
      </c>
      <c r="D69" s="22" t="s">
        <v>119</v>
      </c>
      <c r="E69" s="23">
        <v>20702.0</v>
      </c>
      <c r="F69" s="23">
        <v>125.0</v>
      </c>
      <c r="G69" s="23">
        <v>469.0</v>
      </c>
      <c r="H69" s="23">
        <v>1097.0</v>
      </c>
      <c r="I69" s="23">
        <v>1377.0</v>
      </c>
      <c r="J69" s="23">
        <v>3068.0</v>
      </c>
      <c r="K69" s="24">
        <f t="shared" si="2"/>
        <v>44.88265971</v>
      </c>
      <c r="L69" s="23">
        <v>125.0</v>
      </c>
    </row>
    <row r="70" ht="14.25" customHeight="1">
      <c r="A70" s="22" t="s">
        <v>21</v>
      </c>
      <c r="B70" s="22" t="s">
        <v>120</v>
      </c>
      <c r="C70" s="22" t="s">
        <v>121</v>
      </c>
      <c r="D70" s="22" t="s">
        <v>121</v>
      </c>
      <c r="E70" s="23">
        <v>20801.0</v>
      </c>
      <c r="F70" s="23">
        <v>1883.0</v>
      </c>
      <c r="G70" s="23">
        <v>3917.0</v>
      </c>
      <c r="H70" s="23">
        <v>13207.0</v>
      </c>
      <c r="I70" s="23">
        <v>22934.0</v>
      </c>
      <c r="J70" s="23">
        <v>41941.0</v>
      </c>
      <c r="K70" s="24">
        <f t="shared" si="2"/>
        <v>54.6815765</v>
      </c>
      <c r="L70" s="23">
        <v>1883.0</v>
      </c>
    </row>
    <row r="71" ht="14.25" customHeight="1">
      <c r="A71" s="22" t="s">
        <v>21</v>
      </c>
      <c r="B71" s="22" t="s">
        <v>120</v>
      </c>
      <c r="C71" s="22" t="s">
        <v>122</v>
      </c>
      <c r="D71" s="22" t="s">
        <v>123</v>
      </c>
      <c r="E71" s="23">
        <v>20802.0</v>
      </c>
      <c r="F71" s="23">
        <v>128.0</v>
      </c>
      <c r="G71" s="23">
        <v>357.0</v>
      </c>
      <c r="H71" s="23">
        <v>789.0</v>
      </c>
      <c r="I71" s="23">
        <v>1946.0</v>
      </c>
      <c r="J71" s="23">
        <v>3220.0</v>
      </c>
      <c r="K71" s="24">
        <f t="shared" si="2"/>
        <v>60.43478261</v>
      </c>
      <c r="L71" s="23">
        <v>128.0</v>
      </c>
    </row>
    <row r="72" ht="14.25" customHeight="1">
      <c r="A72" s="22" t="s">
        <v>21</v>
      </c>
      <c r="B72" s="22" t="s">
        <v>120</v>
      </c>
      <c r="C72" s="22" t="s">
        <v>124</v>
      </c>
      <c r="D72" s="22" t="s">
        <v>124</v>
      </c>
      <c r="E72" s="23">
        <v>20803.0</v>
      </c>
      <c r="F72" s="23">
        <v>381.0</v>
      </c>
      <c r="G72" s="23">
        <v>818.0</v>
      </c>
      <c r="H72" s="23">
        <v>1338.0</v>
      </c>
      <c r="I72" s="23">
        <v>2116.0</v>
      </c>
      <c r="J72" s="23">
        <v>4653.0</v>
      </c>
      <c r="K72" s="24">
        <f t="shared" si="2"/>
        <v>45.47603697</v>
      </c>
      <c r="L72" s="23">
        <v>381.0</v>
      </c>
    </row>
    <row r="73" ht="14.25" customHeight="1">
      <c r="A73" s="22" t="s">
        <v>21</v>
      </c>
      <c r="B73" s="22" t="s">
        <v>120</v>
      </c>
      <c r="C73" s="22" t="s">
        <v>125</v>
      </c>
      <c r="D73" s="22" t="s">
        <v>125</v>
      </c>
      <c r="E73" s="23">
        <v>20804.0</v>
      </c>
      <c r="F73" s="23">
        <v>36.0</v>
      </c>
      <c r="G73" s="23">
        <v>139.0</v>
      </c>
      <c r="H73" s="23">
        <v>795.0</v>
      </c>
      <c r="I73" s="23">
        <v>1705.0</v>
      </c>
      <c r="J73" s="23">
        <v>2675.0</v>
      </c>
      <c r="K73" s="24">
        <f t="shared" si="2"/>
        <v>63.73831776</v>
      </c>
      <c r="L73" s="23">
        <v>36.0</v>
      </c>
    </row>
    <row r="74" ht="14.25" customHeight="1">
      <c r="A74" s="22" t="s">
        <v>21</v>
      </c>
      <c r="B74" s="22" t="s">
        <v>120</v>
      </c>
      <c r="C74" s="22" t="s">
        <v>126</v>
      </c>
      <c r="D74" s="22" t="s">
        <v>127</v>
      </c>
      <c r="E74" s="23">
        <v>20805.0</v>
      </c>
      <c r="F74" s="23">
        <v>238.0</v>
      </c>
      <c r="G74" s="23">
        <v>677.0</v>
      </c>
      <c r="H74" s="23">
        <v>1164.0</v>
      </c>
      <c r="I74" s="23">
        <v>1035.0</v>
      </c>
      <c r="J74" s="23">
        <v>3114.0</v>
      </c>
      <c r="K74" s="24">
        <f t="shared" si="2"/>
        <v>33.23699422</v>
      </c>
      <c r="L74" s="23">
        <v>238.0</v>
      </c>
    </row>
    <row r="75" ht="14.25" customHeight="1">
      <c r="A75" s="22" t="s">
        <v>21</v>
      </c>
      <c r="B75" s="22" t="s">
        <v>120</v>
      </c>
      <c r="C75" s="22" t="s">
        <v>128</v>
      </c>
      <c r="D75" s="22" t="s">
        <v>129</v>
      </c>
      <c r="E75" s="23">
        <v>20806.0</v>
      </c>
      <c r="F75" s="23">
        <v>419.0</v>
      </c>
      <c r="G75" s="23">
        <v>941.0</v>
      </c>
      <c r="H75" s="23">
        <v>1672.0</v>
      </c>
      <c r="I75" s="23">
        <v>2855.0</v>
      </c>
      <c r="J75" s="23">
        <v>5887.0</v>
      </c>
      <c r="K75" s="24">
        <f t="shared" si="2"/>
        <v>48.49668762</v>
      </c>
      <c r="L75" s="23">
        <v>419.0</v>
      </c>
    </row>
    <row r="76" ht="14.25" customHeight="1">
      <c r="A76" s="22" t="s">
        <v>21</v>
      </c>
      <c r="B76" s="22" t="s">
        <v>120</v>
      </c>
      <c r="C76" s="22" t="s">
        <v>130</v>
      </c>
      <c r="D76" s="22" t="s">
        <v>130</v>
      </c>
      <c r="E76" s="23">
        <v>20807.0</v>
      </c>
      <c r="F76" s="23">
        <v>144.0</v>
      </c>
      <c r="G76" s="23">
        <v>309.0</v>
      </c>
      <c r="H76" s="23">
        <v>986.0</v>
      </c>
      <c r="I76" s="23">
        <v>1123.0</v>
      </c>
      <c r="J76" s="23">
        <v>2562.0</v>
      </c>
      <c r="K76" s="24">
        <f t="shared" si="2"/>
        <v>43.83294301</v>
      </c>
      <c r="L76" s="23">
        <v>144.0</v>
      </c>
    </row>
    <row r="77" ht="14.25" customHeight="1">
      <c r="A77" s="22" t="s">
        <v>21</v>
      </c>
      <c r="B77" s="22" t="s">
        <v>131</v>
      </c>
      <c r="C77" s="22" t="s">
        <v>132</v>
      </c>
      <c r="D77" s="22" t="s">
        <v>132</v>
      </c>
      <c r="E77" s="23">
        <v>20901.0</v>
      </c>
      <c r="F77" s="23">
        <v>223.0</v>
      </c>
      <c r="G77" s="23">
        <v>620.0</v>
      </c>
      <c r="H77" s="23">
        <v>1336.0</v>
      </c>
      <c r="I77" s="23">
        <v>2255.0</v>
      </c>
      <c r="J77" s="23">
        <v>4434.0</v>
      </c>
      <c r="K77" s="24">
        <f t="shared" si="2"/>
        <v>50.85701398</v>
      </c>
      <c r="L77" s="23">
        <v>223.0</v>
      </c>
    </row>
    <row r="78" ht="14.25" customHeight="1">
      <c r="A78" s="22" t="s">
        <v>21</v>
      </c>
      <c r="B78" s="22" t="s">
        <v>131</v>
      </c>
      <c r="C78" s="22" t="s">
        <v>133</v>
      </c>
      <c r="D78" s="22" t="s">
        <v>133</v>
      </c>
      <c r="E78" s="23">
        <v>20902.0</v>
      </c>
      <c r="F78" s="23">
        <v>430.0</v>
      </c>
      <c r="G78" s="23">
        <v>1225.0</v>
      </c>
      <c r="H78" s="23">
        <v>2874.0</v>
      </c>
      <c r="I78" s="23">
        <v>2109.0</v>
      </c>
      <c r="J78" s="23">
        <v>6638.0</v>
      </c>
      <c r="K78" s="24">
        <f t="shared" si="2"/>
        <v>31.77161796</v>
      </c>
      <c r="L78" s="23">
        <v>430.0</v>
      </c>
    </row>
    <row r="79" ht="14.25" customHeight="1">
      <c r="A79" s="22" t="s">
        <v>21</v>
      </c>
      <c r="B79" s="22" t="s">
        <v>131</v>
      </c>
      <c r="C79" s="22" t="s">
        <v>134</v>
      </c>
      <c r="D79" s="22" t="s">
        <v>134</v>
      </c>
      <c r="E79" s="23">
        <v>20903.0</v>
      </c>
      <c r="F79" s="23">
        <v>581.0</v>
      </c>
      <c r="G79" s="23">
        <v>832.0</v>
      </c>
      <c r="H79" s="23">
        <v>1842.0</v>
      </c>
      <c r="I79" s="23">
        <v>887.0</v>
      </c>
      <c r="J79" s="23">
        <v>4142.0</v>
      </c>
      <c r="K79" s="24">
        <f t="shared" si="2"/>
        <v>21.41477547</v>
      </c>
      <c r="L79" s="23">
        <v>581.0</v>
      </c>
    </row>
    <row r="80" ht="14.25" customHeight="1">
      <c r="A80" s="22" t="s">
        <v>21</v>
      </c>
      <c r="B80" s="22" t="s">
        <v>131</v>
      </c>
      <c r="C80" s="22" t="s">
        <v>135</v>
      </c>
      <c r="D80" s="22" t="s">
        <v>135</v>
      </c>
      <c r="E80" s="23">
        <v>20904.0</v>
      </c>
      <c r="F80" s="23">
        <v>210.0</v>
      </c>
      <c r="G80" s="23">
        <v>426.0</v>
      </c>
      <c r="H80" s="23">
        <v>751.0</v>
      </c>
      <c r="I80" s="23">
        <v>390.0</v>
      </c>
      <c r="J80" s="23">
        <v>1777.0</v>
      </c>
      <c r="K80" s="24">
        <f t="shared" si="2"/>
        <v>21.94710186</v>
      </c>
      <c r="L80" s="23">
        <v>210.0</v>
      </c>
    </row>
    <row r="81" ht="14.25" customHeight="1">
      <c r="A81" s="22" t="s">
        <v>21</v>
      </c>
      <c r="B81" s="22" t="s">
        <v>131</v>
      </c>
      <c r="C81" s="22" t="s">
        <v>136</v>
      </c>
      <c r="D81" s="22" t="s">
        <v>136</v>
      </c>
      <c r="E81" s="23">
        <v>20905.0</v>
      </c>
      <c r="F81" s="23">
        <v>348.0</v>
      </c>
      <c r="G81" s="23">
        <v>881.0</v>
      </c>
      <c r="H81" s="23">
        <v>2549.0</v>
      </c>
      <c r="I81" s="23">
        <v>1114.0</v>
      </c>
      <c r="J81" s="23">
        <v>4892.0</v>
      </c>
      <c r="K81" s="24">
        <f t="shared" si="2"/>
        <v>22.77187244</v>
      </c>
      <c r="L81" s="23">
        <v>348.0</v>
      </c>
    </row>
    <row r="82" ht="14.25" customHeight="1">
      <c r="A82" s="22" t="s">
        <v>21</v>
      </c>
      <c r="B82" s="22" t="s">
        <v>137</v>
      </c>
      <c r="C82" s="22" t="s">
        <v>137</v>
      </c>
      <c r="D82" s="22" t="s">
        <v>137</v>
      </c>
      <c r="E82" s="23">
        <v>21001.0</v>
      </c>
      <c r="F82" s="23">
        <v>1034.0</v>
      </c>
      <c r="G82" s="23">
        <v>1889.0</v>
      </c>
      <c r="H82" s="23">
        <v>2565.0</v>
      </c>
      <c r="I82" s="23">
        <v>1656.0</v>
      </c>
      <c r="J82" s="23">
        <v>7144.0</v>
      </c>
      <c r="K82" s="24">
        <f t="shared" si="2"/>
        <v>23.18029115</v>
      </c>
      <c r="L82" s="23">
        <v>1034.0</v>
      </c>
    </row>
    <row r="83" ht="14.25" customHeight="1">
      <c r="A83" s="22" t="s">
        <v>21</v>
      </c>
      <c r="B83" s="22" t="s">
        <v>137</v>
      </c>
      <c r="C83" s="22" t="s">
        <v>138</v>
      </c>
      <c r="D83" s="22" t="s">
        <v>138</v>
      </c>
      <c r="E83" s="23">
        <v>21002.0</v>
      </c>
      <c r="F83" s="23">
        <v>290.0</v>
      </c>
      <c r="G83" s="23">
        <v>620.0</v>
      </c>
      <c r="H83" s="23">
        <v>1685.0</v>
      </c>
      <c r="I83" s="23">
        <v>1839.0</v>
      </c>
      <c r="J83" s="23">
        <v>4434.0</v>
      </c>
      <c r="K83" s="24">
        <f t="shared" si="2"/>
        <v>41.47496617</v>
      </c>
      <c r="L83" s="23">
        <v>290.0</v>
      </c>
    </row>
    <row r="84" ht="14.25" customHeight="1">
      <c r="A84" s="22" t="s">
        <v>21</v>
      </c>
      <c r="B84" s="22" t="s">
        <v>137</v>
      </c>
      <c r="C84" s="22" t="s">
        <v>139</v>
      </c>
      <c r="D84" s="22" t="s">
        <v>139</v>
      </c>
      <c r="E84" s="23">
        <v>21003.0</v>
      </c>
      <c r="F84" s="23">
        <v>306.0</v>
      </c>
      <c r="G84" s="23">
        <v>521.0</v>
      </c>
      <c r="H84" s="23">
        <v>1993.0</v>
      </c>
      <c r="I84" s="23">
        <v>2989.0</v>
      </c>
      <c r="J84" s="23">
        <v>5809.0</v>
      </c>
      <c r="K84" s="24">
        <f t="shared" si="2"/>
        <v>51.45463935</v>
      </c>
      <c r="L84" s="23">
        <v>306.0</v>
      </c>
    </row>
    <row r="85" ht="14.25" customHeight="1">
      <c r="A85" s="22" t="s">
        <v>21</v>
      </c>
      <c r="B85" s="22" t="s">
        <v>137</v>
      </c>
      <c r="C85" s="22" t="s">
        <v>140</v>
      </c>
      <c r="D85" s="22" t="s">
        <v>140</v>
      </c>
      <c r="E85" s="23">
        <v>21004.0</v>
      </c>
      <c r="F85" s="23">
        <v>540.0</v>
      </c>
      <c r="G85" s="23">
        <v>1419.0</v>
      </c>
      <c r="H85" s="23">
        <v>3755.0</v>
      </c>
      <c r="I85" s="23">
        <v>2156.0</v>
      </c>
      <c r="J85" s="23">
        <v>7870.0</v>
      </c>
      <c r="K85" s="24">
        <f t="shared" si="2"/>
        <v>27.39517154</v>
      </c>
      <c r="L85" s="23">
        <v>540.0</v>
      </c>
    </row>
    <row r="86" ht="14.25" customHeight="1">
      <c r="A86" s="22" t="s">
        <v>21</v>
      </c>
      <c r="B86" s="22" t="s">
        <v>137</v>
      </c>
      <c r="C86" s="22" t="s">
        <v>141</v>
      </c>
      <c r="D86" s="22" t="s">
        <v>141</v>
      </c>
      <c r="E86" s="23">
        <v>21005.0</v>
      </c>
      <c r="F86" s="23">
        <v>901.0</v>
      </c>
      <c r="G86" s="23">
        <v>1115.0</v>
      </c>
      <c r="H86" s="23">
        <v>1003.0</v>
      </c>
      <c r="I86" s="23">
        <v>436.0</v>
      </c>
      <c r="J86" s="23">
        <v>3455.0</v>
      </c>
      <c r="K86" s="24">
        <f t="shared" si="2"/>
        <v>12.61939219</v>
      </c>
      <c r="L86" s="23">
        <v>901.0</v>
      </c>
    </row>
    <row r="87" ht="14.25" customHeight="1">
      <c r="A87" s="22" t="s">
        <v>21</v>
      </c>
      <c r="B87" s="22" t="s">
        <v>137</v>
      </c>
      <c r="C87" s="22" t="s">
        <v>142</v>
      </c>
      <c r="D87" s="22" t="s">
        <v>142</v>
      </c>
      <c r="E87" s="23">
        <v>21006.0</v>
      </c>
      <c r="F87" s="23">
        <v>84.0</v>
      </c>
      <c r="G87" s="23">
        <v>275.0</v>
      </c>
      <c r="H87" s="23">
        <v>586.0</v>
      </c>
      <c r="I87" s="23">
        <v>926.0</v>
      </c>
      <c r="J87" s="23">
        <v>1871.0</v>
      </c>
      <c r="K87" s="24">
        <f t="shared" si="2"/>
        <v>49.49225013</v>
      </c>
      <c r="L87" s="23">
        <v>84.0</v>
      </c>
    </row>
    <row r="88" ht="14.25" customHeight="1">
      <c r="A88" s="22" t="s">
        <v>21</v>
      </c>
      <c r="B88" s="22" t="s">
        <v>143</v>
      </c>
      <c r="C88" s="22" t="s">
        <v>144</v>
      </c>
      <c r="D88" s="22" t="s">
        <v>145</v>
      </c>
      <c r="E88" s="23">
        <v>21101.0</v>
      </c>
      <c r="F88" s="23">
        <v>195.0</v>
      </c>
      <c r="G88" s="23">
        <v>593.0</v>
      </c>
      <c r="H88" s="23">
        <v>2409.0</v>
      </c>
      <c r="I88" s="23">
        <v>4017.0</v>
      </c>
      <c r="J88" s="23">
        <v>7214.0</v>
      </c>
      <c r="K88" s="24">
        <f t="shared" si="2"/>
        <v>55.6833934</v>
      </c>
      <c r="L88" s="23">
        <v>195.0</v>
      </c>
    </row>
    <row r="89" ht="14.25" customHeight="1">
      <c r="A89" s="22" t="s">
        <v>21</v>
      </c>
      <c r="B89" s="22" t="s">
        <v>143</v>
      </c>
      <c r="C89" s="22" t="s">
        <v>146</v>
      </c>
      <c r="D89" s="22" t="s">
        <v>147</v>
      </c>
      <c r="E89" s="23">
        <v>21102.0</v>
      </c>
      <c r="F89" s="23">
        <v>552.0</v>
      </c>
      <c r="G89" s="23">
        <v>1630.0</v>
      </c>
      <c r="H89" s="23">
        <v>3242.0</v>
      </c>
      <c r="I89" s="23">
        <v>4034.0</v>
      </c>
      <c r="J89" s="23">
        <v>9458.0</v>
      </c>
      <c r="K89" s="24">
        <f t="shared" si="2"/>
        <v>42.65172341</v>
      </c>
      <c r="L89" s="23">
        <v>552.0</v>
      </c>
    </row>
    <row r="90" ht="14.25" customHeight="1">
      <c r="A90" s="22" t="s">
        <v>21</v>
      </c>
      <c r="B90" s="22" t="s">
        <v>143</v>
      </c>
      <c r="C90" s="22" t="s">
        <v>148</v>
      </c>
      <c r="D90" s="22" t="s">
        <v>148</v>
      </c>
      <c r="E90" s="23">
        <v>21103.0</v>
      </c>
      <c r="F90" s="23">
        <v>95.0</v>
      </c>
      <c r="G90" s="23">
        <v>243.0</v>
      </c>
      <c r="H90" s="23">
        <v>593.0</v>
      </c>
      <c r="I90" s="23">
        <v>2067.0</v>
      </c>
      <c r="J90" s="23">
        <v>2998.0</v>
      </c>
      <c r="K90" s="24">
        <f t="shared" si="2"/>
        <v>68.94596398</v>
      </c>
      <c r="L90" s="23">
        <v>95.0</v>
      </c>
    </row>
    <row r="91" ht="14.25" customHeight="1">
      <c r="A91" s="22" t="s">
        <v>21</v>
      </c>
      <c r="B91" s="22" t="s">
        <v>143</v>
      </c>
      <c r="C91" s="22" t="s">
        <v>149</v>
      </c>
      <c r="D91" s="22" t="s">
        <v>149</v>
      </c>
      <c r="E91" s="23">
        <v>21104.0</v>
      </c>
      <c r="F91" s="23">
        <v>1599.0</v>
      </c>
      <c r="G91" s="23">
        <v>2258.0</v>
      </c>
      <c r="H91" s="23">
        <v>3046.0</v>
      </c>
      <c r="I91" s="23">
        <v>4727.0</v>
      </c>
      <c r="J91" s="23">
        <v>11630.0</v>
      </c>
      <c r="K91" s="24">
        <f t="shared" si="2"/>
        <v>40.64488392</v>
      </c>
      <c r="L91" s="23">
        <v>1599.0</v>
      </c>
    </row>
    <row r="92" ht="14.25" customHeight="1">
      <c r="A92" s="22" t="s">
        <v>21</v>
      </c>
      <c r="B92" s="22" t="s">
        <v>143</v>
      </c>
      <c r="C92" s="22" t="s">
        <v>150</v>
      </c>
      <c r="D92" s="22" t="s">
        <v>150</v>
      </c>
      <c r="E92" s="23">
        <v>21105.0</v>
      </c>
      <c r="F92" s="23">
        <v>1767.0</v>
      </c>
      <c r="G92" s="23">
        <v>4034.0</v>
      </c>
      <c r="H92" s="23">
        <v>5770.0</v>
      </c>
      <c r="I92" s="23">
        <v>6809.0</v>
      </c>
      <c r="J92" s="23">
        <v>18380.0</v>
      </c>
      <c r="K92" s="24">
        <f t="shared" si="2"/>
        <v>37.04570185</v>
      </c>
      <c r="L92" s="23">
        <v>1767.0</v>
      </c>
    </row>
    <row r="93" ht="14.25" customHeight="1">
      <c r="A93" s="22" t="s">
        <v>21</v>
      </c>
      <c r="B93" s="22" t="s">
        <v>151</v>
      </c>
      <c r="C93" s="22" t="s">
        <v>152</v>
      </c>
      <c r="D93" s="22" t="s">
        <v>152</v>
      </c>
      <c r="E93" s="23">
        <v>21201.0</v>
      </c>
      <c r="F93" s="23">
        <v>1891.0</v>
      </c>
      <c r="G93" s="23">
        <v>4331.0</v>
      </c>
      <c r="H93" s="23">
        <v>7997.0</v>
      </c>
      <c r="I93" s="23">
        <v>7240.0</v>
      </c>
      <c r="J93" s="23">
        <v>21459.0</v>
      </c>
      <c r="K93" s="24">
        <f t="shared" si="2"/>
        <v>33.73875763</v>
      </c>
      <c r="L93" s="23">
        <v>1891.0</v>
      </c>
    </row>
    <row r="94" ht="14.25" customHeight="1">
      <c r="A94" s="22" t="s">
        <v>21</v>
      </c>
      <c r="B94" s="22" t="s">
        <v>151</v>
      </c>
      <c r="C94" s="22" t="s">
        <v>153</v>
      </c>
      <c r="D94" s="22" t="s">
        <v>153</v>
      </c>
      <c r="E94" s="23">
        <v>21202.0</v>
      </c>
      <c r="F94" s="23">
        <v>910.0</v>
      </c>
      <c r="G94" s="23">
        <v>2082.0</v>
      </c>
      <c r="H94" s="23">
        <v>4068.0</v>
      </c>
      <c r="I94" s="23">
        <v>6553.0</v>
      </c>
      <c r="J94" s="23">
        <v>13613.0</v>
      </c>
      <c r="K94" s="24">
        <f t="shared" si="2"/>
        <v>48.13780945</v>
      </c>
      <c r="L94" s="23">
        <v>910.0</v>
      </c>
    </row>
    <row r="95" ht="14.25" customHeight="1">
      <c r="A95" s="22" t="s">
        <v>21</v>
      </c>
      <c r="B95" s="22" t="s">
        <v>151</v>
      </c>
      <c r="C95" s="22" t="s">
        <v>154</v>
      </c>
      <c r="D95" s="22" t="s">
        <v>154</v>
      </c>
      <c r="E95" s="23">
        <v>21203.0</v>
      </c>
      <c r="F95" s="23">
        <v>681.0</v>
      </c>
      <c r="G95" s="23">
        <v>1350.0</v>
      </c>
      <c r="H95" s="23">
        <v>2248.0</v>
      </c>
      <c r="I95" s="23">
        <v>4224.0</v>
      </c>
      <c r="J95" s="23">
        <v>8503.0</v>
      </c>
      <c r="K95" s="24">
        <f t="shared" si="2"/>
        <v>49.67658473</v>
      </c>
      <c r="L95" s="23">
        <v>681.0</v>
      </c>
    </row>
    <row r="96" ht="14.25" customHeight="1">
      <c r="A96" s="22" t="s">
        <v>21</v>
      </c>
      <c r="B96" s="22" t="s">
        <v>151</v>
      </c>
      <c r="C96" s="22" t="s">
        <v>155</v>
      </c>
      <c r="D96" s="22" t="s">
        <v>155</v>
      </c>
      <c r="E96" s="23">
        <v>21204.0</v>
      </c>
      <c r="F96" s="23">
        <v>215.0</v>
      </c>
      <c r="G96" s="23">
        <v>622.0</v>
      </c>
      <c r="H96" s="23">
        <v>1228.0</v>
      </c>
      <c r="I96" s="23">
        <v>1123.0</v>
      </c>
      <c r="J96" s="23">
        <v>3188.0</v>
      </c>
      <c r="K96" s="24">
        <f t="shared" si="2"/>
        <v>35.22584693</v>
      </c>
      <c r="L96" s="23">
        <v>215.0</v>
      </c>
    </row>
    <row r="97" ht="14.25" customHeight="1">
      <c r="A97" s="22" t="s">
        <v>21</v>
      </c>
      <c r="B97" s="22" t="s">
        <v>156</v>
      </c>
      <c r="C97" s="22" t="s">
        <v>157</v>
      </c>
      <c r="D97" s="22" t="s">
        <v>158</v>
      </c>
      <c r="E97" s="23">
        <v>21301.0</v>
      </c>
      <c r="F97" s="23">
        <v>1335.0</v>
      </c>
      <c r="G97" s="23">
        <v>2327.0</v>
      </c>
      <c r="H97" s="23">
        <v>4918.0</v>
      </c>
      <c r="I97" s="23">
        <v>4047.0</v>
      </c>
      <c r="J97" s="23">
        <v>12627.0</v>
      </c>
      <c r="K97" s="24">
        <f t="shared" si="2"/>
        <v>32.05036826</v>
      </c>
      <c r="L97" s="23">
        <v>1335.0</v>
      </c>
    </row>
    <row r="98" ht="14.25" customHeight="1">
      <c r="A98" s="22" t="s">
        <v>21</v>
      </c>
      <c r="B98" s="22" t="s">
        <v>156</v>
      </c>
      <c r="C98" s="22" t="s">
        <v>159</v>
      </c>
      <c r="D98" s="22" t="s">
        <v>159</v>
      </c>
      <c r="E98" s="23">
        <v>21302.0</v>
      </c>
      <c r="F98" s="23">
        <v>353.0</v>
      </c>
      <c r="G98" s="23">
        <v>703.0</v>
      </c>
      <c r="H98" s="23">
        <v>1166.0</v>
      </c>
      <c r="I98" s="23">
        <v>1699.0</v>
      </c>
      <c r="J98" s="23">
        <v>3921.0</v>
      </c>
      <c r="K98" s="24">
        <f t="shared" si="2"/>
        <v>43.33078296</v>
      </c>
      <c r="L98" s="23">
        <v>353.0</v>
      </c>
    </row>
    <row r="99" ht="14.25" customHeight="1">
      <c r="A99" s="22" t="s">
        <v>21</v>
      </c>
      <c r="B99" s="22" t="s">
        <v>156</v>
      </c>
      <c r="C99" s="22" t="s">
        <v>160</v>
      </c>
      <c r="D99" s="22" t="s">
        <v>160</v>
      </c>
      <c r="E99" s="23">
        <v>21303.0</v>
      </c>
      <c r="F99" s="23">
        <v>856.0</v>
      </c>
      <c r="G99" s="23">
        <v>1276.0</v>
      </c>
      <c r="H99" s="23">
        <v>1552.0</v>
      </c>
      <c r="I99" s="23">
        <v>1110.0</v>
      </c>
      <c r="J99" s="23">
        <v>4794.0</v>
      </c>
      <c r="K99" s="24">
        <f t="shared" si="2"/>
        <v>23.15394243</v>
      </c>
      <c r="L99" s="23">
        <v>856.0</v>
      </c>
    </row>
    <row r="100" ht="14.25" customHeight="1">
      <c r="A100" s="22" t="s">
        <v>21</v>
      </c>
      <c r="B100" s="22" t="s">
        <v>156</v>
      </c>
      <c r="C100" s="22" t="s">
        <v>161</v>
      </c>
      <c r="D100" s="22" t="s">
        <v>161</v>
      </c>
      <c r="E100" s="23">
        <v>21304.0</v>
      </c>
      <c r="F100" s="23">
        <v>375.0</v>
      </c>
      <c r="G100" s="23">
        <v>979.0</v>
      </c>
      <c r="H100" s="23">
        <v>1807.0</v>
      </c>
      <c r="I100" s="23">
        <v>2306.0</v>
      </c>
      <c r="J100" s="23">
        <v>5467.0</v>
      </c>
      <c r="K100" s="24">
        <f t="shared" si="2"/>
        <v>42.18035486</v>
      </c>
      <c r="L100" s="23">
        <v>375.0</v>
      </c>
    </row>
    <row r="101" ht="14.25" customHeight="1">
      <c r="A101" s="22" t="s">
        <v>21</v>
      </c>
      <c r="B101" s="22" t="s">
        <v>156</v>
      </c>
      <c r="C101" s="22" t="s">
        <v>162</v>
      </c>
      <c r="D101" s="22" t="s">
        <v>162</v>
      </c>
      <c r="E101" s="23">
        <v>21305.0</v>
      </c>
      <c r="F101" s="23">
        <v>630.0</v>
      </c>
      <c r="G101" s="23">
        <v>1098.0</v>
      </c>
      <c r="H101" s="23">
        <v>3294.0</v>
      </c>
      <c r="I101" s="23">
        <v>4325.0</v>
      </c>
      <c r="J101" s="23">
        <v>9347.0</v>
      </c>
      <c r="K101" s="24">
        <f t="shared" si="2"/>
        <v>46.27153097</v>
      </c>
      <c r="L101" s="23">
        <v>630.0</v>
      </c>
    </row>
    <row r="102" ht="14.25" customHeight="1">
      <c r="A102" s="22" t="s">
        <v>21</v>
      </c>
      <c r="B102" s="22" t="s">
        <v>156</v>
      </c>
      <c r="C102" s="22" t="s">
        <v>163</v>
      </c>
      <c r="D102" s="22" t="s">
        <v>163</v>
      </c>
      <c r="E102" s="23">
        <v>21306.0</v>
      </c>
      <c r="F102" s="23">
        <v>563.0</v>
      </c>
      <c r="G102" s="23">
        <v>671.0</v>
      </c>
      <c r="H102" s="23">
        <v>2244.0</v>
      </c>
      <c r="I102" s="23">
        <v>1002.0</v>
      </c>
      <c r="J102" s="23">
        <v>4480.0</v>
      </c>
      <c r="K102" s="24">
        <f t="shared" si="2"/>
        <v>22.36607143</v>
      </c>
      <c r="L102" s="23">
        <v>563.0</v>
      </c>
    </row>
    <row r="103" ht="14.25" customHeight="1">
      <c r="A103" s="22" t="s">
        <v>21</v>
      </c>
      <c r="B103" s="22" t="s">
        <v>156</v>
      </c>
      <c r="C103" s="22" t="s">
        <v>164</v>
      </c>
      <c r="D103" s="22" t="s">
        <v>164</v>
      </c>
      <c r="E103" s="23">
        <v>21307.0</v>
      </c>
      <c r="F103" s="23">
        <v>98.0</v>
      </c>
      <c r="G103" s="23">
        <v>248.0</v>
      </c>
      <c r="H103" s="23">
        <v>921.0</v>
      </c>
      <c r="I103" s="23">
        <v>386.0</v>
      </c>
      <c r="J103" s="23">
        <v>1653.0</v>
      </c>
      <c r="K103" s="24">
        <f t="shared" si="2"/>
        <v>23.35148215</v>
      </c>
      <c r="L103" s="23">
        <v>98.0</v>
      </c>
    </row>
    <row r="104" ht="14.25" customHeight="1">
      <c r="A104" s="22" t="s">
        <v>21</v>
      </c>
      <c r="B104" s="22" t="s">
        <v>165</v>
      </c>
      <c r="C104" s="22" t="s">
        <v>166</v>
      </c>
      <c r="D104" s="22" t="s">
        <v>166</v>
      </c>
      <c r="E104" s="23">
        <v>21401.0</v>
      </c>
      <c r="F104" s="23">
        <v>583.0</v>
      </c>
      <c r="G104" s="23">
        <v>1653.0</v>
      </c>
      <c r="H104" s="23">
        <v>3078.0</v>
      </c>
      <c r="I104" s="23">
        <v>5062.0</v>
      </c>
      <c r="J104" s="23">
        <v>10376.0</v>
      </c>
      <c r="K104" s="24">
        <f t="shared" si="2"/>
        <v>48.78565921</v>
      </c>
      <c r="L104" s="23">
        <v>583.0</v>
      </c>
    </row>
    <row r="105" ht="14.25" customHeight="1">
      <c r="A105" s="22" t="s">
        <v>21</v>
      </c>
      <c r="B105" s="22" t="s">
        <v>165</v>
      </c>
      <c r="C105" s="22" t="s">
        <v>167</v>
      </c>
      <c r="D105" s="22" t="s">
        <v>167</v>
      </c>
      <c r="E105" s="23">
        <v>21402.0</v>
      </c>
      <c r="F105" s="23">
        <v>153.0</v>
      </c>
      <c r="G105" s="23">
        <v>719.0</v>
      </c>
      <c r="H105" s="23">
        <v>2338.0</v>
      </c>
      <c r="I105" s="23">
        <v>5703.0</v>
      </c>
      <c r="J105" s="23">
        <v>8913.0</v>
      </c>
      <c r="K105" s="24">
        <f t="shared" si="2"/>
        <v>63.98519017</v>
      </c>
      <c r="L105" s="23">
        <v>153.0</v>
      </c>
    </row>
    <row r="106" ht="14.25" customHeight="1">
      <c r="A106" s="22" t="s">
        <v>21</v>
      </c>
      <c r="B106" s="22" t="s">
        <v>168</v>
      </c>
      <c r="C106" s="22" t="s">
        <v>169</v>
      </c>
      <c r="D106" s="22" t="s">
        <v>169</v>
      </c>
      <c r="E106" s="23">
        <v>21501.0</v>
      </c>
      <c r="F106" s="23">
        <v>282.0</v>
      </c>
      <c r="G106" s="23">
        <v>640.0</v>
      </c>
      <c r="H106" s="23">
        <v>1714.0</v>
      </c>
      <c r="I106" s="23">
        <v>670.0</v>
      </c>
      <c r="J106" s="23">
        <v>3306.0</v>
      </c>
      <c r="K106" s="24">
        <f t="shared" si="2"/>
        <v>20.2661827</v>
      </c>
      <c r="L106" s="23">
        <v>282.0</v>
      </c>
    </row>
    <row r="107" ht="14.25" customHeight="1">
      <c r="A107" s="22" t="s">
        <v>21</v>
      </c>
      <c r="B107" s="22" t="s">
        <v>168</v>
      </c>
      <c r="C107" s="22" t="s">
        <v>170</v>
      </c>
      <c r="D107" s="22" t="s">
        <v>170</v>
      </c>
      <c r="E107" s="23">
        <v>21502.0</v>
      </c>
      <c r="F107" s="23">
        <v>116.0</v>
      </c>
      <c r="G107" s="23">
        <v>154.0</v>
      </c>
      <c r="H107" s="23">
        <v>732.0</v>
      </c>
      <c r="I107" s="23">
        <v>1847.0</v>
      </c>
      <c r="J107" s="23">
        <v>2849.0</v>
      </c>
      <c r="K107" s="24">
        <f t="shared" si="2"/>
        <v>64.82976483</v>
      </c>
      <c r="L107" s="23">
        <v>116.0</v>
      </c>
    </row>
    <row r="108" ht="14.25" customHeight="1">
      <c r="A108" s="22" t="s">
        <v>21</v>
      </c>
      <c r="B108" s="22" t="s">
        <v>171</v>
      </c>
      <c r="C108" s="22" t="s">
        <v>172</v>
      </c>
      <c r="D108" s="22" t="s">
        <v>173</v>
      </c>
      <c r="E108" s="23">
        <v>21601.0</v>
      </c>
      <c r="F108" s="23">
        <v>315.0</v>
      </c>
      <c r="G108" s="23">
        <v>965.0</v>
      </c>
      <c r="H108" s="23">
        <v>1866.0</v>
      </c>
      <c r="I108" s="23">
        <v>1876.0</v>
      </c>
      <c r="J108" s="23">
        <v>5022.0</v>
      </c>
      <c r="K108" s="24">
        <f t="shared" si="2"/>
        <v>37.35563521</v>
      </c>
      <c r="L108" s="23">
        <v>315.0</v>
      </c>
    </row>
    <row r="109" ht="14.25" customHeight="1">
      <c r="A109" s="22" t="s">
        <v>21</v>
      </c>
      <c r="B109" s="22" t="s">
        <v>171</v>
      </c>
      <c r="C109" s="22" t="s">
        <v>174</v>
      </c>
      <c r="D109" s="22" t="s">
        <v>174</v>
      </c>
      <c r="E109" s="23">
        <v>21602.0</v>
      </c>
      <c r="F109" s="23">
        <v>177.0</v>
      </c>
      <c r="G109" s="23">
        <v>318.0</v>
      </c>
      <c r="H109" s="23">
        <v>516.0</v>
      </c>
      <c r="I109" s="23">
        <v>645.0</v>
      </c>
      <c r="J109" s="23">
        <v>1656.0</v>
      </c>
      <c r="K109" s="24">
        <f t="shared" si="2"/>
        <v>38.94927536</v>
      </c>
      <c r="L109" s="23">
        <v>177.0</v>
      </c>
    </row>
    <row r="110" ht="14.25" customHeight="1">
      <c r="A110" s="22" t="s">
        <v>21</v>
      </c>
      <c r="B110" s="22" t="s">
        <v>175</v>
      </c>
      <c r="C110" s="22" t="s">
        <v>176</v>
      </c>
      <c r="D110" s="22" t="s">
        <v>176</v>
      </c>
      <c r="E110" s="23">
        <v>21701.0</v>
      </c>
      <c r="F110" s="23">
        <v>490.0</v>
      </c>
      <c r="G110" s="23">
        <v>900.0</v>
      </c>
      <c r="H110" s="23">
        <v>1788.0</v>
      </c>
      <c r="I110" s="23">
        <v>3639.0</v>
      </c>
      <c r="J110" s="23">
        <v>6817.0</v>
      </c>
      <c r="K110" s="24">
        <f t="shared" si="2"/>
        <v>53.38125275</v>
      </c>
      <c r="L110" s="23">
        <v>490.0</v>
      </c>
    </row>
    <row r="111" ht="14.25" customHeight="1">
      <c r="A111" s="22" t="s">
        <v>21</v>
      </c>
      <c r="B111" s="22" t="s">
        <v>175</v>
      </c>
      <c r="C111" s="22" t="s">
        <v>177</v>
      </c>
      <c r="D111" s="22" t="s">
        <v>177</v>
      </c>
      <c r="E111" s="23">
        <v>21702.0</v>
      </c>
      <c r="F111" s="23">
        <v>228.0</v>
      </c>
      <c r="G111" s="23">
        <v>527.0</v>
      </c>
      <c r="H111" s="23">
        <v>1304.0</v>
      </c>
      <c r="I111" s="23">
        <v>1572.0</v>
      </c>
      <c r="J111" s="23">
        <v>3631.0</v>
      </c>
      <c r="K111" s="24">
        <f t="shared" si="2"/>
        <v>43.29385844</v>
      </c>
      <c r="L111" s="23">
        <v>228.0</v>
      </c>
    </row>
    <row r="112" ht="14.25" customHeight="1">
      <c r="A112" s="22" t="s">
        <v>21</v>
      </c>
      <c r="B112" s="22" t="s">
        <v>175</v>
      </c>
      <c r="C112" s="22" t="s">
        <v>178</v>
      </c>
      <c r="D112" s="22" t="s">
        <v>178</v>
      </c>
      <c r="E112" s="23">
        <v>21703.0</v>
      </c>
      <c r="F112" s="23">
        <v>142.0</v>
      </c>
      <c r="G112" s="23">
        <v>345.0</v>
      </c>
      <c r="H112" s="23">
        <v>669.0</v>
      </c>
      <c r="I112" s="23">
        <v>318.0</v>
      </c>
      <c r="J112" s="23">
        <v>1474.0</v>
      </c>
      <c r="K112" s="24">
        <f t="shared" si="2"/>
        <v>21.57394844</v>
      </c>
      <c r="L112" s="23">
        <v>142.0</v>
      </c>
    </row>
    <row r="113" ht="14.25" customHeight="1">
      <c r="A113" s="22" t="s">
        <v>21</v>
      </c>
      <c r="B113" s="22" t="s">
        <v>179</v>
      </c>
      <c r="C113" s="22" t="s">
        <v>180</v>
      </c>
      <c r="D113" s="22" t="s">
        <v>180</v>
      </c>
      <c r="E113" s="23">
        <v>21801.0</v>
      </c>
      <c r="F113" s="23">
        <v>354.0</v>
      </c>
      <c r="G113" s="23">
        <v>926.0</v>
      </c>
      <c r="H113" s="23">
        <v>1349.0</v>
      </c>
      <c r="I113" s="23">
        <v>855.0</v>
      </c>
      <c r="J113" s="23">
        <v>3484.0</v>
      </c>
      <c r="K113" s="24">
        <f t="shared" si="2"/>
        <v>24.54075775</v>
      </c>
      <c r="L113" s="23">
        <v>354.0</v>
      </c>
    </row>
    <row r="114" ht="14.25" customHeight="1">
      <c r="A114" s="22" t="s">
        <v>21</v>
      </c>
      <c r="B114" s="22" t="s">
        <v>181</v>
      </c>
      <c r="C114" s="22" t="s">
        <v>182</v>
      </c>
      <c r="D114" s="22" t="s">
        <v>182</v>
      </c>
      <c r="E114" s="23">
        <v>21802.0</v>
      </c>
      <c r="F114" s="23">
        <v>240.0</v>
      </c>
      <c r="G114" s="23">
        <v>593.0</v>
      </c>
      <c r="H114" s="23">
        <v>969.0</v>
      </c>
      <c r="I114" s="23">
        <v>1086.0</v>
      </c>
      <c r="J114" s="23">
        <v>2888.0</v>
      </c>
      <c r="K114" s="24">
        <f t="shared" si="2"/>
        <v>37.60387812</v>
      </c>
      <c r="L114" s="23">
        <v>240.0</v>
      </c>
    </row>
    <row r="115" ht="14.25" customHeight="1">
      <c r="A115" s="22" t="s">
        <v>21</v>
      </c>
      <c r="B115" s="22" t="s">
        <v>181</v>
      </c>
      <c r="C115" s="22" t="s">
        <v>183</v>
      </c>
      <c r="D115" s="22" t="s">
        <v>183</v>
      </c>
      <c r="E115" s="23">
        <v>21803.0</v>
      </c>
      <c r="F115" s="23">
        <v>107.0</v>
      </c>
      <c r="G115" s="23">
        <v>335.0</v>
      </c>
      <c r="H115" s="23">
        <v>332.0</v>
      </c>
      <c r="I115" s="23">
        <v>107.0</v>
      </c>
      <c r="J115" s="23">
        <v>881.0</v>
      </c>
      <c r="K115" s="24">
        <f t="shared" si="2"/>
        <v>12.14528944</v>
      </c>
      <c r="L115" s="23">
        <v>107.0</v>
      </c>
    </row>
    <row r="116" ht="14.25" customHeight="1">
      <c r="A116" s="22" t="s">
        <v>21</v>
      </c>
      <c r="B116" s="22" t="s">
        <v>184</v>
      </c>
      <c r="C116" s="22" t="s">
        <v>185</v>
      </c>
      <c r="D116" s="22" t="s">
        <v>185</v>
      </c>
      <c r="E116" s="23">
        <v>21901.0</v>
      </c>
      <c r="F116" s="23">
        <v>261.0</v>
      </c>
      <c r="G116" s="23">
        <v>532.0</v>
      </c>
      <c r="H116" s="23">
        <v>940.0</v>
      </c>
      <c r="I116" s="23">
        <v>1223.0</v>
      </c>
      <c r="J116" s="23">
        <v>2956.0</v>
      </c>
      <c r="K116" s="24">
        <f t="shared" si="2"/>
        <v>41.37347767</v>
      </c>
      <c r="L116" s="23">
        <v>261.0</v>
      </c>
    </row>
    <row r="117" ht="14.25" customHeight="1">
      <c r="A117" s="22" t="s">
        <v>21</v>
      </c>
      <c r="B117" s="22" t="s">
        <v>184</v>
      </c>
      <c r="C117" s="22" t="s">
        <v>186</v>
      </c>
      <c r="D117" s="22" t="s">
        <v>186</v>
      </c>
      <c r="E117" s="23">
        <v>21902.0</v>
      </c>
      <c r="F117" s="23">
        <v>97.0</v>
      </c>
      <c r="G117" s="23">
        <v>263.0</v>
      </c>
      <c r="H117" s="23">
        <v>580.0</v>
      </c>
      <c r="I117" s="23">
        <v>755.0</v>
      </c>
      <c r="J117" s="23">
        <v>1695.0</v>
      </c>
      <c r="K117" s="24">
        <f t="shared" si="2"/>
        <v>44.54277286</v>
      </c>
      <c r="L117" s="23">
        <v>97.0</v>
      </c>
    </row>
    <row r="118" ht="14.25" customHeight="1">
      <c r="A118" s="22" t="s">
        <v>21</v>
      </c>
      <c r="B118" s="22" t="s">
        <v>187</v>
      </c>
      <c r="C118" s="22" t="s">
        <v>187</v>
      </c>
      <c r="D118" s="22" t="s">
        <v>187</v>
      </c>
      <c r="E118" s="23">
        <v>22001.0</v>
      </c>
      <c r="F118" s="23">
        <v>1250.0</v>
      </c>
      <c r="G118" s="23">
        <v>2820.0</v>
      </c>
      <c r="H118" s="23">
        <v>6345.0</v>
      </c>
      <c r="I118" s="23">
        <v>10666.0</v>
      </c>
      <c r="J118" s="23">
        <v>21081.0</v>
      </c>
      <c r="K118" s="24">
        <f t="shared" si="2"/>
        <v>50.5953228</v>
      </c>
      <c r="L118" s="23">
        <v>1250.0</v>
      </c>
    </row>
    <row r="119" ht="14.25" customHeight="1">
      <c r="A119" s="22" t="s">
        <v>21</v>
      </c>
      <c r="B119" s="22" t="s">
        <v>187</v>
      </c>
      <c r="C119" s="22" t="s">
        <v>188</v>
      </c>
      <c r="D119" s="22" t="s">
        <v>188</v>
      </c>
      <c r="E119" s="23">
        <v>22002.0</v>
      </c>
      <c r="F119" s="23">
        <v>691.0</v>
      </c>
      <c r="G119" s="23">
        <v>1057.0</v>
      </c>
      <c r="H119" s="23">
        <v>967.0</v>
      </c>
      <c r="I119" s="23">
        <v>1776.0</v>
      </c>
      <c r="J119" s="23">
        <v>4491.0</v>
      </c>
      <c r="K119" s="24">
        <f t="shared" si="2"/>
        <v>39.54575818</v>
      </c>
      <c r="L119" s="23">
        <v>691.0</v>
      </c>
    </row>
    <row r="120" ht="14.25" customHeight="1">
      <c r="A120" s="22" t="s">
        <v>23</v>
      </c>
      <c r="B120" s="22" t="s">
        <v>189</v>
      </c>
      <c r="C120" s="22" t="s">
        <v>23</v>
      </c>
      <c r="D120" s="22" t="s">
        <v>23</v>
      </c>
      <c r="E120" s="23">
        <v>30101.0</v>
      </c>
      <c r="F120" s="23">
        <v>4032.0</v>
      </c>
      <c r="G120" s="23">
        <v>38398.0</v>
      </c>
      <c r="H120" s="23">
        <v>41294.0</v>
      </c>
      <c r="I120" s="23">
        <v>128549.0</v>
      </c>
      <c r="J120" s="23">
        <v>212273.0</v>
      </c>
      <c r="K120" s="24">
        <f t="shared" si="2"/>
        <v>60.55833761</v>
      </c>
      <c r="L120" s="23">
        <v>4032.0</v>
      </c>
    </row>
    <row r="121" ht="14.25" customHeight="1">
      <c r="A121" s="22" t="s">
        <v>23</v>
      </c>
      <c r="B121" s="22" t="s">
        <v>190</v>
      </c>
      <c r="C121" s="22" t="s">
        <v>191</v>
      </c>
      <c r="D121" s="22" t="s">
        <v>191</v>
      </c>
      <c r="E121" s="23">
        <v>30201.0</v>
      </c>
      <c r="F121" s="23">
        <v>569.0</v>
      </c>
      <c r="G121" s="23">
        <v>1199.0</v>
      </c>
      <c r="H121" s="23">
        <v>1604.0</v>
      </c>
      <c r="I121" s="23">
        <v>3751.0</v>
      </c>
      <c r="J121" s="23">
        <v>7123.0</v>
      </c>
      <c r="K121" s="24">
        <f t="shared" si="2"/>
        <v>52.6603959</v>
      </c>
      <c r="L121" s="23">
        <v>569.0</v>
      </c>
    </row>
    <row r="122" ht="14.25" customHeight="1">
      <c r="A122" s="22" t="s">
        <v>23</v>
      </c>
      <c r="B122" s="22" t="s">
        <v>190</v>
      </c>
      <c r="C122" s="22" t="s">
        <v>192</v>
      </c>
      <c r="D122" s="22" t="s">
        <v>192</v>
      </c>
      <c r="E122" s="23">
        <v>30202.0</v>
      </c>
      <c r="F122" s="23">
        <v>130.0</v>
      </c>
      <c r="G122" s="23">
        <v>344.0</v>
      </c>
      <c r="H122" s="23">
        <v>571.0</v>
      </c>
      <c r="I122" s="23">
        <v>708.0</v>
      </c>
      <c r="J122" s="23">
        <v>1753.0</v>
      </c>
      <c r="K122" s="24">
        <f t="shared" si="2"/>
        <v>40.38790645</v>
      </c>
      <c r="L122" s="23">
        <v>130.0</v>
      </c>
    </row>
    <row r="123" ht="14.25" customHeight="1">
      <c r="A123" s="22" t="s">
        <v>23</v>
      </c>
      <c r="B123" s="22" t="s">
        <v>190</v>
      </c>
      <c r="C123" s="22" t="s">
        <v>193</v>
      </c>
      <c r="D123" s="22" t="s">
        <v>193</v>
      </c>
      <c r="E123" s="23">
        <v>30203.0</v>
      </c>
      <c r="F123" s="23">
        <v>67.0</v>
      </c>
      <c r="G123" s="23">
        <v>153.0</v>
      </c>
      <c r="H123" s="23">
        <v>441.0</v>
      </c>
      <c r="I123" s="23">
        <v>1259.0</v>
      </c>
      <c r="J123" s="23">
        <v>1920.0</v>
      </c>
      <c r="K123" s="24">
        <f t="shared" si="2"/>
        <v>65.57291667</v>
      </c>
      <c r="L123" s="23">
        <v>67.0</v>
      </c>
    </row>
    <row r="124" ht="14.25" customHeight="1">
      <c r="A124" s="22" t="s">
        <v>23</v>
      </c>
      <c r="B124" s="22" t="s">
        <v>194</v>
      </c>
      <c r="C124" s="22" t="s">
        <v>195</v>
      </c>
      <c r="D124" s="22" t="s">
        <v>196</v>
      </c>
      <c r="E124" s="23">
        <v>30301.0</v>
      </c>
      <c r="F124" s="23">
        <v>1032.0</v>
      </c>
      <c r="G124" s="23">
        <v>1997.0</v>
      </c>
      <c r="H124" s="23">
        <v>3248.0</v>
      </c>
      <c r="I124" s="23">
        <v>2165.0</v>
      </c>
      <c r="J124" s="23">
        <v>8442.0</v>
      </c>
      <c r="K124" s="24">
        <f t="shared" si="2"/>
        <v>25.64558162</v>
      </c>
      <c r="L124" s="23">
        <v>1032.0</v>
      </c>
    </row>
    <row r="125" ht="14.25" customHeight="1">
      <c r="A125" s="22" t="s">
        <v>23</v>
      </c>
      <c r="B125" s="22" t="s">
        <v>194</v>
      </c>
      <c r="C125" s="22" t="s">
        <v>197</v>
      </c>
      <c r="D125" s="22" t="s">
        <v>197</v>
      </c>
      <c r="E125" s="23">
        <v>30302.0</v>
      </c>
      <c r="F125" s="23">
        <v>550.0</v>
      </c>
      <c r="G125" s="23">
        <v>1355.0</v>
      </c>
      <c r="H125" s="23">
        <v>1535.0</v>
      </c>
      <c r="I125" s="23">
        <v>1641.0</v>
      </c>
      <c r="J125" s="23">
        <v>5081.0</v>
      </c>
      <c r="K125" s="24">
        <f t="shared" si="2"/>
        <v>32.29679197</v>
      </c>
      <c r="L125" s="23">
        <v>550.0</v>
      </c>
    </row>
    <row r="126" ht="14.25" customHeight="1">
      <c r="A126" s="22" t="s">
        <v>23</v>
      </c>
      <c r="B126" s="22" t="s">
        <v>194</v>
      </c>
      <c r="C126" s="22" t="s">
        <v>198</v>
      </c>
      <c r="D126" s="22" t="s">
        <v>198</v>
      </c>
      <c r="E126" s="23">
        <v>30303.0</v>
      </c>
      <c r="F126" s="23">
        <v>1664.0</v>
      </c>
      <c r="G126" s="23">
        <v>2174.0</v>
      </c>
      <c r="H126" s="23">
        <v>2315.0</v>
      </c>
      <c r="I126" s="23">
        <v>1358.0</v>
      </c>
      <c r="J126" s="23">
        <v>7511.0</v>
      </c>
      <c r="K126" s="24">
        <f t="shared" si="2"/>
        <v>18.08014911</v>
      </c>
      <c r="L126" s="23">
        <v>1664.0</v>
      </c>
    </row>
    <row r="127" ht="14.25" customHeight="1">
      <c r="A127" s="22" t="s">
        <v>23</v>
      </c>
      <c r="B127" s="22" t="s">
        <v>199</v>
      </c>
      <c r="C127" s="22" t="s">
        <v>200</v>
      </c>
      <c r="D127" s="22" t="s">
        <v>200</v>
      </c>
      <c r="E127" s="23">
        <v>30401.0</v>
      </c>
      <c r="F127" s="23">
        <v>496.0</v>
      </c>
      <c r="G127" s="23">
        <v>540.0</v>
      </c>
      <c r="H127" s="23">
        <v>854.0</v>
      </c>
      <c r="I127" s="23">
        <v>2140.0</v>
      </c>
      <c r="J127" s="23">
        <v>4030.0</v>
      </c>
      <c r="K127" s="24">
        <f t="shared" si="2"/>
        <v>53.10173697</v>
      </c>
      <c r="L127" s="23">
        <v>496.0</v>
      </c>
    </row>
    <row r="128" ht="14.25" customHeight="1">
      <c r="A128" s="22" t="s">
        <v>23</v>
      </c>
      <c r="B128" s="22" t="s">
        <v>199</v>
      </c>
      <c r="C128" s="22" t="s">
        <v>201</v>
      </c>
      <c r="D128" s="22" t="s">
        <v>202</v>
      </c>
      <c r="E128" s="23">
        <v>30402.0</v>
      </c>
      <c r="F128" s="23">
        <v>448.0</v>
      </c>
      <c r="G128" s="23">
        <v>1018.0</v>
      </c>
      <c r="H128" s="23">
        <v>1097.0</v>
      </c>
      <c r="I128" s="23">
        <v>799.0</v>
      </c>
      <c r="J128" s="23">
        <v>3362.0</v>
      </c>
      <c r="K128" s="24">
        <f t="shared" si="2"/>
        <v>23.7656157</v>
      </c>
      <c r="L128" s="23">
        <v>448.0</v>
      </c>
    </row>
    <row r="129" ht="14.25" customHeight="1">
      <c r="A129" s="22" t="s">
        <v>23</v>
      </c>
      <c r="B129" s="22" t="s">
        <v>199</v>
      </c>
      <c r="C129" s="22" t="s">
        <v>203</v>
      </c>
      <c r="D129" s="22" t="s">
        <v>203</v>
      </c>
      <c r="E129" s="23">
        <v>30403.0</v>
      </c>
      <c r="F129" s="23">
        <v>2606.0</v>
      </c>
      <c r="G129" s="23">
        <v>4261.0</v>
      </c>
      <c r="H129" s="23">
        <v>1424.0</v>
      </c>
      <c r="I129" s="23">
        <v>2557.0</v>
      </c>
      <c r="J129" s="23">
        <v>10848.0</v>
      </c>
      <c r="K129" s="24">
        <f t="shared" si="2"/>
        <v>23.57116519</v>
      </c>
      <c r="L129" s="23">
        <v>2606.0</v>
      </c>
    </row>
    <row r="130" ht="14.25" customHeight="1">
      <c r="A130" s="22" t="s">
        <v>23</v>
      </c>
      <c r="B130" s="22" t="s">
        <v>199</v>
      </c>
      <c r="C130" s="22" t="s">
        <v>204</v>
      </c>
      <c r="D130" s="22" t="s">
        <v>204</v>
      </c>
      <c r="E130" s="23">
        <v>30404.0</v>
      </c>
      <c r="F130" s="23">
        <v>331.0</v>
      </c>
      <c r="G130" s="23">
        <v>539.0</v>
      </c>
      <c r="H130" s="23">
        <v>529.0</v>
      </c>
      <c r="I130" s="23">
        <v>457.0</v>
      </c>
      <c r="J130" s="23">
        <v>1856.0</v>
      </c>
      <c r="K130" s="24">
        <f t="shared" si="2"/>
        <v>24.62284483</v>
      </c>
      <c r="L130" s="23">
        <v>331.0</v>
      </c>
    </row>
    <row r="131" ht="14.25" customHeight="1">
      <c r="A131" s="22" t="s">
        <v>23</v>
      </c>
      <c r="B131" s="22" t="s">
        <v>205</v>
      </c>
      <c r="C131" s="22" t="s">
        <v>205</v>
      </c>
      <c r="D131" s="22" t="s">
        <v>205</v>
      </c>
      <c r="E131" s="23">
        <v>30501.0</v>
      </c>
      <c r="F131" s="23">
        <v>147.0</v>
      </c>
      <c r="G131" s="23">
        <v>347.0</v>
      </c>
      <c r="H131" s="23">
        <v>903.0</v>
      </c>
      <c r="I131" s="23">
        <v>2844.0</v>
      </c>
      <c r="J131" s="23">
        <v>4241.0</v>
      </c>
      <c r="K131" s="24">
        <f t="shared" si="2"/>
        <v>67.05965574</v>
      </c>
      <c r="L131" s="23">
        <v>147.0</v>
      </c>
    </row>
    <row r="132" ht="14.25" customHeight="1">
      <c r="A132" s="22" t="s">
        <v>23</v>
      </c>
      <c r="B132" s="22" t="s">
        <v>205</v>
      </c>
      <c r="C132" s="22" t="s">
        <v>206</v>
      </c>
      <c r="D132" s="22" t="s">
        <v>206</v>
      </c>
      <c r="E132" s="23">
        <v>30502.0</v>
      </c>
      <c r="F132" s="23">
        <v>254.0</v>
      </c>
      <c r="G132" s="23">
        <v>727.0</v>
      </c>
      <c r="H132" s="23">
        <v>1339.0</v>
      </c>
      <c r="I132" s="23">
        <v>1286.0</v>
      </c>
      <c r="J132" s="23">
        <v>3606.0</v>
      </c>
      <c r="K132" s="24">
        <f t="shared" si="2"/>
        <v>35.66278425</v>
      </c>
      <c r="L132" s="23">
        <v>254.0</v>
      </c>
    </row>
    <row r="133" ht="14.25" customHeight="1">
      <c r="A133" s="22" t="s">
        <v>23</v>
      </c>
      <c r="B133" s="22" t="s">
        <v>207</v>
      </c>
      <c r="C133" s="22" t="s">
        <v>207</v>
      </c>
      <c r="D133" s="22" t="s">
        <v>208</v>
      </c>
      <c r="E133" s="23">
        <v>30601.0</v>
      </c>
      <c r="F133" s="23">
        <v>523.0</v>
      </c>
      <c r="G133" s="23">
        <v>1169.0</v>
      </c>
      <c r="H133" s="23">
        <v>1541.0</v>
      </c>
      <c r="I133" s="23">
        <v>667.0</v>
      </c>
      <c r="J133" s="23">
        <v>3900.0</v>
      </c>
      <c r="K133" s="24">
        <f t="shared" si="2"/>
        <v>17.1025641</v>
      </c>
      <c r="L133" s="23">
        <v>523.0</v>
      </c>
    </row>
    <row r="134" ht="14.25" customHeight="1">
      <c r="A134" s="22" t="s">
        <v>23</v>
      </c>
      <c r="B134" s="22" t="s">
        <v>207</v>
      </c>
      <c r="C134" s="22" t="s">
        <v>209</v>
      </c>
      <c r="D134" s="22" t="s">
        <v>209</v>
      </c>
      <c r="E134" s="23">
        <v>30602.0</v>
      </c>
      <c r="F134" s="23">
        <v>326.0</v>
      </c>
      <c r="G134" s="23">
        <v>903.0</v>
      </c>
      <c r="H134" s="23">
        <v>1545.0</v>
      </c>
      <c r="I134" s="23">
        <v>1452.0</v>
      </c>
      <c r="J134" s="23">
        <v>4226.0</v>
      </c>
      <c r="K134" s="24">
        <f t="shared" si="2"/>
        <v>34.35873166</v>
      </c>
      <c r="L134" s="23">
        <v>326.0</v>
      </c>
    </row>
    <row r="135" ht="14.25" customHeight="1">
      <c r="A135" s="22" t="s">
        <v>23</v>
      </c>
      <c r="B135" s="22" t="s">
        <v>210</v>
      </c>
      <c r="C135" s="22" t="s">
        <v>210</v>
      </c>
      <c r="D135" s="22" t="s">
        <v>210</v>
      </c>
      <c r="E135" s="23">
        <v>30701.0</v>
      </c>
      <c r="F135" s="23">
        <v>627.0</v>
      </c>
      <c r="G135" s="23">
        <v>951.0</v>
      </c>
      <c r="H135" s="23">
        <v>1749.0</v>
      </c>
      <c r="I135" s="23">
        <v>3664.0</v>
      </c>
      <c r="J135" s="23">
        <v>6991.0</v>
      </c>
      <c r="K135" s="24">
        <f t="shared" si="2"/>
        <v>52.41024174</v>
      </c>
      <c r="L135" s="23">
        <v>627.0</v>
      </c>
    </row>
    <row r="136" ht="14.25" customHeight="1">
      <c r="A136" s="22" t="s">
        <v>23</v>
      </c>
      <c r="B136" s="22" t="s">
        <v>210</v>
      </c>
      <c r="C136" s="22" t="s">
        <v>211</v>
      </c>
      <c r="D136" s="22" t="s">
        <v>212</v>
      </c>
      <c r="E136" s="23">
        <v>30702.0</v>
      </c>
      <c r="F136" s="23">
        <v>139.0</v>
      </c>
      <c r="G136" s="23">
        <v>303.0</v>
      </c>
      <c r="H136" s="23">
        <v>579.0</v>
      </c>
      <c r="I136" s="23">
        <v>1987.0</v>
      </c>
      <c r="J136" s="23">
        <v>3008.0</v>
      </c>
      <c r="K136" s="24">
        <f t="shared" si="2"/>
        <v>66.05718085</v>
      </c>
      <c r="L136" s="23">
        <v>139.0</v>
      </c>
    </row>
    <row r="137" ht="14.25" customHeight="1">
      <c r="A137" s="22" t="s">
        <v>23</v>
      </c>
      <c r="B137" s="22" t="s">
        <v>210</v>
      </c>
      <c r="C137" s="22" t="s">
        <v>213</v>
      </c>
      <c r="D137" s="22" t="s">
        <v>213</v>
      </c>
      <c r="E137" s="23">
        <v>30703.0</v>
      </c>
      <c r="F137" s="23">
        <v>68.0</v>
      </c>
      <c r="G137" s="23">
        <v>250.0</v>
      </c>
      <c r="H137" s="23">
        <v>387.0</v>
      </c>
      <c r="I137" s="23">
        <v>614.0</v>
      </c>
      <c r="J137" s="23">
        <v>1319.0</v>
      </c>
      <c r="K137" s="24">
        <f t="shared" si="2"/>
        <v>46.55041698</v>
      </c>
      <c r="L137" s="23">
        <v>68.0</v>
      </c>
    </row>
    <row r="138" ht="14.25" customHeight="1">
      <c r="A138" s="22" t="s">
        <v>23</v>
      </c>
      <c r="B138" s="22" t="s">
        <v>214</v>
      </c>
      <c r="C138" s="22" t="s">
        <v>215</v>
      </c>
      <c r="D138" s="22" t="s">
        <v>215</v>
      </c>
      <c r="E138" s="23">
        <v>30801.0</v>
      </c>
      <c r="F138" s="23">
        <v>22.0</v>
      </c>
      <c r="G138" s="23">
        <v>133.0</v>
      </c>
      <c r="H138" s="23">
        <v>1022.0</v>
      </c>
      <c r="I138" s="23">
        <v>5161.0</v>
      </c>
      <c r="J138" s="23">
        <v>6338.0</v>
      </c>
      <c r="K138" s="24">
        <f t="shared" si="2"/>
        <v>81.42947302</v>
      </c>
      <c r="L138" s="23">
        <v>22.0</v>
      </c>
    </row>
    <row r="139" ht="14.25" customHeight="1">
      <c r="A139" s="22" t="s">
        <v>23</v>
      </c>
      <c r="B139" s="22" t="s">
        <v>214</v>
      </c>
      <c r="C139" s="22" t="s">
        <v>216</v>
      </c>
      <c r="D139" s="22" t="s">
        <v>216</v>
      </c>
      <c r="E139" s="23">
        <v>30802.0</v>
      </c>
      <c r="F139" s="23">
        <v>100.0</v>
      </c>
      <c r="G139" s="23">
        <v>264.0</v>
      </c>
      <c r="H139" s="23">
        <v>599.0</v>
      </c>
      <c r="I139" s="23">
        <v>1609.0</v>
      </c>
      <c r="J139" s="23">
        <v>2572.0</v>
      </c>
      <c r="K139" s="24">
        <f t="shared" si="2"/>
        <v>62.55832037</v>
      </c>
      <c r="L139" s="23">
        <v>100.0</v>
      </c>
    </row>
    <row r="140" ht="14.25" customHeight="1">
      <c r="A140" s="22" t="s">
        <v>23</v>
      </c>
      <c r="B140" s="22" t="s">
        <v>214</v>
      </c>
      <c r="C140" s="22" t="s">
        <v>217</v>
      </c>
      <c r="D140" s="22" t="s">
        <v>217</v>
      </c>
      <c r="E140" s="23">
        <v>30803.0</v>
      </c>
      <c r="F140" s="23">
        <v>411.0</v>
      </c>
      <c r="G140" s="23">
        <v>235.0</v>
      </c>
      <c r="H140" s="23">
        <v>381.0</v>
      </c>
      <c r="I140" s="23">
        <v>1489.0</v>
      </c>
      <c r="J140" s="23">
        <v>2516.0</v>
      </c>
      <c r="K140" s="24">
        <f t="shared" si="2"/>
        <v>59.18124006</v>
      </c>
      <c r="L140" s="23">
        <v>411.0</v>
      </c>
    </row>
    <row r="141" ht="14.25" customHeight="1">
      <c r="A141" s="22" t="s">
        <v>23</v>
      </c>
      <c r="B141" s="22" t="s">
        <v>218</v>
      </c>
      <c r="C141" s="22" t="s">
        <v>218</v>
      </c>
      <c r="D141" s="22" t="s">
        <v>218</v>
      </c>
      <c r="E141" s="23">
        <v>30901.0</v>
      </c>
      <c r="F141" s="23">
        <v>575.0</v>
      </c>
      <c r="G141" s="23">
        <v>4586.0</v>
      </c>
      <c r="H141" s="23">
        <v>15490.0</v>
      </c>
      <c r="I141" s="23">
        <v>28520.0</v>
      </c>
      <c r="J141" s="23">
        <v>49171.0</v>
      </c>
      <c r="K141" s="24">
        <f t="shared" si="2"/>
        <v>58.00166765</v>
      </c>
      <c r="L141" s="23">
        <v>575.0</v>
      </c>
    </row>
    <row r="142" ht="14.25" customHeight="1">
      <c r="A142" s="22" t="s">
        <v>23</v>
      </c>
      <c r="B142" s="22" t="s">
        <v>218</v>
      </c>
      <c r="C142" s="22" t="s">
        <v>219</v>
      </c>
      <c r="D142" s="22" t="s">
        <v>219</v>
      </c>
      <c r="E142" s="23">
        <v>30902.0</v>
      </c>
      <c r="F142" s="23">
        <v>492.0</v>
      </c>
      <c r="G142" s="23">
        <v>2315.0</v>
      </c>
      <c r="H142" s="23">
        <v>8945.0</v>
      </c>
      <c r="I142" s="23">
        <v>6072.0</v>
      </c>
      <c r="J142" s="23">
        <v>17824.0</v>
      </c>
      <c r="K142" s="24">
        <f t="shared" si="2"/>
        <v>34.06642729</v>
      </c>
      <c r="L142" s="23">
        <v>492.0</v>
      </c>
    </row>
    <row r="143" ht="14.25" customHeight="1">
      <c r="A143" s="22" t="s">
        <v>23</v>
      </c>
      <c r="B143" s="22" t="s">
        <v>218</v>
      </c>
      <c r="C143" s="22" t="s">
        <v>220</v>
      </c>
      <c r="D143" s="22" t="s">
        <v>220</v>
      </c>
      <c r="E143" s="23">
        <v>30903.0</v>
      </c>
      <c r="F143" s="23">
        <v>189.0</v>
      </c>
      <c r="G143" s="23">
        <v>1633.0</v>
      </c>
      <c r="H143" s="23">
        <v>5669.0</v>
      </c>
      <c r="I143" s="23">
        <v>10441.0</v>
      </c>
      <c r="J143" s="23">
        <v>17932.0</v>
      </c>
      <c r="K143" s="24">
        <f t="shared" si="2"/>
        <v>58.22551863</v>
      </c>
      <c r="L143" s="23">
        <v>189.0</v>
      </c>
    </row>
    <row r="144" ht="14.25" customHeight="1">
      <c r="A144" s="22" t="s">
        <v>23</v>
      </c>
      <c r="B144" s="22" t="s">
        <v>218</v>
      </c>
      <c r="C144" s="22" t="s">
        <v>221</v>
      </c>
      <c r="D144" s="22" t="s">
        <v>221</v>
      </c>
      <c r="E144" s="23">
        <v>30904.0</v>
      </c>
      <c r="F144" s="23">
        <v>151.0</v>
      </c>
      <c r="G144" s="23">
        <v>2367.0</v>
      </c>
      <c r="H144" s="23">
        <v>8089.0</v>
      </c>
      <c r="I144" s="23">
        <v>6451.0</v>
      </c>
      <c r="J144" s="23">
        <v>17058.0</v>
      </c>
      <c r="K144" s="24">
        <f t="shared" si="2"/>
        <v>37.81803259</v>
      </c>
      <c r="L144" s="23">
        <v>151.0</v>
      </c>
    </row>
    <row r="145" ht="14.25" customHeight="1">
      <c r="A145" s="22" t="s">
        <v>23</v>
      </c>
      <c r="B145" s="22" t="s">
        <v>218</v>
      </c>
      <c r="C145" s="22" t="s">
        <v>222</v>
      </c>
      <c r="D145" s="22" t="s">
        <v>222</v>
      </c>
      <c r="E145" s="23">
        <v>30905.0</v>
      </c>
      <c r="F145" s="23">
        <v>43.0</v>
      </c>
      <c r="G145" s="23">
        <v>871.0</v>
      </c>
      <c r="H145" s="23">
        <v>4583.0</v>
      </c>
      <c r="I145" s="23">
        <v>13693.0</v>
      </c>
      <c r="J145" s="23">
        <v>19190.0</v>
      </c>
      <c r="K145" s="24">
        <f t="shared" si="2"/>
        <v>71.35487233</v>
      </c>
      <c r="L145" s="23">
        <v>43.0</v>
      </c>
    </row>
    <row r="146" ht="14.25" customHeight="1">
      <c r="A146" s="22" t="s">
        <v>23</v>
      </c>
      <c r="B146" s="22" t="s">
        <v>223</v>
      </c>
      <c r="C146" s="22" t="s">
        <v>224</v>
      </c>
      <c r="D146" s="22" t="s">
        <v>224</v>
      </c>
      <c r="E146" s="23">
        <v>31001.0</v>
      </c>
      <c r="F146" s="23">
        <v>2068.0</v>
      </c>
      <c r="G146" s="23">
        <v>8337.0</v>
      </c>
      <c r="H146" s="23">
        <v>20474.0</v>
      </c>
      <c r="I146" s="23">
        <v>38434.0</v>
      </c>
      <c r="J146" s="23">
        <v>69313.0</v>
      </c>
      <c r="K146" s="24">
        <f t="shared" si="2"/>
        <v>55.4499156</v>
      </c>
      <c r="L146" s="23">
        <v>2068.0</v>
      </c>
    </row>
    <row r="147" ht="14.25" customHeight="1">
      <c r="A147" s="22" t="s">
        <v>23</v>
      </c>
      <c r="B147" s="22" t="s">
        <v>223</v>
      </c>
      <c r="C147" s="22" t="s">
        <v>225</v>
      </c>
      <c r="D147" s="22" t="s">
        <v>225</v>
      </c>
      <c r="E147" s="23">
        <v>31002.0</v>
      </c>
      <c r="F147" s="23">
        <v>926.0</v>
      </c>
      <c r="G147" s="23">
        <v>1366.0</v>
      </c>
      <c r="H147" s="23">
        <v>1593.0</v>
      </c>
      <c r="I147" s="23">
        <v>4608.0</v>
      </c>
      <c r="J147" s="23">
        <v>8493.0</v>
      </c>
      <c r="K147" s="24">
        <f t="shared" si="2"/>
        <v>54.25644649</v>
      </c>
      <c r="L147" s="23">
        <v>926.0</v>
      </c>
    </row>
    <row r="148" ht="14.25" customHeight="1">
      <c r="A148" s="22" t="s">
        <v>23</v>
      </c>
      <c r="B148" s="22" t="s">
        <v>223</v>
      </c>
      <c r="C148" s="22" t="s">
        <v>226</v>
      </c>
      <c r="D148" s="22" t="s">
        <v>226</v>
      </c>
      <c r="E148" s="23">
        <v>31003.0</v>
      </c>
      <c r="F148" s="23">
        <v>6640.0</v>
      </c>
      <c r="G148" s="23">
        <v>9020.0</v>
      </c>
      <c r="H148" s="23">
        <v>9742.0</v>
      </c>
      <c r="I148" s="23">
        <v>16549.0</v>
      </c>
      <c r="J148" s="23">
        <v>41951.0</v>
      </c>
      <c r="K148" s="24">
        <f t="shared" si="2"/>
        <v>39.44840409</v>
      </c>
      <c r="L148" s="23">
        <v>6640.0</v>
      </c>
    </row>
    <row r="149" ht="14.25" customHeight="1">
      <c r="A149" s="22" t="s">
        <v>23</v>
      </c>
      <c r="B149" s="22" t="s">
        <v>227</v>
      </c>
      <c r="C149" s="22" t="s">
        <v>227</v>
      </c>
      <c r="D149" s="22" t="s">
        <v>227</v>
      </c>
      <c r="E149" s="23">
        <v>31101.0</v>
      </c>
      <c r="F149" s="23">
        <v>1608.0</v>
      </c>
      <c r="G149" s="23">
        <v>3295.0</v>
      </c>
      <c r="H149" s="23">
        <v>3331.0</v>
      </c>
      <c r="I149" s="23">
        <v>1404.0</v>
      </c>
      <c r="J149" s="23">
        <v>9638.0</v>
      </c>
      <c r="K149" s="24">
        <f t="shared" si="2"/>
        <v>14.56733762</v>
      </c>
      <c r="L149" s="23">
        <v>1608.0</v>
      </c>
    </row>
    <row r="150" ht="14.25" customHeight="1">
      <c r="A150" s="22" t="s">
        <v>23</v>
      </c>
      <c r="B150" s="22" t="s">
        <v>228</v>
      </c>
      <c r="C150" s="22" t="s">
        <v>229</v>
      </c>
      <c r="D150" s="22" t="s">
        <v>229</v>
      </c>
      <c r="E150" s="23">
        <v>31201.0</v>
      </c>
      <c r="F150" s="23">
        <v>608.0</v>
      </c>
      <c r="G150" s="23">
        <v>1416.0</v>
      </c>
      <c r="H150" s="23">
        <v>1976.0</v>
      </c>
      <c r="I150" s="23">
        <v>1351.0</v>
      </c>
      <c r="J150" s="23">
        <v>5351.0</v>
      </c>
      <c r="K150" s="24">
        <f t="shared" si="2"/>
        <v>25.24761727</v>
      </c>
      <c r="L150" s="23">
        <v>608.0</v>
      </c>
    </row>
    <row r="151" ht="14.25" customHeight="1">
      <c r="A151" s="22" t="s">
        <v>23</v>
      </c>
      <c r="B151" s="22" t="s">
        <v>228</v>
      </c>
      <c r="C151" s="22" t="s">
        <v>230</v>
      </c>
      <c r="D151" s="22" t="s">
        <v>230</v>
      </c>
      <c r="E151" s="23">
        <v>31202.0</v>
      </c>
      <c r="F151" s="23">
        <v>588.0</v>
      </c>
      <c r="G151" s="23">
        <v>1025.0</v>
      </c>
      <c r="H151" s="23">
        <v>973.0</v>
      </c>
      <c r="I151" s="23">
        <v>1119.0</v>
      </c>
      <c r="J151" s="23">
        <v>3705.0</v>
      </c>
      <c r="K151" s="24">
        <f t="shared" si="2"/>
        <v>30.20242915</v>
      </c>
      <c r="L151" s="23">
        <v>588.0</v>
      </c>
    </row>
    <row r="152" ht="14.25" customHeight="1">
      <c r="A152" s="22" t="s">
        <v>23</v>
      </c>
      <c r="B152" s="22" t="s">
        <v>228</v>
      </c>
      <c r="C152" s="22" t="s">
        <v>231</v>
      </c>
      <c r="D152" s="22" t="s">
        <v>231</v>
      </c>
      <c r="E152" s="23">
        <v>31203.0</v>
      </c>
      <c r="F152" s="23">
        <v>403.0</v>
      </c>
      <c r="G152" s="23">
        <v>833.0</v>
      </c>
      <c r="H152" s="23">
        <v>1561.0</v>
      </c>
      <c r="I152" s="23">
        <v>2056.0</v>
      </c>
      <c r="J152" s="23">
        <v>4853.0</v>
      </c>
      <c r="K152" s="24">
        <f t="shared" si="2"/>
        <v>42.36554708</v>
      </c>
      <c r="L152" s="23">
        <v>403.0</v>
      </c>
    </row>
    <row r="153" ht="14.25" customHeight="1">
      <c r="A153" s="22" t="s">
        <v>23</v>
      </c>
      <c r="B153" s="22" t="s">
        <v>228</v>
      </c>
      <c r="C153" s="22" t="s">
        <v>232</v>
      </c>
      <c r="D153" s="22" t="s">
        <v>232</v>
      </c>
      <c r="E153" s="23">
        <v>31204.0</v>
      </c>
      <c r="F153" s="23">
        <v>1093.0</v>
      </c>
      <c r="G153" s="23">
        <v>2092.0</v>
      </c>
      <c r="H153" s="23">
        <v>3106.0</v>
      </c>
      <c r="I153" s="23">
        <v>4266.0</v>
      </c>
      <c r="J153" s="23">
        <v>10557.0</v>
      </c>
      <c r="K153" s="24">
        <f t="shared" si="2"/>
        <v>40.40920716</v>
      </c>
      <c r="L153" s="23">
        <v>1093.0</v>
      </c>
    </row>
    <row r="154" ht="14.25" customHeight="1">
      <c r="A154" s="22" t="s">
        <v>23</v>
      </c>
      <c r="B154" s="22" t="s">
        <v>228</v>
      </c>
      <c r="C154" s="22" t="s">
        <v>233</v>
      </c>
      <c r="D154" s="22" t="s">
        <v>233</v>
      </c>
      <c r="E154" s="23">
        <v>31205.0</v>
      </c>
      <c r="F154" s="23">
        <v>3391.0</v>
      </c>
      <c r="G154" s="23">
        <v>3906.0</v>
      </c>
      <c r="H154" s="23">
        <v>6531.0</v>
      </c>
      <c r="I154" s="23">
        <v>11669.0</v>
      </c>
      <c r="J154" s="23">
        <v>25497.0</v>
      </c>
      <c r="K154" s="24">
        <f t="shared" si="2"/>
        <v>45.76616857</v>
      </c>
      <c r="L154" s="23">
        <v>3391.0</v>
      </c>
    </row>
    <row r="155" ht="14.25" customHeight="1">
      <c r="A155" s="22" t="s">
        <v>23</v>
      </c>
      <c r="B155" s="22" t="s">
        <v>228</v>
      </c>
      <c r="C155" s="22" t="s">
        <v>234</v>
      </c>
      <c r="D155" s="22" t="s">
        <v>234</v>
      </c>
      <c r="E155" s="23">
        <v>31206.0</v>
      </c>
      <c r="F155" s="23">
        <v>2776.0</v>
      </c>
      <c r="G155" s="23">
        <v>2624.0</v>
      </c>
      <c r="H155" s="23">
        <v>6330.0</v>
      </c>
      <c r="I155" s="23">
        <v>6448.0</v>
      </c>
      <c r="J155" s="23">
        <v>18178.0</v>
      </c>
      <c r="K155" s="24">
        <f t="shared" si="2"/>
        <v>35.471449</v>
      </c>
      <c r="L155" s="23">
        <v>2776.0</v>
      </c>
    </row>
    <row r="156" ht="14.25" customHeight="1">
      <c r="A156" s="22" t="s">
        <v>23</v>
      </c>
      <c r="B156" s="22" t="s">
        <v>235</v>
      </c>
      <c r="C156" s="22" t="s">
        <v>235</v>
      </c>
      <c r="D156" s="22" t="s">
        <v>235</v>
      </c>
      <c r="E156" s="23">
        <v>31301.0</v>
      </c>
      <c r="F156" s="23">
        <v>506.0</v>
      </c>
      <c r="G156" s="23">
        <v>1258.0</v>
      </c>
      <c r="H156" s="23">
        <v>2226.0</v>
      </c>
      <c r="I156" s="23">
        <v>2889.0</v>
      </c>
      <c r="J156" s="23">
        <v>6879.0</v>
      </c>
      <c r="K156" s="24">
        <f t="shared" si="2"/>
        <v>41.99738334</v>
      </c>
      <c r="L156" s="23">
        <v>506.0</v>
      </c>
    </row>
    <row r="157" ht="14.25" customHeight="1">
      <c r="A157" s="22" t="s">
        <v>23</v>
      </c>
      <c r="B157" s="22" t="s">
        <v>235</v>
      </c>
      <c r="C157" s="22" t="s">
        <v>236</v>
      </c>
      <c r="D157" s="22" t="s">
        <v>236</v>
      </c>
      <c r="E157" s="23">
        <v>31302.0</v>
      </c>
      <c r="F157" s="23">
        <v>451.0</v>
      </c>
      <c r="G157" s="23">
        <v>651.0</v>
      </c>
      <c r="H157" s="23">
        <v>460.0</v>
      </c>
      <c r="I157" s="23">
        <v>305.0</v>
      </c>
      <c r="J157" s="23">
        <v>1867.0</v>
      </c>
      <c r="K157" s="24">
        <f t="shared" si="2"/>
        <v>16.33636851</v>
      </c>
      <c r="L157" s="23">
        <v>451.0</v>
      </c>
    </row>
    <row r="158" ht="14.25" customHeight="1">
      <c r="A158" s="22" t="s">
        <v>23</v>
      </c>
      <c r="B158" s="22" t="s">
        <v>235</v>
      </c>
      <c r="C158" s="22" t="s">
        <v>237</v>
      </c>
      <c r="D158" s="22" t="s">
        <v>237</v>
      </c>
      <c r="E158" s="23">
        <v>31303.0</v>
      </c>
      <c r="F158" s="23">
        <v>216.0</v>
      </c>
      <c r="G158" s="23">
        <v>541.0</v>
      </c>
      <c r="H158" s="23">
        <v>354.0</v>
      </c>
      <c r="I158" s="23">
        <v>167.0</v>
      </c>
      <c r="J158" s="23">
        <v>1278.0</v>
      </c>
      <c r="K158" s="24">
        <f t="shared" si="2"/>
        <v>13.06729264</v>
      </c>
      <c r="L158" s="23">
        <v>216.0</v>
      </c>
    </row>
    <row r="159" ht="14.25" customHeight="1">
      <c r="A159" s="22" t="s">
        <v>23</v>
      </c>
      <c r="B159" s="22" t="s">
        <v>235</v>
      </c>
      <c r="C159" s="22" t="s">
        <v>238</v>
      </c>
      <c r="D159" s="22" t="s">
        <v>239</v>
      </c>
      <c r="E159" s="23">
        <v>31304.0</v>
      </c>
      <c r="F159" s="23">
        <v>968.0</v>
      </c>
      <c r="G159" s="23">
        <v>840.0</v>
      </c>
      <c r="H159" s="23">
        <v>586.0</v>
      </c>
      <c r="I159" s="23">
        <v>250.0</v>
      </c>
      <c r="J159" s="23">
        <v>2644.0</v>
      </c>
      <c r="K159" s="24">
        <f t="shared" si="2"/>
        <v>9.455370651</v>
      </c>
      <c r="L159" s="23">
        <v>968.0</v>
      </c>
    </row>
    <row r="160" ht="14.25" customHeight="1">
      <c r="A160" s="22" t="s">
        <v>23</v>
      </c>
      <c r="B160" s="22" t="s">
        <v>240</v>
      </c>
      <c r="C160" s="22" t="s">
        <v>240</v>
      </c>
      <c r="D160" s="22" t="s">
        <v>241</v>
      </c>
      <c r="E160" s="23">
        <v>31401.0</v>
      </c>
      <c r="F160" s="23">
        <v>154.0</v>
      </c>
      <c r="G160" s="23">
        <v>1129.0</v>
      </c>
      <c r="H160" s="23">
        <v>2980.0</v>
      </c>
      <c r="I160" s="23">
        <v>7055.0</v>
      </c>
      <c r="J160" s="23">
        <v>11318.0</v>
      </c>
      <c r="K160" s="24">
        <f t="shared" si="2"/>
        <v>62.33433469</v>
      </c>
      <c r="L160" s="23">
        <v>154.0</v>
      </c>
    </row>
    <row r="161" ht="14.25" customHeight="1">
      <c r="A161" s="22" t="s">
        <v>23</v>
      </c>
      <c r="B161" s="22" t="s">
        <v>240</v>
      </c>
      <c r="C161" s="22" t="s">
        <v>242</v>
      </c>
      <c r="D161" s="22" t="s">
        <v>242</v>
      </c>
      <c r="E161" s="23">
        <v>31402.0</v>
      </c>
      <c r="F161" s="23">
        <v>108.0</v>
      </c>
      <c r="G161" s="23">
        <v>305.0</v>
      </c>
      <c r="H161" s="23">
        <v>1298.0</v>
      </c>
      <c r="I161" s="23">
        <v>1551.0</v>
      </c>
      <c r="J161" s="23">
        <v>3262.0</v>
      </c>
      <c r="K161" s="24">
        <f t="shared" si="2"/>
        <v>47.54751686</v>
      </c>
      <c r="L161" s="23">
        <v>108.0</v>
      </c>
    </row>
    <row r="162" ht="14.25" customHeight="1">
      <c r="A162" s="22" t="s">
        <v>23</v>
      </c>
      <c r="B162" s="22" t="s">
        <v>240</v>
      </c>
      <c r="C162" s="22" t="s">
        <v>243</v>
      </c>
      <c r="D162" s="22" t="s">
        <v>244</v>
      </c>
      <c r="E162" s="23">
        <v>31403.0</v>
      </c>
      <c r="F162" s="23">
        <v>52.0</v>
      </c>
      <c r="G162" s="23">
        <v>347.0</v>
      </c>
      <c r="H162" s="23">
        <v>1509.0</v>
      </c>
      <c r="I162" s="23">
        <v>2419.0</v>
      </c>
      <c r="J162" s="23">
        <v>4327.0</v>
      </c>
      <c r="K162" s="24">
        <f t="shared" si="2"/>
        <v>55.90478391</v>
      </c>
      <c r="L162" s="23">
        <v>52.0</v>
      </c>
    </row>
    <row r="163" ht="14.25" customHeight="1">
      <c r="A163" s="22" t="s">
        <v>23</v>
      </c>
      <c r="B163" s="22" t="s">
        <v>240</v>
      </c>
      <c r="C163" s="22" t="s">
        <v>245</v>
      </c>
      <c r="D163" s="22" t="s">
        <v>245</v>
      </c>
      <c r="E163" s="23">
        <v>31404.0</v>
      </c>
      <c r="F163" s="23">
        <v>7.0</v>
      </c>
      <c r="G163" s="23">
        <v>27.0</v>
      </c>
      <c r="H163" s="23">
        <v>167.0</v>
      </c>
      <c r="I163" s="23">
        <v>284.0</v>
      </c>
      <c r="J163" s="23">
        <v>485.0</v>
      </c>
      <c r="K163" s="24">
        <f t="shared" si="2"/>
        <v>58.55670103</v>
      </c>
      <c r="L163" s="23">
        <v>7.0</v>
      </c>
    </row>
    <row r="164" ht="14.25" customHeight="1">
      <c r="A164" s="22" t="s">
        <v>23</v>
      </c>
      <c r="B164" s="22" t="s">
        <v>240</v>
      </c>
      <c r="C164" s="22" t="s">
        <v>246</v>
      </c>
      <c r="D164" s="22" t="s">
        <v>247</v>
      </c>
      <c r="E164" s="23">
        <v>31405.0</v>
      </c>
      <c r="F164" s="23">
        <v>77.0</v>
      </c>
      <c r="G164" s="23">
        <v>178.0</v>
      </c>
      <c r="H164" s="23">
        <v>282.0</v>
      </c>
      <c r="I164" s="23">
        <v>520.0</v>
      </c>
      <c r="J164" s="23">
        <v>1057.0</v>
      </c>
      <c r="K164" s="24">
        <f t="shared" si="2"/>
        <v>49.19583728</v>
      </c>
      <c r="L164" s="23">
        <v>77.0</v>
      </c>
    </row>
    <row r="165" ht="14.25" customHeight="1">
      <c r="A165" s="22" t="s">
        <v>23</v>
      </c>
      <c r="B165" s="22" t="s">
        <v>248</v>
      </c>
      <c r="C165" s="22" t="s">
        <v>248</v>
      </c>
      <c r="D165" s="22" t="s">
        <v>248</v>
      </c>
      <c r="E165" s="23">
        <v>31501.0</v>
      </c>
      <c r="F165" s="23">
        <v>298.0</v>
      </c>
      <c r="G165" s="23">
        <v>912.0</v>
      </c>
      <c r="H165" s="23">
        <v>1603.0</v>
      </c>
      <c r="I165" s="23">
        <v>398.0</v>
      </c>
      <c r="J165" s="23">
        <v>3211.0</v>
      </c>
      <c r="K165" s="24">
        <f t="shared" si="2"/>
        <v>12.39489256</v>
      </c>
      <c r="L165" s="23">
        <v>298.0</v>
      </c>
    </row>
    <row r="166" ht="14.25" customHeight="1">
      <c r="A166" s="22" t="s">
        <v>23</v>
      </c>
      <c r="B166" s="22" t="s">
        <v>249</v>
      </c>
      <c r="C166" s="22" t="s">
        <v>249</v>
      </c>
      <c r="D166" s="22" t="s">
        <v>249</v>
      </c>
      <c r="E166" s="23">
        <v>31601.0</v>
      </c>
      <c r="F166" s="23">
        <v>523.0</v>
      </c>
      <c r="G166" s="23">
        <v>812.0</v>
      </c>
      <c r="H166" s="23">
        <v>1621.0</v>
      </c>
      <c r="I166" s="23">
        <v>3722.0</v>
      </c>
      <c r="J166" s="23">
        <v>6678.0</v>
      </c>
      <c r="K166" s="24">
        <f t="shared" si="2"/>
        <v>55.73525007</v>
      </c>
      <c r="L166" s="23">
        <v>523.0</v>
      </c>
    </row>
    <row r="167" ht="14.25" customHeight="1">
      <c r="A167" s="22" t="s">
        <v>23</v>
      </c>
      <c r="B167" s="22" t="s">
        <v>249</v>
      </c>
      <c r="C167" s="22" t="s">
        <v>250</v>
      </c>
      <c r="D167" s="22" t="s">
        <v>250</v>
      </c>
      <c r="E167" s="23">
        <v>31602.0</v>
      </c>
      <c r="F167" s="23">
        <v>824.0</v>
      </c>
      <c r="G167" s="23">
        <v>1621.0</v>
      </c>
      <c r="H167" s="23">
        <v>2252.0</v>
      </c>
      <c r="I167" s="23">
        <v>5734.0</v>
      </c>
      <c r="J167" s="23">
        <v>10431.0</v>
      </c>
      <c r="K167" s="24">
        <f t="shared" si="2"/>
        <v>54.97076023</v>
      </c>
      <c r="L167" s="23">
        <v>824.0</v>
      </c>
    </row>
    <row r="168" ht="14.25" customHeight="1">
      <c r="A168" s="22" t="s">
        <v>26</v>
      </c>
      <c r="B168" s="22" t="s">
        <v>189</v>
      </c>
      <c r="C168" s="22" t="s">
        <v>26</v>
      </c>
      <c r="D168" s="22" t="s">
        <v>26</v>
      </c>
      <c r="E168" s="23">
        <v>40101.0</v>
      </c>
      <c r="F168" s="23">
        <v>984.0</v>
      </c>
      <c r="G168" s="23">
        <v>3431.0</v>
      </c>
      <c r="H168" s="23">
        <v>19235.0</v>
      </c>
      <c r="I168" s="23">
        <v>72473.0</v>
      </c>
      <c r="J168" s="23">
        <v>96123.0</v>
      </c>
      <c r="K168" s="24">
        <f t="shared" si="2"/>
        <v>75.39610707</v>
      </c>
      <c r="L168" s="23">
        <v>984.0</v>
      </c>
    </row>
    <row r="169" ht="14.25" customHeight="1">
      <c r="A169" s="22" t="s">
        <v>26</v>
      </c>
      <c r="B169" s="22" t="s">
        <v>189</v>
      </c>
      <c r="C169" s="22" t="s">
        <v>251</v>
      </c>
      <c r="D169" s="22" t="s">
        <v>251</v>
      </c>
      <c r="E169" s="23">
        <v>40102.0</v>
      </c>
      <c r="F169" s="23">
        <v>583.0</v>
      </c>
      <c r="G169" s="23">
        <v>1690.0</v>
      </c>
      <c r="H169" s="23">
        <v>2879.0</v>
      </c>
      <c r="I169" s="23">
        <v>2820.0</v>
      </c>
      <c r="J169" s="23">
        <v>7972.0</v>
      </c>
      <c r="K169" s="24">
        <f t="shared" si="2"/>
        <v>35.37380833</v>
      </c>
      <c r="L169" s="23">
        <v>583.0</v>
      </c>
    </row>
    <row r="170" ht="14.25" customHeight="1">
      <c r="A170" s="22" t="s">
        <v>26</v>
      </c>
      <c r="B170" s="22" t="s">
        <v>189</v>
      </c>
      <c r="C170" s="22" t="s">
        <v>252</v>
      </c>
      <c r="D170" s="22" t="s">
        <v>252</v>
      </c>
      <c r="E170" s="23">
        <v>40103.0</v>
      </c>
      <c r="F170" s="23">
        <v>1559.0</v>
      </c>
      <c r="G170" s="23">
        <v>1336.0</v>
      </c>
      <c r="H170" s="23">
        <v>718.0</v>
      </c>
      <c r="I170" s="23">
        <v>231.0</v>
      </c>
      <c r="J170" s="23">
        <v>3844.0</v>
      </c>
      <c r="K170" s="24">
        <f t="shared" si="2"/>
        <v>6.009365245</v>
      </c>
      <c r="L170" s="23">
        <v>1559.0</v>
      </c>
    </row>
    <row r="171" ht="14.25" customHeight="1">
      <c r="A171" s="22" t="s">
        <v>26</v>
      </c>
      <c r="B171" s="22" t="s">
        <v>189</v>
      </c>
      <c r="C171" s="22" t="s">
        <v>253</v>
      </c>
      <c r="D171" s="22" t="s">
        <v>254</v>
      </c>
      <c r="E171" s="23">
        <v>40104.0</v>
      </c>
      <c r="F171" s="23">
        <v>345.0</v>
      </c>
      <c r="G171" s="23">
        <v>851.0</v>
      </c>
      <c r="H171" s="23">
        <v>2805.0</v>
      </c>
      <c r="I171" s="23">
        <v>1463.0</v>
      </c>
      <c r="J171" s="23">
        <v>5464.0</v>
      </c>
      <c r="K171" s="24">
        <f t="shared" si="2"/>
        <v>26.77525622</v>
      </c>
      <c r="L171" s="23">
        <v>345.0</v>
      </c>
    </row>
    <row r="172" ht="14.25" customHeight="1">
      <c r="A172" s="22" t="s">
        <v>26</v>
      </c>
      <c r="B172" s="22" t="s">
        <v>255</v>
      </c>
      <c r="C172" s="22" t="s">
        <v>256</v>
      </c>
      <c r="D172" s="22" t="s">
        <v>256</v>
      </c>
      <c r="E172" s="23">
        <v>40201.0</v>
      </c>
      <c r="F172" s="23">
        <v>1152.0</v>
      </c>
      <c r="G172" s="23">
        <v>2549.0</v>
      </c>
      <c r="H172" s="23">
        <v>4823.0</v>
      </c>
      <c r="I172" s="23">
        <v>5019.0</v>
      </c>
      <c r="J172" s="23">
        <v>13543.0</v>
      </c>
      <c r="K172" s="24">
        <f t="shared" si="2"/>
        <v>37.05973566</v>
      </c>
      <c r="L172" s="23">
        <v>1152.0</v>
      </c>
    </row>
    <row r="173" ht="14.25" customHeight="1">
      <c r="A173" s="22" t="s">
        <v>26</v>
      </c>
      <c r="B173" s="22" t="s">
        <v>255</v>
      </c>
      <c r="C173" s="22" t="s">
        <v>257</v>
      </c>
      <c r="D173" s="22" t="s">
        <v>257</v>
      </c>
      <c r="E173" s="23">
        <v>40202.0</v>
      </c>
      <c r="F173" s="23">
        <v>492.0</v>
      </c>
      <c r="G173" s="23">
        <v>446.0</v>
      </c>
      <c r="H173" s="23">
        <v>625.0</v>
      </c>
      <c r="I173" s="23">
        <v>763.0</v>
      </c>
      <c r="J173" s="23">
        <v>2326.0</v>
      </c>
      <c r="K173" s="24">
        <f t="shared" si="2"/>
        <v>32.80309544</v>
      </c>
      <c r="L173" s="23">
        <v>492.0</v>
      </c>
    </row>
    <row r="174" ht="14.25" customHeight="1">
      <c r="A174" s="22" t="s">
        <v>26</v>
      </c>
      <c r="B174" s="22" t="s">
        <v>258</v>
      </c>
      <c r="C174" s="22" t="s">
        <v>259</v>
      </c>
      <c r="D174" s="22" t="s">
        <v>259</v>
      </c>
      <c r="E174" s="23">
        <v>40301.0</v>
      </c>
      <c r="F174" s="23">
        <v>891.0</v>
      </c>
      <c r="G174" s="23">
        <v>1368.0</v>
      </c>
      <c r="H174" s="23">
        <v>1792.0</v>
      </c>
      <c r="I174" s="23">
        <v>616.0</v>
      </c>
      <c r="J174" s="23">
        <v>4667.0</v>
      </c>
      <c r="K174" s="24">
        <f t="shared" si="2"/>
        <v>13.19905721</v>
      </c>
      <c r="L174" s="23">
        <v>891.0</v>
      </c>
    </row>
    <row r="175" ht="14.25" customHeight="1">
      <c r="A175" s="22" t="s">
        <v>26</v>
      </c>
      <c r="B175" s="22" t="s">
        <v>258</v>
      </c>
      <c r="C175" s="22" t="s">
        <v>260</v>
      </c>
      <c r="D175" s="22" t="s">
        <v>260</v>
      </c>
      <c r="E175" s="23">
        <v>40302.0</v>
      </c>
      <c r="F175" s="23">
        <v>101.0</v>
      </c>
      <c r="G175" s="23">
        <v>220.0</v>
      </c>
      <c r="H175" s="23">
        <v>172.0</v>
      </c>
      <c r="I175" s="23">
        <v>178.0</v>
      </c>
      <c r="J175" s="23">
        <v>671.0</v>
      </c>
      <c r="K175" s="24">
        <f t="shared" si="2"/>
        <v>26.52757079</v>
      </c>
      <c r="L175" s="23">
        <v>101.0</v>
      </c>
    </row>
    <row r="176" ht="14.25" customHeight="1">
      <c r="A176" s="22" t="s">
        <v>26</v>
      </c>
      <c r="B176" s="22" t="s">
        <v>261</v>
      </c>
      <c r="C176" s="22" t="s">
        <v>262</v>
      </c>
      <c r="D176" s="22" t="s">
        <v>262</v>
      </c>
      <c r="E176" s="23">
        <v>40401.0</v>
      </c>
      <c r="F176" s="23">
        <v>121.0</v>
      </c>
      <c r="G176" s="23">
        <v>455.0</v>
      </c>
      <c r="H176" s="23">
        <v>601.0</v>
      </c>
      <c r="I176" s="23">
        <v>810.0</v>
      </c>
      <c r="J176" s="23">
        <v>1987.0</v>
      </c>
      <c r="K176" s="24">
        <f t="shared" si="2"/>
        <v>40.76497232</v>
      </c>
      <c r="L176" s="23">
        <v>121.0</v>
      </c>
    </row>
    <row r="177" ht="14.25" customHeight="1">
      <c r="A177" s="22" t="s">
        <v>26</v>
      </c>
      <c r="B177" s="22" t="s">
        <v>261</v>
      </c>
      <c r="C177" s="22" t="s">
        <v>263</v>
      </c>
      <c r="D177" s="22" t="s">
        <v>263</v>
      </c>
      <c r="E177" s="23">
        <v>40402.0</v>
      </c>
      <c r="F177" s="23">
        <v>390.0</v>
      </c>
      <c r="G177" s="23">
        <v>443.0</v>
      </c>
      <c r="H177" s="23">
        <v>373.0</v>
      </c>
      <c r="I177" s="23">
        <v>554.0</v>
      </c>
      <c r="J177" s="23">
        <v>1760.0</v>
      </c>
      <c r="K177" s="24">
        <f t="shared" si="2"/>
        <v>31.47727273</v>
      </c>
      <c r="L177" s="23">
        <v>390.0</v>
      </c>
    </row>
    <row r="178" ht="14.25" customHeight="1">
      <c r="A178" s="22" t="s">
        <v>26</v>
      </c>
      <c r="B178" s="22" t="s">
        <v>264</v>
      </c>
      <c r="C178" s="22" t="s">
        <v>265</v>
      </c>
      <c r="D178" s="22" t="s">
        <v>265</v>
      </c>
      <c r="E178" s="23">
        <v>40501.0</v>
      </c>
      <c r="F178" s="23">
        <v>9.0</v>
      </c>
      <c r="G178" s="23">
        <v>51.0</v>
      </c>
      <c r="H178" s="23">
        <v>301.0</v>
      </c>
      <c r="I178" s="23">
        <v>831.0</v>
      </c>
      <c r="J178" s="23">
        <v>1192.0</v>
      </c>
      <c r="K178" s="24">
        <f t="shared" si="2"/>
        <v>69.7147651</v>
      </c>
      <c r="L178" s="23">
        <v>9.0</v>
      </c>
    </row>
    <row r="179" ht="14.25" customHeight="1">
      <c r="A179" s="22" t="s">
        <v>26</v>
      </c>
      <c r="B179" s="22" t="s">
        <v>264</v>
      </c>
      <c r="C179" s="22" t="s">
        <v>266</v>
      </c>
      <c r="D179" s="22" t="s">
        <v>266</v>
      </c>
      <c r="E179" s="23">
        <v>40502.0</v>
      </c>
      <c r="F179" s="23">
        <v>140.0</v>
      </c>
      <c r="G179" s="23">
        <v>168.0</v>
      </c>
      <c r="H179" s="23">
        <v>326.0</v>
      </c>
      <c r="I179" s="23">
        <v>421.0</v>
      </c>
      <c r="J179" s="23">
        <v>1055.0</v>
      </c>
      <c r="K179" s="24">
        <f t="shared" si="2"/>
        <v>39.90521327</v>
      </c>
      <c r="L179" s="23">
        <v>140.0</v>
      </c>
    </row>
    <row r="180" ht="14.25" customHeight="1">
      <c r="A180" s="22" t="s">
        <v>26</v>
      </c>
      <c r="B180" s="22" t="s">
        <v>264</v>
      </c>
      <c r="C180" s="22" t="s">
        <v>267</v>
      </c>
      <c r="D180" s="22" t="s">
        <v>267</v>
      </c>
      <c r="E180" s="23">
        <v>40503.0</v>
      </c>
      <c r="F180" s="23">
        <v>20.0</v>
      </c>
      <c r="G180" s="23">
        <v>37.0</v>
      </c>
      <c r="H180" s="23">
        <v>101.0</v>
      </c>
      <c r="I180" s="23">
        <v>194.0</v>
      </c>
      <c r="J180" s="23">
        <v>352.0</v>
      </c>
      <c r="K180" s="24">
        <f t="shared" si="2"/>
        <v>55.11363636</v>
      </c>
      <c r="L180" s="23">
        <v>20.0</v>
      </c>
    </row>
    <row r="181" ht="14.25" customHeight="1">
      <c r="A181" s="22" t="s">
        <v>26</v>
      </c>
      <c r="B181" s="22" t="s">
        <v>264</v>
      </c>
      <c r="C181" s="22" t="s">
        <v>268</v>
      </c>
      <c r="D181" s="22" t="s">
        <v>268</v>
      </c>
      <c r="E181" s="23">
        <v>40504.0</v>
      </c>
      <c r="F181" s="23">
        <v>3.0</v>
      </c>
      <c r="G181" s="23">
        <v>2.0</v>
      </c>
      <c r="H181" s="23">
        <v>19.0</v>
      </c>
      <c r="I181" s="23">
        <v>149.0</v>
      </c>
      <c r="J181" s="23">
        <v>173.0</v>
      </c>
      <c r="K181" s="24">
        <f t="shared" si="2"/>
        <v>86.12716763</v>
      </c>
      <c r="L181" s="23">
        <v>3.0</v>
      </c>
    </row>
    <row r="182" ht="14.25" customHeight="1">
      <c r="A182" s="22" t="s">
        <v>26</v>
      </c>
      <c r="B182" s="22" t="s">
        <v>264</v>
      </c>
      <c r="C182" s="22" t="s">
        <v>269</v>
      </c>
      <c r="D182" s="22" t="s">
        <v>269</v>
      </c>
      <c r="E182" s="23">
        <v>40505.0</v>
      </c>
      <c r="F182" s="23">
        <v>47.0</v>
      </c>
      <c r="G182" s="23">
        <v>53.0</v>
      </c>
      <c r="H182" s="23">
        <v>268.0</v>
      </c>
      <c r="I182" s="23">
        <v>505.0</v>
      </c>
      <c r="J182" s="23">
        <v>873.0</v>
      </c>
      <c r="K182" s="24">
        <f t="shared" si="2"/>
        <v>57.8465063</v>
      </c>
      <c r="L182" s="23">
        <v>47.0</v>
      </c>
    </row>
    <row r="183" ht="14.25" customHeight="1">
      <c r="A183" s="22" t="s">
        <v>26</v>
      </c>
      <c r="B183" s="22" t="s">
        <v>270</v>
      </c>
      <c r="C183" s="22" t="s">
        <v>270</v>
      </c>
      <c r="D183" s="22" t="s">
        <v>271</v>
      </c>
      <c r="E183" s="23">
        <v>40601.0</v>
      </c>
      <c r="F183" s="23">
        <v>315.0</v>
      </c>
      <c r="G183" s="23">
        <v>566.0</v>
      </c>
      <c r="H183" s="23">
        <v>1161.0</v>
      </c>
      <c r="I183" s="23">
        <v>1620.0</v>
      </c>
      <c r="J183" s="23">
        <v>3662.0</v>
      </c>
      <c r="K183" s="24">
        <f t="shared" si="2"/>
        <v>44.23812125</v>
      </c>
      <c r="L183" s="23">
        <v>315.0</v>
      </c>
    </row>
    <row r="184" ht="14.25" customHeight="1">
      <c r="A184" s="22" t="s">
        <v>26</v>
      </c>
      <c r="B184" s="22" t="s">
        <v>270</v>
      </c>
      <c r="C184" s="22" t="s">
        <v>272</v>
      </c>
      <c r="D184" s="22" t="s">
        <v>272</v>
      </c>
      <c r="E184" s="23">
        <v>40602.0</v>
      </c>
      <c r="F184" s="23">
        <v>123.0</v>
      </c>
      <c r="G184" s="23">
        <v>341.0</v>
      </c>
      <c r="H184" s="23">
        <v>774.0</v>
      </c>
      <c r="I184" s="23">
        <v>531.0</v>
      </c>
      <c r="J184" s="23">
        <v>1769.0</v>
      </c>
      <c r="K184" s="24">
        <f t="shared" si="2"/>
        <v>30.01695873</v>
      </c>
      <c r="L184" s="23">
        <v>123.0</v>
      </c>
    </row>
    <row r="185" ht="14.25" customHeight="1">
      <c r="A185" s="22" t="s">
        <v>26</v>
      </c>
      <c r="B185" s="22" t="s">
        <v>270</v>
      </c>
      <c r="C185" s="22" t="s">
        <v>273</v>
      </c>
      <c r="D185" s="22" t="s">
        <v>273</v>
      </c>
      <c r="E185" s="23">
        <v>40603.0</v>
      </c>
      <c r="F185" s="23">
        <v>55.0</v>
      </c>
      <c r="G185" s="23">
        <v>185.0</v>
      </c>
      <c r="H185" s="23">
        <v>630.0</v>
      </c>
      <c r="I185" s="23">
        <v>580.0</v>
      </c>
      <c r="J185" s="23">
        <v>1450.0</v>
      </c>
      <c r="K185" s="24">
        <f t="shared" si="2"/>
        <v>40</v>
      </c>
      <c r="L185" s="23">
        <v>55.0</v>
      </c>
    </row>
    <row r="186" ht="14.25" customHeight="1">
      <c r="A186" s="22" t="s">
        <v>26</v>
      </c>
      <c r="B186" s="22" t="s">
        <v>274</v>
      </c>
      <c r="C186" s="22" t="s">
        <v>275</v>
      </c>
      <c r="D186" s="22" t="s">
        <v>276</v>
      </c>
      <c r="E186" s="23">
        <v>40701.0</v>
      </c>
      <c r="F186" s="23">
        <v>76.0</v>
      </c>
      <c r="G186" s="23">
        <v>359.0</v>
      </c>
      <c r="H186" s="23">
        <v>1889.0</v>
      </c>
      <c r="I186" s="23">
        <v>4099.0</v>
      </c>
      <c r="J186" s="23">
        <v>6423.0</v>
      </c>
      <c r="K186" s="24">
        <f t="shared" si="2"/>
        <v>63.81753075</v>
      </c>
      <c r="L186" s="23">
        <v>76.0</v>
      </c>
    </row>
    <row r="187" ht="14.25" customHeight="1">
      <c r="A187" s="22" t="s">
        <v>26</v>
      </c>
      <c r="B187" s="22" t="s">
        <v>274</v>
      </c>
      <c r="C187" s="22" t="s">
        <v>277</v>
      </c>
      <c r="D187" s="22" t="s">
        <v>277</v>
      </c>
      <c r="E187" s="23">
        <v>40702.0</v>
      </c>
      <c r="F187" s="23">
        <v>55.0</v>
      </c>
      <c r="G187" s="23">
        <v>216.0</v>
      </c>
      <c r="H187" s="23">
        <v>684.0</v>
      </c>
      <c r="I187" s="23">
        <v>1221.0</v>
      </c>
      <c r="J187" s="23">
        <v>2176.0</v>
      </c>
      <c r="K187" s="24">
        <f t="shared" si="2"/>
        <v>56.11213235</v>
      </c>
      <c r="L187" s="23">
        <v>55.0</v>
      </c>
    </row>
    <row r="188" ht="14.25" customHeight="1">
      <c r="A188" s="22" t="s">
        <v>26</v>
      </c>
      <c r="B188" s="22" t="s">
        <v>278</v>
      </c>
      <c r="C188" s="22" t="s">
        <v>279</v>
      </c>
      <c r="D188" s="22" t="s">
        <v>279</v>
      </c>
      <c r="E188" s="23">
        <v>40801.0</v>
      </c>
      <c r="F188" s="23">
        <v>397.0</v>
      </c>
      <c r="G188" s="23">
        <v>1124.0</v>
      </c>
      <c r="H188" s="23">
        <v>2304.0</v>
      </c>
      <c r="I188" s="23">
        <v>2144.0</v>
      </c>
      <c r="J188" s="23">
        <v>5969.0</v>
      </c>
      <c r="K188" s="24">
        <f t="shared" si="2"/>
        <v>35.91891439</v>
      </c>
      <c r="L188" s="23">
        <v>397.0</v>
      </c>
    </row>
    <row r="189" ht="14.25" customHeight="1">
      <c r="A189" s="22" t="s">
        <v>26</v>
      </c>
      <c r="B189" s="22" t="s">
        <v>278</v>
      </c>
      <c r="C189" s="22" t="s">
        <v>280</v>
      </c>
      <c r="D189" s="22" t="s">
        <v>280</v>
      </c>
      <c r="E189" s="23">
        <v>40802.0</v>
      </c>
      <c r="F189" s="23">
        <v>152.0</v>
      </c>
      <c r="G189" s="23">
        <v>315.0</v>
      </c>
      <c r="H189" s="23">
        <v>387.0</v>
      </c>
      <c r="I189" s="23">
        <v>421.0</v>
      </c>
      <c r="J189" s="23">
        <v>1275.0</v>
      </c>
      <c r="K189" s="24">
        <f t="shared" si="2"/>
        <v>33.01960784</v>
      </c>
      <c r="L189" s="23">
        <v>152.0</v>
      </c>
    </row>
    <row r="190" ht="14.25" customHeight="1">
      <c r="A190" s="22" t="s">
        <v>26</v>
      </c>
      <c r="B190" s="22" t="s">
        <v>281</v>
      </c>
      <c r="C190" s="22" t="s">
        <v>281</v>
      </c>
      <c r="D190" s="22" t="s">
        <v>281</v>
      </c>
      <c r="E190" s="23">
        <v>40901.0</v>
      </c>
      <c r="F190" s="23">
        <v>194.0</v>
      </c>
      <c r="G190" s="23">
        <v>482.0</v>
      </c>
      <c r="H190" s="23">
        <v>1613.0</v>
      </c>
      <c r="I190" s="23">
        <v>1566.0</v>
      </c>
      <c r="J190" s="23">
        <v>3855.0</v>
      </c>
      <c r="K190" s="24">
        <f t="shared" si="2"/>
        <v>40.62256809</v>
      </c>
      <c r="L190" s="23">
        <v>194.0</v>
      </c>
    </row>
    <row r="191" ht="14.25" customHeight="1">
      <c r="A191" s="22" t="s">
        <v>26</v>
      </c>
      <c r="B191" s="22" t="s">
        <v>281</v>
      </c>
      <c r="C191" s="22" t="s">
        <v>282</v>
      </c>
      <c r="D191" s="22" t="s">
        <v>282</v>
      </c>
      <c r="E191" s="23">
        <v>40902.0</v>
      </c>
      <c r="F191" s="23">
        <v>13.0</v>
      </c>
      <c r="G191" s="23">
        <v>34.0</v>
      </c>
      <c r="H191" s="23">
        <v>147.0</v>
      </c>
      <c r="I191" s="23">
        <v>163.0</v>
      </c>
      <c r="J191" s="23">
        <v>357.0</v>
      </c>
      <c r="K191" s="24">
        <f t="shared" si="2"/>
        <v>45.65826331</v>
      </c>
      <c r="L191" s="23">
        <v>13.0</v>
      </c>
    </row>
    <row r="192" ht="14.25" customHeight="1">
      <c r="A192" s="22" t="s">
        <v>26</v>
      </c>
      <c r="B192" s="22" t="s">
        <v>281</v>
      </c>
      <c r="C192" s="22" t="s">
        <v>283</v>
      </c>
      <c r="D192" s="22" t="s">
        <v>283</v>
      </c>
      <c r="E192" s="23">
        <v>40903.0</v>
      </c>
      <c r="F192" s="23">
        <v>326.0</v>
      </c>
      <c r="G192" s="23">
        <v>248.0</v>
      </c>
      <c r="H192" s="23">
        <v>278.0</v>
      </c>
      <c r="I192" s="23">
        <v>253.0</v>
      </c>
      <c r="J192" s="23">
        <v>1105.0</v>
      </c>
      <c r="K192" s="24">
        <f t="shared" si="2"/>
        <v>22.8959276</v>
      </c>
      <c r="L192" s="23">
        <v>326.0</v>
      </c>
    </row>
    <row r="193" ht="14.25" customHeight="1">
      <c r="A193" s="22" t="s">
        <v>26</v>
      </c>
      <c r="B193" s="22" t="s">
        <v>284</v>
      </c>
      <c r="C193" s="22" t="s">
        <v>285</v>
      </c>
      <c r="D193" s="22" t="s">
        <v>285</v>
      </c>
      <c r="E193" s="23">
        <v>41001.0</v>
      </c>
      <c r="F193" s="23">
        <v>1108.0</v>
      </c>
      <c r="G193" s="23">
        <v>1604.0</v>
      </c>
      <c r="H193" s="23">
        <v>1397.0</v>
      </c>
      <c r="I193" s="23">
        <v>623.0</v>
      </c>
      <c r="J193" s="23">
        <v>4732.0</v>
      </c>
      <c r="K193" s="24">
        <f t="shared" si="2"/>
        <v>13.16568047</v>
      </c>
      <c r="L193" s="23">
        <v>1108.0</v>
      </c>
    </row>
    <row r="194" ht="14.25" customHeight="1">
      <c r="A194" s="22" t="s">
        <v>26</v>
      </c>
      <c r="B194" s="22" t="s">
        <v>286</v>
      </c>
      <c r="C194" s="22" t="s">
        <v>287</v>
      </c>
      <c r="D194" s="22" t="s">
        <v>287</v>
      </c>
      <c r="E194" s="23">
        <v>41101.0</v>
      </c>
      <c r="F194" s="23">
        <v>97.0</v>
      </c>
      <c r="G194" s="23">
        <v>321.0</v>
      </c>
      <c r="H194" s="23">
        <v>874.0</v>
      </c>
      <c r="I194" s="23">
        <v>644.0</v>
      </c>
      <c r="J194" s="23">
        <v>1936.0</v>
      </c>
      <c r="K194" s="24">
        <f t="shared" si="2"/>
        <v>33.26446281</v>
      </c>
      <c r="L194" s="23">
        <v>97.0</v>
      </c>
    </row>
    <row r="195" ht="14.25" customHeight="1">
      <c r="A195" s="22" t="s">
        <v>26</v>
      </c>
      <c r="B195" s="22" t="s">
        <v>288</v>
      </c>
      <c r="C195" s="22" t="s">
        <v>289</v>
      </c>
      <c r="D195" s="22" t="s">
        <v>290</v>
      </c>
      <c r="E195" s="23">
        <v>41201.0</v>
      </c>
      <c r="F195" s="23">
        <v>449.0</v>
      </c>
      <c r="G195" s="23">
        <v>635.0</v>
      </c>
      <c r="H195" s="23">
        <v>600.0</v>
      </c>
      <c r="I195" s="23">
        <v>601.0</v>
      </c>
      <c r="J195" s="23">
        <v>2285.0</v>
      </c>
      <c r="K195" s="24">
        <f t="shared" si="2"/>
        <v>26.30196937</v>
      </c>
      <c r="L195" s="23">
        <v>449.0</v>
      </c>
    </row>
    <row r="196" ht="14.25" customHeight="1">
      <c r="A196" s="22" t="s">
        <v>26</v>
      </c>
      <c r="B196" s="22" t="s">
        <v>288</v>
      </c>
      <c r="C196" s="22" t="s">
        <v>291</v>
      </c>
      <c r="D196" s="22" t="s">
        <v>291</v>
      </c>
      <c r="E196" s="23">
        <v>41202.0</v>
      </c>
      <c r="F196" s="23">
        <v>211.0</v>
      </c>
      <c r="G196" s="23">
        <v>180.0</v>
      </c>
      <c r="H196" s="23">
        <v>344.0</v>
      </c>
      <c r="I196" s="23">
        <v>364.0</v>
      </c>
      <c r="J196" s="23">
        <v>1099.0</v>
      </c>
      <c r="K196" s="24">
        <f t="shared" si="2"/>
        <v>33.12101911</v>
      </c>
      <c r="L196" s="23">
        <v>211.0</v>
      </c>
    </row>
    <row r="197" ht="14.25" customHeight="1">
      <c r="A197" s="22" t="s">
        <v>26</v>
      </c>
      <c r="B197" s="22" t="s">
        <v>292</v>
      </c>
      <c r="C197" s="22" t="s">
        <v>229</v>
      </c>
      <c r="D197" s="22" t="s">
        <v>229</v>
      </c>
      <c r="E197" s="23">
        <v>41301.0</v>
      </c>
      <c r="F197" s="23">
        <v>732.0</v>
      </c>
      <c r="G197" s="23">
        <v>740.0</v>
      </c>
      <c r="H197" s="23">
        <v>697.0</v>
      </c>
      <c r="I197" s="23">
        <v>479.0</v>
      </c>
      <c r="J197" s="23">
        <v>2648.0</v>
      </c>
      <c r="K197" s="24">
        <f t="shared" si="2"/>
        <v>18.08912387</v>
      </c>
      <c r="L197" s="23">
        <v>732.0</v>
      </c>
    </row>
    <row r="198" ht="14.25" customHeight="1">
      <c r="A198" s="22" t="s">
        <v>26</v>
      </c>
      <c r="B198" s="22" t="s">
        <v>293</v>
      </c>
      <c r="C198" s="22" t="s">
        <v>294</v>
      </c>
      <c r="D198" s="22" t="s">
        <v>294</v>
      </c>
      <c r="E198" s="23">
        <v>41401.0</v>
      </c>
      <c r="F198" s="23">
        <v>574.0</v>
      </c>
      <c r="G198" s="23">
        <v>818.0</v>
      </c>
      <c r="H198" s="23">
        <v>1719.0</v>
      </c>
      <c r="I198" s="23">
        <v>1528.0</v>
      </c>
      <c r="J198" s="23">
        <v>4639.0</v>
      </c>
      <c r="K198" s="24">
        <f t="shared" si="2"/>
        <v>32.93813322</v>
      </c>
      <c r="L198" s="23">
        <v>574.0</v>
      </c>
    </row>
    <row r="199" ht="14.25" customHeight="1">
      <c r="A199" s="22" t="s">
        <v>26</v>
      </c>
      <c r="B199" s="22" t="s">
        <v>295</v>
      </c>
      <c r="C199" s="22" t="s">
        <v>296</v>
      </c>
      <c r="D199" s="22" t="s">
        <v>296</v>
      </c>
      <c r="E199" s="23">
        <v>41501.0</v>
      </c>
      <c r="F199" s="23">
        <v>41.0</v>
      </c>
      <c r="G199" s="23">
        <v>51.0</v>
      </c>
      <c r="H199" s="23">
        <v>57.0</v>
      </c>
      <c r="I199" s="23">
        <v>134.0</v>
      </c>
      <c r="J199" s="23">
        <v>283.0</v>
      </c>
      <c r="K199" s="24">
        <f t="shared" si="2"/>
        <v>47.34982332</v>
      </c>
      <c r="L199" s="23">
        <v>41.0</v>
      </c>
    </row>
    <row r="200" ht="14.25" customHeight="1">
      <c r="A200" s="22" t="s">
        <v>26</v>
      </c>
      <c r="B200" s="22" t="s">
        <v>295</v>
      </c>
      <c r="C200" s="22" t="s">
        <v>297</v>
      </c>
      <c r="D200" s="22" t="s">
        <v>297</v>
      </c>
      <c r="E200" s="23">
        <v>41502.0</v>
      </c>
      <c r="F200" s="23">
        <v>26.0</v>
      </c>
      <c r="G200" s="23">
        <v>52.0</v>
      </c>
      <c r="H200" s="23">
        <v>64.0</v>
      </c>
      <c r="I200" s="23">
        <v>187.0</v>
      </c>
      <c r="J200" s="23">
        <v>329.0</v>
      </c>
      <c r="K200" s="24">
        <f t="shared" si="2"/>
        <v>56.83890578</v>
      </c>
      <c r="L200" s="23">
        <v>26.0</v>
      </c>
    </row>
    <row r="201" ht="14.25" customHeight="1">
      <c r="A201" s="22" t="s">
        <v>26</v>
      </c>
      <c r="B201" s="22" t="s">
        <v>295</v>
      </c>
      <c r="C201" s="22" t="s">
        <v>258</v>
      </c>
      <c r="D201" s="22" t="s">
        <v>258</v>
      </c>
      <c r="E201" s="23">
        <v>41503.0</v>
      </c>
      <c r="F201" s="23">
        <v>11.0</v>
      </c>
      <c r="G201" s="23">
        <v>54.0</v>
      </c>
      <c r="H201" s="23">
        <v>91.0</v>
      </c>
      <c r="I201" s="23">
        <v>101.0</v>
      </c>
      <c r="J201" s="23">
        <v>257.0</v>
      </c>
      <c r="K201" s="24">
        <f t="shared" si="2"/>
        <v>39.29961089</v>
      </c>
      <c r="L201" s="23">
        <v>11.0</v>
      </c>
    </row>
    <row r="202" ht="14.25" customHeight="1">
      <c r="A202" s="22" t="s">
        <v>26</v>
      </c>
      <c r="B202" s="22" t="s">
        <v>298</v>
      </c>
      <c r="C202" s="22" t="s">
        <v>299</v>
      </c>
      <c r="D202" s="22" t="s">
        <v>300</v>
      </c>
      <c r="E202" s="23">
        <v>41601.0</v>
      </c>
      <c r="F202" s="23">
        <v>632.0</v>
      </c>
      <c r="G202" s="23">
        <v>677.0</v>
      </c>
      <c r="H202" s="23">
        <v>842.0</v>
      </c>
      <c r="I202" s="23">
        <v>571.0</v>
      </c>
      <c r="J202" s="23">
        <v>2722.0</v>
      </c>
      <c r="K202" s="24">
        <f t="shared" si="2"/>
        <v>20.97722263</v>
      </c>
      <c r="L202" s="23">
        <v>632.0</v>
      </c>
    </row>
    <row r="203" ht="14.25" customHeight="1">
      <c r="A203" s="22" t="s">
        <v>29</v>
      </c>
      <c r="B203" s="22" t="s">
        <v>301</v>
      </c>
      <c r="C203" s="22" t="s">
        <v>29</v>
      </c>
      <c r="D203" s="22" t="s">
        <v>29</v>
      </c>
      <c r="E203" s="23">
        <v>50101.0</v>
      </c>
      <c r="F203" s="23">
        <v>1118.0</v>
      </c>
      <c r="G203" s="23">
        <v>3407.0</v>
      </c>
      <c r="H203" s="23">
        <v>7305.0</v>
      </c>
      <c r="I203" s="23">
        <v>55549.0</v>
      </c>
      <c r="J203" s="23">
        <v>67379.0</v>
      </c>
      <c r="K203" s="24">
        <f t="shared" si="2"/>
        <v>82.44260081</v>
      </c>
      <c r="L203" s="23">
        <v>1118.0</v>
      </c>
    </row>
    <row r="204" ht="14.25" customHeight="1">
      <c r="A204" s="22" t="s">
        <v>29</v>
      </c>
      <c r="B204" s="22" t="s">
        <v>301</v>
      </c>
      <c r="C204" s="22" t="s">
        <v>302</v>
      </c>
      <c r="D204" s="22" t="s">
        <v>302</v>
      </c>
      <c r="E204" s="23">
        <v>50102.0</v>
      </c>
      <c r="F204" s="23">
        <v>1094.0</v>
      </c>
      <c r="G204" s="23">
        <v>2692.0</v>
      </c>
      <c r="H204" s="23">
        <v>5107.0</v>
      </c>
      <c r="I204" s="23">
        <v>903.0</v>
      </c>
      <c r="J204" s="23">
        <v>9796.0</v>
      </c>
      <c r="K204" s="24">
        <f t="shared" si="2"/>
        <v>9.218048183</v>
      </c>
      <c r="L204" s="23">
        <v>1094.0</v>
      </c>
    </row>
    <row r="205" ht="14.25" customHeight="1">
      <c r="A205" s="22" t="s">
        <v>29</v>
      </c>
      <c r="B205" s="22" t="s">
        <v>301</v>
      </c>
      <c r="C205" s="22" t="s">
        <v>303</v>
      </c>
      <c r="D205" s="22" t="s">
        <v>304</v>
      </c>
      <c r="E205" s="23">
        <v>50103.0</v>
      </c>
      <c r="F205" s="23">
        <v>173.0</v>
      </c>
      <c r="G205" s="23">
        <v>569.0</v>
      </c>
      <c r="H205" s="23">
        <v>1750.0</v>
      </c>
      <c r="I205" s="23">
        <v>1699.0</v>
      </c>
      <c r="J205" s="23">
        <v>4191.0</v>
      </c>
      <c r="K205" s="24">
        <f t="shared" si="2"/>
        <v>40.53925078</v>
      </c>
      <c r="L205" s="23">
        <v>173.0</v>
      </c>
    </row>
    <row r="206" ht="14.25" customHeight="1">
      <c r="A206" s="22" t="s">
        <v>29</v>
      </c>
      <c r="B206" s="22" t="s">
        <v>301</v>
      </c>
      <c r="C206" s="22" t="s">
        <v>305</v>
      </c>
      <c r="D206" s="22" t="s">
        <v>306</v>
      </c>
      <c r="E206" s="23">
        <v>50104.0</v>
      </c>
      <c r="F206" s="23">
        <v>329.0</v>
      </c>
      <c r="G206" s="23">
        <v>332.0</v>
      </c>
      <c r="H206" s="23">
        <v>356.0</v>
      </c>
      <c r="I206" s="23">
        <v>204.0</v>
      </c>
      <c r="J206" s="23">
        <v>1221.0</v>
      </c>
      <c r="K206" s="24">
        <f t="shared" si="2"/>
        <v>16.70761671</v>
      </c>
      <c r="L206" s="23">
        <v>329.0</v>
      </c>
    </row>
    <row r="207" ht="14.25" customHeight="1">
      <c r="A207" s="22" t="s">
        <v>29</v>
      </c>
      <c r="B207" s="22" t="s">
        <v>307</v>
      </c>
      <c r="C207" s="22" t="s">
        <v>308</v>
      </c>
      <c r="D207" s="22" t="s">
        <v>308</v>
      </c>
      <c r="E207" s="23">
        <v>50201.0</v>
      </c>
      <c r="F207" s="23">
        <v>588.0</v>
      </c>
      <c r="G207" s="23">
        <v>1380.0</v>
      </c>
      <c r="H207" s="23">
        <v>3263.0</v>
      </c>
      <c r="I207" s="23">
        <v>3206.0</v>
      </c>
      <c r="J207" s="23">
        <v>8437.0</v>
      </c>
      <c r="K207" s="24">
        <f t="shared" si="2"/>
        <v>37.99928885</v>
      </c>
      <c r="L207" s="23">
        <v>588.0</v>
      </c>
    </row>
    <row r="208" ht="14.25" customHeight="1">
      <c r="A208" s="22" t="s">
        <v>29</v>
      </c>
      <c r="B208" s="22" t="s">
        <v>307</v>
      </c>
      <c r="C208" s="22" t="s">
        <v>309</v>
      </c>
      <c r="D208" s="22" t="s">
        <v>309</v>
      </c>
      <c r="E208" s="23">
        <v>50202.0</v>
      </c>
      <c r="F208" s="23">
        <v>166.0</v>
      </c>
      <c r="G208" s="23">
        <v>663.0</v>
      </c>
      <c r="H208" s="23">
        <v>2800.0</v>
      </c>
      <c r="I208" s="23">
        <v>2029.0</v>
      </c>
      <c r="J208" s="23">
        <v>5658.0</v>
      </c>
      <c r="K208" s="24">
        <f t="shared" si="2"/>
        <v>35.86072817</v>
      </c>
      <c r="L208" s="23">
        <v>166.0</v>
      </c>
    </row>
    <row r="209" ht="14.25" customHeight="1">
      <c r="A209" s="22" t="s">
        <v>29</v>
      </c>
      <c r="B209" s="22" t="s">
        <v>307</v>
      </c>
      <c r="C209" s="22" t="s">
        <v>310</v>
      </c>
      <c r="D209" s="22" t="s">
        <v>310</v>
      </c>
      <c r="E209" s="23">
        <v>50203.0</v>
      </c>
      <c r="F209" s="23">
        <v>429.0</v>
      </c>
      <c r="G209" s="23">
        <v>1468.0</v>
      </c>
      <c r="H209" s="23">
        <v>4185.0</v>
      </c>
      <c r="I209" s="23">
        <v>9935.0</v>
      </c>
      <c r="J209" s="23">
        <v>16017.0</v>
      </c>
      <c r="K209" s="24">
        <f t="shared" si="2"/>
        <v>62.02784541</v>
      </c>
      <c r="L209" s="23">
        <v>429.0</v>
      </c>
    </row>
    <row r="210" ht="14.25" customHeight="1">
      <c r="A210" s="22" t="s">
        <v>29</v>
      </c>
      <c r="B210" s="22" t="s">
        <v>307</v>
      </c>
      <c r="C210" s="22" t="s">
        <v>311</v>
      </c>
      <c r="D210" s="22" t="s">
        <v>311</v>
      </c>
      <c r="E210" s="23">
        <v>50204.0</v>
      </c>
      <c r="F210" s="23">
        <v>213.0</v>
      </c>
      <c r="G210" s="23">
        <v>594.0</v>
      </c>
      <c r="H210" s="23">
        <v>1872.0</v>
      </c>
      <c r="I210" s="23">
        <v>353.0</v>
      </c>
      <c r="J210" s="23">
        <v>3032.0</v>
      </c>
      <c r="K210" s="24">
        <f t="shared" si="2"/>
        <v>11.64248021</v>
      </c>
      <c r="L210" s="23">
        <v>213.0</v>
      </c>
    </row>
    <row r="211" ht="14.25" customHeight="1">
      <c r="A211" s="22" t="s">
        <v>29</v>
      </c>
      <c r="B211" s="22" t="s">
        <v>312</v>
      </c>
      <c r="C211" s="22" t="s">
        <v>313</v>
      </c>
      <c r="D211" s="22" t="s">
        <v>314</v>
      </c>
      <c r="E211" s="23">
        <v>50301.0</v>
      </c>
      <c r="F211" s="23">
        <v>1085.0</v>
      </c>
      <c r="G211" s="23">
        <v>2002.0</v>
      </c>
      <c r="H211" s="23">
        <v>3816.0</v>
      </c>
      <c r="I211" s="23">
        <v>4018.0</v>
      </c>
      <c r="J211" s="23">
        <v>10921.0</v>
      </c>
      <c r="K211" s="24">
        <f t="shared" si="2"/>
        <v>36.79150261</v>
      </c>
      <c r="L211" s="23">
        <v>1085.0</v>
      </c>
    </row>
    <row r="212" ht="14.25" customHeight="1">
      <c r="A212" s="22" t="s">
        <v>29</v>
      </c>
      <c r="B212" s="22" t="s">
        <v>312</v>
      </c>
      <c r="C212" s="22" t="s">
        <v>315</v>
      </c>
      <c r="D212" s="22" t="s">
        <v>315</v>
      </c>
      <c r="E212" s="23">
        <v>50302.0</v>
      </c>
      <c r="F212" s="23">
        <v>362.0</v>
      </c>
      <c r="G212" s="23">
        <v>617.0</v>
      </c>
      <c r="H212" s="23">
        <v>1276.0</v>
      </c>
      <c r="I212" s="23">
        <v>1227.0</v>
      </c>
      <c r="J212" s="23">
        <v>3482.0</v>
      </c>
      <c r="K212" s="24">
        <f t="shared" si="2"/>
        <v>35.23836875</v>
      </c>
      <c r="L212" s="23">
        <v>362.0</v>
      </c>
    </row>
    <row r="213" ht="14.25" customHeight="1">
      <c r="A213" s="22" t="s">
        <v>29</v>
      </c>
      <c r="B213" s="22" t="s">
        <v>312</v>
      </c>
      <c r="C213" s="22" t="s">
        <v>316</v>
      </c>
      <c r="D213" s="22" t="s">
        <v>316</v>
      </c>
      <c r="E213" s="23">
        <v>50303.0</v>
      </c>
      <c r="F213" s="23">
        <v>1197.0</v>
      </c>
      <c r="G213" s="23">
        <v>1623.0</v>
      </c>
      <c r="H213" s="23">
        <v>2096.0</v>
      </c>
      <c r="I213" s="23">
        <v>265.0</v>
      </c>
      <c r="J213" s="23">
        <v>5181.0</v>
      </c>
      <c r="K213" s="24">
        <f t="shared" si="2"/>
        <v>5.114842694</v>
      </c>
      <c r="L213" s="23">
        <v>1197.0</v>
      </c>
    </row>
    <row r="214" ht="14.25" customHeight="1">
      <c r="A214" s="22" t="s">
        <v>29</v>
      </c>
      <c r="B214" s="22" t="s">
        <v>309</v>
      </c>
      <c r="C214" s="22" t="s">
        <v>317</v>
      </c>
      <c r="D214" s="22" t="s">
        <v>317</v>
      </c>
      <c r="E214" s="23">
        <v>50401.0</v>
      </c>
      <c r="F214" s="23">
        <v>930.0</v>
      </c>
      <c r="G214" s="23">
        <v>1707.0</v>
      </c>
      <c r="H214" s="23">
        <v>2106.0</v>
      </c>
      <c r="I214" s="23">
        <v>1754.0</v>
      </c>
      <c r="J214" s="23">
        <v>6497.0</v>
      </c>
      <c r="K214" s="24">
        <f t="shared" si="2"/>
        <v>26.99707557</v>
      </c>
      <c r="L214" s="23">
        <v>930.0</v>
      </c>
    </row>
    <row r="215" ht="14.25" customHeight="1">
      <c r="A215" s="22" t="s">
        <v>29</v>
      </c>
      <c r="B215" s="22" t="s">
        <v>309</v>
      </c>
      <c r="C215" s="22" t="s">
        <v>318</v>
      </c>
      <c r="D215" s="22" t="s">
        <v>318</v>
      </c>
      <c r="E215" s="23">
        <v>50402.0</v>
      </c>
      <c r="F215" s="23">
        <v>1037.0</v>
      </c>
      <c r="G215" s="23">
        <v>1872.0</v>
      </c>
      <c r="H215" s="23">
        <v>2517.0</v>
      </c>
      <c r="I215" s="23">
        <v>1454.0</v>
      </c>
      <c r="J215" s="23">
        <v>6880.0</v>
      </c>
      <c r="K215" s="24">
        <f t="shared" si="2"/>
        <v>21.13372093</v>
      </c>
      <c r="L215" s="23">
        <v>1037.0</v>
      </c>
    </row>
    <row r="216" ht="14.25" customHeight="1">
      <c r="A216" s="22" t="s">
        <v>29</v>
      </c>
      <c r="B216" s="22" t="s">
        <v>309</v>
      </c>
      <c r="C216" s="22" t="s">
        <v>319</v>
      </c>
      <c r="D216" s="22" t="s">
        <v>319</v>
      </c>
      <c r="E216" s="23">
        <v>50403.0</v>
      </c>
      <c r="F216" s="23">
        <v>1464.0</v>
      </c>
      <c r="G216" s="23">
        <v>3313.0</v>
      </c>
      <c r="H216" s="23">
        <v>5787.0</v>
      </c>
      <c r="I216" s="23">
        <v>1974.0</v>
      </c>
      <c r="J216" s="23">
        <v>12538.0</v>
      </c>
      <c r="K216" s="24">
        <f t="shared" si="2"/>
        <v>15.74413782</v>
      </c>
      <c r="L216" s="23">
        <v>1464.0</v>
      </c>
    </row>
    <row r="217" ht="14.25" customHeight="1">
      <c r="A217" s="22" t="s">
        <v>29</v>
      </c>
      <c r="B217" s="22" t="s">
        <v>309</v>
      </c>
      <c r="C217" s="22" t="s">
        <v>320</v>
      </c>
      <c r="D217" s="22" t="s">
        <v>320</v>
      </c>
      <c r="E217" s="23">
        <v>50404.0</v>
      </c>
      <c r="F217" s="23">
        <v>1093.0</v>
      </c>
      <c r="G217" s="23">
        <v>1884.0</v>
      </c>
      <c r="H217" s="23">
        <v>2237.0</v>
      </c>
      <c r="I217" s="23">
        <v>967.0</v>
      </c>
      <c r="J217" s="23">
        <v>6181.0</v>
      </c>
      <c r="K217" s="24">
        <f t="shared" si="2"/>
        <v>15.64471768</v>
      </c>
      <c r="L217" s="23">
        <v>1093.0</v>
      </c>
    </row>
    <row r="218" ht="14.25" customHeight="1">
      <c r="A218" s="22" t="s">
        <v>29</v>
      </c>
      <c r="B218" s="22" t="s">
        <v>309</v>
      </c>
      <c r="C218" s="22" t="s">
        <v>321</v>
      </c>
      <c r="D218" s="22" t="s">
        <v>321</v>
      </c>
      <c r="E218" s="23">
        <v>50405.0</v>
      </c>
      <c r="F218" s="23">
        <v>1058.0</v>
      </c>
      <c r="G218" s="23">
        <v>2277.0</v>
      </c>
      <c r="H218" s="23">
        <v>3712.0</v>
      </c>
      <c r="I218" s="23">
        <v>1391.0</v>
      </c>
      <c r="J218" s="23">
        <v>8438.0</v>
      </c>
      <c r="K218" s="24">
        <f t="shared" si="2"/>
        <v>16.48494904</v>
      </c>
      <c r="L218" s="23">
        <v>1058.0</v>
      </c>
    </row>
    <row r="219" ht="14.25" customHeight="1">
      <c r="A219" s="22" t="s">
        <v>29</v>
      </c>
      <c r="B219" s="22" t="s">
        <v>322</v>
      </c>
      <c r="C219" s="22" t="s">
        <v>323</v>
      </c>
      <c r="D219" s="22" t="s">
        <v>323</v>
      </c>
      <c r="E219" s="23">
        <v>50501.0</v>
      </c>
      <c r="F219" s="23">
        <v>2897.0</v>
      </c>
      <c r="G219" s="23">
        <v>3841.0</v>
      </c>
      <c r="H219" s="23">
        <v>3524.0</v>
      </c>
      <c r="I219" s="23">
        <v>1041.0</v>
      </c>
      <c r="J219" s="23">
        <v>11303.0</v>
      </c>
      <c r="K219" s="24">
        <f t="shared" si="2"/>
        <v>9.209944263</v>
      </c>
      <c r="L219" s="23">
        <v>2897.0</v>
      </c>
    </row>
    <row r="220" ht="14.25" customHeight="1">
      <c r="A220" s="22" t="s">
        <v>29</v>
      </c>
      <c r="B220" s="22" t="s">
        <v>322</v>
      </c>
      <c r="C220" s="22" t="s">
        <v>324</v>
      </c>
      <c r="D220" s="22" t="s">
        <v>324</v>
      </c>
      <c r="E220" s="23">
        <v>50502.0</v>
      </c>
      <c r="F220" s="23">
        <v>782.0</v>
      </c>
      <c r="G220" s="23">
        <v>1283.0</v>
      </c>
      <c r="H220" s="23">
        <v>1128.0</v>
      </c>
      <c r="I220" s="23">
        <v>999.0</v>
      </c>
      <c r="J220" s="23">
        <v>4192.0</v>
      </c>
      <c r="K220" s="24">
        <f t="shared" si="2"/>
        <v>23.83110687</v>
      </c>
      <c r="L220" s="23">
        <v>782.0</v>
      </c>
    </row>
    <row r="221" ht="14.25" customHeight="1">
      <c r="A221" s="22" t="s">
        <v>29</v>
      </c>
      <c r="B221" s="22" t="s">
        <v>325</v>
      </c>
      <c r="C221" s="22" t="s">
        <v>326</v>
      </c>
      <c r="D221" s="22" t="s">
        <v>326</v>
      </c>
      <c r="E221" s="23">
        <v>50601.0</v>
      </c>
      <c r="F221" s="23">
        <v>1463.0</v>
      </c>
      <c r="G221" s="23">
        <v>2045.0</v>
      </c>
      <c r="H221" s="23">
        <v>3320.0</v>
      </c>
      <c r="I221" s="23">
        <v>4396.0</v>
      </c>
      <c r="J221" s="23">
        <v>11224.0</v>
      </c>
      <c r="K221" s="24">
        <f t="shared" si="2"/>
        <v>39.1660727</v>
      </c>
      <c r="L221" s="23">
        <v>1463.0</v>
      </c>
    </row>
    <row r="222" ht="14.25" customHeight="1">
      <c r="A222" s="22" t="s">
        <v>29</v>
      </c>
      <c r="B222" s="22" t="s">
        <v>325</v>
      </c>
      <c r="C222" s="22" t="s">
        <v>327</v>
      </c>
      <c r="D222" s="22" t="s">
        <v>327</v>
      </c>
      <c r="E222" s="23">
        <v>50602.0</v>
      </c>
      <c r="F222" s="23">
        <v>466.0</v>
      </c>
      <c r="G222" s="23">
        <v>525.0</v>
      </c>
      <c r="H222" s="23">
        <v>1241.0</v>
      </c>
      <c r="I222" s="23">
        <v>1648.0</v>
      </c>
      <c r="J222" s="23">
        <v>3880.0</v>
      </c>
      <c r="K222" s="24">
        <f t="shared" si="2"/>
        <v>42.4742268</v>
      </c>
      <c r="L222" s="23">
        <v>466.0</v>
      </c>
    </row>
    <row r="223" ht="14.25" customHeight="1">
      <c r="A223" s="22" t="s">
        <v>29</v>
      </c>
      <c r="B223" s="22" t="s">
        <v>328</v>
      </c>
      <c r="C223" s="22" t="s">
        <v>329</v>
      </c>
      <c r="D223" s="22" t="s">
        <v>330</v>
      </c>
      <c r="E223" s="23">
        <v>50701.0</v>
      </c>
      <c r="F223" s="23">
        <v>450.0</v>
      </c>
      <c r="G223" s="23">
        <v>1506.0</v>
      </c>
      <c r="H223" s="23">
        <v>3400.0</v>
      </c>
      <c r="I223" s="23">
        <v>1423.0</v>
      </c>
      <c r="J223" s="23">
        <v>6779.0</v>
      </c>
      <c r="K223" s="24">
        <f t="shared" si="2"/>
        <v>20.99129665</v>
      </c>
      <c r="L223" s="23">
        <v>450.0</v>
      </c>
    </row>
    <row r="224" ht="14.25" customHeight="1">
      <c r="A224" s="22" t="s">
        <v>29</v>
      </c>
      <c r="B224" s="22" t="s">
        <v>328</v>
      </c>
      <c r="C224" s="22" t="s">
        <v>331</v>
      </c>
      <c r="D224" s="22" t="s">
        <v>331</v>
      </c>
      <c r="E224" s="23">
        <v>50702.0</v>
      </c>
      <c r="F224" s="23">
        <v>264.0</v>
      </c>
      <c r="G224" s="23">
        <v>825.0</v>
      </c>
      <c r="H224" s="23">
        <v>2008.0</v>
      </c>
      <c r="I224" s="23">
        <v>420.0</v>
      </c>
      <c r="J224" s="23">
        <v>3517.0</v>
      </c>
      <c r="K224" s="24">
        <f t="shared" si="2"/>
        <v>11.94199602</v>
      </c>
      <c r="L224" s="23">
        <v>264.0</v>
      </c>
    </row>
    <row r="225" ht="14.25" customHeight="1">
      <c r="A225" s="22" t="s">
        <v>29</v>
      </c>
      <c r="B225" s="22" t="s">
        <v>332</v>
      </c>
      <c r="C225" s="22" t="s">
        <v>333</v>
      </c>
      <c r="D225" s="22" t="s">
        <v>333</v>
      </c>
      <c r="E225" s="23">
        <v>50801.0</v>
      </c>
      <c r="F225" s="23">
        <v>683.0</v>
      </c>
      <c r="G225" s="23">
        <v>1259.0</v>
      </c>
      <c r="H225" s="23">
        <v>2583.0</v>
      </c>
      <c r="I225" s="23">
        <v>11351.0</v>
      </c>
      <c r="J225" s="23">
        <v>15876.0</v>
      </c>
      <c r="K225" s="24">
        <f t="shared" si="2"/>
        <v>71.4978584</v>
      </c>
      <c r="L225" s="23">
        <v>683.0</v>
      </c>
    </row>
    <row r="226" ht="14.25" customHeight="1">
      <c r="A226" s="22" t="s">
        <v>29</v>
      </c>
      <c r="B226" s="22" t="s">
        <v>332</v>
      </c>
      <c r="C226" s="22" t="s">
        <v>334</v>
      </c>
      <c r="D226" s="22" t="s">
        <v>334</v>
      </c>
      <c r="E226" s="23">
        <v>50802.0</v>
      </c>
      <c r="F226" s="23">
        <v>156.0</v>
      </c>
      <c r="G226" s="23">
        <v>205.0</v>
      </c>
      <c r="H226" s="23">
        <v>2019.0</v>
      </c>
      <c r="I226" s="23">
        <v>1371.0</v>
      </c>
      <c r="J226" s="23">
        <v>3751.0</v>
      </c>
      <c r="K226" s="24">
        <f t="shared" si="2"/>
        <v>36.55025327</v>
      </c>
      <c r="L226" s="23">
        <v>156.0</v>
      </c>
    </row>
    <row r="227" ht="14.25" customHeight="1">
      <c r="A227" s="22" t="s">
        <v>29</v>
      </c>
      <c r="B227" s="22" t="s">
        <v>335</v>
      </c>
      <c r="C227" s="22" t="s">
        <v>336</v>
      </c>
      <c r="D227" s="22" t="s">
        <v>337</v>
      </c>
      <c r="E227" s="23">
        <v>50901.0</v>
      </c>
      <c r="F227" s="23">
        <v>207.0</v>
      </c>
      <c r="G227" s="23">
        <v>363.0</v>
      </c>
      <c r="H227" s="23">
        <v>744.0</v>
      </c>
      <c r="I227" s="23">
        <v>2851.0</v>
      </c>
      <c r="J227" s="23">
        <v>4165.0</v>
      </c>
      <c r="K227" s="24">
        <f t="shared" si="2"/>
        <v>68.45138055</v>
      </c>
      <c r="L227" s="23">
        <v>207.0</v>
      </c>
    </row>
    <row r="228" ht="14.25" customHeight="1">
      <c r="A228" s="22" t="s">
        <v>29</v>
      </c>
      <c r="B228" s="22" t="s">
        <v>335</v>
      </c>
      <c r="C228" s="22" t="s">
        <v>338</v>
      </c>
      <c r="D228" s="22" t="s">
        <v>339</v>
      </c>
      <c r="E228" s="23">
        <v>50902.0</v>
      </c>
      <c r="F228" s="23">
        <v>59.0</v>
      </c>
      <c r="G228" s="23">
        <v>66.0</v>
      </c>
      <c r="H228" s="23">
        <v>147.0</v>
      </c>
      <c r="I228" s="23">
        <v>385.0</v>
      </c>
      <c r="J228" s="23">
        <v>657.0</v>
      </c>
      <c r="K228" s="24">
        <f t="shared" si="2"/>
        <v>58.59969559</v>
      </c>
      <c r="L228" s="23">
        <v>59.0</v>
      </c>
    </row>
    <row r="229" ht="14.25" customHeight="1">
      <c r="A229" s="22" t="s">
        <v>29</v>
      </c>
      <c r="B229" s="22" t="s">
        <v>340</v>
      </c>
      <c r="C229" s="22" t="s">
        <v>341</v>
      </c>
      <c r="D229" s="22" t="s">
        <v>342</v>
      </c>
      <c r="E229" s="23">
        <v>51001.0</v>
      </c>
      <c r="F229" s="23">
        <v>183.0</v>
      </c>
      <c r="G229" s="23">
        <v>235.0</v>
      </c>
      <c r="H229" s="23">
        <v>270.0</v>
      </c>
      <c r="I229" s="23">
        <v>423.0</v>
      </c>
      <c r="J229" s="23">
        <v>1111.0</v>
      </c>
      <c r="K229" s="24">
        <f t="shared" si="2"/>
        <v>38.07380738</v>
      </c>
      <c r="L229" s="23">
        <v>183.0</v>
      </c>
    </row>
    <row r="230" ht="14.25" customHeight="1">
      <c r="A230" s="22" t="s">
        <v>29</v>
      </c>
      <c r="B230" s="22" t="s">
        <v>340</v>
      </c>
      <c r="C230" s="22" t="s">
        <v>343</v>
      </c>
      <c r="D230" s="22" t="s">
        <v>343</v>
      </c>
      <c r="E230" s="23">
        <v>51002.0</v>
      </c>
      <c r="F230" s="23">
        <v>99.0</v>
      </c>
      <c r="G230" s="23">
        <v>45.0</v>
      </c>
      <c r="H230" s="23">
        <v>81.0</v>
      </c>
      <c r="I230" s="23">
        <v>99.0</v>
      </c>
      <c r="J230" s="23">
        <v>324.0</v>
      </c>
      <c r="K230" s="24">
        <f t="shared" si="2"/>
        <v>30.55555556</v>
      </c>
      <c r="L230" s="23">
        <v>99.0</v>
      </c>
    </row>
    <row r="231" ht="14.25" customHeight="1">
      <c r="A231" s="22" t="s">
        <v>29</v>
      </c>
      <c r="B231" s="22" t="s">
        <v>340</v>
      </c>
      <c r="C231" s="22" t="s">
        <v>344</v>
      </c>
      <c r="D231" s="22" t="s">
        <v>344</v>
      </c>
      <c r="E231" s="23">
        <v>51003.0</v>
      </c>
      <c r="F231" s="23">
        <v>95.0</v>
      </c>
      <c r="G231" s="23">
        <v>156.0</v>
      </c>
      <c r="H231" s="23">
        <v>226.0</v>
      </c>
      <c r="I231" s="23">
        <v>213.0</v>
      </c>
      <c r="J231" s="23">
        <v>690.0</v>
      </c>
      <c r="K231" s="24">
        <f t="shared" si="2"/>
        <v>30.86956522</v>
      </c>
      <c r="L231" s="23">
        <v>95.0</v>
      </c>
    </row>
    <row r="232" ht="14.25" customHeight="1">
      <c r="A232" s="22" t="s">
        <v>29</v>
      </c>
      <c r="B232" s="22" t="s">
        <v>345</v>
      </c>
      <c r="C232" s="22" t="s">
        <v>346</v>
      </c>
      <c r="D232" s="22" t="s">
        <v>347</v>
      </c>
      <c r="E232" s="23">
        <v>51101.0</v>
      </c>
      <c r="F232" s="23">
        <v>509.0</v>
      </c>
      <c r="G232" s="23">
        <v>1002.0</v>
      </c>
      <c r="H232" s="23">
        <v>2059.0</v>
      </c>
      <c r="I232" s="23">
        <v>2681.0</v>
      </c>
      <c r="J232" s="23">
        <v>6251.0</v>
      </c>
      <c r="K232" s="24">
        <f t="shared" si="2"/>
        <v>42.88913774</v>
      </c>
      <c r="L232" s="23">
        <v>509.0</v>
      </c>
    </row>
    <row r="233" ht="14.25" customHeight="1">
      <c r="A233" s="22" t="s">
        <v>29</v>
      </c>
      <c r="B233" s="22" t="s">
        <v>345</v>
      </c>
      <c r="C233" s="22" t="s">
        <v>348</v>
      </c>
      <c r="D233" s="22" t="s">
        <v>348</v>
      </c>
      <c r="E233" s="23">
        <v>51102.0</v>
      </c>
      <c r="F233" s="23">
        <v>548.0</v>
      </c>
      <c r="G233" s="23">
        <v>667.0</v>
      </c>
      <c r="H233" s="23">
        <v>1172.0</v>
      </c>
      <c r="I233" s="23">
        <v>2256.0</v>
      </c>
      <c r="J233" s="23">
        <v>4643.0</v>
      </c>
      <c r="K233" s="24">
        <f t="shared" si="2"/>
        <v>48.58927418</v>
      </c>
      <c r="L233" s="23">
        <v>548.0</v>
      </c>
    </row>
    <row r="234" ht="14.25" customHeight="1">
      <c r="A234" s="22" t="s">
        <v>29</v>
      </c>
      <c r="B234" s="22" t="s">
        <v>345</v>
      </c>
      <c r="C234" s="22" t="s">
        <v>349</v>
      </c>
      <c r="D234" s="22" t="s">
        <v>349</v>
      </c>
      <c r="E234" s="23">
        <v>51103.0</v>
      </c>
      <c r="F234" s="23">
        <v>763.0</v>
      </c>
      <c r="G234" s="23">
        <v>1428.0</v>
      </c>
      <c r="H234" s="23">
        <v>1476.0</v>
      </c>
      <c r="I234" s="23">
        <v>536.0</v>
      </c>
      <c r="J234" s="23">
        <v>4203.0</v>
      </c>
      <c r="K234" s="24">
        <f t="shared" si="2"/>
        <v>12.75279562</v>
      </c>
      <c r="L234" s="23">
        <v>763.0</v>
      </c>
    </row>
    <row r="235" ht="14.25" customHeight="1">
      <c r="A235" s="22" t="s">
        <v>29</v>
      </c>
      <c r="B235" s="22" t="s">
        <v>350</v>
      </c>
      <c r="C235" s="22" t="s">
        <v>351</v>
      </c>
      <c r="D235" s="22" t="s">
        <v>351</v>
      </c>
      <c r="E235" s="23">
        <v>51201.0</v>
      </c>
      <c r="F235" s="23">
        <v>814.0</v>
      </c>
      <c r="G235" s="23">
        <v>1265.0</v>
      </c>
      <c r="H235" s="23">
        <v>8408.0</v>
      </c>
      <c r="I235" s="23">
        <v>2647.0</v>
      </c>
      <c r="J235" s="23">
        <v>13134.0</v>
      </c>
      <c r="K235" s="24">
        <f t="shared" si="2"/>
        <v>20.1537993</v>
      </c>
      <c r="L235" s="23">
        <v>814.0</v>
      </c>
    </row>
    <row r="236" ht="14.25" customHeight="1">
      <c r="A236" s="22" t="s">
        <v>29</v>
      </c>
      <c r="B236" s="22" t="s">
        <v>350</v>
      </c>
      <c r="C236" s="22" t="s">
        <v>352</v>
      </c>
      <c r="D236" s="22" t="s">
        <v>352</v>
      </c>
      <c r="E236" s="23">
        <v>51202.0</v>
      </c>
      <c r="F236" s="23">
        <v>441.0</v>
      </c>
      <c r="G236" s="23">
        <v>896.0</v>
      </c>
      <c r="H236" s="23">
        <v>1206.0</v>
      </c>
      <c r="I236" s="23">
        <v>774.0</v>
      </c>
      <c r="J236" s="23">
        <v>3317.0</v>
      </c>
      <c r="K236" s="24">
        <f t="shared" si="2"/>
        <v>23.33433826</v>
      </c>
      <c r="L236" s="23">
        <v>441.0</v>
      </c>
    </row>
    <row r="237" ht="14.25" customHeight="1">
      <c r="A237" s="22" t="s">
        <v>29</v>
      </c>
      <c r="B237" s="22" t="s">
        <v>350</v>
      </c>
      <c r="C237" s="22" t="s">
        <v>353</v>
      </c>
      <c r="D237" s="22" t="s">
        <v>353</v>
      </c>
      <c r="E237" s="23">
        <v>51203.0</v>
      </c>
      <c r="F237" s="23">
        <v>201.0</v>
      </c>
      <c r="G237" s="23">
        <v>516.0</v>
      </c>
      <c r="H237" s="23">
        <v>642.0</v>
      </c>
      <c r="I237" s="23">
        <v>3927.0</v>
      </c>
      <c r="J237" s="23">
        <v>5286.0</v>
      </c>
      <c r="K237" s="24">
        <f t="shared" si="2"/>
        <v>74.29057889</v>
      </c>
      <c r="L237" s="23">
        <v>201.0</v>
      </c>
    </row>
    <row r="238" ht="14.25" customHeight="1">
      <c r="A238" s="22" t="s">
        <v>29</v>
      </c>
      <c r="B238" s="22" t="s">
        <v>352</v>
      </c>
      <c r="C238" s="22" t="s">
        <v>354</v>
      </c>
      <c r="D238" s="22" t="s">
        <v>354</v>
      </c>
      <c r="E238" s="23">
        <v>51204.0</v>
      </c>
      <c r="F238" s="23">
        <v>412.0</v>
      </c>
      <c r="G238" s="23">
        <v>584.0</v>
      </c>
      <c r="H238" s="23">
        <v>872.0</v>
      </c>
      <c r="I238" s="23">
        <v>739.0</v>
      </c>
      <c r="J238" s="23">
        <v>2607.0</v>
      </c>
      <c r="K238" s="24">
        <f t="shared" si="2"/>
        <v>28.34675873</v>
      </c>
      <c r="L238" s="23">
        <v>412.0</v>
      </c>
    </row>
    <row r="239" ht="14.25" customHeight="1">
      <c r="A239" s="22" t="s">
        <v>29</v>
      </c>
      <c r="B239" s="22" t="s">
        <v>355</v>
      </c>
      <c r="C239" s="22" t="s">
        <v>356</v>
      </c>
      <c r="D239" s="22" t="s">
        <v>356</v>
      </c>
      <c r="E239" s="23">
        <v>51301.0</v>
      </c>
      <c r="F239" s="23">
        <v>117.0</v>
      </c>
      <c r="G239" s="23">
        <v>360.0</v>
      </c>
      <c r="H239" s="23">
        <v>607.0</v>
      </c>
      <c r="I239" s="23">
        <v>373.0</v>
      </c>
      <c r="J239" s="23">
        <v>1457.0</v>
      </c>
      <c r="K239" s="24">
        <f t="shared" si="2"/>
        <v>25.60054907</v>
      </c>
      <c r="L239" s="23">
        <v>117.0</v>
      </c>
    </row>
    <row r="240" ht="14.25" customHeight="1">
      <c r="A240" s="22" t="s">
        <v>29</v>
      </c>
      <c r="B240" s="22" t="s">
        <v>355</v>
      </c>
      <c r="C240" s="22" t="s">
        <v>357</v>
      </c>
      <c r="D240" s="22" t="s">
        <v>357</v>
      </c>
      <c r="E240" s="23">
        <v>51302.0</v>
      </c>
      <c r="F240" s="23">
        <v>160.0</v>
      </c>
      <c r="G240" s="23">
        <v>385.0</v>
      </c>
      <c r="H240" s="23">
        <v>875.0</v>
      </c>
      <c r="I240" s="23">
        <v>411.0</v>
      </c>
      <c r="J240" s="23">
        <v>1831.0</v>
      </c>
      <c r="K240" s="24">
        <f t="shared" si="2"/>
        <v>22.44675041</v>
      </c>
      <c r="L240" s="23">
        <v>160.0</v>
      </c>
    </row>
    <row r="241" ht="14.25" customHeight="1">
      <c r="A241" s="22" t="s">
        <v>29</v>
      </c>
      <c r="B241" s="22" t="s">
        <v>358</v>
      </c>
      <c r="C241" s="22" t="s">
        <v>359</v>
      </c>
      <c r="D241" s="22" t="s">
        <v>359</v>
      </c>
      <c r="E241" s="23">
        <v>51401.0</v>
      </c>
      <c r="F241" s="23">
        <v>35.0</v>
      </c>
      <c r="G241" s="23">
        <v>175.0</v>
      </c>
      <c r="H241" s="23">
        <v>658.0</v>
      </c>
      <c r="I241" s="23">
        <v>988.0</v>
      </c>
      <c r="J241" s="23">
        <v>1856.0</v>
      </c>
      <c r="K241" s="24">
        <f t="shared" si="2"/>
        <v>53.23275862</v>
      </c>
      <c r="L241" s="23">
        <v>35.0</v>
      </c>
    </row>
    <row r="242" ht="14.25" customHeight="1">
      <c r="A242" s="22" t="s">
        <v>29</v>
      </c>
      <c r="B242" s="22" t="s">
        <v>358</v>
      </c>
      <c r="C242" s="22" t="s">
        <v>360</v>
      </c>
      <c r="D242" s="22" t="s">
        <v>360</v>
      </c>
      <c r="E242" s="23">
        <v>51402.0</v>
      </c>
      <c r="F242" s="23">
        <v>87.0</v>
      </c>
      <c r="G242" s="23">
        <v>118.0</v>
      </c>
      <c r="H242" s="23">
        <v>307.0</v>
      </c>
      <c r="I242" s="23">
        <v>230.0</v>
      </c>
      <c r="J242" s="23">
        <v>742.0</v>
      </c>
      <c r="K242" s="24">
        <f t="shared" si="2"/>
        <v>30.99730458</v>
      </c>
      <c r="L242" s="23">
        <v>87.0</v>
      </c>
    </row>
    <row r="243" ht="14.25" customHeight="1">
      <c r="A243" s="22" t="s">
        <v>29</v>
      </c>
      <c r="B243" s="22" t="s">
        <v>361</v>
      </c>
      <c r="C243" s="22" t="s">
        <v>362</v>
      </c>
      <c r="D243" s="22" t="s">
        <v>362</v>
      </c>
      <c r="E243" s="23">
        <v>51501.0</v>
      </c>
      <c r="F243" s="23">
        <v>444.0</v>
      </c>
      <c r="G243" s="23">
        <v>909.0</v>
      </c>
      <c r="H243" s="23">
        <v>1822.0</v>
      </c>
      <c r="I243" s="23">
        <v>11258.0</v>
      </c>
      <c r="J243" s="23">
        <v>14433.0</v>
      </c>
      <c r="K243" s="24">
        <f t="shared" si="2"/>
        <v>78.00180143</v>
      </c>
      <c r="L243" s="23">
        <v>444.0</v>
      </c>
    </row>
    <row r="244" ht="14.25" customHeight="1">
      <c r="A244" s="22" t="s">
        <v>29</v>
      </c>
      <c r="B244" s="22" t="s">
        <v>363</v>
      </c>
      <c r="C244" s="22" t="s">
        <v>364</v>
      </c>
      <c r="D244" s="22" t="s">
        <v>364</v>
      </c>
      <c r="E244" s="23">
        <v>51601.0</v>
      </c>
      <c r="F244" s="23">
        <v>22.0</v>
      </c>
      <c r="G244" s="23">
        <v>60.0</v>
      </c>
      <c r="H244" s="23">
        <v>165.0</v>
      </c>
      <c r="I244" s="23">
        <v>420.0</v>
      </c>
      <c r="J244" s="23">
        <v>667.0</v>
      </c>
      <c r="K244" s="24">
        <f t="shared" si="2"/>
        <v>62.96851574</v>
      </c>
      <c r="L244" s="23">
        <v>22.0</v>
      </c>
    </row>
    <row r="245" ht="14.25" customHeight="1">
      <c r="A245" s="22" t="s">
        <v>33</v>
      </c>
      <c r="B245" s="22" t="s">
        <v>189</v>
      </c>
      <c r="C245" s="22" t="s">
        <v>33</v>
      </c>
      <c r="D245" s="22" t="s">
        <v>33</v>
      </c>
      <c r="E245" s="23">
        <v>60101.0</v>
      </c>
      <c r="F245" s="23">
        <v>411.0</v>
      </c>
      <c r="G245" s="23">
        <v>4120.0</v>
      </c>
      <c r="H245" s="23">
        <v>12745.0</v>
      </c>
      <c r="I245" s="23">
        <v>55433.0</v>
      </c>
      <c r="J245" s="23">
        <v>72709.0</v>
      </c>
      <c r="K245" s="24">
        <f t="shared" si="2"/>
        <v>76.23953018</v>
      </c>
      <c r="L245" s="23">
        <v>411.0</v>
      </c>
    </row>
    <row r="246" ht="14.25" customHeight="1">
      <c r="A246" s="22" t="s">
        <v>33</v>
      </c>
      <c r="B246" s="22" t="s">
        <v>365</v>
      </c>
      <c r="C246" s="22" t="s">
        <v>366</v>
      </c>
      <c r="D246" s="22" t="s">
        <v>366</v>
      </c>
      <c r="E246" s="23">
        <v>60201.0</v>
      </c>
      <c r="F246" s="23">
        <v>253.0</v>
      </c>
      <c r="G246" s="23">
        <v>602.0</v>
      </c>
      <c r="H246" s="23">
        <v>1297.0</v>
      </c>
      <c r="I246" s="23">
        <v>3497.0</v>
      </c>
      <c r="J246" s="23">
        <v>5649.0</v>
      </c>
      <c r="K246" s="24">
        <f t="shared" si="2"/>
        <v>61.9047619</v>
      </c>
      <c r="L246" s="23">
        <v>253.0</v>
      </c>
    </row>
    <row r="247" ht="14.25" customHeight="1">
      <c r="A247" s="22" t="s">
        <v>33</v>
      </c>
      <c r="B247" s="22" t="s">
        <v>365</v>
      </c>
      <c r="C247" s="22" t="s">
        <v>367</v>
      </c>
      <c r="D247" s="22" t="s">
        <v>367</v>
      </c>
      <c r="E247" s="23">
        <v>60202.0</v>
      </c>
      <c r="F247" s="23">
        <v>68.0</v>
      </c>
      <c r="G247" s="23">
        <v>389.0</v>
      </c>
      <c r="H247" s="23">
        <v>1299.0</v>
      </c>
      <c r="I247" s="23">
        <v>8870.0</v>
      </c>
      <c r="J247" s="23">
        <v>10626.0</v>
      </c>
      <c r="K247" s="24">
        <f t="shared" si="2"/>
        <v>83.47449652</v>
      </c>
      <c r="L247" s="23">
        <v>68.0</v>
      </c>
    </row>
    <row r="248" ht="14.25" customHeight="1">
      <c r="A248" s="22" t="s">
        <v>33</v>
      </c>
      <c r="B248" s="22" t="s">
        <v>43</v>
      </c>
      <c r="C248" s="22" t="s">
        <v>368</v>
      </c>
      <c r="D248" s="22" t="s">
        <v>368</v>
      </c>
      <c r="E248" s="23">
        <v>60301.0</v>
      </c>
      <c r="F248" s="23">
        <v>131.0</v>
      </c>
      <c r="G248" s="23">
        <v>1102.0</v>
      </c>
      <c r="H248" s="23">
        <v>4447.0</v>
      </c>
      <c r="I248" s="23">
        <v>21628.0</v>
      </c>
      <c r="J248" s="23">
        <v>27308.0</v>
      </c>
      <c r="K248" s="24">
        <f t="shared" si="2"/>
        <v>79.20023436</v>
      </c>
      <c r="L248" s="23">
        <v>131.0</v>
      </c>
    </row>
    <row r="249" ht="14.25" customHeight="1">
      <c r="A249" s="22" t="s">
        <v>33</v>
      </c>
      <c r="B249" s="22" t="s">
        <v>43</v>
      </c>
      <c r="C249" s="22" t="s">
        <v>369</v>
      </c>
      <c r="D249" s="22" t="s">
        <v>369</v>
      </c>
      <c r="E249" s="23">
        <v>60302.0</v>
      </c>
      <c r="F249" s="23">
        <v>80.0</v>
      </c>
      <c r="G249" s="23">
        <v>213.0</v>
      </c>
      <c r="H249" s="23">
        <v>870.0</v>
      </c>
      <c r="I249" s="23">
        <v>3521.0</v>
      </c>
      <c r="J249" s="23">
        <v>4684.0</v>
      </c>
      <c r="K249" s="24">
        <f t="shared" si="2"/>
        <v>75.17079419</v>
      </c>
      <c r="L249" s="23">
        <v>80.0</v>
      </c>
    </row>
    <row r="250" ht="14.25" customHeight="1">
      <c r="A250" s="22" t="s">
        <v>33</v>
      </c>
      <c r="B250" s="22" t="s">
        <v>43</v>
      </c>
      <c r="C250" s="22" t="s">
        <v>370</v>
      </c>
      <c r="D250" s="22" t="s">
        <v>370</v>
      </c>
      <c r="E250" s="23">
        <v>60303.0</v>
      </c>
      <c r="F250" s="23">
        <v>162.0</v>
      </c>
      <c r="G250" s="23">
        <v>790.0</v>
      </c>
      <c r="H250" s="23">
        <v>4626.0</v>
      </c>
      <c r="I250" s="23">
        <v>8462.0</v>
      </c>
      <c r="J250" s="23">
        <v>14040.0</v>
      </c>
      <c r="K250" s="24">
        <f t="shared" si="2"/>
        <v>60.27065527</v>
      </c>
      <c r="L250" s="23">
        <v>162.0</v>
      </c>
    </row>
    <row r="251" ht="14.25" customHeight="1">
      <c r="A251" s="22" t="s">
        <v>33</v>
      </c>
      <c r="B251" s="22" t="s">
        <v>371</v>
      </c>
      <c r="C251" s="22" t="s">
        <v>372</v>
      </c>
      <c r="D251" s="22" t="s">
        <v>373</v>
      </c>
      <c r="E251" s="23">
        <v>60401.0</v>
      </c>
      <c r="F251" s="23">
        <v>96.0</v>
      </c>
      <c r="G251" s="23">
        <v>368.0</v>
      </c>
      <c r="H251" s="23">
        <v>1031.0</v>
      </c>
      <c r="I251" s="23">
        <v>3421.0</v>
      </c>
      <c r="J251" s="23">
        <v>4916.0</v>
      </c>
      <c r="K251" s="24">
        <f t="shared" si="2"/>
        <v>69.58909683</v>
      </c>
      <c r="L251" s="23">
        <v>96.0</v>
      </c>
    </row>
    <row r="252" ht="14.25" customHeight="1">
      <c r="A252" s="22" t="s">
        <v>33</v>
      </c>
      <c r="B252" s="22" t="s">
        <v>371</v>
      </c>
      <c r="C252" s="22" t="s">
        <v>374</v>
      </c>
      <c r="D252" s="22" t="s">
        <v>374</v>
      </c>
      <c r="E252" s="23">
        <v>60402.0</v>
      </c>
      <c r="F252" s="23">
        <v>47.0</v>
      </c>
      <c r="G252" s="23">
        <v>120.0</v>
      </c>
      <c r="H252" s="23">
        <v>303.0</v>
      </c>
      <c r="I252" s="23">
        <v>1060.0</v>
      </c>
      <c r="J252" s="23">
        <v>1530.0</v>
      </c>
      <c r="K252" s="24">
        <f t="shared" si="2"/>
        <v>69.28104575</v>
      </c>
      <c r="L252" s="23">
        <v>47.0</v>
      </c>
    </row>
    <row r="253" ht="14.25" customHeight="1">
      <c r="A253" s="22" t="s">
        <v>33</v>
      </c>
      <c r="B253" s="22" t="s">
        <v>375</v>
      </c>
      <c r="C253" s="22" t="s">
        <v>376</v>
      </c>
      <c r="D253" s="22" t="s">
        <v>377</v>
      </c>
      <c r="E253" s="23">
        <v>60501.0</v>
      </c>
      <c r="F253" s="23">
        <v>382.0</v>
      </c>
      <c r="G253" s="23">
        <v>782.0</v>
      </c>
      <c r="H253" s="23">
        <v>1824.0</v>
      </c>
      <c r="I253" s="23">
        <v>6348.0</v>
      </c>
      <c r="J253" s="23">
        <v>9336.0</v>
      </c>
      <c r="K253" s="24">
        <f t="shared" si="2"/>
        <v>67.99485861</v>
      </c>
      <c r="L253" s="23">
        <v>382.0</v>
      </c>
    </row>
    <row r="254" ht="14.25" customHeight="1">
      <c r="A254" s="22" t="s">
        <v>33</v>
      </c>
      <c r="B254" s="22" t="s">
        <v>375</v>
      </c>
      <c r="C254" s="22" t="s">
        <v>378</v>
      </c>
      <c r="D254" s="22" t="s">
        <v>378</v>
      </c>
      <c r="E254" s="23">
        <v>60502.0</v>
      </c>
      <c r="F254" s="23">
        <v>63.0</v>
      </c>
      <c r="G254" s="23">
        <v>150.0</v>
      </c>
      <c r="H254" s="23">
        <v>557.0</v>
      </c>
      <c r="I254" s="23">
        <v>2470.0</v>
      </c>
      <c r="J254" s="23">
        <v>3240.0</v>
      </c>
      <c r="K254" s="24">
        <f t="shared" si="2"/>
        <v>76.2345679</v>
      </c>
      <c r="L254" s="23">
        <v>63.0</v>
      </c>
    </row>
    <row r="255" ht="14.25" customHeight="1">
      <c r="A255" s="22" t="s">
        <v>33</v>
      </c>
      <c r="B255" s="22" t="s">
        <v>379</v>
      </c>
      <c r="C255" s="22" t="s">
        <v>234</v>
      </c>
      <c r="D255" s="22" t="s">
        <v>234</v>
      </c>
      <c r="E255" s="23">
        <v>60601.0</v>
      </c>
      <c r="F255" s="23">
        <v>220.0</v>
      </c>
      <c r="G255" s="23">
        <v>535.0</v>
      </c>
      <c r="H255" s="23">
        <v>1573.0</v>
      </c>
      <c r="I255" s="23">
        <v>3888.0</v>
      </c>
      <c r="J255" s="23">
        <v>6216.0</v>
      </c>
      <c r="K255" s="24">
        <f t="shared" si="2"/>
        <v>62.54826255</v>
      </c>
      <c r="L255" s="23">
        <v>220.0</v>
      </c>
    </row>
    <row r="256" ht="14.25" customHeight="1">
      <c r="A256" s="22" t="s">
        <v>35</v>
      </c>
      <c r="B256" s="22" t="s">
        <v>380</v>
      </c>
      <c r="C256" s="22" t="s">
        <v>381</v>
      </c>
      <c r="D256" s="22" t="s">
        <v>381</v>
      </c>
      <c r="E256" s="23">
        <v>70101.0</v>
      </c>
      <c r="F256" s="38">
        <v>388.0</v>
      </c>
      <c r="G256" s="38">
        <v>3479.0</v>
      </c>
      <c r="H256" s="38">
        <v>129840.0</v>
      </c>
      <c r="I256" s="38">
        <v>319451.0</v>
      </c>
      <c r="J256" s="38">
        <v>453158.0</v>
      </c>
      <c r="K256" s="24">
        <f t="shared" si="2"/>
        <v>70.4943971</v>
      </c>
      <c r="L256" s="38">
        <v>388.0</v>
      </c>
    </row>
    <row r="257" ht="14.25" customHeight="1">
      <c r="A257" s="22" t="s">
        <v>35</v>
      </c>
      <c r="B257" s="22" t="s">
        <v>380</v>
      </c>
      <c r="C257" s="22" t="s">
        <v>382</v>
      </c>
      <c r="D257" s="22" t="s">
        <v>382</v>
      </c>
      <c r="E257" s="23">
        <v>70102.0</v>
      </c>
      <c r="F257" s="23">
        <v>169.0</v>
      </c>
      <c r="G257" s="23">
        <v>1850.0</v>
      </c>
      <c r="H257" s="23">
        <v>18082.0</v>
      </c>
      <c r="I257" s="23">
        <v>7732.0</v>
      </c>
      <c r="J257" s="23">
        <v>27833.0</v>
      </c>
      <c r="K257" s="24">
        <f t="shared" si="2"/>
        <v>27.77997341</v>
      </c>
      <c r="L257" s="23">
        <v>169.0</v>
      </c>
    </row>
    <row r="258" ht="14.25" customHeight="1">
      <c r="A258" s="22" t="s">
        <v>35</v>
      </c>
      <c r="B258" s="22" t="s">
        <v>380</v>
      </c>
      <c r="C258" s="22" t="s">
        <v>383</v>
      </c>
      <c r="D258" s="22" t="s">
        <v>384</v>
      </c>
      <c r="E258" s="23">
        <v>70103.0</v>
      </c>
      <c r="F258" s="23">
        <v>106.0</v>
      </c>
      <c r="G258" s="23">
        <v>333.0</v>
      </c>
      <c r="H258" s="23">
        <v>1654.0</v>
      </c>
      <c r="I258" s="23">
        <v>4549.0</v>
      </c>
      <c r="J258" s="23">
        <v>6642.0</v>
      </c>
      <c r="K258" s="24">
        <f t="shared" si="2"/>
        <v>68.48840711</v>
      </c>
      <c r="L258" s="23">
        <v>106.0</v>
      </c>
    </row>
    <row r="259" ht="14.25" customHeight="1">
      <c r="A259" s="22" t="s">
        <v>35</v>
      </c>
      <c r="B259" s="22" t="s">
        <v>380</v>
      </c>
      <c r="C259" s="22" t="s">
        <v>385</v>
      </c>
      <c r="D259" s="22" t="s">
        <v>385</v>
      </c>
      <c r="E259" s="23">
        <v>70104.0</v>
      </c>
      <c r="F259" s="23">
        <v>77.0</v>
      </c>
      <c r="G259" s="23">
        <v>819.0</v>
      </c>
      <c r="H259" s="23">
        <v>32274.0</v>
      </c>
      <c r="I259" s="23">
        <v>7097.0</v>
      </c>
      <c r="J259" s="23">
        <v>40267.0</v>
      </c>
      <c r="K259" s="24">
        <f t="shared" si="2"/>
        <v>17.6248541</v>
      </c>
      <c r="L259" s="23">
        <v>77.0</v>
      </c>
    </row>
    <row r="260" ht="14.25" customHeight="1">
      <c r="A260" s="22" t="s">
        <v>35</v>
      </c>
      <c r="B260" s="22" t="s">
        <v>380</v>
      </c>
      <c r="C260" s="22" t="s">
        <v>386</v>
      </c>
      <c r="D260" s="22" t="s">
        <v>386</v>
      </c>
      <c r="E260" s="23">
        <v>70105.0</v>
      </c>
      <c r="F260" s="23">
        <v>185.0</v>
      </c>
      <c r="G260" s="23">
        <v>623.0</v>
      </c>
      <c r="H260" s="23">
        <v>8584.0</v>
      </c>
      <c r="I260" s="23">
        <v>7220.0</v>
      </c>
      <c r="J260" s="23">
        <v>16612.0</v>
      </c>
      <c r="K260" s="24">
        <f t="shared" si="2"/>
        <v>43.46255719</v>
      </c>
      <c r="L260" s="23">
        <v>185.0</v>
      </c>
    </row>
    <row r="261" ht="14.25" customHeight="1">
      <c r="A261" s="22" t="s">
        <v>35</v>
      </c>
      <c r="B261" s="22" t="s">
        <v>387</v>
      </c>
      <c r="C261" s="22" t="s">
        <v>387</v>
      </c>
      <c r="D261" s="22" t="s">
        <v>387</v>
      </c>
      <c r="E261" s="23">
        <v>70201.0</v>
      </c>
      <c r="F261" s="23">
        <v>203.0</v>
      </c>
      <c r="G261" s="23">
        <v>1162.0</v>
      </c>
      <c r="H261" s="23">
        <v>26587.0</v>
      </c>
      <c r="I261" s="23">
        <v>12645.0</v>
      </c>
      <c r="J261" s="23">
        <v>40597.0</v>
      </c>
      <c r="K261" s="24">
        <f t="shared" si="2"/>
        <v>31.14762175</v>
      </c>
      <c r="L261" s="23">
        <v>203.0</v>
      </c>
    </row>
    <row r="262" ht="14.25" customHeight="1">
      <c r="A262" s="22" t="s">
        <v>35</v>
      </c>
      <c r="B262" s="22" t="s">
        <v>387</v>
      </c>
      <c r="C262" s="22" t="s">
        <v>388</v>
      </c>
      <c r="D262" s="22" t="s">
        <v>388</v>
      </c>
      <c r="E262" s="23">
        <v>70202.0</v>
      </c>
      <c r="F262" s="23">
        <v>7.0</v>
      </c>
      <c r="G262" s="23">
        <v>45.0</v>
      </c>
      <c r="H262" s="23">
        <v>1086.0</v>
      </c>
      <c r="I262" s="23">
        <v>1758.0</v>
      </c>
      <c r="J262" s="23">
        <v>2896.0</v>
      </c>
      <c r="K262" s="24">
        <f t="shared" si="2"/>
        <v>60.70441989</v>
      </c>
      <c r="L262" s="23">
        <v>7.0</v>
      </c>
    </row>
    <row r="263" ht="14.25" customHeight="1">
      <c r="A263" s="22" t="s">
        <v>35</v>
      </c>
      <c r="B263" s="22" t="s">
        <v>389</v>
      </c>
      <c r="C263" s="22" t="s">
        <v>390</v>
      </c>
      <c r="D263" s="22" t="s">
        <v>391</v>
      </c>
      <c r="E263" s="23">
        <v>70301.0</v>
      </c>
      <c r="F263" s="23">
        <v>517.0</v>
      </c>
      <c r="G263" s="23">
        <v>1817.0</v>
      </c>
      <c r="H263" s="23">
        <v>7098.0</v>
      </c>
      <c r="I263" s="23">
        <v>8328.0</v>
      </c>
      <c r="J263" s="23">
        <v>17760.0</v>
      </c>
      <c r="K263" s="24">
        <f t="shared" si="2"/>
        <v>46.89189189</v>
      </c>
      <c r="L263" s="23">
        <v>517.0</v>
      </c>
    </row>
    <row r="264" ht="14.25" customHeight="1">
      <c r="A264" s="22" t="s">
        <v>35</v>
      </c>
      <c r="B264" s="22" t="s">
        <v>389</v>
      </c>
      <c r="C264" s="22" t="s">
        <v>392</v>
      </c>
      <c r="D264" s="22" t="s">
        <v>393</v>
      </c>
      <c r="E264" s="23">
        <v>70302.0</v>
      </c>
      <c r="F264" s="23">
        <v>165.0</v>
      </c>
      <c r="G264" s="23">
        <v>743.0</v>
      </c>
      <c r="H264" s="23">
        <v>1567.0</v>
      </c>
      <c r="I264" s="23">
        <v>1972.0</v>
      </c>
      <c r="J264" s="23">
        <v>4447.0</v>
      </c>
      <c r="K264" s="24">
        <f t="shared" si="2"/>
        <v>44.34450191</v>
      </c>
      <c r="L264" s="23">
        <v>165.0</v>
      </c>
    </row>
    <row r="265" ht="14.25" customHeight="1">
      <c r="A265" s="22" t="s">
        <v>35</v>
      </c>
      <c r="B265" s="22" t="s">
        <v>389</v>
      </c>
      <c r="C265" s="22" t="s">
        <v>394</v>
      </c>
      <c r="D265" s="22" t="s">
        <v>394</v>
      </c>
      <c r="E265" s="23">
        <v>70303.0</v>
      </c>
      <c r="F265" s="23">
        <v>120.0</v>
      </c>
      <c r="G265" s="23">
        <v>760.0</v>
      </c>
      <c r="H265" s="23">
        <v>720.0</v>
      </c>
      <c r="I265" s="23">
        <v>1297.0</v>
      </c>
      <c r="J265" s="23">
        <v>2897.0</v>
      </c>
      <c r="K265" s="24">
        <f t="shared" si="2"/>
        <v>44.77045219</v>
      </c>
      <c r="L265" s="23">
        <v>120.0</v>
      </c>
    </row>
    <row r="266" ht="14.25" customHeight="1">
      <c r="A266" s="22" t="s">
        <v>35</v>
      </c>
      <c r="B266" s="22" t="s">
        <v>395</v>
      </c>
      <c r="C266" s="22" t="s">
        <v>396</v>
      </c>
      <c r="D266" s="22" t="s">
        <v>396</v>
      </c>
      <c r="E266" s="23">
        <v>70401.0</v>
      </c>
      <c r="F266" s="23">
        <v>93.0</v>
      </c>
      <c r="G266" s="23">
        <v>142.0</v>
      </c>
      <c r="H266" s="23">
        <v>978.0</v>
      </c>
      <c r="I266" s="23">
        <v>2563.0</v>
      </c>
      <c r="J266" s="23">
        <v>3776.0</v>
      </c>
      <c r="K266" s="24">
        <f t="shared" si="2"/>
        <v>67.87605932</v>
      </c>
      <c r="L266" s="23">
        <v>93.0</v>
      </c>
    </row>
    <row r="267" ht="14.25" customHeight="1">
      <c r="A267" s="22" t="s">
        <v>35</v>
      </c>
      <c r="B267" s="22" t="s">
        <v>395</v>
      </c>
      <c r="C267" s="22" t="s">
        <v>397</v>
      </c>
      <c r="D267" s="22" t="s">
        <v>397</v>
      </c>
      <c r="E267" s="23">
        <v>70402.0</v>
      </c>
      <c r="F267" s="23">
        <v>205.0</v>
      </c>
      <c r="G267" s="23">
        <v>354.0</v>
      </c>
      <c r="H267" s="23">
        <v>2210.0</v>
      </c>
      <c r="I267" s="23">
        <v>2754.0</v>
      </c>
      <c r="J267" s="23">
        <v>5523.0</v>
      </c>
      <c r="K267" s="24">
        <f t="shared" si="2"/>
        <v>49.86420424</v>
      </c>
      <c r="L267" s="23">
        <v>205.0</v>
      </c>
    </row>
    <row r="268" ht="14.25" customHeight="1">
      <c r="A268" s="22" t="s">
        <v>35</v>
      </c>
      <c r="B268" s="22" t="s">
        <v>395</v>
      </c>
      <c r="C268" s="22" t="s">
        <v>398</v>
      </c>
      <c r="D268" s="22" t="s">
        <v>398</v>
      </c>
      <c r="E268" s="23">
        <v>70403.0</v>
      </c>
      <c r="F268" s="23">
        <v>2993.0</v>
      </c>
      <c r="G268" s="23">
        <v>2422.0</v>
      </c>
      <c r="H268" s="23">
        <v>6958.0</v>
      </c>
      <c r="I268" s="23">
        <v>7702.0</v>
      </c>
      <c r="J268" s="23">
        <v>20075.0</v>
      </c>
      <c r="K268" s="24">
        <f t="shared" si="2"/>
        <v>38.36612702</v>
      </c>
      <c r="L268" s="23">
        <v>2993.0</v>
      </c>
    </row>
    <row r="269" ht="14.25" customHeight="1">
      <c r="A269" s="22" t="s">
        <v>35</v>
      </c>
      <c r="B269" s="22" t="s">
        <v>395</v>
      </c>
      <c r="C269" s="22" t="s">
        <v>399</v>
      </c>
      <c r="D269" s="22" t="s">
        <v>399</v>
      </c>
      <c r="E269" s="23">
        <v>70404.0</v>
      </c>
      <c r="F269" s="23">
        <v>208.0</v>
      </c>
      <c r="G269" s="23">
        <v>315.0</v>
      </c>
      <c r="H269" s="23">
        <v>733.0</v>
      </c>
      <c r="I269" s="23">
        <v>1701.0</v>
      </c>
      <c r="J269" s="23">
        <v>2957.0</v>
      </c>
      <c r="K269" s="24">
        <f t="shared" si="2"/>
        <v>57.52451809</v>
      </c>
      <c r="L269" s="23">
        <v>208.0</v>
      </c>
    </row>
    <row r="270" ht="14.25" customHeight="1">
      <c r="A270" s="22" t="s">
        <v>35</v>
      </c>
      <c r="B270" s="22" t="s">
        <v>400</v>
      </c>
      <c r="C270" s="22" t="s">
        <v>401</v>
      </c>
      <c r="D270" s="22" t="s">
        <v>402</v>
      </c>
      <c r="E270" s="23">
        <v>70501.0</v>
      </c>
      <c r="F270" s="23">
        <v>246.0</v>
      </c>
      <c r="G270" s="23">
        <v>1992.0</v>
      </c>
      <c r="H270" s="23">
        <v>3194.0</v>
      </c>
      <c r="I270" s="23">
        <v>6175.0</v>
      </c>
      <c r="J270" s="23">
        <v>11607.0</v>
      </c>
      <c r="K270" s="24">
        <f t="shared" si="2"/>
        <v>53.20065478</v>
      </c>
      <c r="L270" s="23">
        <v>246.0</v>
      </c>
    </row>
    <row r="271" ht="14.25" customHeight="1">
      <c r="A271" s="22" t="s">
        <v>35</v>
      </c>
      <c r="B271" s="22" t="s">
        <v>400</v>
      </c>
      <c r="C271" s="22" t="s">
        <v>403</v>
      </c>
      <c r="D271" s="22" t="s">
        <v>403</v>
      </c>
      <c r="E271" s="23">
        <v>70502.0</v>
      </c>
      <c r="F271" s="23">
        <v>188.0</v>
      </c>
      <c r="G271" s="23">
        <v>889.0</v>
      </c>
      <c r="H271" s="23">
        <v>4931.0</v>
      </c>
      <c r="I271" s="23">
        <v>6962.0</v>
      </c>
      <c r="J271" s="23">
        <v>12970.0</v>
      </c>
      <c r="K271" s="24">
        <f t="shared" si="2"/>
        <v>53.67771781</v>
      </c>
      <c r="L271" s="23">
        <v>188.0</v>
      </c>
    </row>
    <row r="272" ht="14.25" customHeight="1">
      <c r="A272" s="22" t="s">
        <v>35</v>
      </c>
      <c r="B272" s="22" t="s">
        <v>400</v>
      </c>
      <c r="C272" s="22" t="s">
        <v>404</v>
      </c>
      <c r="D272" s="22" t="s">
        <v>404</v>
      </c>
      <c r="E272" s="23">
        <v>70503.0</v>
      </c>
      <c r="F272" s="23">
        <v>106.0</v>
      </c>
      <c r="G272" s="23">
        <v>252.0</v>
      </c>
      <c r="H272" s="23">
        <v>1809.0</v>
      </c>
      <c r="I272" s="23">
        <v>3181.0</v>
      </c>
      <c r="J272" s="23">
        <v>5348.0</v>
      </c>
      <c r="K272" s="24">
        <f t="shared" si="2"/>
        <v>59.48017951</v>
      </c>
      <c r="L272" s="23">
        <v>106.0</v>
      </c>
    </row>
    <row r="273" ht="14.25" customHeight="1">
      <c r="A273" s="22" t="s">
        <v>35</v>
      </c>
      <c r="B273" s="22" t="s">
        <v>405</v>
      </c>
      <c r="C273" s="22" t="s">
        <v>406</v>
      </c>
      <c r="D273" s="22" t="s">
        <v>406</v>
      </c>
      <c r="E273" s="23">
        <v>70601.0</v>
      </c>
      <c r="F273" s="23">
        <v>17.0</v>
      </c>
      <c r="G273" s="23">
        <v>216.0</v>
      </c>
      <c r="H273" s="23">
        <v>959.0</v>
      </c>
      <c r="I273" s="23">
        <v>4253.0</v>
      </c>
      <c r="J273" s="23">
        <v>5445.0</v>
      </c>
      <c r="K273" s="24">
        <f t="shared" si="2"/>
        <v>78.10835629</v>
      </c>
      <c r="L273" s="23">
        <v>17.0</v>
      </c>
    </row>
    <row r="274" ht="14.25" customHeight="1">
      <c r="A274" s="22" t="s">
        <v>35</v>
      </c>
      <c r="B274" s="22" t="s">
        <v>405</v>
      </c>
      <c r="C274" s="22" t="s">
        <v>407</v>
      </c>
      <c r="D274" s="22" t="s">
        <v>408</v>
      </c>
      <c r="E274" s="23">
        <v>70602.0</v>
      </c>
      <c r="F274" s="23">
        <v>234.0</v>
      </c>
      <c r="G274" s="23">
        <v>646.0</v>
      </c>
      <c r="H274" s="23">
        <v>1960.0</v>
      </c>
      <c r="I274" s="23">
        <v>3117.0</v>
      </c>
      <c r="J274" s="23">
        <v>5957.0</v>
      </c>
      <c r="K274" s="24">
        <f t="shared" si="2"/>
        <v>52.3249958</v>
      </c>
      <c r="L274" s="23">
        <v>234.0</v>
      </c>
    </row>
    <row r="275" ht="14.25" customHeight="1">
      <c r="A275" s="22" t="s">
        <v>35</v>
      </c>
      <c r="B275" s="22" t="s">
        <v>405</v>
      </c>
      <c r="C275" s="22" t="s">
        <v>409</v>
      </c>
      <c r="D275" s="22" t="s">
        <v>409</v>
      </c>
      <c r="E275" s="23">
        <v>70603.0</v>
      </c>
      <c r="F275" s="23">
        <v>11.0</v>
      </c>
      <c r="G275" s="23">
        <v>83.0</v>
      </c>
      <c r="H275" s="23">
        <v>1035.0</v>
      </c>
      <c r="I275" s="23">
        <v>404.0</v>
      </c>
      <c r="J275" s="23">
        <v>1533.0</v>
      </c>
      <c r="K275" s="24">
        <f t="shared" si="2"/>
        <v>26.35355512</v>
      </c>
      <c r="L275" s="23">
        <v>11.0</v>
      </c>
    </row>
    <row r="276" ht="14.25" customHeight="1">
      <c r="A276" s="22" t="s">
        <v>35</v>
      </c>
      <c r="B276" s="22" t="s">
        <v>410</v>
      </c>
      <c r="C276" s="22" t="s">
        <v>411</v>
      </c>
      <c r="D276" s="22" t="s">
        <v>411</v>
      </c>
      <c r="E276" s="23">
        <v>70701.0</v>
      </c>
      <c r="F276" s="23">
        <v>12.0</v>
      </c>
      <c r="G276" s="23">
        <v>53.0</v>
      </c>
      <c r="H276" s="23">
        <v>334.0</v>
      </c>
      <c r="I276" s="23">
        <v>1170.0</v>
      </c>
      <c r="J276" s="23">
        <v>1569.0</v>
      </c>
      <c r="K276" s="24">
        <f t="shared" si="2"/>
        <v>74.56978967</v>
      </c>
      <c r="L276" s="23">
        <v>12.0</v>
      </c>
    </row>
    <row r="277" ht="14.25" customHeight="1">
      <c r="A277" s="22" t="s">
        <v>35</v>
      </c>
      <c r="B277" s="22" t="s">
        <v>410</v>
      </c>
      <c r="C277" s="22" t="s">
        <v>412</v>
      </c>
      <c r="D277" s="22" t="s">
        <v>412</v>
      </c>
      <c r="E277" s="23">
        <v>70702.0</v>
      </c>
      <c r="F277" s="23">
        <v>84.0</v>
      </c>
      <c r="G277" s="23">
        <v>670.0</v>
      </c>
      <c r="H277" s="23">
        <v>3019.0</v>
      </c>
      <c r="I277" s="23">
        <v>5775.0</v>
      </c>
      <c r="J277" s="23">
        <v>9548.0</v>
      </c>
      <c r="K277" s="24">
        <f t="shared" si="2"/>
        <v>60.48387097</v>
      </c>
      <c r="L277" s="23">
        <v>84.0</v>
      </c>
    </row>
    <row r="278" ht="14.25" customHeight="1">
      <c r="A278" s="22" t="s">
        <v>35</v>
      </c>
      <c r="B278" s="22" t="s">
        <v>410</v>
      </c>
      <c r="C278" s="22" t="s">
        <v>413</v>
      </c>
      <c r="D278" s="22" t="s">
        <v>413</v>
      </c>
      <c r="E278" s="23">
        <v>70703.0</v>
      </c>
      <c r="F278" s="23">
        <v>116.0</v>
      </c>
      <c r="G278" s="23">
        <v>589.0</v>
      </c>
      <c r="H278" s="23">
        <v>3050.0</v>
      </c>
      <c r="I278" s="23">
        <v>4536.0</v>
      </c>
      <c r="J278" s="23">
        <v>8291.0</v>
      </c>
      <c r="K278" s="24">
        <f t="shared" si="2"/>
        <v>54.70992643</v>
      </c>
      <c r="L278" s="23">
        <v>116.0</v>
      </c>
    </row>
    <row r="279" ht="14.25" customHeight="1">
      <c r="A279" s="22" t="s">
        <v>35</v>
      </c>
      <c r="B279" s="22" t="s">
        <v>410</v>
      </c>
      <c r="C279" s="22" t="s">
        <v>414</v>
      </c>
      <c r="D279" s="22" t="s">
        <v>414</v>
      </c>
      <c r="E279" s="23">
        <v>70704.0</v>
      </c>
      <c r="F279" s="23">
        <v>24.0</v>
      </c>
      <c r="G279" s="23">
        <v>52.0</v>
      </c>
      <c r="H279" s="23">
        <v>345.0</v>
      </c>
      <c r="I279" s="23">
        <v>840.0</v>
      </c>
      <c r="J279" s="23">
        <v>1261.0</v>
      </c>
      <c r="K279" s="24">
        <f t="shared" si="2"/>
        <v>66.61379857</v>
      </c>
      <c r="L279" s="23">
        <v>24.0</v>
      </c>
    </row>
    <row r="280" ht="14.25" customHeight="1">
      <c r="A280" s="22" t="s">
        <v>35</v>
      </c>
      <c r="B280" s="22" t="s">
        <v>410</v>
      </c>
      <c r="C280" s="22" t="s">
        <v>415</v>
      </c>
      <c r="D280" s="22" t="s">
        <v>415</v>
      </c>
      <c r="E280" s="23">
        <v>70705.0</v>
      </c>
      <c r="F280" s="23">
        <v>69.0</v>
      </c>
      <c r="G280" s="23">
        <v>267.0</v>
      </c>
      <c r="H280" s="23">
        <v>895.0</v>
      </c>
      <c r="I280" s="23">
        <v>2395.0</v>
      </c>
      <c r="J280" s="23">
        <v>3626.0</v>
      </c>
      <c r="K280" s="24">
        <f t="shared" si="2"/>
        <v>66.05074462</v>
      </c>
      <c r="L280" s="23">
        <v>69.0</v>
      </c>
    </row>
    <row r="281" ht="14.25" customHeight="1">
      <c r="A281" s="22" t="s">
        <v>35</v>
      </c>
      <c r="B281" s="22" t="s">
        <v>410</v>
      </c>
      <c r="C281" s="22" t="s">
        <v>416</v>
      </c>
      <c r="D281" s="22" t="s">
        <v>416</v>
      </c>
      <c r="E281" s="23">
        <v>70706.0</v>
      </c>
      <c r="F281" s="23">
        <v>31.0</v>
      </c>
      <c r="G281" s="23">
        <v>266.0</v>
      </c>
      <c r="H281" s="23">
        <v>2419.0</v>
      </c>
      <c r="I281" s="23">
        <v>6589.0</v>
      </c>
      <c r="J281" s="23">
        <v>9305.0</v>
      </c>
      <c r="K281" s="24">
        <f t="shared" si="2"/>
        <v>70.81139172</v>
      </c>
      <c r="L281" s="23">
        <v>31.0</v>
      </c>
    </row>
    <row r="282" ht="14.25" customHeight="1">
      <c r="A282" s="22" t="s">
        <v>35</v>
      </c>
      <c r="B282" s="22" t="s">
        <v>410</v>
      </c>
      <c r="C282" s="22" t="s">
        <v>417</v>
      </c>
      <c r="D282" s="22" t="s">
        <v>417</v>
      </c>
      <c r="E282" s="23">
        <v>70707.0</v>
      </c>
      <c r="F282" s="23">
        <v>6.0</v>
      </c>
      <c r="G282" s="23">
        <v>71.0</v>
      </c>
      <c r="H282" s="23">
        <v>394.0</v>
      </c>
      <c r="I282" s="23">
        <v>914.0</v>
      </c>
      <c r="J282" s="23">
        <v>1385.0</v>
      </c>
      <c r="K282" s="24">
        <f t="shared" si="2"/>
        <v>65.99277978</v>
      </c>
      <c r="L282" s="23">
        <v>6.0</v>
      </c>
    </row>
    <row r="283" ht="14.25" customHeight="1">
      <c r="A283" s="22" t="s">
        <v>35</v>
      </c>
      <c r="B283" s="22" t="s">
        <v>418</v>
      </c>
      <c r="C283" s="22" t="s">
        <v>418</v>
      </c>
      <c r="D283" s="22" t="s">
        <v>418</v>
      </c>
      <c r="E283" s="23">
        <v>70801.0</v>
      </c>
      <c r="F283" s="23">
        <v>79.0</v>
      </c>
      <c r="G283" s="23">
        <v>399.0</v>
      </c>
      <c r="H283" s="23">
        <v>1365.0</v>
      </c>
      <c r="I283" s="23">
        <v>4354.0</v>
      </c>
      <c r="J283" s="23">
        <v>6197.0</v>
      </c>
      <c r="K283" s="24">
        <f t="shared" si="2"/>
        <v>70.25980313</v>
      </c>
      <c r="L283" s="23">
        <v>79.0</v>
      </c>
    </row>
    <row r="284" ht="14.25" customHeight="1">
      <c r="A284" s="22" t="s">
        <v>35</v>
      </c>
      <c r="B284" s="22" t="s">
        <v>418</v>
      </c>
      <c r="C284" s="22" t="s">
        <v>419</v>
      </c>
      <c r="D284" s="22" t="s">
        <v>419</v>
      </c>
      <c r="E284" s="23">
        <v>70802.0</v>
      </c>
      <c r="F284" s="23">
        <v>5.0</v>
      </c>
      <c r="G284" s="23">
        <v>33.0</v>
      </c>
      <c r="H284" s="23">
        <v>106.0</v>
      </c>
      <c r="I284" s="23">
        <v>651.0</v>
      </c>
      <c r="J284" s="23">
        <v>795.0</v>
      </c>
      <c r="K284" s="24">
        <f t="shared" si="2"/>
        <v>81.88679245</v>
      </c>
      <c r="L284" s="23">
        <v>5.0</v>
      </c>
    </row>
    <row r="285" ht="14.25" customHeight="1">
      <c r="A285" s="22" t="s">
        <v>35</v>
      </c>
      <c r="B285" s="22" t="s">
        <v>418</v>
      </c>
      <c r="C285" s="22" t="s">
        <v>420</v>
      </c>
      <c r="D285" s="22" t="s">
        <v>421</v>
      </c>
      <c r="E285" s="23">
        <v>70803.0</v>
      </c>
      <c r="F285" s="23">
        <v>27.0</v>
      </c>
      <c r="G285" s="23">
        <v>83.0</v>
      </c>
      <c r="H285" s="23">
        <v>288.0</v>
      </c>
      <c r="I285" s="23">
        <v>593.0</v>
      </c>
      <c r="J285" s="23">
        <v>991.0</v>
      </c>
      <c r="K285" s="24">
        <f t="shared" si="2"/>
        <v>59.83854692</v>
      </c>
      <c r="L285" s="23">
        <v>27.0</v>
      </c>
    </row>
    <row r="286" ht="14.25" customHeight="1">
      <c r="A286" s="22" t="s">
        <v>35</v>
      </c>
      <c r="B286" s="22" t="s">
        <v>418</v>
      </c>
      <c r="C286" s="22" t="s">
        <v>422</v>
      </c>
      <c r="D286" s="22" t="s">
        <v>422</v>
      </c>
      <c r="E286" s="23">
        <v>70804.0</v>
      </c>
      <c r="F286" s="23">
        <v>37.0</v>
      </c>
      <c r="G286" s="23">
        <v>96.0</v>
      </c>
      <c r="H286" s="23">
        <v>104.0</v>
      </c>
      <c r="I286" s="23">
        <v>369.0</v>
      </c>
      <c r="J286" s="23">
        <v>606.0</v>
      </c>
      <c r="K286" s="24">
        <f t="shared" si="2"/>
        <v>60.89108911</v>
      </c>
      <c r="L286" s="23">
        <v>37.0</v>
      </c>
    </row>
    <row r="287" ht="14.25" customHeight="1">
      <c r="A287" s="22" t="s">
        <v>35</v>
      </c>
      <c r="B287" s="22" t="s">
        <v>418</v>
      </c>
      <c r="C287" s="22" t="s">
        <v>423</v>
      </c>
      <c r="D287" s="22" t="s">
        <v>423</v>
      </c>
      <c r="E287" s="23">
        <v>70805.0</v>
      </c>
      <c r="F287" s="23">
        <v>22.0</v>
      </c>
      <c r="G287" s="23">
        <v>85.0</v>
      </c>
      <c r="H287" s="23">
        <v>238.0</v>
      </c>
      <c r="I287" s="23">
        <v>404.0</v>
      </c>
      <c r="J287" s="23">
        <v>749.0</v>
      </c>
      <c r="K287" s="24">
        <f t="shared" si="2"/>
        <v>53.93858478</v>
      </c>
      <c r="L287" s="23">
        <v>22.0</v>
      </c>
    </row>
    <row r="288" ht="14.25" customHeight="1">
      <c r="A288" s="22" t="s">
        <v>35</v>
      </c>
      <c r="B288" s="22" t="s">
        <v>424</v>
      </c>
      <c r="C288" s="22" t="s">
        <v>425</v>
      </c>
      <c r="D288" s="22" t="s">
        <v>425</v>
      </c>
      <c r="E288" s="23">
        <v>70901.0</v>
      </c>
      <c r="F288" s="23">
        <v>110.0</v>
      </c>
      <c r="G288" s="23">
        <v>322.0</v>
      </c>
      <c r="H288" s="23">
        <v>1167.0</v>
      </c>
      <c r="I288" s="23">
        <v>2453.0</v>
      </c>
      <c r="J288" s="23">
        <v>4052.0</v>
      </c>
      <c r="K288" s="24">
        <f t="shared" si="2"/>
        <v>60.53800592</v>
      </c>
      <c r="L288" s="23">
        <v>110.0</v>
      </c>
    </row>
    <row r="289" ht="14.25" customHeight="1">
      <c r="A289" s="22" t="s">
        <v>35</v>
      </c>
      <c r="B289" s="22" t="s">
        <v>424</v>
      </c>
      <c r="C289" s="22" t="s">
        <v>426</v>
      </c>
      <c r="D289" s="22" t="s">
        <v>426</v>
      </c>
      <c r="E289" s="23">
        <v>70902.0</v>
      </c>
      <c r="F289" s="23">
        <v>78.0</v>
      </c>
      <c r="G289" s="23">
        <v>208.0</v>
      </c>
      <c r="H289" s="23">
        <v>638.0</v>
      </c>
      <c r="I289" s="23">
        <v>2126.0</v>
      </c>
      <c r="J289" s="23">
        <v>3050.0</v>
      </c>
      <c r="K289" s="24">
        <f t="shared" si="2"/>
        <v>69.70491803</v>
      </c>
      <c r="L289" s="23">
        <v>78.0</v>
      </c>
    </row>
    <row r="290" ht="14.25" customHeight="1">
      <c r="A290" s="22" t="s">
        <v>35</v>
      </c>
      <c r="B290" s="22" t="s">
        <v>424</v>
      </c>
      <c r="C290" s="22" t="s">
        <v>427</v>
      </c>
      <c r="D290" s="22" t="s">
        <v>427</v>
      </c>
      <c r="E290" s="23">
        <v>70903.0</v>
      </c>
      <c r="F290" s="23">
        <v>237.0</v>
      </c>
      <c r="G290" s="23">
        <v>334.0</v>
      </c>
      <c r="H290" s="23">
        <v>1747.0</v>
      </c>
      <c r="I290" s="23">
        <v>1992.0</v>
      </c>
      <c r="J290" s="23">
        <v>4310.0</v>
      </c>
      <c r="K290" s="24">
        <f t="shared" si="2"/>
        <v>46.21809745</v>
      </c>
      <c r="L290" s="23">
        <v>237.0</v>
      </c>
    </row>
    <row r="291" ht="14.25" customHeight="1">
      <c r="A291" s="22" t="s">
        <v>35</v>
      </c>
      <c r="B291" s="22" t="s">
        <v>424</v>
      </c>
      <c r="C291" s="22" t="s">
        <v>428</v>
      </c>
      <c r="D291" s="22" t="s">
        <v>428</v>
      </c>
      <c r="E291" s="23">
        <v>70904.0</v>
      </c>
      <c r="F291" s="23">
        <v>32.0</v>
      </c>
      <c r="G291" s="23">
        <v>70.0</v>
      </c>
      <c r="H291" s="23">
        <v>121.0</v>
      </c>
      <c r="I291" s="23">
        <v>564.0</v>
      </c>
      <c r="J291" s="23">
        <v>787.0</v>
      </c>
      <c r="K291" s="24">
        <f t="shared" si="2"/>
        <v>71.66454892</v>
      </c>
      <c r="L291" s="23">
        <v>32.0</v>
      </c>
    </row>
    <row r="292" ht="14.25" customHeight="1">
      <c r="A292" s="22" t="s">
        <v>35</v>
      </c>
      <c r="B292" s="22" t="s">
        <v>429</v>
      </c>
      <c r="C292" s="22" t="s">
        <v>430</v>
      </c>
      <c r="D292" s="22" t="s">
        <v>430</v>
      </c>
      <c r="E292" s="23">
        <v>71001.0</v>
      </c>
      <c r="F292" s="23">
        <v>127.0</v>
      </c>
      <c r="G292" s="23">
        <v>1359.0</v>
      </c>
      <c r="H292" s="23">
        <v>17773.0</v>
      </c>
      <c r="I292" s="23">
        <v>14125.0</v>
      </c>
      <c r="J292" s="23">
        <v>33384.0</v>
      </c>
      <c r="K292" s="24">
        <f t="shared" si="2"/>
        <v>42.31068775</v>
      </c>
      <c r="L292" s="23">
        <v>127.0</v>
      </c>
    </row>
    <row r="293" ht="14.25" customHeight="1">
      <c r="A293" s="22" t="s">
        <v>35</v>
      </c>
      <c r="B293" s="22" t="s">
        <v>429</v>
      </c>
      <c r="C293" s="22" t="s">
        <v>431</v>
      </c>
      <c r="D293" s="22" t="s">
        <v>431</v>
      </c>
      <c r="E293" s="23">
        <v>71002.0</v>
      </c>
      <c r="F293" s="23">
        <v>48.0</v>
      </c>
      <c r="G293" s="23">
        <v>196.0</v>
      </c>
      <c r="H293" s="23">
        <v>1967.0</v>
      </c>
      <c r="I293" s="23">
        <v>2147.0</v>
      </c>
      <c r="J293" s="23">
        <v>4358.0</v>
      </c>
      <c r="K293" s="24">
        <f t="shared" si="2"/>
        <v>49.26571822</v>
      </c>
      <c r="L293" s="23">
        <v>48.0</v>
      </c>
    </row>
    <row r="294" ht="14.25" customHeight="1">
      <c r="A294" s="22" t="s">
        <v>35</v>
      </c>
      <c r="B294" s="22" t="s">
        <v>429</v>
      </c>
      <c r="C294" s="22" t="s">
        <v>432</v>
      </c>
      <c r="D294" s="22" t="s">
        <v>432</v>
      </c>
      <c r="E294" s="23">
        <v>71003.0</v>
      </c>
      <c r="F294" s="23">
        <v>43.0</v>
      </c>
      <c r="G294" s="23">
        <v>176.0</v>
      </c>
      <c r="H294" s="23">
        <v>2713.0</v>
      </c>
      <c r="I294" s="23">
        <v>3262.0</v>
      </c>
      <c r="J294" s="23">
        <v>6194.0</v>
      </c>
      <c r="K294" s="24">
        <f t="shared" si="2"/>
        <v>52.66386826</v>
      </c>
      <c r="L294" s="23">
        <v>43.0</v>
      </c>
    </row>
    <row r="295" ht="14.25" customHeight="1">
      <c r="A295" s="22" t="s">
        <v>35</v>
      </c>
      <c r="B295" s="22" t="s">
        <v>429</v>
      </c>
      <c r="C295" s="22" t="s">
        <v>433</v>
      </c>
      <c r="D295" s="22" t="s">
        <v>433</v>
      </c>
      <c r="E295" s="23">
        <v>71004.0</v>
      </c>
      <c r="F295" s="23">
        <v>42.0</v>
      </c>
      <c r="G295" s="23">
        <v>192.0</v>
      </c>
      <c r="H295" s="23">
        <v>1718.0</v>
      </c>
      <c r="I295" s="23">
        <v>1486.0</v>
      </c>
      <c r="J295" s="23">
        <v>3438.0</v>
      </c>
      <c r="K295" s="24">
        <f t="shared" si="2"/>
        <v>43.22280396</v>
      </c>
      <c r="L295" s="23">
        <v>42.0</v>
      </c>
    </row>
    <row r="296" ht="14.25" customHeight="1">
      <c r="A296" s="22" t="s">
        <v>35</v>
      </c>
      <c r="B296" s="22" t="s">
        <v>429</v>
      </c>
      <c r="C296" s="22" t="s">
        <v>323</v>
      </c>
      <c r="D296" s="22" t="s">
        <v>323</v>
      </c>
      <c r="E296" s="23">
        <v>71005.0</v>
      </c>
      <c r="F296" s="23">
        <v>179.0</v>
      </c>
      <c r="G296" s="23">
        <v>168.0</v>
      </c>
      <c r="H296" s="23">
        <v>1806.0</v>
      </c>
      <c r="I296" s="23">
        <v>1622.0</v>
      </c>
      <c r="J296" s="23">
        <v>3775.0</v>
      </c>
      <c r="K296" s="24">
        <f t="shared" si="2"/>
        <v>42.96688742</v>
      </c>
      <c r="L296" s="23">
        <v>179.0</v>
      </c>
    </row>
    <row r="297" ht="14.25" customHeight="1">
      <c r="A297" s="22" t="s">
        <v>35</v>
      </c>
      <c r="B297" s="22" t="s">
        <v>434</v>
      </c>
      <c r="C297" s="22" t="s">
        <v>373</v>
      </c>
      <c r="D297" s="22" t="s">
        <v>373</v>
      </c>
      <c r="E297" s="23">
        <v>71101.0</v>
      </c>
      <c r="F297" s="23">
        <v>414.0</v>
      </c>
      <c r="G297" s="23">
        <v>1945.0</v>
      </c>
      <c r="H297" s="23">
        <v>3829.0</v>
      </c>
      <c r="I297" s="23">
        <v>3219.0</v>
      </c>
      <c r="J297" s="23">
        <v>9407.0</v>
      </c>
      <c r="K297" s="24">
        <f t="shared" si="2"/>
        <v>34.21919847</v>
      </c>
      <c r="L297" s="23">
        <v>414.0</v>
      </c>
    </row>
    <row r="298" ht="14.25" customHeight="1">
      <c r="A298" s="22" t="s">
        <v>35</v>
      </c>
      <c r="B298" s="22" t="s">
        <v>434</v>
      </c>
      <c r="C298" s="22" t="s">
        <v>435</v>
      </c>
      <c r="D298" s="22" t="s">
        <v>435</v>
      </c>
      <c r="E298" s="23">
        <v>71102.0</v>
      </c>
      <c r="F298" s="23">
        <v>54.0</v>
      </c>
      <c r="G298" s="23">
        <v>243.0</v>
      </c>
      <c r="H298" s="23">
        <v>2189.0</v>
      </c>
      <c r="I298" s="23">
        <v>1455.0</v>
      </c>
      <c r="J298" s="23">
        <v>3941.0</v>
      </c>
      <c r="K298" s="24">
        <f t="shared" si="2"/>
        <v>36.91956356</v>
      </c>
      <c r="L298" s="23">
        <v>54.0</v>
      </c>
    </row>
    <row r="299" ht="14.25" customHeight="1">
      <c r="A299" s="40" t="s">
        <v>35</v>
      </c>
      <c r="B299" s="40" t="s">
        <v>434</v>
      </c>
      <c r="C299" s="40" t="s">
        <v>436</v>
      </c>
      <c r="D299" s="40" t="s">
        <v>436</v>
      </c>
      <c r="E299" s="38">
        <v>71103.0</v>
      </c>
      <c r="F299" s="38">
        <v>32.0</v>
      </c>
      <c r="G299" s="38">
        <v>189.0</v>
      </c>
      <c r="H299" s="38">
        <v>1785.0</v>
      </c>
      <c r="I299" s="38">
        <v>427.0</v>
      </c>
      <c r="J299" s="38">
        <v>2433.0</v>
      </c>
      <c r="K299" s="24">
        <f t="shared" si="2"/>
        <v>17.55034936</v>
      </c>
      <c r="L299" s="38">
        <v>32.0</v>
      </c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4.25" customHeight="1">
      <c r="A300" s="40" t="s">
        <v>35</v>
      </c>
      <c r="B300" s="40" t="s">
        <v>434</v>
      </c>
      <c r="C300" s="40" t="s">
        <v>437</v>
      </c>
      <c r="D300" s="40" t="s">
        <v>437</v>
      </c>
      <c r="E300" s="38">
        <v>71104.0</v>
      </c>
      <c r="F300" s="38">
        <v>231.0</v>
      </c>
      <c r="G300" s="38">
        <v>884.0</v>
      </c>
      <c r="H300" s="38">
        <v>7698.0</v>
      </c>
      <c r="I300" s="38">
        <v>5635.0</v>
      </c>
      <c r="J300" s="38">
        <v>14448.0</v>
      </c>
      <c r="K300" s="24">
        <f t="shared" si="2"/>
        <v>39.00193798</v>
      </c>
      <c r="L300" s="38">
        <v>231.0</v>
      </c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4.25" customHeight="1">
      <c r="A301" s="40" t="s">
        <v>35</v>
      </c>
      <c r="B301" s="40" t="s">
        <v>434</v>
      </c>
      <c r="C301" s="40" t="s">
        <v>438</v>
      </c>
      <c r="D301" s="40" t="s">
        <v>438</v>
      </c>
      <c r="E301" s="38">
        <v>71105.0</v>
      </c>
      <c r="F301" s="38">
        <v>4.0</v>
      </c>
      <c r="G301" s="38">
        <v>50.0</v>
      </c>
      <c r="H301" s="38">
        <v>170.0</v>
      </c>
      <c r="I301" s="38">
        <v>1251.0</v>
      </c>
      <c r="J301" s="38">
        <v>1475.0</v>
      </c>
      <c r="K301" s="24">
        <f t="shared" si="2"/>
        <v>84.81355932</v>
      </c>
      <c r="L301" s="38">
        <v>4.0</v>
      </c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4.25" customHeight="1">
      <c r="A302" s="22" t="s">
        <v>35</v>
      </c>
      <c r="B302" s="22" t="s">
        <v>434</v>
      </c>
      <c r="C302" s="22" t="s">
        <v>439</v>
      </c>
      <c r="D302" s="22" t="s">
        <v>439</v>
      </c>
      <c r="E302" s="23">
        <v>71106.0</v>
      </c>
      <c r="F302" s="23">
        <v>110.0</v>
      </c>
      <c r="G302" s="23">
        <v>178.0</v>
      </c>
      <c r="H302" s="23">
        <v>1711.0</v>
      </c>
      <c r="I302" s="23">
        <v>4552.0</v>
      </c>
      <c r="J302" s="23">
        <v>6551.0</v>
      </c>
      <c r="K302" s="24">
        <f t="shared" si="2"/>
        <v>69.48557472</v>
      </c>
      <c r="L302" s="23">
        <v>110.0</v>
      </c>
    </row>
    <row r="303" ht="14.25" customHeight="1">
      <c r="A303" s="22" t="s">
        <v>35</v>
      </c>
      <c r="B303" s="22" t="s">
        <v>440</v>
      </c>
      <c r="C303" s="22" t="s">
        <v>441</v>
      </c>
      <c r="D303" s="22" t="s">
        <v>441</v>
      </c>
      <c r="E303" s="23">
        <v>71201.0</v>
      </c>
      <c r="F303" s="23">
        <v>94.0</v>
      </c>
      <c r="G303" s="23">
        <v>710.0</v>
      </c>
      <c r="H303" s="23">
        <v>1696.0</v>
      </c>
      <c r="I303" s="23">
        <v>1645.0</v>
      </c>
      <c r="J303" s="23">
        <v>4145.0</v>
      </c>
      <c r="K303" s="24">
        <f t="shared" si="2"/>
        <v>39.68636912</v>
      </c>
      <c r="L303" s="23">
        <v>94.0</v>
      </c>
    </row>
    <row r="304" ht="14.25" customHeight="1">
      <c r="A304" s="22" t="s">
        <v>35</v>
      </c>
      <c r="B304" s="22" t="s">
        <v>442</v>
      </c>
      <c r="C304" s="22" t="s">
        <v>443</v>
      </c>
      <c r="D304" s="22" t="s">
        <v>443</v>
      </c>
      <c r="E304" s="23">
        <v>71301.0</v>
      </c>
      <c r="F304" s="23">
        <v>262.0</v>
      </c>
      <c r="G304" s="23">
        <v>755.0</v>
      </c>
      <c r="H304" s="23">
        <v>1221.0</v>
      </c>
      <c r="I304" s="23">
        <v>3516.0</v>
      </c>
      <c r="J304" s="23">
        <v>5754.0</v>
      </c>
      <c r="K304" s="24">
        <f t="shared" si="2"/>
        <v>61.10531804</v>
      </c>
      <c r="L304" s="23">
        <v>262.0</v>
      </c>
    </row>
    <row r="305" ht="14.25" customHeight="1">
      <c r="A305" s="22" t="s">
        <v>35</v>
      </c>
      <c r="B305" s="22" t="s">
        <v>442</v>
      </c>
      <c r="C305" s="22" t="s">
        <v>444</v>
      </c>
      <c r="D305" s="22" t="s">
        <v>444</v>
      </c>
      <c r="E305" s="23">
        <v>71302.0</v>
      </c>
      <c r="F305" s="23">
        <v>61.0</v>
      </c>
      <c r="G305" s="23">
        <v>142.0</v>
      </c>
      <c r="H305" s="23">
        <v>730.0</v>
      </c>
      <c r="I305" s="23">
        <v>1056.0</v>
      </c>
      <c r="J305" s="23">
        <v>1989.0</v>
      </c>
      <c r="K305" s="24">
        <f t="shared" si="2"/>
        <v>53.09200603</v>
      </c>
      <c r="L305" s="23">
        <v>61.0</v>
      </c>
    </row>
    <row r="306" ht="14.25" customHeight="1">
      <c r="A306" s="22" t="s">
        <v>35</v>
      </c>
      <c r="B306" s="22" t="s">
        <v>445</v>
      </c>
      <c r="C306" s="22" t="s">
        <v>446</v>
      </c>
      <c r="D306" s="22" t="s">
        <v>446</v>
      </c>
      <c r="E306" s="23">
        <v>71401.0</v>
      </c>
      <c r="F306" s="23">
        <v>35.0</v>
      </c>
      <c r="G306" s="23">
        <v>230.0</v>
      </c>
      <c r="H306" s="23">
        <v>3029.0</v>
      </c>
      <c r="I306" s="23">
        <v>1565.0</v>
      </c>
      <c r="J306" s="23">
        <v>4859.0</v>
      </c>
      <c r="K306" s="24">
        <f t="shared" si="2"/>
        <v>32.20827331</v>
      </c>
      <c r="L306" s="23">
        <v>35.0</v>
      </c>
    </row>
    <row r="307" ht="14.25" customHeight="1">
      <c r="A307" s="22" t="s">
        <v>35</v>
      </c>
      <c r="B307" s="22" t="s">
        <v>445</v>
      </c>
      <c r="C307" s="22" t="s">
        <v>447</v>
      </c>
      <c r="D307" s="22" t="s">
        <v>447</v>
      </c>
      <c r="E307" s="23">
        <v>71402.0</v>
      </c>
      <c r="F307" s="23">
        <v>19.0</v>
      </c>
      <c r="G307" s="23">
        <v>140.0</v>
      </c>
      <c r="H307" s="23">
        <v>4060.0</v>
      </c>
      <c r="I307" s="23">
        <v>735.0</v>
      </c>
      <c r="J307" s="23">
        <v>4954.0</v>
      </c>
      <c r="K307" s="24">
        <f t="shared" si="2"/>
        <v>14.83649576</v>
      </c>
      <c r="L307" s="23">
        <v>19.0</v>
      </c>
    </row>
    <row r="308" ht="14.25" customHeight="1">
      <c r="A308" s="22" t="s">
        <v>35</v>
      </c>
      <c r="B308" s="22" t="s">
        <v>445</v>
      </c>
      <c r="C308" s="22" t="s">
        <v>448</v>
      </c>
      <c r="D308" s="22" t="s">
        <v>448</v>
      </c>
      <c r="E308" s="23">
        <v>71403.0</v>
      </c>
      <c r="F308" s="23">
        <v>111.0</v>
      </c>
      <c r="G308" s="23">
        <v>320.0</v>
      </c>
      <c r="H308" s="23">
        <v>614.0</v>
      </c>
      <c r="I308" s="23">
        <v>1388.0</v>
      </c>
      <c r="J308" s="23">
        <v>2433.0</v>
      </c>
      <c r="K308" s="24">
        <f t="shared" si="2"/>
        <v>57.04891081</v>
      </c>
      <c r="L308" s="23">
        <v>111.0</v>
      </c>
    </row>
    <row r="309" ht="14.25" customHeight="1">
      <c r="A309" s="22" t="s">
        <v>35</v>
      </c>
      <c r="B309" s="22" t="s">
        <v>449</v>
      </c>
      <c r="C309" s="22" t="s">
        <v>450</v>
      </c>
      <c r="D309" s="22" t="s">
        <v>450</v>
      </c>
      <c r="E309" s="23">
        <v>71501.0</v>
      </c>
      <c r="F309" s="23">
        <v>935.0</v>
      </c>
      <c r="G309" s="23">
        <v>2506.0</v>
      </c>
      <c r="H309" s="23">
        <v>5089.0</v>
      </c>
      <c r="I309" s="23">
        <v>2273.0</v>
      </c>
      <c r="J309" s="23">
        <v>10803.0</v>
      </c>
      <c r="K309" s="24">
        <f t="shared" si="2"/>
        <v>21.04045173</v>
      </c>
      <c r="L309" s="23">
        <v>935.0</v>
      </c>
    </row>
    <row r="310" ht="14.25" customHeight="1">
      <c r="A310" s="22" t="s">
        <v>35</v>
      </c>
      <c r="B310" s="22" t="s">
        <v>449</v>
      </c>
      <c r="C310" s="22" t="s">
        <v>451</v>
      </c>
      <c r="D310" s="22" t="s">
        <v>452</v>
      </c>
      <c r="E310" s="23">
        <v>71502.0</v>
      </c>
      <c r="F310" s="23">
        <v>70.0</v>
      </c>
      <c r="G310" s="23">
        <v>276.0</v>
      </c>
      <c r="H310" s="23">
        <v>553.0</v>
      </c>
      <c r="I310" s="23">
        <v>741.0</v>
      </c>
      <c r="J310" s="23">
        <v>1640.0</v>
      </c>
      <c r="K310" s="24">
        <f t="shared" si="2"/>
        <v>45.18292683</v>
      </c>
      <c r="L310" s="23">
        <v>70.0</v>
      </c>
    </row>
    <row r="311" ht="14.25" customHeight="1">
      <c r="A311" s="22" t="s">
        <v>35</v>
      </c>
      <c r="B311" s="22" t="s">
        <v>449</v>
      </c>
      <c r="C311" s="22" t="s">
        <v>378</v>
      </c>
      <c r="D311" s="22" t="s">
        <v>378</v>
      </c>
      <c r="E311" s="23">
        <v>71503.0</v>
      </c>
      <c r="F311" s="23">
        <v>297.0</v>
      </c>
      <c r="G311" s="23">
        <v>1291.0</v>
      </c>
      <c r="H311" s="23">
        <v>2079.0</v>
      </c>
      <c r="I311" s="23">
        <v>2787.0</v>
      </c>
      <c r="J311" s="23">
        <v>6454.0</v>
      </c>
      <c r="K311" s="24">
        <f t="shared" si="2"/>
        <v>43.18252247</v>
      </c>
      <c r="L311" s="23">
        <v>297.0</v>
      </c>
    </row>
    <row r="312" ht="14.25" customHeight="1">
      <c r="A312" s="22" t="s">
        <v>38</v>
      </c>
      <c r="B312" s="22" t="s">
        <v>189</v>
      </c>
      <c r="C312" s="22" t="s">
        <v>453</v>
      </c>
      <c r="D312" s="22" t="s">
        <v>453</v>
      </c>
      <c r="E312" s="23">
        <v>80101.0</v>
      </c>
      <c r="F312" s="23">
        <v>293.0</v>
      </c>
      <c r="G312" s="23">
        <v>11189.0</v>
      </c>
      <c r="H312" s="23">
        <v>12021.0</v>
      </c>
      <c r="I312" s="23">
        <v>8942.0</v>
      </c>
      <c r="J312" s="23">
        <v>32445.0</v>
      </c>
      <c r="K312" s="24">
        <f t="shared" si="2"/>
        <v>27.56048698</v>
      </c>
      <c r="L312" s="23">
        <v>293.0</v>
      </c>
    </row>
    <row r="313" ht="14.25" customHeight="1">
      <c r="A313" s="22" t="s">
        <v>38</v>
      </c>
      <c r="B313" s="22" t="s">
        <v>189</v>
      </c>
      <c r="C313" s="22" t="s">
        <v>435</v>
      </c>
      <c r="D313" s="22" t="s">
        <v>435</v>
      </c>
      <c r="E313" s="23">
        <v>80102.0</v>
      </c>
      <c r="F313" s="23">
        <v>74.0</v>
      </c>
      <c r="G313" s="23">
        <v>346.0</v>
      </c>
      <c r="H313" s="23">
        <v>605.0</v>
      </c>
      <c r="I313" s="23">
        <v>1046.0</v>
      </c>
      <c r="J313" s="23">
        <v>2071.0</v>
      </c>
      <c r="K313" s="24">
        <f t="shared" si="2"/>
        <v>50.50700145</v>
      </c>
      <c r="L313" s="23">
        <v>74.0</v>
      </c>
    </row>
    <row r="314" ht="14.25" customHeight="1">
      <c r="A314" s="22" t="s">
        <v>38</v>
      </c>
      <c r="B314" s="22" t="s">
        <v>454</v>
      </c>
      <c r="C314" s="22" t="s">
        <v>455</v>
      </c>
      <c r="D314" s="22" t="s">
        <v>455</v>
      </c>
      <c r="E314" s="23">
        <v>80201.0</v>
      </c>
      <c r="F314" s="23">
        <v>1336.0</v>
      </c>
      <c r="G314" s="23">
        <v>15877.0</v>
      </c>
      <c r="H314" s="23">
        <v>5023.0</v>
      </c>
      <c r="I314" s="23">
        <v>5206.0</v>
      </c>
      <c r="J314" s="23">
        <v>27442.0</v>
      </c>
      <c r="K314" s="24">
        <f t="shared" si="2"/>
        <v>18.97092049</v>
      </c>
      <c r="L314" s="23">
        <v>1336.0</v>
      </c>
    </row>
    <row r="315" ht="14.25" customHeight="1">
      <c r="A315" s="22" t="s">
        <v>38</v>
      </c>
      <c r="B315" s="22" t="s">
        <v>454</v>
      </c>
      <c r="C315" s="22" t="s">
        <v>456</v>
      </c>
      <c r="D315" s="22" t="s">
        <v>456</v>
      </c>
      <c r="E315" s="23">
        <v>80202.0</v>
      </c>
      <c r="F315" s="23">
        <v>163.0</v>
      </c>
      <c r="G315" s="23">
        <v>1323.0</v>
      </c>
      <c r="H315" s="23">
        <v>5315.0</v>
      </c>
      <c r="I315" s="23">
        <v>4090.0</v>
      </c>
      <c r="J315" s="23">
        <v>10891.0</v>
      </c>
      <c r="K315" s="24">
        <f t="shared" si="2"/>
        <v>37.55394362</v>
      </c>
      <c r="L315" s="23">
        <v>163.0</v>
      </c>
    </row>
    <row r="316" ht="14.25" customHeight="1">
      <c r="A316" s="22" t="s">
        <v>38</v>
      </c>
      <c r="B316" s="22" t="s">
        <v>457</v>
      </c>
      <c r="C316" s="22" t="s">
        <v>458</v>
      </c>
      <c r="D316" s="22" t="s">
        <v>458</v>
      </c>
      <c r="E316" s="23">
        <v>80301.0</v>
      </c>
      <c r="F316" s="23">
        <v>105.0</v>
      </c>
      <c r="G316" s="23">
        <v>1858.0</v>
      </c>
      <c r="H316" s="23">
        <v>627.0</v>
      </c>
      <c r="I316" s="23">
        <v>827.0</v>
      </c>
      <c r="J316" s="23">
        <v>3417.0</v>
      </c>
      <c r="K316" s="24">
        <f t="shared" si="2"/>
        <v>24.20251683</v>
      </c>
      <c r="L316" s="23">
        <v>105.0</v>
      </c>
    </row>
    <row r="317" ht="14.25" customHeight="1">
      <c r="A317" s="22" t="s">
        <v>38</v>
      </c>
      <c r="B317" s="22" t="s">
        <v>457</v>
      </c>
      <c r="C317" s="22" t="s">
        <v>459</v>
      </c>
      <c r="D317" s="22" t="s">
        <v>459</v>
      </c>
      <c r="E317" s="23">
        <v>80302.0</v>
      </c>
      <c r="F317" s="23">
        <v>1969.0</v>
      </c>
      <c r="G317" s="23">
        <v>3059.0</v>
      </c>
      <c r="H317" s="23">
        <v>5432.0</v>
      </c>
      <c r="I317" s="23">
        <v>2591.0</v>
      </c>
      <c r="J317" s="23">
        <v>13051.0</v>
      </c>
      <c r="K317" s="24">
        <f t="shared" si="2"/>
        <v>19.85288484</v>
      </c>
      <c r="L317" s="23">
        <v>1969.0</v>
      </c>
    </row>
    <row r="318" ht="14.25" customHeight="1">
      <c r="A318" s="22" t="s">
        <v>38</v>
      </c>
      <c r="B318" s="22" t="s">
        <v>457</v>
      </c>
      <c r="C318" s="22" t="s">
        <v>408</v>
      </c>
      <c r="D318" s="22" t="s">
        <v>408</v>
      </c>
      <c r="E318" s="23">
        <v>80303.0</v>
      </c>
      <c r="F318" s="23">
        <v>44.0</v>
      </c>
      <c r="G318" s="23">
        <v>250.0</v>
      </c>
      <c r="H318" s="23">
        <v>1496.0</v>
      </c>
      <c r="I318" s="23">
        <v>965.0</v>
      </c>
      <c r="J318" s="23">
        <v>2755.0</v>
      </c>
      <c r="K318" s="24">
        <f t="shared" si="2"/>
        <v>35.02722323</v>
      </c>
      <c r="L318" s="23">
        <v>44.0</v>
      </c>
    </row>
    <row r="319" ht="14.25" customHeight="1">
      <c r="A319" s="22" t="s">
        <v>38</v>
      </c>
      <c r="B319" s="22" t="s">
        <v>457</v>
      </c>
      <c r="C319" s="22" t="s">
        <v>460</v>
      </c>
      <c r="D319" s="22" t="s">
        <v>461</v>
      </c>
      <c r="E319" s="23">
        <v>80304.0</v>
      </c>
      <c r="F319" s="23">
        <v>596.0</v>
      </c>
      <c r="G319" s="23">
        <v>766.0</v>
      </c>
      <c r="H319" s="23">
        <v>2620.0</v>
      </c>
      <c r="I319" s="23">
        <v>2893.0</v>
      </c>
      <c r="J319" s="23">
        <v>6875.0</v>
      </c>
      <c r="K319" s="24">
        <f t="shared" si="2"/>
        <v>42.08</v>
      </c>
      <c r="L319" s="23">
        <v>596.0</v>
      </c>
    </row>
    <row r="320" ht="14.25" customHeight="1">
      <c r="A320" s="22" t="s">
        <v>38</v>
      </c>
      <c r="B320" s="22" t="s">
        <v>462</v>
      </c>
      <c r="C320" s="22" t="s">
        <v>463</v>
      </c>
      <c r="D320" s="22" t="s">
        <v>464</v>
      </c>
      <c r="E320" s="23">
        <v>80401.0</v>
      </c>
      <c r="F320" s="23">
        <v>220.0</v>
      </c>
      <c r="G320" s="23">
        <v>830.0</v>
      </c>
      <c r="H320" s="23">
        <v>836.0</v>
      </c>
      <c r="I320" s="23">
        <v>2409.0</v>
      </c>
      <c r="J320" s="23">
        <v>4295.0</v>
      </c>
      <c r="K320" s="24">
        <f t="shared" si="2"/>
        <v>56.08847497</v>
      </c>
      <c r="L320" s="23">
        <v>220.0</v>
      </c>
    </row>
    <row r="321" ht="14.25" customHeight="1">
      <c r="A321" s="22" t="s">
        <v>38</v>
      </c>
      <c r="B321" s="22" t="s">
        <v>462</v>
      </c>
      <c r="C321" s="22" t="s">
        <v>465</v>
      </c>
      <c r="D321" s="22" t="s">
        <v>465</v>
      </c>
      <c r="E321" s="23">
        <v>80402.0</v>
      </c>
      <c r="F321" s="23">
        <v>50.0</v>
      </c>
      <c r="G321" s="23">
        <v>247.0</v>
      </c>
      <c r="H321" s="23">
        <v>739.0</v>
      </c>
      <c r="I321" s="23">
        <v>419.0</v>
      </c>
      <c r="J321" s="23">
        <v>1455.0</v>
      </c>
      <c r="K321" s="24">
        <f t="shared" si="2"/>
        <v>28.79725086</v>
      </c>
      <c r="L321" s="23">
        <v>50.0</v>
      </c>
    </row>
    <row r="322" ht="14.25" customHeight="1">
      <c r="A322" s="22" t="s">
        <v>38</v>
      </c>
      <c r="B322" s="22" t="s">
        <v>466</v>
      </c>
      <c r="C322" s="22" t="s">
        <v>391</v>
      </c>
      <c r="D322" s="22" t="s">
        <v>391</v>
      </c>
      <c r="E322" s="23">
        <v>80501.0</v>
      </c>
      <c r="F322" s="23">
        <v>308.0</v>
      </c>
      <c r="G322" s="23">
        <v>650.0</v>
      </c>
      <c r="H322" s="23">
        <v>2864.0</v>
      </c>
      <c r="I322" s="23">
        <v>1569.0</v>
      </c>
      <c r="J322" s="23">
        <v>5391.0</v>
      </c>
      <c r="K322" s="24">
        <f t="shared" si="2"/>
        <v>29.10406233</v>
      </c>
      <c r="L322" s="23">
        <v>308.0</v>
      </c>
    </row>
    <row r="323" ht="14.25" customHeight="1">
      <c r="A323" s="22" t="s">
        <v>38</v>
      </c>
      <c r="B323" s="22" t="s">
        <v>467</v>
      </c>
      <c r="C323" s="22" t="s">
        <v>468</v>
      </c>
      <c r="D323" s="22" t="s">
        <v>468</v>
      </c>
      <c r="E323" s="23">
        <v>80601.0</v>
      </c>
      <c r="F323" s="23">
        <v>53.0</v>
      </c>
      <c r="G323" s="23">
        <v>164.0</v>
      </c>
      <c r="H323" s="23">
        <v>280.0</v>
      </c>
      <c r="I323" s="23">
        <v>556.0</v>
      </c>
      <c r="J323" s="23">
        <v>1053.0</v>
      </c>
      <c r="K323" s="24">
        <f t="shared" si="2"/>
        <v>52.80151947</v>
      </c>
      <c r="L323" s="23">
        <v>53.0</v>
      </c>
    </row>
    <row r="324" ht="14.25" customHeight="1">
      <c r="A324" s="22" t="s">
        <v>38</v>
      </c>
      <c r="B324" s="22" t="s">
        <v>467</v>
      </c>
      <c r="C324" s="22" t="s">
        <v>469</v>
      </c>
      <c r="D324" s="22" t="s">
        <v>469</v>
      </c>
      <c r="E324" s="23">
        <v>80602.0</v>
      </c>
      <c r="F324" s="23">
        <v>394.0</v>
      </c>
      <c r="G324" s="23">
        <v>1069.0</v>
      </c>
      <c r="H324" s="23">
        <v>1602.0</v>
      </c>
      <c r="I324" s="23">
        <v>2205.0</v>
      </c>
      <c r="J324" s="23">
        <v>5270.0</v>
      </c>
      <c r="K324" s="24">
        <f t="shared" si="2"/>
        <v>41.84060721</v>
      </c>
      <c r="L324" s="23">
        <v>394.0</v>
      </c>
    </row>
    <row r="325" ht="14.25" customHeight="1">
      <c r="A325" s="22" t="s">
        <v>38</v>
      </c>
      <c r="B325" s="22" t="s">
        <v>470</v>
      </c>
      <c r="C325" s="22" t="s">
        <v>471</v>
      </c>
      <c r="D325" s="22" t="s">
        <v>471</v>
      </c>
      <c r="E325" s="23">
        <v>80701.0</v>
      </c>
      <c r="F325" s="23">
        <v>25.0</v>
      </c>
      <c r="G325" s="23">
        <v>261.0</v>
      </c>
      <c r="H325" s="23">
        <v>820.0</v>
      </c>
      <c r="I325" s="23">
        <v>379.0</v>
      </c>
      <c r="J325" s="23">
        <v>1485.0</v>
      </c>
      <c r="K325" s="24">
        <f t="shared" si="2"/>
        <v>25.52188552</v>
      </c>
      <c r="L325" s="23">
        <v>25.0</v>
      </c>
    </row>
    <row r="326" ht="14.25" customHeight="1">
      <c r="A326" s="22" t="s">
        <v>38</v>
      </c>
      <c r="B326" s="22" t="s">
        <v>470</v>
      </c>
      <c r="C326" s="22" t="s">
        <v>436</v>
      </c>
      <c r="D326" s="22" t="s">
        <v>436</v>
      </c>
      <c r="E326" s="23">
        <v>80702.0</v>
      </c>
      <c r="F326" s="23">
        <v>99.0</v>
      </c>
      <c r="G326" s="23">
        <v>245.0</v>
      </c>
      <c r="H326" s="23">
        <v>816.0</v>
      </c>
      <c r="I326" s="23">
        <v>344.0</v>
      </c>
      <c r="J326" s="23">
        <v>1504.0</v>
      </c>
      <c r="K326" s="24">
        <f t="shared" si="2"/>
        <v>22.87234043</v>
      </c>
      <c r="L326" s="23">
        <v>99.0</v>
      </c>
    </row>
    <row r="327" ht="14.25" customHeight="1">
      <c r="A327" s="22" t="s">
        <v>38</v>
      </c>
      <c r="B327" s="22" t="s">
        <v>470</v>
      </c>
      <c r="C327" s="22" t="s">
        <v>472</v>
      </c>
      <c r="D327" s="22" t="s">
        <v>472</v>
      </c>
      <c r="E327" s="23">
        <v>80703.0</v>
      </c>
      <c r="F327" s="23">
        <v>2.0</v>
      </c>
      <c r="G327" s="23">
        <v>19.0</v>
      </c>
      <c r="H327" s="23">
        <v>100.0</v>
      </c>
      <c r="I327" s="23">
        <v>184.0</v>
      </c>
      <c r="J327" s="23">
        <v>305.0</v>
      </c>
      <c r="K327" s="24">
        <f t="shared" si="2"/>
        <v>60.32786885</v>
      </c>
      <c r="L327" s="23">
        <v>2.0</v>
      </c>
    </row>
    <row r="328" ht="14.25" customHeight="1">
      <c r="A328" s="22" t="s">
        <v>38</v>
      </c>
      <c r="B328" s="22" t="s">
        <v>473</v>
      </c>
      <c r="C328" s="22" t="s">
        <v>474</v>
      </c>
      <c r="D328" s="22" t="s">
        <v>474</v>
      </c>
      <c r="E328" s="23">
        <v>80801.0</v>
      </c>
      <c r="F328" s="23">
        <v>50.0</v>
      </c>
      <c r="G328" s="23">
        <v>862.0</v>
      </c>
      <c r="H328" s="23">
        <v>1662.0</v>
      </c>
      <c r="I328" s="23">
        <v>385.0</v>
      </c>
      <c r="J328" s="23">
        <v>2959.0</v>
      </c>
      <c r="K328" s="24">
        <f t="shared" si="2"/>
        <v>13.01115242</v>
      </c>
      <c r="L328" s="23">
        <v>50.0</v>
      </c>
    </row>
    <row r="329" ht="14.25" customHeight="1">
      <c r="A329" s="22" t="s">
        <v>38</v>
      </c>
      <c r="B329" s="22" t="s">
        <v>473</v>
      </c>
      <c r="C329" s="22" t="s">
        <v>475</v>
      </c>
      <c r="D329" s="22" t="s">
        <v>475</v>
      </c>
      <c r="E329" s="23">
        <v>80802.0</v>
      </c>
      <c r="F329" s="23">
        <v>137.0</v>
      </c>
      <c r="G329" s="23">
        <v>347.0</v>
      </c>
      <c r="H329" s="23">
        <v>1039.0</v>
      </c>
      <c r="I329" s="23">
        <v>541.0</v>
      </c>
      <c r="J329" s="23">
        <v>2064.0</v>
      </c>
      <c r="K329" s="24">
        <f t="shared" si="2"/>
        <v>26.21124031</v>
      </c>
      <c r="L329" s="23">
        <v>137.0</v>
      </c>
    </row>
    <row r="330" ht="14.25" customHeight="1">
      <c r="A330" s="22" t="s">
        <v>38</v>
      </c>
      <c r="B330" s="22" t="s">
        <v>473</v>
      </c>
      <c r="C330" s="22" t="s">
        <v>476</v>
      </c>
      <c r="D330" s="22" t="s">
        <v>476</v>
      </c>
      <c r="E330" s="23">
        <v>80803.0</v>
      </c>
      <c r="F330" s="23">
        <v>24.0</v>
      </c>
      <c r="G330" s="23">
        <v>143.0</v>
      </c>
      <c r="H330" s="23">
        <v>596.0</v>
      </c>
      <c r="I330" s="23">
        <v>255.0</v>
      </c>
      <c r="J330" s="23">
        <v>1018.0</v>
      </c>
      <c r="K330" s="24">
        <f t="shared" si="2"/>
        <v>25.04911591</v>
      </c>
      <c r="L330" s="23">
        <v>24.0</v>
      </c>
    </row>
    <row r="331" ht="14.25" customHeight="1">
      <c r="A331" s="22" t="s">
        <v>38</v>
      </c>
      <c r="B331" s="22" t="s">
        <v>466</v>
      </c>
      <c r="C331" s="22" t="s">
        <v>477</v>
      </c>
      <c r="D331" s="22" t="s">
        <v>477</v>
      </c>
      <c r="E331" s="23">
        <v>80901.0</v>
      </c>
      <c r="F331" s="23">
        <v>193.0</v>
      </c>
      <c r="G331" s="23">
        <v>146.0</v>
      </c>
      <c r="H331" s="23">
        <v>205.0</v>
      </c>
      <c r="I331" s="23">
        <v>378.0</v>
      </c>
      <c r="J331" s="23">
        <v>922.0</v>
      </c>
      <c r="K331" s="24">
        <f t="shared" si="2"/>
        <v>40.9978308</v>
      </c>
      <c r="L331" s="23">
        <v>193.0</v>
      </c>
    </row>
    <row r="332" ht="14.25" customHeight="1">
      <c r="A332" s="22" t="s">
        <v>40</v>
      </c>
      <c r="B332" s="22" t="s">
        <v>478</v>
      </c>
      <c r="C332" s="22" t="s">
        <v>479</v>
      </c>
      <c r="D332" s="22" t="s">
        <v>479</v>
      </c>
      <c r="E332" s="23">
        <v>90101.0</v>
      </c>
      <c r="F332" s="23">
        <v>152.0</v>
      </c>
      <c r="G332" s="23">
        <v>2102.0</v>
      </c>
      <c r="H332" s="23">
        <v>7263.0</v>
      </c>
      <c r="I332" s="23">
        <v>6047.0</v>
      </c>
      <c r="J332" s="23">
        <v>15564.0</v>
      </c>
      <c r="K332" s="24">
        <f t="shared" si="2"/>
        <v>38.85248008</v>
      </c>
      <c r="L332" s="23">
        <v>152.0</v>
      </c>
    </row>
    <row r="333" ht="14.25" customHeight="1">
      <c r="A333" s="22" t="s">
        <v>40</v>
      </c>
      <c r="B333" s="22" t="s">
        <v>478</v>
      </c>
      <c r="C333" s="22" t="s">
        <v>480</v>
      </c>
      <c r="D333" s="22" t="s">
        <v>480</v>
      </c>
      <c r="E333" s="23">
        <v>90102.0</v>
      </c>
      <c r="F333" s="23">
        <v>52.0</v>
      </c>
      <c r="G333" s="23">
        <v>253.0</v>
      </c>
      <c r="H333" s="23">
        <v>1311.0</v>
      </c>
      <c r="I333" s="23">
        <v>614.0</v>
      </c>
      <c r="J333" s="23">
        <v>2230.0</v>
      </c>
      <c r="K333" s="24">
        <f t="shared" si="2"/>
        <v>27.53363229</v>
      </c>
      <c r="L333" s="23">
        <v>52.0</v>
      </c>
    </row>
    <row r="334" ht="14.25" customHeight="1">
      <c r="A334" s="22" t="s">
        <v>40</v>
      </c>
      <c r="B334" s="22" t="s">
        <v>478</v>
      </c>
      <c r="C334" s="22" t="s">
        <v>481</v>
      </c>
      <c r="D334" s="22" t="s">
        <v>481</v>
      </c>
      <c r="E334" s="23">
        <v>90103.0</v>
      </c>
      <c r="F334" s="23">
        <v>32.0</v>
      </c>
      <c r="G334" s="23">
        <v>158.0</v>
      </c>
      <c r="H334" s="23">
        <v>269.0</v>
      </c>
      <c r="I334" s="23">
        <v>343.0</v>
      </c>
      <c r="J334" s="23">
        <v>802.0</v>
      </c>
      <c r="K334" s="24">
        <f t="shared" si="2"/>
        <v>42.7680798</v>
      </c>
      <c r="L334" s="23">
        <v>32.0</v>
      </c>
    </row>
    <row r="335" ht="14.25" customHeight="1">
      <c r="A335" s="22" t="s">
        <v>40</v>
      </c>
      <c r="B335" s="22" t="s">
        <v>478</v>
      </c>
      <c r="C335" s="22" t="s">
        <v>482</v>
      </c>
      <c r="D335" s="22" t="s">
        <v>482</v>
      </c>
      <c r="E335" s="23">
        <v>90104.0</v>
      </c>
      <c r="F335" s="23">
        <v>72.0</v>
      </c>
      <c r="G335" s="23">
        <v>203.0</v>
      </c>
      <c r="H335" s="23">
        <v>338.0</v>
      </c>
      <c r="I335" s="23">
        <v>622.0</v>
      </c>
      <c r="J335" s="23">
        <v>1235.0</v>
      </c>
      <c r="K335" s="24">
        <f t="shared" si="2"/>
        <v>50.36437247</v>
      </c>
      <c r="L335" s="23">
        <v>72.0</v>
      </c>
    </row>
    <row r="336" ht="14.25" customHeight="1">
      <c r="A336" s="22" t="s">
        <v>40</v>
      </c>
      <c r="B336" s="22" t="s">
        <v>483</v>
      </c>
      <c r="C336" s="22" t="s">
        <v>484</v>
      </c>
      <c r="D336" s="22" t="s">
        <v>484</v>
      </c>
      <c r="E336" s="23">
        <v>90201.0</v>
      </c>
      <c r="F336" s="23">
        <v>48.0</v>
      </c>
      <c r="G336" s="23">
        <v>323.0</v>
      </c>
      <c r="H336" s="23">
        <v>1087.0</v>
      </c>
      <c r="I336" s="23">
        <v>531.0</v>
      </c>
      <c r="J336" s="23">
        <v>1989.0</v>
      </c>
      <c r="K336" s="24">
        <f t="shared" si="2"/>
        <v>26.69683258</v>
      </c>
      <c r="L336" s="23">
        <v>48.0</v>
      </c>
    </row>
    <row r="337" ht="14.25" customHeight="1">
      <c r="A337" s="22" t="s">
        <v>40</v>
      </c>
      <c r="B337" s="22" t="s">
        <v>483</v>
      </c>
      <c r="C337" s="22" t="s">
        <v>323</v>
      </c>
      <c r="D337" s="22" t="s">
        <v>323</v>
      </c>
      <c r="E337" s="23">
        <v>90202.0</v>
      </c>
      <c r="F337" s="23">
        <v>14.0</v>
      </c>
      <c r="G337" s="23">
        <v>297.0</v>
      </c>
      <c r="H337" s="23">
        <v>250.0</v>
      </c>
      <c r="I337" s="23">
        <v>51.0</v>
      </c>
      <c r="J337" s="23">
        <v>612.0</v>
      </c>
      <c r="K337" s="24">
        <f t="shared" si="2"/>
        <v>8.333333333</v>
      </c>
      <c r="L337" s="23">
        <v>14.0</v>
      </c>
    </row>
    <row r="338" ht="14.25" customHeight="1">
      <c r="A338" s="22" t="s">
        <v>40</v>
      </c>
      <c r="B338" s="22" t="s">
        <v>483</v>
      </c>
      <c r="C338" s="22" t="s">
        <v>485</v>
      </c>
      <c r="D338" s="22" t="s">
        <v>485</v>
      </c>
      <c r="E338" s="23">
        <v>90203.0</v>
      </c>
      <c r="F338" s="23">
        <v>114.0</v>
      </c>
      <c r="G338" s="23">
        <v>369.0</v>
      </c>
      <c r="H338" s="23">
        <v>884.0</v>
      </c>
      <c r="I338" s="23">
        <v>1147.0</v>
      </c>
      <c r="J338" s="23">
        <v>2514.0</v>
      </c>
      <c r="K338" s="24">
        <f t="shared" si="2"/>
        <v>45.62450278</v>
      </c>
      <c r="L338" s="23">
        <v>114.0</v>
      </c>
    </row>
    <row r="339" ht="14.25" customHeight="1">
      <c r="A339" s="22" t="s">
        <v>40</v>
      </c>
      <c r="B339" s="22" t="s">
        <v>486</v>
      </c>
      <c r="C339" s="22" t="s">
        <v>487</v>
      </c>
      <c r="D339" s="22" t="s">
        <v>487</v>
      </c>
      <c r="E339" s="23">
        <v>90301.0</v>
      </c>
      <c r="F339" s="23">
        <v>99.0</v>
      </c>
      <c r="G339" s="23">
        <v>457.0</v>
      </c>
      <c r="H339" s="23">
        <v>834.0</v>
      </c>
      <c r="I339" s="23">
        <v>575.0</v>
      </c>
      <c r="J339" s="23">
        <v>1965.0</v>
      </c>
      <c r="K339" s="24">
        <f t="shared" si="2"/>
        <v>29.26208651</v>
      </c>
      <c r="L339" s="23">
        <v>99.0</v>
      </c>
    </row>
    <row r="340" ht="14.25" customHeight="1">
      <c r="A340" s="22" t="s">
        <v>40</v>
      </c>
      <c r="B340" s="22" t="s">
        <v>486</v>
      </c>
      <c r="C340" s="22" t="s">
        <v>376</v>
      </c>
      <c r="D340" s="22" t="s">
        <v>376</v>
      </c>
      <c r="E340" s="23">
        <v>90302.0</v>
      </c>
      <c r="F340" s="23">
        <v>35.0</v>
      </c>
      <c r="G340" s="23">
        <v>213.0</v>
      </c>
      <c r="H340" s="23">
        <v>1042.0</v>
      </c>
      <c r="I340" s="23">
        <v>560.0</v>
      </c>
      <c r="J340" s="23">
        <v>1850.0</v>
      </c>
      <c r="K340" s="24">
        <f t="shared" si="2"/>
        <v>30.27027027</v>
      </c>
      <c r="L340" s="23">
        <v>35.0</v>
      </c>
    </row>
    <row r="341" ht="14.25" customHeight="1">
      <c r="A341" s="22" t="s">
        <v>40</v>
      </c>
      <c r="B341" s="22" t="s">
        <v>486</v>
      </c>
      <c r="C341" s="22" t="s">
        <v>488</v>
      </c>
      <c r="D341" s="22" t="s">
        <v>488</v>
      </c>
      <c r="E341" s="23">
        <v>90303.0</v>
      </c>
      <c r="F341" s="23">
        <v>174.0</v>
      </c>
      <c r="G341" s="23">
        <v>1219.0</v>
      </c>
      <c r="H341" s="23">
        <v>1205.0</v>
      </c>
      <c r="I341" s="23">
        <v>277.0</v>
      </c>
      <c r="J341" s="23">
        <v>2875.0</v>
      </c>
      <c r="K341" s="24">
        <f t="shared" si="2"/>
        <v>9.634782609</v>
      </c>
      <c r="L341" s="23">
        <v>174.0</v>
      </c>
    </row>
    <row r="342" ht="14.25" customHeight="1">
      <c r="A342" s="22" t="s">
        <v>40</v>
      </c>
      <c r="B342" s="22" t="s">
        <v>489</v>
      </c>
      <c r="C342" s="22" t="s">
        <v>408</v>
      </c>
      <c r="D342" s="22" t="s">
        <v>408</v>
      </c>
      <c r="E342" s="23">
        <v>90401.0</v>
      </c>
      <c r="F342" s="23">
        <v>26.0</v>
      </c>
      <c r="G342" s="23">
        <v>106.0</v>
      </c>
      <c r="H342" s="23">
        <v>329.0</v>
      </c>
      <c r="I342" s="23">
        <v>399.0</v>
      </c>
      <c r="J342" s="23">
        <v>860.0</v>
      </c>
      <c r="K342" s="24">
        <f t="shared" si="2"/>
        <v>46.39534884</v>
      </c>
      <c r="L342" s="23">
        <v>26.0</v>
      </c>
    </row>
    <row r="343" ht="14.25" customHeight="1">
      <c r="A343" s="22" t="s">
        <v>40</v>
      </c>
      <c r="B343" s="22" t="s">
        <v>489</v>
      </c>
      <c r="C343" s="22" t="s">
        <v>120</v>
      </c>
      <c r="D343" s="22" t="s">
        <v>120</v>
      </c>
      <c r="E343" s="23">
        <v>90402.0</v>
      </c>
      <c r="F343" s="23">
        <v>44.0</v>
      </c>
      <c r="G343" s="23">
        <v>197.0</v>
      </c>
      <c r="H343" s="23">
        <v>301.0</v>
      </c>
      <c r="I343" s="23">
        <v>107.0</v>
      </c>
      <c r="J343" s="23">
        <v>649.0</v>
      </c>
      <c r="K343" s="24">
        <f t="shared" si="2"/>
        <v>16.48690293</v>
      </c>
      <c r="L343" s="23">
        <v>44.0</v>
      </c>
    </row>
    <row r="344" ht="14.25" customHeight="1">
      <c r="A344" s="22" t="s">
        <v>40</v>
      </c>
      <c r="B344" s="22" t="s">
        <v>490</v>
      </c>
      <c r="C344" s="22" t="s">
        <v>491</v>
      </c>
      <c r="D344" s="22" t="s">
        <v>491</v>
      </c>
      <c r="E344" s="23">
        <v>90501.0</v>
      </c>
      <c r="F344" s="23">
        <v>13.0</v>
      </c>
      <c r="G344" s="23">
        <v>140.0</v>
      </c>
      <c r="H344" s="23">
        <v>229.0</v>
      </c>
      <c r="I344" s="23">
        <v>107.0</v>
      </c>
      <c r="J344" s="23">
        <v>489.0</v>
      </c>
      <c r="K344" s="24">
        <f t="shared" si="2"/>
        <v>21.88139059</v>
      </c>
      <c r="L344" s="23">
        <v>13.0</v>
      </c>
    </row>
    <row r="345" ht="14.25" customHeight="1">
      <c r="A345" s="22" t="s">
        <v>40</v>
      </c>
      <c r="B345" s="22" t="s">
        <v>490</v>
      </c>
      <c r="C345" s="22" t="s">
        <v>492</v>
      </c>
      <c r="D345" s="22" t="s">
        <v>493</v>
      </c>
      <c r="E345" s="23">
        <v>90502.0</v>
      </c>
      <c r="F345" s="23">
        <v>12.0</v>
      </c>
      <c r="G345" s="23">
        <v>151.0</v>
      </c>
      <c r="H345" s="23">
        <v>370.0</v>
      </c>
      <c r="I345" s="23">
        <v>175.0</v>
      </c>
      <c r="J345" s="23">
        <v>708.0</v>
      </c>
      <c r="K345" s="24">
        <f t="shared" si="2"/>
        <v>24.71751412</v>
      </c>
      <c r="L345" s="23">
        <v>12.0</v>
      </c>
    </row>
    <row r="346" ht="14.25" customHeight="1">
      <c r="A346" s="22" t="s">
        <v>40</v>
      </c>
      <c r="B346" s="22" t="s">
        <v>490</v>
      </c>
      <c r="C346" s="22" t="s">
        <v>494</v>
      </c>
      <c r="D346" s="22" t="s">
        <v>494</v>
      </c>
      <c r="E346" s="23">
        <v>90503.0</v>
      </c>
      <c r="F346" s="23">
        <v>24.0</v>
      </c>
      <c r="G346" s="23">
        <v>125.0</v>
      </c>
      <c r="H346" s="23">
        <v>362.0</v>
      </c>
      <c r="I346" s="23">
        <v>90.0</v>
      </c>
      <c r="J346" s="23">
        <v>601.0</v>
      </c>
      <c r="K346" s="24">
        <f t="shared" si="2"/>
        <v>14.9750416</v>
      </c>
      <c r="L346" s="23">
        <v>24.0</v>
      </c>
    </row>
    <row r="347" ht="14.25" customHeight="1">
      <c r="E347" s="22" t="s">
        <v>43</v>
      </c>
      <c r="F347" s="23">
        <f t="shared" ref="F347:J347" si="14">SUM(F248:F250)</f>
        <v>373</v>
      </c>
      <c r="G347" s="23">
        <f t="shared" si="14"/>
        <v>2105</v>
      </c>
      <c r="H347" s="23">
        <f t="shared" si="14"/>
        <v>9943</v>
      </c>
      <c r="I347" s="23">
        <f t="shared" si="14"/>
        <v>33611</v>
      </c>
      <c r="J347" s="23">
        <f t="shared" si="14"/>
        <v>46032</v>
      </c>
      <c r="K347" s="24">
        <f t="shared" si="2"/>
        <v>73.01659715</v>
      </c>
      <c r="L347" s="23">
        <f>SUM(L248:L250)</f>
        <v>373</v>
      </c>
    </row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K1:K3"/>
    <mergeCell ref="L1:L3"/>
    <mergeCell ref="P1:P3"/>
    <mergeCell ref="Q1:T2"/>
    <mergeCell ref="U1:U3"/>
    <mergeCell ref="V1:V3"/>
    <mergeCell ref="W1:W3"/>
    <mergeCell ref="A1:A3"/>
    <mergeCell ref="B1:B3"/>
    <mergeCell ref="C1:C3"/>
    <mergeCell ref="D1:D3"/>
    <mergeCell ref="E1:E3"/>
    <mergeCell ref="F1:I1"/>
    <mergeCell ref="J1:J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0.29"/>
    <col customWidth="1" min="3" max="3" width="21.29"/>
    <col customWidth="1" min="4" max="4" width="21.86"/>
    <col customWidth="1" min="5" max="26" width="9.14"/>
  </cols>
  <sheetData>
    <row r="1" ht="14.25" customHeight="1">
      <c r="A1" s="49" t="s">
        <v>496</v>
      </c>
      <c r="B1" s="50" t="s">
        <v>2</v>
      </c>
      <c r="C1" s="51" t="s">
        <v>497</v>
      </c>
      <c r="D1" s="51" t="s">
        <v>498</v>
      </c>
    </row>
    <row r="2" ht="14.25" customHeight="1">
      <c r="A2" s="23">
        <v>10101.0</v>
      </c>
      <c r="B2" s="22" t="s">
        <v>19</v>
      </c>
      <c r="C2" s="24">
        <v>77.73234785343608</v>
      </c>
      <c r="D2" s="24">
        <v>83.43690222736164</v>
      </c>
    </row>
    <row r="3" ht="14.25" customHeight="1">
      <c r="A3" s="23">
        <v>10102.0</v>
      </c>
      <c r="B3" s="22" t="s">
        <v>20</v>
      </c>
      <c r="C3" s="24">
        <v>44.89795918367347</v>
      </c>
      <c r="D3" s="24">
        <v>63.64528795811518</v>
      </c>
    </row>
    <row r="4" ht="14.25" customHeight="1">
      <c r="A4" s="23">
        <v>10103.0</v>
      </c>
      <c r="B4" s="22" t="s">
        <v>22</v>
      </c>
      <c r="C4" s="24">
        <v>3.776824034334764</v>
      </c>
      <c r="D4" s="24">
        <v>12.849162011173185</v>
      </c>
    </row>
    <row r="5" ht="14.25" customHeight="1">
      <c r="A5" s="23">
        <v>10201.0</v>
      </c>
      <c r="B5" s="22" t="s">
        <v>25</v>
      </c>
      <c r="C5" s="24">
        <v>12.844759653270291</v>
      </c>
      <c r="D5" s="24">
        <v>29.551020408163264</v>
      </c>
    </row>
    <row r="6" ht="14.25" customHeight="1">
      <c r="A6" s="23">
        <v>10202.0</v>
      </c>
      <c r="B6" s="22" t="s">
        <v>27</v>
      </c>
      <c r="C6" s="24">
        <v>13.136337039204212</v>
      </c>
      <c r="D6" s="24">
        <v>33.47107438016529</v>
      </c>
    </row>
    <row r="7" ht="14.25" customHeight="1">
      <c r="A7" s="23">
        <v>10301.0</v>
      </c>
      <c r="B7" s="22" t="s">
        <v>31</v>
      </c>
      <c r="C7" s="24">
        <v>27.80355761794277</v>
      </c>
      <c r="D7" s="24">
        <v>42.485095701286475</v>
      </c>
    </row>
    <row r="8" ht="14.25" customHeight="1">
      <c r="A8" s="23">
        <v>10302.0</v>
      </c>
      <c r="B8" s="22" t="s">
        <v>34</v>
      </c>
      <c r="C8" s="24">
        <v>17.3721015826279</v>
      </c>
      <c r="D8" s="24">
        <v>37.786609599510854</v>
      </c>
    </row>
    <row r="9" ht="14.25" customHeight="1">
      <c r="A9" s="23">
        <v>10303.0</v>
      </c>
      <c r="B9" s="22" t="s">
        <v>36</v>
      </c>
      <c r="C9" s="24">
        <v>26.892028254288597</v>
      </c>
      <c r="D9" s="24">
        <v>49.03657097915847</v>
      </c>
    </row>
    <row r="10" ht="14.25" customHeight="1">
      <c r="A10" s="23">
        <v>10304.0</v>
      </c>
      <c r="B10" s="22" t="s">
        <v>39</v>
      </c>
      <c r="C10" s="24">
        <v>39.37738940469689</v>
      </c>
      <c r="D10" s="24">
        <v>43.111954459203034</v>
      </c>
    </row>
    <row r="11" ht="14.25" customHeight="1">
      <c r="A11" s="23">
        <v>10401.0</v>
      </c>
      <c r="B11" s="22" t="s">
        <v>42</v>
      </c>
      <c r="C11" s="24">
        <v>33.45195729537366</v>
      </c>
      <c r="D11" s="24">
        <v>52.35404896421846</v>
      </c>
    </row>
    <row r="12" ht="14.25" customHeight="1">
      <c r="A12" s="23">
        <v>10402.0</v>
      </c>
      <c r="B12" s="22" t="s">
        <v>41</v>
      </c>
      <c r="C12" s="24">
        <v>28.06436346426881</v>
      </c>
      <c r="D12" s="24">
        <v>58.31475702184574</v>
      </c>
    </row>
    <row r="13" ht="14.25" customHeight="1">
      <c r="A13" s="23">
        <v>10403.0</v>
      </c>
      <c r="B13" s="22" t="s">
        <v>46</v>
      </c>
      <c r="C13" s="24">
        <v>26.76616915422886</v>
      </c>
      <c r="D13" s="24">
        <v>40.776233828461905</v>
      </c>
    </row>
    <row r="14" ht="14.25" customHeight="1">
      <c r="A14" s="23">
        <v>10404.0</v>
      </c>
      <c r="B14" s="22" t="s">
        <v>48</v>
      </c>
      <c r="C14" s="24">
        <v>22.761194029850746</v>
      </c>
      <c r="D14" s="24">
        <v>59.71404541631623</v>
      </c>
    </row>
    <row r="15" ht="14.25" customHeight="1">
      <c r="A15" s="23">
        <v>10405.0</v>
      </c>
      <c r="B15" s="22" t="s">
        <v>50</v>
      </c>
      <c r="C15" s="24">
        <v>22.112211221122113</v>
      </c>
      <c r="D15" s="24">
        <v>49.89576094510076</v>
      </c>
    </row>
    <row r="16" ht="14.25" customHeight="1">
      <c r="A16" s="23">
        <v>10501.0</v>
      </c>
      <c r="B16" s="22" t="s">
        <v>52</v>
      </c>
      <c r="C16" s="24">
        <v>46.718210231946045</v>
      </c>
      <c r="D16" s="24">
        <v>65.99070007749935</v>
      </c>
    </row>
    <row r="17" ht="14.25" customHeight="1">
      <c r="A17" s="23">
        <v>10502.0</v>
      </c>
      <c r="B17" s="22" t="s">
        <v>53</v>
      </c>
      <c r="C17" s="24">
        <v>26.936026936026934</v>
      </c>
      <c r="D17" s="24">
        <v>48.41373315949587</v>
      </c>
    </row>
    <row r="18" ht="14.25" customHeight="1">
      <c r="A18" s="23">
        <v>10601.0</v>
      </c>
      <c r="B18" s="22" t="s">
        <v>55</v>
      </c>
      <c r="C18" s="24">
        <v>19.33424532603739</v>
      </c>
      <c r="D18" s="24">
        <v>44.54311755082963</v>
      </c>
    </row>
    <row r="19" ht="14.25" customHeight="1">
      <c r="A19" s="23">
        <v>10602.0</v>
      </c>
      <c r="B19" s="22" t="s">
        <v>54</v>
      </c>
      <c r="C19" s="24">
        <v>20.71186440677966</v>
      </c>
      <c r="D19" s="24">
        <v>44.868035190615835</v>
      </c>
    </row>
    <row r="20" ht="14.25" customHeight="1">
      <c r="A20" s="23">
        <v>10701.0</v>
      </c>
      <c r="B20" s="22" t="s">
        <v>57</v>
      </c>
      <c r="C20" s="24">
        <v>42.01156069364162</v>
      </c>
      <c r="D20" s="24">
        <v>53.279175747969084</v>
      </c>
    </row>
    <row r="21" ht="14.25" customHeight="1">
      <c r="A21" s="23">
        <v>10702.0</v>
      </c>
      <c r="B21" s="22" t="s">
        <v>58</v>
      </c>
      <c r="C21" s="24">
        <v>16.05894105894106</v>
      </c>
      <c r="D21" s="24">
        <v>33.452780025430584</v>
      </c>
    </row>
    <row r="22" ht="14.25" customHeight="1">
      <c r="A22" s="23">
        <v>10703.0</v>
      </c>
      <c r="B22" s="22" t="s">
        <v>59</v>
      </c>
      <c r="C22" s="24">
        <v>13.781935948182799</v>
      </c>
      <c r="D22" s="24">
        <v>27.880127732743798</v>
      </c>
    </row>
    <row r="23" ht="14.25" customHeight="1">
      <c r="A23" s="23">
        <v>10704.0</v>
      </c>
      <c r="B23" s="22" t="s">
        <v>60</v>
      </c>
      <c r="C23" s="24">
        <v>15.827338129496402</v>
      </c>
      <c r="D23" s="24">
        <v>36.65</v>
      </c>
    </row>
    <row r="24" ht="14.25" customHeight="1">
      <c r="A24" s="23">
        <v>10801.0</v>
      </c>
      <c r="B24" s="22" t="s">
        <v>62</v>
      </c>
      <c r="C24" s="24">
        <v>40.42553191489361</v>
      </c>
      <c r="D24" s="24">
        <v>59.46030749921556</v>
      </c>
    </row>
    <row r="25" ht="14.25" customHeight="1">
      <c r="A25" s="23">
        <v>10901.0</v>
      </c>
      <c r="B25" s="22" t="s">
        <v>64</v>
      </c>
      <c r="C25" s="24">
        <v>26.735751295336783</v>
      </c>
      <c r="D25" s="24">
        <v>44.566010211524436</v>
      </c>
    </row>
    <row r="26" ht="14.25" customHeight="1">
      <c r="A26" s="23">
        <v>10902.0</v>
      </c>
      <c r="B26" s="22" t="s">
        <v>65</v>
      </c>
      <c r="C26" s="24">
        <v>26.455026455026452</v>
      </c>
      <c r="D26" s="24">
        <v>40.42918454935622</v>
      </c>
    </row>
    <row r="27" ht="14.25" customHeight="1">
      <c r="A27" s="23">
        <v>10903.0</v>
      </c>
      <c r="B27" s="22" t="s">
        <v>66</v>
      </c>
      <c r="C27" s="24">
        <v>35.969868173258</v>
      </c>
      <c r="D27" s="24">
        <v>61.40624999999999</v>
      </c>
    </row>
    <row r="28" ht="14.25" customHeight="1">
      <c r="A28" s="23">
        <v>11001.0</v>
      </c>
      <c r="B28" s="22" t="s">
        <v>68</v>
      </c>
      <c r="C28" s="24">
        <v>39.88941548183254</v>
      </c>
      <c r="D28" s="24">
        <v>55.389030612244895</v>
      </c>
    </row>
    <row r="29" ht="14.25" customHeight="1">
      <c r="A29" s="23">
        <v>11002.0</v>
      </c>
      <c r="B29" s="22" t="s">
        <v>69</v>
      </c>
      <c r="C29" s="24">
        <v>23.217247097844112</v>
      </c>
      <c r="D29" s="24">
        <v>68.21515892420538</v>
      </c>
    </row>
    <row r="30" ht="14.25" customHeight="1">
      <c r="A30" s="23">
        <v>11003.0</v>
      </c>
      <c r="B30" s="22" t="s">
        <v>71</v>
      </c>
      <c r="C30" s="24">
        <v>35.40833809251856</v>
      </c>
      <c r="D30" s="24">
        <v>67.48251748251748</v>
      </c>
    </row>
    <row r="31" ht="14.25" customHeight="1">
      <c r="A31" s="23">
        <v>20101.0</v>
      </c>
      <c r="B31" s="22" t="s">
        <v>74</v>
      </c>
      <c r="C31" s="24">
        <v>89.06552208356516</v>
      </c>
      <c r="D31" s="24">
        <v>92.31900402899602</v>
      </c>
    </row>
    <row r="32" ht="14.25" customHeight="1">
      <c r="A32" s="23">
        <v>20102.0</v>
      </c>
      <c r="B32" s="22" t="s">
        <v>75</v>
      </c>
      <c r="C32" s="24">
        <v>15.516175561508344</v>
      </c>
      <c r="D32" s="24">
        <v>32.76203032300593</v>
      </c>
    </row>
    <row r="33" ht="14.25" customHeight="1">
      <c r="A33" s="23">
        <v>20103.0</v>
      </c>
      <c r="B33" s="22" t="s">
        <v>76</v>
      </c>
      <c r="C33" s="24">
        <v>32.43922883487008</v>
      </c>
      <c r="D33" s="24">
        <v>56.504599211563736</v>
      </c>
    </row>
    <row r="34" ht="14.25" customHeight="1">
      <c r="A34" s="23">
        <v>20104.0</v>
      </c>
      <c r="B34" s="22" t="s">
        <v>77</v>
      </c>
      <c r="C34" s="24">
        <v>6.726331981541043</v>
      </c>
      <c r="D34" s="24">
        <v>14.057802049456955</v>
      </c>
    </row>
    <row r="35" ht="14.25" customHeight="1">
      <c r="A35" s="23">
        <v>20105.0</v>
      </c>
      <c r="B35" s="22" t="s">
        <v>78</v>
      </c>
      <c r="C35" s="24">
        <v>63.02695715820784</v>
      </c>
      <c r="D35" s="24">
        <v>84.33423520802423</v>
      </c>
    </row>
    <row r="36" ht="14.25" customHeight="1">
      <c r="A36" s="23">
        <v>20201.0</v>
      </c>
      <c r="B36" s="22" t="s">
        <v>80</v>
      </c>
      <c r="C36" s="24">
        <v>38.180921863445896</v>
      </c>
      <c r="D36" s="24">
        <v>58.637257043022494</v>
      </c>
    </row>
    <row r="37" ht="14.25" customHeight="1">
      <c r="A37" s="23">
        <v>20202.0</v>
      </c>
      <c r="B37" s="22" t="s">
        <v>81</v>
      </c>
      <c r="C37" s="24">
        <v>14.442013129102845</v>
      </c>
      <c r="D37" s="24">
        <v>39.29048537924892</v>
      </c>
    </row>
    <row r="38" ht="14.25" customHeight="1">
      <c r="A38" s="23">
        <v>20203.0</v>
      </c>
      <c r="B38" s="22" t="s">
        <v>83</v>
      </c>
      <c r="C38" s="24">
        <v>22.59629966636336</v>
      </c>
      <c r="D38" s="24">
        <v>49.41087039148613</v>
      </c>
    </row>
    <row r="39" ht="14.25" customHeight="1">
      <c r="A39" s="23">
        <v>20204.0</v>
      </c>
      <c r="B39" s="22" t="s">
        <v>84</v>
      </c>
      <c r="C39" s="24">
        <v>34.73795101395839</v>
      </c>
      <c r="D39" s="24">
        <v>50.70778564206269</v>
      </c>
    </row>
    <row r="40" ht="14.25" customHeight="1">
      <c r="A40" s="23">
        <v>20205.0</v>
      </c>
      <c r="B40" s="22" t="s">
        <v>85</v>
      </c>
      <c r="C40" s="24">
        <v>51.92539109506619</v>
      </c>
      <c r="D40" s="24">
        <v>56.954677383344496</v>
      </c>
    </row>
    <row r="41" ht="14.25" customHeight="1">
      <c r="A41" s="23">
        <v>20206.0</v>
      </c>
      <c r="B41" s="22" t="s">
        <v>86</v>
      </c>
      <c r="C41" s="24">
        <v>29.47834645669291</v>
      </c>
      <c r="D41" s="24">
        <v>70.66560382622559</v>
      </c>
    </row>
    <row r="42" ht="14.25" customHeight="1">
      <c r="A42" s="23">
        <v>20301.0</v>
      </c>
      <c r="B42" s="22" t="s">
        <v>88</v>
      </c>
      <c r="C42" s="24">
        <v>9.385026737967914</v>
      </c>
      <c r="D42" s="24">
        <v>26.964149504195273</v>
      </c>
    </row>
    <row r="43" ht="14.25" customHeight="1">
      <c r="A43" s="23">
        <v>20302.0</v>
      </c>
      <c r="B43" s="22" t="s">
        <v>90</v>
      </c>
      <c r="C43" s="24">
        <v>10.260014054813773</v>
      </c>
      <c r="D43" s="24">
        <v>33.900248423466465</v>
      </c>
    </row>
    <row r="44" ht="14.25" customHeight="1">
      <c r="A44" s="23">
        <v>20303.0</v>
      </c>
      <c r="B44" s="22" t="s">
        <v>91</v>
      </c>
      <c r="C44" s="24">
        <v>6.057175205208039</v>
      </c>
      <c r="D44" s="24">
        <v>21.769772905246672</v>
      </c>
    </row>
    <row r="45" ht="14.25" customHeight="1">
      <c r="A45" s="23">
        <v>20304.0</v>
      </c>
      <c r="B45" s="22" t="s">
        <v>92</v>
      </c>
      <c r="C45" s="24">
        <v>10.526315789473683</v>
      </c>
      <c r="D45" s="24">
        <v>39.89637305699482</v>
      </c>
    </row>
    <row r="46" ht="14.25" customHeight="1">
      <c r="A46" s="23">
        <v>20305.0</v>
      </c>
      <c r="B46" s="22" t="s">
        <v>93</v>
      </c>
      <c r="C46" s="24">
        <v>9.92234685073339</v>
      </c>
      <c r="D46" s="24">
        <v>25.31572904707233</v>
      </c>
    </row>
    <row r="47" ht="14.25" customHeight="1">
      <c r="A47" s="23">
        <v>20306.0</v>
      </c>
      <c r="B47" s="22" t="s">
        <v>94</v>
      </c>
      <c r="C47" s="24">
        <v>3.4579439252336446</v>
      </c>
      <c r="D47" s="24">
        <v>28.57142857142857</v>
      </c>
    </row>
    <row r="48" ht="14.25" customHeight="1">
      <c r="A48" s="23">
        <v>20307.0</v>
      </c>
      <c r="B48" s="22" t="s">
        <v>95</v>
      </c>
      <c r="C48" s="24">
        <v>17.647058823529413</v>
      </c>
      <c r="D48" s="24">
        <v>30.585325638911787</v>
      </c>
    </row>
    <row r="49" ht="14.25" customHeight="1">
      <c r="A49" s="23">
        <v>20308.0</v>
      </c>
      <c r="B49" s="22" t="s">
        <v>96</v>
      </c>
      <c r="C49" s="24">
        <v>1.003584229390681</v>
      </c>
      <c r="D49" s="24">
        <v>9.69459232277949</v>
      </c>
    </row>
    <row r="50" ht="14.25" customHeight="1">
      <c r="A50" s="23">
        <v>20401.0</v>
      </c>
      <c r="B50" s="22" t="s">
        <v>98</v>
      </c>
      <c r="C50" s="24">
        <v>10.995809219716623</v>
      </c>
      <c r="D50" s="24">
        <v>23.273773470623865</v>
      </c>
    </row>
    <row r="51" ht="14.25" customHeight="1">
      <c r="A51" s="23">
        <v>20402.0</v>
      </c>
      <c r="B51" s="22" t="s">
        <v>99</v>
      </c>
      <c r="C51" s="24">
        <v>16.96942173781411</v>
      </c>
      <c r="D51" s="24">
        <v>34.49394733557968</v>
      </c>
    </row>
    <row r="52" ht="14.25" customHeight="1">
      <c r="A52" s="23">
        <v>20403.0</v>
      </c>
      <c r="B52" s="22" t="s">
        <v>100</v>
      </c>
      <c r="C52" s="24">
        <v>15.934168692724892</v>
      </c>
      <c r="D52" s="24">
        <v>32.46992215145082</v>
      </c>
    </row>
    <row r="53" ht="14.25" customHeight="1">
      <c r="A53" s="23">
        <v>20404.0</v>
      </c>
      <c r="B53" s="22" t="s">
        <v>102</v>
      </c>
      <c r="C53" s="24">
        <v>13.42504743833017</v>
      </c>
      <c r="D53" s="24">
        <v>20.419469726948954</v>
      </c>
    </row>
    <row r="54" ht="14.25" customHeight="1">
      <c r="A54" s="23">
        <v>20405.0</v>
      </c>
      <c r="B54" s="22" t="s">
        <v>103</v>
      </c>
      <c r="C54" s="24">
        <v>9.712586719524282</v>
      </c>
      <c r="D54" s="24">
        <v>27.81827016520894</v>
      </c>
    </row>
    <row r="55" ht="14.25" customHeight="1">
      <c r="A55" s="23">
        <v>20501.0</v>
      </c>
      <c r="B55" s="22" t="s">
        <v>105</v>
      </c>
      <c r="C55" s="24">
        <v>23.743016759776538</v>
      </c>
      <c r="D55" s="24">
        <v>42.18847839699437</v>
      </c>
    </row>
    <row r="56" ht="14.25" customHeight="1">
      <c r="A56" s="23">
        <v>20502.0</v>
      </c>
      <c r="B56" s="22" t="s">
        <v>106</v>
      </c>
      <c r="C56" s="24">
        <v>24.899890789952675</v>
      </c>
      <c r="D56" s="24">
        <v>37.32112192329708</v>
      </c>
    </row>
    <row r="57" ht="14.25" customHeight="1">
      <c r="A57" s="23">
        <v>20503.0</v>
      </c>
      <c r="B57" s="22" t="s">
        <v>107</v>
      </c>
      <c r="C57" s="24">
        <v>17.595459236326107</v>
      </c>
      <c r="D57" s="24">
        <v>33.48</v>
      </c>
    </row>
    <row r="58" ht="14.25" customHeight="1">
      <c r="A58" s="23">
        <v>20601.0</v>
      </c>
      <c r="B58" s="22" t="s">
        <v>109</v>
      </c>
      <c r="C58" s="24">
        <v>26.21082621082621</v>
      </c>
      <c r="D58" s="24">
        <v>42.857142857142854</v>
      </c>
    </row>
    <row r="59" ht="14.25" customHeight="1">
      <c r="A59" s="23">
        <v>20602.0</v>
      </c>
      <c r="B59" s="22" t="s">
        <v>110</v>
      </c>
      <c r="C59" s="24">
        <v>32.236701559495835</v>
      </c>
      <c r="D59" s="24">
        <v>53.80443451906205</v>
      </c>
    </row>
    <row r="60" ht="14.25" customHeight="1">
      <c r="A60" s="23">
        <v>20603.0</v>
      </c>
      <c r="B60" s="22" t="s">
        <v>111</v>
      </c>
      <c r="C60" s="24">
        <v>21.107382550335572</v>
      </c>
      <c r="D60" s="24">
        <v>37.066473988439306</v>
      </c>
    </row>
    <row r="61" ht="14.25" customHeight="1">
      <c r="A61" s="23">
        <v>20604.0</v>
      </c>
      <c r="B61" s="22" t="s">
        <v>112</v>
      </c>
      <c r="C61" s="24">
        <v>19.76630963972736</v>
      </c>
      <c r="D61" s="24">
        <v>34.07620416966211</v>
      </c>
    </row>
    <row r="62" ht="14.25" customHeight="1">
      <c r="A62" s="23">
        <v>20605.0</v>
      </c>
      <c r="B62" s="22" t="s">
        <v>113</v>
      </c>
      <c r="C62" s="24">
        <v>23.74245472837022</v>
      </c>
      <c r="D62" s="24">
        <v>36.49122807017544</v>
      </c>
    </row>
    <row r="63" ht="14.25" customHeight="1">
      <c r="A63" s="23">
        <v>20606.0</v>
      </c>
      <c r="B63" s="22" t="s">
        <v>114</v>
      </c>
      <c r="C63" s="24">
        <v>26.149840902516637</v>
      </c>
      <c r="D63" s="24">
        <v>36.17021276595745</v>
      </c>
    </row>
    <row r="64" ht="14.25" customHeight="1">
      <c r="A64" s="23">
        <v>20607.0</v>
      </c>
      <c r="B64" s="22" t="s">
        <v>115</v>
      </c>
      <c r="C64" s="24">
        <v>21.28395061728395</v>
      </c>
      <c r="D64" s="24">
        <v>60.55378370542186</v>
      </c>
    </row>
    <row r="65" ht="14.25" customHeight="1">
      <c r="A65" s="23">
        <v>20608.0</v>
      </c>
      <c r="B65" s="22" t="s">
        <v>116</v>
      </c>
      <c r="C65" s="24">
        <v>23.34384858044164</v>
      </c>
      <c r="D65" s="24">
        <v>34.52846588439809</v>
      </c>
    </row>
    <row r="66" ht="14.25" customHeight="1">
      <c r="A66" s="23">
        <v>20701.0</v>
      </c>
      <c r="B66" s="22" t="s">
        <v>118</v>
      </c>
      <c r="C66" s="24">
        <v>26.356756756756756</v>
      </c>
      <c r="D66" s="24">
        <v>35.64243997404283</v>
      </c>
    </row>
    <row r="67" ht="14.25" customHeight="1">
      <c r="A67" s="23">
        <v>20702.0</v>
      </c>
      <c r="B67" s="22" t="s">
        <v>119</v>
      </c>
      <c r="C67" s="24">
        <v>10.403587443946188</v>
      </c>
      <c r="D67" s="24">
        <v>44.88265971316819</v>
      </c>
    </row>
    <row r="68" ht="14.25" customHeight="1">
      <c r="A68" s="23">
        <v>20801.0</v>
      </c>
      <c r="B68" s="22" t="s">
        <v>121</v>
      </c>
      <c r="C68" s="24">
        <v>29.293660469369094</v>
      </c>
      <c r="D68" s="24">
        <v>54.68157650032188</v>
      </c>
    </row>
    <row r="69" ht="14.25" customHeight="1">
      <c r="A69" s="23">
        <v>20802.0</v>
      </c>
      <c r="B69" s="22" t="s">
        <v>122</v>
      </c>
      <c r="C69" s="24">
        <v>27.35261808861223</v>
      </c>
      <c r="D69" s="24">
        <v>60.43478260869565</v>
      </c>
    </row>
    <row r="70" ht="14.25" customHeight="1">
      <c r="A70" s="23">
        <v>20803.0</v>
      </c>
      <c r="B70" s="22" t="s">
        <v>124</v>
      </c>
      <c r="C70" s="24">
        <v>27.545909849749584</v>
      </c>
      <c r="D70" s="24">
        <v>45.47603696539867</v>
      </c>
    </row>
    <row r="71" ht="14.25" customHeight="1">
      <c r="A71" s="23">
        <v>20804.0</v>
      </c>
      <c r="B71" s="22" t="s">
        <v>125</v>
      </c>
      <c r="C71" s="24">
        <v>28.799999999999997</v>
      </c>
      <c r="D71" s="24">
        <v>63.73831775700934</v>
      </c>
    </row>
    <row r="72" ht="14.25" customHeight="1">
      <c r="A72" s="23">
        <v>20805.0</v>
      </c>
      <c r="B72" s="22" t="s">
        <v>126</v>
      </c>
      <c r="C72" s="24">
        <v>10.664993726474279</v>
      </c>
      <c r="D72" s="24">
        <v>33.23699421965318</v>
      </c>
    </row>
    <row r="73" ht="14.25" customHeight="1">
      <c r="A73" s="23">
        <v>20806.0</v>
      </c>
      <c r="B73" s="22" t="s">
        <v>128</v>
      </c>
      <c r="C73" s="24">
        <v>27.944433259512785</v>
      </c>
      <c r="D73" s="24">
        <v>48.496687616782744</v>
      </c>
    </row>
    <row r="74" ht="14.25" customHeight="1">
      <c r="A74" s="23">
        <v>20807.0</v>
      </c>
      <c r="B74" s="22" t="s">
        <v>130</v>
      </c>
      <c r="C74" s="24">
        <v>19.351291918636612</v>
      </c>
      <c r="D74" s="24">
        <v>43.83294301327088</v>
      </c>
    </row>
    <row r="75" ht="14.25" customHeight="1">
      <c r="A75" s="23">
        <v>20901.0</v>
      </c>
      <c r="B75" s="22" t="s">
        <v>132</v>
      </c>
      <c r="C75" s="24">
        <v>27.779197546639406</v>
      </c>
      <c r="D75" s="24">
        <v>50.85701398285972</v>
      </c>
    </row>
    <row r="76" ht="14.25" customHeight="1">
      <c r="A76" s="23">
        <v>20902.0</v>
      </c>
      <c r="B76" s="22" t="s">
        <v>133</v>
      </c>
      <c r="C76" s="24">
        <v>6.8555363321799305</v>
      </c>
      <c r="D76" s="24">
        <v>31.77161795721603</v>
      </c>
    </row>
    <row r="77" ht="14.25" customHeight="1">
      <c r="A77" s="23">
        <v>20903.0</v>
      </c>
      <c r="B77" s="22" t="s">
        <v>134</v>
      </c>
      <c r="C77" s="24">
        <v>10.277536860364267</v>
      </c>
      <c r="D77" s="24">
        <v>21.41477547078706</v>
      </c>
    </row>
    <row r="78" ht="14.25" customHeight="1">
      <c r="A78" s="23">
        <v>20904.0</v>
      </c>
      <c r="B78" s="22" t="s">
        <v>135</v>
      </c>
      <c r="C78" s="24">
        <v>17.990275526742302</v>
      </c>
      <c r="D78" s="24">
        <v>21.947101857062464</v>
      </c>
    </row>
    <row r="79" ht="14.25" customHeight="1">
      <c r="A79" s="23">
        <v>20905.0</v>
      </c>
      <c r="B79" s="22" t="s">
        <v>136</v>
      </c>
      <c r="C79" s="24">
        <v>15.211726384364821</v>
      </c>
      <c r="D79" s="24">
        <v>22.77187244480785</v>
      </c>
    </row>
    <row r="80" ht="14.25" customHeight="1">
      <c r="A80" s="23">
        <v>21001.0</v>
      </c>
      <c r="B80" s="22" t="s">
        <v>137</v>
      </c>
      <c r="C80" s="24">
        <v>7.703310175725378</v>
      </c>
      <c r="D80" s="24">
        <v>23.180291153415453</v>
      </c>
    </row>
    <row r="81" ht="14.25" customHeight="1">
      <c r="A81" s="23">
        <v>21002.0</v>
      </c>
      <c r="B81" s="22" t="s">
        <v>138</v>
      </c>
      <c r="C81" s="24">
        <v>24.328314142308827</v>
      </c>
      <c r="D81" s="24">
        <v>41.47496617050068</v>
      </c>
    </row>
    <row r="82" ht="14.25" customHeight="1">
      <c r="A82" s="23">
        <v>21003.0</v>
      </c>
      <c r="B82" s="22" t="s">
        <v>139</v>
      </c>
      <c r="C82" s="24">
        <v>35.34282875124213</v>
      </c>
      <c r="D82" s="24">
        <v>51.45463935272853</v>
      </c>
    </row>
    <row r="83" ht="14.25" customHeight="1">
      <c r="A83" s="23">
        <v>21004.0</v>
      </c>
      <c r="B83" s="22" t="s">
        <v>140</v>
      </c>
      <c r="C83" s="24">
        <v>12.469982847341338</v>
      </c>
      <c r="D83" s="24">
        <v>27.395171537484114</v>
      </c>
    </row>
    <row r="84" ht="14.25" customHeight="1">
      <c r="A84" s="23">
        <v>21005.0</v>
      </c>
      <c r="B84" s="22" t="s">
        <v>141</v>
      </c>
      <c r="C84" s="24">
        <v>10.737463126843657</v>
      </c>
      <c r="D84" s="24">
        <v>12.619392185238784</v>
      </c>
    </row>
    <row r="85" ht="14.25" customHeight="1">
      <c r="A85" s="23">
        <v>21006.0</v>
      </c>
      <c r="B85" s="22" t="s">
        <v>142</v>
      </c>
      <c r="C85" s="24">
        <v>29.774730656219393</v>
      </c>
      <c r="D85" s="24">
        <v>49.492250133618384</v>
      </c>
    </row>
    <row r="86" ht="14.25" customHeight="1">
      <c r="A86" s="23">
        <v>21101.0</v>
      </c>
      <c r="B86" s="22" t="s">
        <v>144</v>
      </c>
      <c r="C86" s="24">
        <v>37.3581181115315</v>
      </c>
      <c r="D86" s="24">
        <v>55.68339340171888</v>
      </c>
    </row>
    <row r="87" ht="14.25" customHeight="1">
      <c r="A87" s="23">
        <v>21102.0</v>
      </c>
      <c r="B87" s="22" t="s">
        <v>146</v>
      </c>
      <c r="C87" s="24">
        <v>35.7285736267118</v>
      </c>
      <c r="D87" s="24">
        <v>42.65172340875449</v>
      </c>
    </row>
    <row r="88" ht="14.25" customHeight="1">
      <c r="A88" s="23">
        <v>21103.0</v>
      </c>
      <c r="B88" s="22" t="s">
        <v>148</v>
      </c>
      <c r="C88" s="24">
        <v>52.296360485268636</v>
      </c>
      <c r="D88" s="24">
        <v>68.94596397598399</v>
      </c>
    </row>
    <row r="89" ht="14.25" customHeight="1">
      <c r="A89" s="23">
        <v>21104.0</v>
      </c>
      <c r="B89" s="22" t="s">
        <v>149</v>
      </c>
      <c r="C89" s="24">
        <v>32.608695652173914</v>
      </c>
      <c r="D89" s="24">
        <v>40.64488392089424</v>
      </c>
    </row>
    <row r="90" ht="14.25" customHeight="1">
      <c r="A90" s="23">
        <v>21105.0</v>
      </c>
      <c r="B90" s="22" t="s">
        <v>150</v>
      </c>
      <c r="C90" s="24">
        <v>9.906144595981816</v>
      </c>
      <c r="D90" s="24">
        <v>37.04570184983678</v>
      </c>
    </row>
    <row r="91" ht="14.25" customHeight="1">
      <c r="A91" s="23">
        <v>21201.0</v>
      </c>
      <c r="B91" s="22" t="s">
        <v>152</v>
      </c>
      <c r="C91" s="24">
        <v>17.894074273896234</v>
      </c>
      <c r="D91" s="24">
        <v>33.73875763083088</v>
      </c>
    </row>
    <row r="92" ht="14.25" customHeight="1">
      <c r="A92" s="23">
        <v>21202.0</v>
      </c>
      <c r="B92" s="22" t="s">
        <v>153</v>
      </c>
      <c r="C92" s="24">
        <v>22.03324313877078</v>
      </c>
      <c r="D92" s="24">
        <v>48.13780944685227</v>
      </c>
    </row>
    <row r="93" ht="14.25" customHeight="1">
      <c r="A93" s="23">
        <v>21203.0</v>
      </c>
      <c r="B93" s="22" t="s">
        <v>154</v>
      </c>
      <c r="C93" s="24">
        <v>31.441768393269548</v>
      </c>
      <c r="D93" s="24">
        <v>49.676584734799484</v>
      </c>
    </row>
    <row r="94" ht="14.25" customHeight="1">
      <c r="A94" s="23">
        <v>21204.0</v>
      </c>
      <c r="B94" s="22" t="s">
        <v>155</v>
      </c>
      <c r="C94" s="24">
        <v>14.65076660988075</v>
      </c>
      <c r="D94" s="24">
        <v>35.2258469259724</v>
      </c>
    </row>
    <row r="95" ht="14.25" customHeight="1">
      <c r="A95" s="23">
        <v>21301.0</v>
      </c>
      <c r="B95" s="22" t="s">
        <v>157</v>
      </c>
      <c r="C95" s="24">
        <v>11.507430997876858</v>
      </c>
      <c r="D95" s="24">
        <v>32.050368258493705</v>
      </c>
    </row>
    <row r="96" ht="14.25" customHeight="1">
      <c r="A96" s="23">
        <v>21302.0</v>
      </c>
      <c r="B96" s="22" t="s">
        <v>159</v>
      </c>
      <c r="C96" s="24">
        <v>19.8522622345337</v>
      </c>
      <c r="D96" s="24">
        <v>43.330782963529714</v>
      </c>
    </row>
    <row r="97" ht="14.25" customHeight="1">
      <c r="A97" s="23">
        <v>21303.0</v>
      </c>
      <c r="B97" s="22" t="s">
        <v>160</v>
      </c>
      <c r="C97" s="24">
        <v>9.883103081827842</v>
      </c>
      <c r="D97" s="24">
        <v>23.153942428035045</v>
      </c>
    </row>
    <row r="98" ht="14.25" customHeight="1">
      <c r="A98" s="23">
        <v>21304.0</v>
      </c>
      <c r="B98" s="22" t="s">
        <v>161</v>
      </c>
      <c r="C98" s="24">
        <v>18.134308858113403</v>
      </c>
      <c r="D98" s="24">
        <v>42.18035485641119</v>
      </c>
    </row>
    <row r="99" ht="14.25" customHeight="1">
      <c r="A99" s="23">
        <v>21305.0</v>
      </c>
      <c r="B99" s="22" t="s">
        <v>162</v>
      </c>
      <c r="C99" s="24">
        <v>34.81392557022809</v>
      </c>
      <c r="D99" s="24">
        <v>46.27153097250455</v>
      </c>
    </row>
    <row r="100" ht="14.25" customHeight="1">
      <c r="A100" s="23">
        <v>21306.0</v>
      </c>
      <c r="B100" s="22" t="s">
        <v>163</v>
      </c>
      <c r="C100" s="24">
        <v>14.15625</v>
      </c>
      <c r="D100" s="24">
        <v>22.36607142857143</v>
      </c>
    </row>
    <row r="101" ht="14.25" customHeight="1">
      <c r="A101" s="23">
        <v>21307.0</v>
      </c>
      <c r="B101" s="22" t="s">
        <v>164</v>
      </c>
      <c r="C101" s="24">
        <v>14.229559748427672</v>
      </c>
      <c r="D101" s="24">
        <v>23.35148215366001</v>
      </c>
    </row>
    <row r="102" ht="14.25" customHeight="1">
      <c r="A102" s="23">
        <v>21401.0</v>
      </c>
      <c r="B102" s="22" t="s">
        <v>166</v>
      </c>
      <c r="C102" s="24">
        <v>36.04917095483133</v>
      </c>
      <c r="D102" s="24">
        <v>48.78565921356978</v>
      </c>
    </row>
    <row r="103" ht="14.25" customHeight="1">
      <c r="A103" s="23">
        <v>21402.0</v>
      </c>
      <c r="B103" s="22" t="s">
        <v>167</v>
      </c>
      <c r="C103" s="24">
        <v>46.02230483271376</v>
      </c>
      <c r="D103" s="24">
        <v>63.985190171659376</v>
      </c>
    </row>
    <row r="104" ht="14.25" customHeight="1">
      <c r="A104" s="23">
        <v>21501.0</v>
      </c>
      <c r="B104" s="22" t="s">
        <v>169</v>
      </c>
      <c r="C104" s="24">
        <v>5.462555066079295</v>
      </c>
      <c r="D104" s="24">
        <v>20.26618269812462</v>
      </c>
    </row>
    <row r="105" ht="14.25" customHeight="1">
      <c r="A105" s="23">
        <v>21502.0</v>
      </c>
      <c r="B105" s="22" t="s">
        <v>170</v>
      </c>
      <c r="C105" s="24">
        <v>43.44139650872818</v>
      </c>
      <c r="D105" s="24">
        <v>64.82976482976483</v>
      </c>
    </row>
    <row r="106" ht="14.25" customHeight="1">
      <c r="A106" s="23">
        <v>21601.0</v>
      </c>
      <c r="B106" s="22" t="s">
        <v>172</v>
      </c>
      <c r="C106" s="24">
        <v>9.52112676056338</v>
      </c>
      <c r="D106" s="24">
        <v>37.35563520509757</v>
      </c>
    </row>
    <row r="107" ht="14.25" customHeight="1">
      <c r="A107" s="23">
        <v>21602.0</v>
      </c>
      <c r="B107" s="22" t="s">
        <v>174</v>
      </c>
      <c r="C107" s="24">
        <v>18.329938900203665</v>
      </c>
      <c r="D107" s="24">
        <v>38.94927536231884</v>
      </c>
    </row>
    <row r="108" ht="14.25" customHeight="1">
      <c r="A108" s="23">
        <v>21701.0</v>
      </c>
      <c r="B108" s="22" t="s">
        <v>176</v>
      </c>
      <c r="C108" s="24">
        <v>39.657853810264385</v>
      </c>
      <c r="D108" s="24">
        <v>53.38125275047675</v>
      </c>
    </row>
    <row r="109" ht="14.25" customHeight="1">
      <c r="A109" s="23">
        <v>21702.0</v>
      </c>
      <c r="B109" s="22" t="s">
        <v>177</v>
      </c>
      <c r="C109" s="24">
        <v>15.403323875152006</v>
      </c>
      <c r="D109" s="24">
        <v>43.29385844120077</v>
      </c>
    </row>
    <row r="110" ht="14.25" customHeight="1">
      <c r="A110" s="23">
        <v>21703.0</v>
      </c>
      <c r="B110" s="22" t="s">
        <v>178</v>
      </c>
      <c r="C110" s="24">
        <v>5.559845559845559</v>
      </c>
      <c r="D110" s="24">
        <v>21.57394843962008</v>
      </c>
    </row>
    <row r="111" ht="14.25" customHeight="1">
      <c r="A111" s="23">
        <v>21801.0</v>
      </c>
      <c r="B111" s="22" t="s">
        <v>180</v>
      </c>
      <c r="C111" s="24">
        <v>6.789250353606789</v>
      </c>
      <c r="D111" s="24">
        <v>24.540757749712974</v>
      </c>
    </row>
    <row r="112" ht="14.25" customHeight="1">
      <c r="A112" s="23">
        <v>21802.0</v>
      </c>
      <c r="B112" s="22" t="s">
        <v>182</v>
      </c>
      <c r="C112" s="24">
        <v>21.902017291066283</v>
      </c>
      <c r="D112" s="24">
        <v>37.603878116343495</v>
      </c>
    </row>
    <row r="113" ht="14.25" customHeight="1">
      <c r="A113" s="23">
        <v>21803.0</v>
      </c>
      <c r="B113" s="22" t="s">
        <v>183</v>
      </c>
      <c r="C113" s="24">
        <v>0.13003901170351106</v>
      </c>
      <c r="D113" s="24">
        <v>12.145289443813848</v>
      </c>
    </row>
    <row r="114" ht="14.25" customHeight="1">
      <c r="A114" s="23">
        <v>21901.0</v>
      </c>
      <c r="B114" s="22" t="s">
        <v>185</v>
      </c>
      <c r="C114" s="24">
        <v>21.03825136612022</v>
      </c>
      <c r="D114" s="24">
        <v>41.37347767253045</v>
      </c>
    </row>
    <row r="115" ht="14.25" customHeight="1">
      <c r="A115" s="23">
        <v>21902.0</v>
      </c>
      <c r="B115" s="22" t="s">
        <v>186</v>
      </c>
      <c r="C115" s="24">
        <v>29.21195652173913</v>
      </c>
      <c r="D115" s="24">
        <v>44.54277286135693</v>
      </c>
    </row>
    <row r="116" ht="14.25" customHeight="1">
      <c r="A116" s="23">
        <v>22001.0</v>
      </c>
      <c r="B116" s="22" t="s">
        <v>187</v>
      </c>
      <c r="C116" s="24">
        <v>36.149462428764465</v>
      </c>
      <c r="D116" s="24">
        <v>50.595322802523604</v>
      </c>
    </row>
    <row r="117" ht="14.25" customHeight="1">
      <c r="A117" s="23">
        <v>22002.0</v>
      </c>
      <c r="B117" s="22" t="s">
        <v>188</v>
      </c>
      <c r="C117" s="24">
        <v>25.890736342042754</v>
      </c>
      <c r="D117" s="24">
        <v>39.54575818303273</v>
      </c>
    </row>
    <row r="118" ht="14.25" customHeight="1">
      <c r="A118" s="23">
        <v>30101.0</v>
      </c>
      <c r="B118" s="22" t="s">
        <v>23</v>
      </c>
      <c r="C118" s="24">
        <v>56.13047988453906</v>
      </c>
      <c r="D118" s="24">
        <v>60.558337612414206</v>
      </c>
    </row>
    <row r="119" ht="14.25" customHeight="1">
      <c r="A119" s="23">
        <v>30201.0</v>
      </c>
      <c r="B119" s="22" t="s">
        <v>191</v>
      </c>
      <c r="C119" s="24">
        <v>40.85243883674411</v>
      </c>
      <c r="D119" s="24">
        <v>52.660395900603675</v>
      </c>
    </row>
    <row r="120" ht="14.25" customHeight="1">
      <c r="A120" s="23">
        <v>30202.0</v>
      </c>
      <c r="B120" s="22" t="s">
        <v>192</v>
      </c>
      <c r="C120" s="24">
        <v>5.660377358490567</v>
      </c>
      <c r="D120" s="24">
        <v>40.387906446092416</v>
      </c>
    </row>
    <row r="121" ht="14.25" customHeight="1">
      <c r="A121" s="23">
        <v>30203.0</v>
      </c>
      <c r="B121" s="22" t="s">
        <v>193</v>
      </c>
      <c r="C121" s="24">
        <v>48.11715481171548</v>
      </c>
      <c r="D121" s="24">
        <v>65.57291666666667</v>
      </c>
    </row>
    <row r="122" ht="14.25" customHeight="1">
      <c r="A122" s="23">
        <v>30301.0</v>
      </c>
      <c r="B122" s="22" t="s">
        <v>195</v>
      </c>
      <c r="C122" s="24">
        <v>11.229073091057575</v>
      </c>
      <c r="D122" s="24">
        <v>25.645581615730865</v>
      </c>
    </row>
    <row r="123" ht="14.25" customHeight="1">
      <c r="A123" s="23">
        <v>30302.0</v>
      </c>
      <c r="B123" s="22" t="s">
        <v>197</v>
      </c>
      <c r="C123" s="24">
        <v>16.361788617886177</v>
      </c>
      <c r="D123" s="24">
        <v>32.296791970084634</v>
      </c>
    </row>
    <row r="124" ht="14.25" customHeight="1">
      <c r="A124" s="23">
        <v>30303.0</v>
      </c>
      <c r="B124" s="22" t="s">
        <v>198</v>
      </c>
      <c r="C124" s="24">
        <v>8.922764227642277</v>
      </c>
      <c r="D124" s="24">
        <v>18.080149114631876</v>
      </c>
    </row>
    <row r="125" ht="14.25" customHeight="1">
      <c r="A125" s="23">
        <v>30401.0</v>
      </c>
      <c r="B125" s="22" t="s">
        <v>200</v>
      </c>
      <c r="C125" s="24">
        <v>40.57076745082915</v>
      </c>
      <c r="D125" s="24">
        <v>53.101736972704714</v>
      </c>
    </row>
    <row r="126" ht="14.25" customHeight="1">
      <c r="A126" s="23">
        <v>30402.0</v>
      </c>
      <c r="B126" s="22" t="s">
        <v>201</v>
      </c>
      <c r="C126" s="24">
        <v>16.122913505311075</v>
      </c>
      <c r="D126" s="24">
        <v>23.765615704937538</v>
      </c>
    </row>
    <row r="127" ht="14.25" customHeight="1">
      <c r="A127" s="23">
        <v>30403.0</v>
      </c>
      <c r="B127" s="22" t="s">
        <v>203</v>
      </c>
      <c r="C127" s="24">
        <v>38.70209689081707</v>
      </c>
      <c r="D127" s="24">
        <v>23.571165191740413</v>
      </c>
    </row>
    <row r="128" ht="14.25" customHeight="1">
      <c r="A128" s="23">
        <v>30404.0</v>
      </c>
      <c r="B128" s="22" t="s">
        <v>204</v>
      </c>
      <c r="C128" s="24">
        <v>17.718940936863543</v>
      </c>
      <c r="D128" s="24">
        <v>24.622844827586206</v>
      </c>
    </row>
    <row r="129" ht="14.25" customHeight="1">
      <c r="A129" s="23">
        <v>30501.0</v>
      </c>
      <c r="B129" s="22" t="s">
        <v>205</v>
      </c>
      <c r="C129" s="24">
        <v>47.900763358778626</v>
      </c>
      <c r="D129" s="24">
        <v>67.0596557415704</v>
      </c>
    </row>
    <row r="130" ht="14.25" customHeight="1">
      <c r="A130" s="23">
        <v>30502.0</v>
      </c>
      <c r="B130" s="22" t="s">
        <v>206</v>
      </c>
      <c r="C130" s="24">
        <v>22.204871955028107</v>
      </c>
      <c r="D130" s="24">
        <v>35.662784248474765</v>
      </c>
    </row>
    <row r="131" ht="14.25" customHeight="1">
      <c r="A131" s="23">
        <v>30601.0</v>
      </c>
      <c r="B131" s="22" t="s">
        <v>207</v>
      </c>
      <c r="C131" s="24">
        <v>5.358764759309718</v>
      </c>
      <c r="D131" s="24">
        <v>17.102564102564102</v>
      </c>
    </row>
    <row r="132" ht="14.25" customHeight="1">
      <c r="A132" s="23">
        <v>30602.0</v>
      </c>
      <c r="B132" s="22" t="s">
        <v>209</v>
      </c>
      <c r="C132" s="24">
        <v>21.366496853461193</v>
      </c>
      <c r="D132" s="24">
        <v>34.35873166114529</v>
      </c>
    </row>
    <row r="133" ht="14.25" customHeight="1">
      <c r="A133" s="23">
        <v>30701.0</v>
      </c>
      <c r="B133" s="22" t="s">
        <v>210</v>
      </c>
      <c r="C133" s="24">
        <v>38.377192982456144</v>
      </c>
      <c r="D133" s="24">
        <v>52.4102417393792</v>
      </c>
    </row>
    <row r="134" ht="14.25" customHeight="1">
      <c r="A134" s="23">
        <v>30702.0</v>
      </c>
      <c r="B134" s="22" t="s">
        <v>211</v>
      </c>
      <c r="C134" s="24">
        <v>43.27923429047025</v>
      </c>
      <c r="D134" s="24">
        <v>66.05718085106383</v>
      </c>
    </row>
    <row r="135" ht="14.25" customHeight="1">
      <c r="A135" s="23">
        <v>30703.0</v>
      </c>
      <c r="B135" s="22" t="s">
        <v>213</v>
      </c>
      <c r="C135" s="24">
        <v>22.807017543859647</v>
      </c>
      <c r="D135" s="24">
        <v>46.550416982562545</v>
      </c>
    </row>
    <row r="136" ht="14.25" customHeight="1">
      <c r="A136" s="23">
        <v>30801.0</v>
      </c>
      <c r="B136" s="22" t="s">
        <v>215</v>
      </c>
      <c r="C136" s="24">
        <v>65.08389261744966</v>
      </c>
      <c r="D136" s="24">
        <v>81.42947301988008</v>
      </c>
    </row>
    <row r="137" ht="14.25" customHeight="1">
      <c r="A137" s="23">
        <v>30802.0</v>
      </c>
      <c r="B137" s="22" t="s">
        <v>216</v>
      </c>
      <c r="C137" s="24">
        <v>43.47404172731684</v>
      </c>
      <c r="D137" s="24">
        <v>62.55832037325039</v>
      </c>
    </row>
    <row r="138" ht="14.25" customHeight="1">
      <c r="A138" s="23">
        <v>30803.0</v>
      </c>
      <c r="B138" s="22" t="s">
        <v>217</v>
      </c>
      <c r="C138" s="24">
        <v>40.40816326530612</v>
      </c>
      <c r="D138" s="24">
        <v>59.18124006359301</v>
      </c>
    </row>
    <row r="139" ht="14.25" customHeight="1">
      <c r="A139" s="23">
        <v>30901.0</v>
      </c>
      <c r="B139" s="22" t="s">
        <v>218</v>
      </c>
      <c r="C139" s="24">
        <v>51.87720909521026</v>
      </c>
      <c r="D139" s="24">
        <v>58.00166764963088</v>
      </c>
    </row>
    <row r="140" ht="14.25" customHeight="1">
      <c r="A140" s="23">
        <v>30902.0</v>
      </c>
      <c r="B140" s="22" t="s">
        <v>219</v>
      </c>
      <c r="C140" s="24">
        <v>49.11660777385159</v>
      </c>
      <c r="D140" s="24">
        <v>34.06642728904848</v>
      </c>
    </row>
    <row r="141" ht="14.25" customHeight="1">
      <c r="A141" s="23">
        <v>30903.0</v>
      </c>
      <c r="B141" s="22" t="s">
        <v>220</v>
      </c>
      <c r="C141" s="24">
        <v>30.02814462004763</v>
      </c>
      <c r="D141" s="24">
        <v>58.225518625920145</v>
      </c>
    </row>
    <row r="142" ht="14.25" customHeight="1">
      <c r="A142" s="23">
        <v>30904.0</v>
      </c>
      <c r="B142" s="22" t="s">
        <v>221</v>
      </c>
      <c r="C142" s="24">
        <v>30.247344885410843</v>
      </c>
      <c r="D142" s="24">
        <v>37.818032594676986</v>
      </c>
    </row>
    <row r="143" ht="14.25" customHeight="1">
      <c r="A143" s="23">
        <v>30905.0</v>
      </c>
      <c r="B143" s="22" t="s">
        <v>222</v>
      </c>
      <c r="C143" s="24">
        <v>59.32366434808347</v>
      </c>
      <c r="D143" s="24">
        <v>71.35487232933819</v>
      </c>
    </row>
    <row r="144" ht="14.25" customHeight="1">
      <c r="A144" s="23">
        <v>31001.0</v>
      </c>
      <c r="B144" s="22" t="s">
        <v>224</v>
      </c>
      <c r="C144" s="24">
        <v>45.613850555368565</v>
      </c>
      <c r="D144" s="24">
        <v>55.44991560024815</v>
      </c>
    </row>
    <row r="145" ht="14.25" customHeight="1">
      <c r="A145" s="23">
        <v>31002.0</v>
      </c>
      <c r="B145" s="22" t="s">
        <v>225</v>
      </c>
      <c r="C145" s="24">
        <v>44.68615078047161</v>
      </c>
      <c r="D145" s="24">
        <v>54.256446485340874</v>
      </c>
    </row>
    <row r="146" ht="14.25" customHeight="1">
      <c r="A146" s="23">
        <v>31003.0</v>
      </c>
      <c r="B146" s="22" t="s">
        <v>226</v>
      </c>
      <c r="C146" s="24">
        <v>19.880261927034613</v>
      </c>
      <c r="D146" s="24">
        <v>39.44840409048652</v>
      </c>
    </row>
    <row r="147" ht="14.25" customHeight="1">
      <c r="A147" s="23">
        <v>31101.0</v>
      </c>
      <c r="B147" s="22" t="s">
        <v>227</v>
      </c>
      <c r="C147" s="24">
        <v>6.9148280537409095</v>
      </c>
      <c r="D147" s="24">
        <v>14.567337621913259</v>
      </c>
    </row>
    <row r="148" ht="14.25" customHeight="1">
      <c r="A148" s="23">
        <v>31201.0</v>
      </c>
      <c r="B148" s="22" t="s">
        <v>229</v>
      </c>
      <c r="C148" s="24">
        <v>16.007612603087335</v>
      </c>
      <c r="D148" s="24">
        <v>25.24761726780041</v>
      </c>
    </row>
    <row r="149" ht="14.25" customHeight="1">
      <c r="A149" s="23">
        <v>31202.0</v>
      </c>
      <c r="B149" s="22" t="s">
        <v>230</v>
      </c>
      <c r="C149" s="24">
        <v>16.98301698301698</v>
      </c>
      <c r="D149" s="24">
        <v>30.20242914979757</v>
      </c>
    </row>
    <row r="150" ht="14.25" customHeight="1">
      <c r="A150" s="23">
        <v>31203.0</v>
      </c>
      <c r="B150" s="22" t="s">
        <v>231</v>
      </c>
      <c r="C150" s="24">
        <v>26.52370203160271</v>
      </c>
      <c r="D150" s="24">
        <v>42.365547084277765</v>
      </c>
    </row>
    <row r="151" ht="14.25" customHeight="1">
      <c r="A151" s="23">
        <v>31204.0</v>
      </c>
      <c r="B151" s="22" t="s">
        <v>232</v>
      </c>
      <c r="C151" s="24">
        <v>23.58529533250723</v>
      </c>
      <c r="D151" s="24">
        <v>40.40920716112532</v>
      </c>
    </row>
    <row r="152" ht="14.25" customHeight="1">
      <c r="A152" s="23">
        <v>31205.0</v>
      </c>
      <c r="B152" s="22" t="s">
        <v>233</v>
      </c>
      <c r="C152" s="24">
        <v>27.20193498908619</v>
      </c>
      <c r="D152" s="24">
        <v>45.76616856885124</v>
      </c>
    </row>
    <row r="153" ht="14.25" customHeight="1">
      <c r="A153" s="23">
        <v>31206.0</v>
      </c>
      <c r="B153" s="22" t="s">
        <v>234</v>
      </c>
      <c r="C153" s="24">
        <v>24.753507014028056</v>
      </c>
      <c r="D153" s="24">
        <v>35.4714490042909</v>
      </c>
    </row>
    <row r="154" ht="14.25" customHeight="1">
      <c r="A154" s="23">
        <v>31301.0</v>
      </c>
      <c r="B154" s="22" t="s">
        <v>235</v>
      </c>
      <c r="C154" s="24">
        <v>20.135135135135133</v>
      </c>
      <c r="D154" s="24">
        <v>41.99738334060183</v>
      </c>
    </row>
    <row r="155" ht="14.25" customHeight="1">
      <c r="A155" s="23">
        <v>31302.0</v>
      </c>
      <c r="B155" s="22" t="s">
        <v>236</v>
      </c>
      <c r="C155" s="24">
        <v>13.18181818181818</v>
      </c>
      <c r="D155" s="24">
        <v>16.336368505623998</v>
      </c>
    </row>
    <row r="156" ht="14.25" customHeight="1">
      <c r="A156" s="23">
        <v>31303.0</v>
      </c>
      <c r="B156" s="22" t="s">
        <v>237</v>
      </c>
      <c r="C156" s="24">
        <v>5.169340463458111</v>
      </c>
      <c r="D156" s="24">
        <v>13.067292644757433</v>
      </c>
    </row>
    <row r="157" ht="14.25" customHeight="1">
      <c r="A157" s="23">
        <v>31304.0</v>
      </c>
      <c r="B157" s="36" t="s">
        <v>238</v>
      </c>
      <c r="C157" s="24">
        <v>1.2054244098442994</v>
      </c>
      <c r="D157" s="24">
        <v>9.4553706505295</v>
      </c>
    </row>
    <row r="158" ht="14.25" customHeight="1">
      <c r="A158" s="23">
        <v>31401.0</v>
      </c>
      <c r="B158" s="22" t="s">
        <v>240</v>
      </c>
      <c r="C158" s="24">
        <v>55.58970856102003</v>
      </c>
      <c r="D158" s="24">
        <v>62.33433468810744</v>
      </c>
    </row>
    <row r="159" ht="14.25" customHeight="1">
      <c r="A159" s="23">
        <v>31402.0</v>
      </c>
      <c r="B159" s="22" t="s">
        <v>242</v>
      </c>
      <c r="C159" s="24">
        <v>32.34714003944773</v>
      </c>
      <c r="D159" s="24">
        <v>47.54751686082158</v>
      </c>
    </row>
    <row r="160" ht="14.25" customHeight="1">
      <c r="A160" s="23">
        <v>31403.0</v>
      </c>
      <c r="B160" s="22" t="s">
        <v>243</v>
      </c>
      <c r="C160" s="24">
        <v>31.065239551478086</v>
      </c>
      <c r="D160" s="24">
        <v>55.904783914952624</v>
      </c>
    </row>
    <row r="161" ht="14.25" customHeight="1">
      <c r="A161" s="23">
        <v>31404.0</v>
      </c>
      <c r="B161" s="22" t="s">
        <v>245</v>
      </c>
      <c r="C161" s="24">
        <v>17.827298050139277</v>
      </c>
      <c r="D161" s="24">
        <v>58.55670103092784</v>
      </c>
    </row>
    <row r="162" ht="14.25" customHeight="1">
      <c r="A162" s="23">
        <v>31405.0</v>
      </c>
      <c r="B162" s="22" t="s">
        <v>246</v>
      </c>
      <c r="C162" s="24">
        <v>22.39657631954351</v>
      </c>
      <c r="D162" s="24">
        <v>49.195837275307476</v>
      </c>
    </row>
    <row r="163" ht="14.25" customHeight="1">
      <c r="A163" s="23">
        <v>31501.0</v>
      </c>
      <c r="B163" s="22" t="s">
        <v>248</v>
      </c>
      <c r="C163" s="24">
        <v>3.6770921386306</v>
      </c>
      <c r="D163" s="24">
        <v>12.394892556835876</v>
      </c>
    </row>
    <row r="164" ht="14.25" customHeight="1">
      <c r="A164" s="23">
        <v>31601.0</v>
      </c>
      <c r="B164" s="22" t="s">
        <v>249</v>
      </c>
      <c r="C164" s="24">
        <v>38.885467980295566</v>
      </c>
      <c r="D164" s="24">
        <v>55.73525007487271</v>
      </c>
    </row>
    <row r="165" ht="14.25" customHeight="1">
      <c r="A165" s="23">
        <v>31602.0</v>
      </c>
      <c r="B165" s="22" t="s">
        <v>250</v>
      </c>
      <c r="C165" s="24">
        <v>39.96846669294442</v>
      </c>
      <c r="D165" s="24">
        <v>54.97076023391813</v>
      </c>
    </row>
    <row r="166" ht="14.25" customHeight="1">
      <c r="A166" s="23">
        <v>40101.0</v>
      </c>
      <c r="B166" s="22" t="s">
        <v>26</v>
      </c>
      <c r="C166" s="24">
        <v>66.1852875241124</v>
      </c>
      <c r="D166" s="24">
        <v>75.39610707114842</v>
      </c>
    </row>
    <row r="167" ht="14.25" customHeight="1">
      <c r="A167" s="23">
        <v>40102.0</v>
      </c>
      <c r="B167" s="22" t="s">
        <v>251</v>
      </c>
      <c r="C167" s="24">
        <v>16.292974588938712</v>
      </c>
      <c r="D167" s="24">
        <v>35.373808329152034</v>
      </c>
    </row>
    <row r="168" ht="14.25" customHeight="1">
      <c r="A168" s="23">
        <v>40103.0</v>
      </c>
      <c r="B168" s="22" t="s">
        <v>252</v>
      </c>
      <c r="C168" s="24">
        <v>0.18399264029438822</v>
      </c>
      <c r="D168" s="24">
        <v>6.009365244536941</v>
      </c>
    </row>
    <row r="169" ht="14.25" customHeight="1">
      <c r="A169" s="23">
        <v>40104.0</v>
      </c>
      <c r="B169" s="22" t="s">
        <v>253</v>
      </c>
      <c r="C169" s="24">
        <v>6.6473988439306355</v>
      </c>
      <c r="D169" s="24">
        <v>26.775256222547583</v>
      </c>
    </row>
    <row r="170" ht="14.25" customHeight="1">
      <c r="A170" s="23">
        <v>40201.0</v>
      </c>
      <c r="B170" s="22" t="s">
        <v>256</v>
      </c>
      <c r="C170" s="24">
        <v>23.569330497315914</v>
      </c>
      <c r="D170" s="24">
        <v>37.059735656796875</v>
      </c>
    </row>
    <row r="171" ht="14.25" customHeight="1">
      <c r="A171" s="23">
        <v>40202.0</v>
      </c>
      <c r="B171" s="22" t="s">
        <v>257</v>
      </c>
      <c r="C171" s="24">
        <v>19.292604501607716</v>
      </c>
      <c r="D171" s="24">
        <v>32.80309544282029</v>
      </c>
    </row>
    <row r="172" ht="14.25" customHeight="1">
      <c r="A172" s="23">
        <v>40301.0</v>
      </c>
      <c r="B172" s="22" t="s">
        <v>259</v>
      </c>
      <c r="C172" s="24">
        <v>3.0580075662042874</v>
      </c>
      <c r="D172" s="24">
        <v>13.199057210199271</v>
      </c>
    </row>
    <row r="173" ht="14.25" customHeight="1">
      <c r="A173" s="23">
        <v>40302.0</v>
      </c>
      <c r="B173" s="22" t="s">
        <v>260</v>
      </c>
      <c r="C173" s="24">
        <v>6.395348837209303</v>
      </c>
      <c r="D173" s="24">
        <v>26.527570789865873</v>
      </c>
    </row>
    <row r="174" ht="14.25" customHeight="1">
      <c r="A174" s="23">
        <v>40401.0</v>
      </c>
      <c r="B174" s="22" t="s">
        <v>262</v>
      </c>
      <c r="C174" s="24">
        <v>29.00369003690037</v>
      </c>
      <c r="D174" s="24">
        <v>40.764972320080524</v>
      </c>
    </row>
    <row r="175" ht="14.25" customHeight="1">
      <c r="A175" s="23">
        <v>40402.0</v>
      </c>
      <c r="B175" s="22" t="s">
        <v>263</v>
      </c>
      <c r="C175" s="24">
        <v>18.123393316195372</v>
      </c>
      <c r="D175" s="24">
        <v>31.477272727272727</v>
      </c>
    </row>
    <row r="176" ht="14.25" customHeight="1">
      <c r="A176" s="23">
        <v>40501.0</v>
      </c>
      <c r="B176" s="22" t="s">
        <v>265</v>
      </c>
      <c r="C176" s="24">
        <v>69.34097421203438</v>
      </c>
      <c r="D176" s="24">
        <v>69.71476510067114</v>
      </c>
    </row>
    <row r="177" ht="14.25" customHeight="1">
      <c r="A177" s="23">
        <v>40502.0</v>
      </c>
      <c r="B177" s="22" t="s">
        <v>266</v>
      </c>
      <c r="C177" s="24">
        <v>4.251386321626617</v>
      </c>
      <c r="D177" s="24">
        <v>39.905213270142184</v>
      </c>
    </row>
    <row r="178" ht="14.25" customHeight="1">
      <c r="A178" s="23">
        <v>40503.0</v>
      </c>
      <c r="B178" s="22" t="s">
        <v>267</v>
      </c>
      <c r="C178" s="24">
        <v>4.794520547945205</v>
      </c>
      <c r="D178" s="24">
        <v>55.11363636363637</v>
      </c>
    </row>
    <row r="179" ht="14.25" customHeight="1">
      <c r="A179" s="23">
        <v>40504.0</v>
      </c>
      <c r="B179" s="22" t="s">
        <v>268</v>
      </c>
      <c r="C179" s="24">
        <v>1.183431952662722</v>
      </c>
      <c r="D179" s="24">
        <v>86.1271676300578</v>
      </c>
    </row>
    <row r="180" ht="14.25" customHeight="1">
      <c r="A180" s="23">
        <v>40505.0</v>
      </c>
      <c r="B180" s="22" t="s">
        <v>269</v>
      </c>
      <c r="C180" s="24">
        <v>10.848400556328233</v>
      </c>
      <c r="D180" s="24">
        <v>57.846506300114555</v>
      </c>
    </row>
    <row r="181" ht="14.25" customHeight="1">
      <c r="A181" s="23">
        <v>40601.0</v>
      </c>
      <c r="B181" s="22" t="s">
        <v>270</v>
      </c>
      <c r="C181" s="24">
        <v>23.916872138076787</v>
      </c>
      <c r="D181" s="24">
        <v>44.23812124522119</v>
      </c>
    </row>
    <row r="182" ht="14.25" customHeight="1">
      <c r="A182" s="23">
        <v>40602.0</v>
      </c>
      <c r="B182" s="22" t="s">
        <v>272</v>
      </c>
      <c r="C182" s="24">
        <v>13.08924485125858</v>
      </c>
      <c r="D182" s="24">
        <v>30.016958733747877</v>
      </c>
    </row>
    <row r="183" ht="14.25" customHeight="1">
      <c r="A183" s="23">
        <v>40603.0</v>
      </c>
      <c r="B183" s="22" t="s">
        <v>273</v>
      </c>
      <c r="C183" s="24">
        <v>29.70639032815199</v>
      </c>
      <c r="D183" s="24">
        <v>40.0</v>
      </c>
    </row>
    <row r="184" ht="14.25" customHeight="1">
      <c r="A184" s="23">
        <v>40701.0</v>
      </c>
      <c r="B184" s="22" t="s">
        <v>275</v>
      </c>
      <c r="C184" s="24">
        <v>42.96842398108221</v>
      </c>
      <c r="D184" s="24">
        <v>63.81753074887124</v>
      </c>
    </row>
    <row r="185" ht="14.25" customHeight="1">
      <c r="A185" s="23">
        <v>40702.0</v>
      </c>
      <c r="B185" s="22" t="s">
        <v>277</v>
      </c>
      <c r="C185" s="24">
        <v>34.017971758664956</v>
      </c>
      <c r="D185" s="24">
        <v>56.11213235294118</v>
      </c>
    </row>
    <row r="186" ht="14.25" customHeight="1">
      <c r="A186" s="23">
        <v>40801.0</v>
      </c>
      <c r="B186" s="22" t="s">
        <v>279</v>
      </c>
      <c r="C186" s="24">
        <v>9.931245225362872</v>
      </c>
      <c r="D186" s="24">
        <v>35.91891439102027</v>
      </c>
    </row>
    <row r="187" ht="14.25" customHeight="1">
      <c r="A187" s="23">
        <v>40802.0</v>
      </c>
      <c r="B187" s="22" t="s">
        <v>280</v>
      </c>
      <c r="C187" s="24">
        <v>12.307692307692308</v>
      </c>
      <c r="D187" s="24">
        <v>33.01960784313726</v>
      </c>
    </row>
    <row r="188" ht="14.25" customHeight="1">
      <c r="A188" s="23">
        <v>40901.0</v>
      </c>
      <c r="B188" s="22" t="s">
        <v>281</v>
      </c>
      <c r="C188" s="24">
        <v>9.835336003560302</v>
      </c>
      <c r="D188" s="24">
        <v>40.62256809338521</v>
      </c>
    </row>
    <row r="189" ht="14.25" customHeight="1">
      <c r="A189" s="23">
        <v>40902.0</v>
      </c>
      <c r="B189" s="22" t="s">
        <v>282</v>
      </c>
      <c r="C189" s="24">
        <v>1.5810276679841897</v>
      </c>
      <c r="D189" s="24">
        <v>45.65826330532213</v>
      </c>
    </row>
    <row r="190" ht="14.25" customHeight="1">
      <c r="A190" s="23">
        <v>40903.0</v>
      </c>
      <c r="B190" s="22" t="s">
        <v>283</v>
      </c>
      <c r="C190" s="24">
        <v>18.305084745762713</v>
      </c>
      <c r="D190" s="24">
        <v>22.895927601809955</v>
      </c>
    </row>
    <row r="191" ht="14.25" customHeight="1">
      <c r="A191" s="23">
        <v>41001.0</v>
      </c>
      <c r="B191" s="22" t="s">
        <v>285</v>
      </c>
      <c r="C191" s="24">
        <v>4.271530824290002</v>
      </c>
      <c r="D191" s="24">
        <v>13.165680473372781</v>
      </c>
    </row>
    <row r="192" ht="14.25" customHeight="1">
      <c r="A192" s="23">
        <v>41101.0</v>
      </c>
      <c r="B192" s="22" t="s">
        <v>287</v>
      </c>
      <c r="C192" s="24">
        <v>11.591148577449948</v>
      </c>
      <c r="D192" s="24">
        <v>33.264462809917354</v>
      </c>
    </row>
    <row r="193" ht="14.25" customHeight="1">
      <c r="A193" s="23">
        <v>41201.0</v>
      </c>
      <c r="B193" s="22" t="s">
        <v>289</v>
      </c>
      <c r="C193" s="24">
        <v>4.769076305220884</v>
      </c>
      <c r="D193" s="24">
        <v>26.301969365426697</v>
      </c>
    </row>
    <row r="194" ht="14.25" customHeight="1">
      <c r="A194" s="23">
        <v>41202.0</v>
      </c>
      <c r="B194" s="22" t="s">
        <v>291</v>
      </c>
      <c r="C194" s="24">
        <v>2.3351648351648353</v>
      </c>
      <c r="D194" s="24">
        <v>33.12101910828025</v>
      </c>
    </row>
    <row r="195" ht="14.25" customHeight="1">
      <c r="A195" s="23">
        <v>41301.0</v>
      </c>
      <c r="B195" s="22" t="s">
        <v>229</v>
      </c>
      <c r="C195" s="24">
        <v>5.514316012725344</v>
      </c>
      <c r="D195" s="24">
        <v>18.089123867069485</v>
      </c>
    </row>
    <row r="196" ht="14.25" customHeight="1">
      <c r="A196" s="23">
        <v>41401.0</v>
      </c>
      <c r="B196" s="22" t="s">
        <v>294</v>
      </c>
      <c r="C196" s="24">
        <v>19.363086936308694</v>
      </c>
      <c r="D196" s="24">
        <v>32.938133218366026</v>
      </c>
    </row>
    <row r="197" ht="14.25" customHeight="1">
      <c r="A197" s="23">
        <v>41501.0</v>
      </c>
      <c r="B197" s="22" t="s">
        <v>296</v>
      </c>
      <c r="C197" s="24">
        <v>15.469613259668508</v>
      </c>
      <c r="D197" s="24">
        <v>47.349823321554766</v>
      </c>
    </row>
    <row r="198" ht="14.25" customHeight="1">
      <c r="A198" s="23">
        <v>41502.0</v>
      </c>
      <c r="B198" s="22" t="s">
        <v>297</v>
      </c>
      <c r="C198" s="24">
        <v>12.435233160621761</v>
      </c>
      <c r="D198" s="24">
        <v>56.838905775075986</v>
      </c>
    </row>
    <row r="199" ht="14.25" customHeight="1">
      <c r="A199" s="23">
        <v>41503.0</v>
      </c>
      <c r="B199" s="22" t="s">
        <v>258</v>
      </c>
      <c r="C199" s="24">
        <v>1.2244897959183674</v>
      </c>
      <c r="D199" s="24">
        <v>39.29961089494164</v>
      </c>
    </row>
    <row r="200" ht="14.25" customHeight="1">
      <c r="A200" s="23">
        <v>41601.0</v>
      </c>
      <c r="B200" s="22" t="s">
        <v>299</v>
      </c>
      <c r="C200" s="24">
        <v>4.259094942324756</v>
      </c>
      <c r="D200" s="24">
        <v>20.977222630418808</v>
      </c>
    </row>
    <row r="201" ht="14.25" customHeight="1">
      <c r="A201" s="23">
        <v>50101.0</v>
      </c>
      <c r="B201" s="22" t="s">
        <v>29</v>
      </c>
      <c r="C201" s="24">
        <v>79.77366972832617</v>
      </c>
      <c r="D201" s="24">
        <v>82.4426008103415</v>
      </c>
    </row>
    <row r="202" ht="14.25" customHeight="1">
      <c r="A202" s="23">
        <v>50102.0</v>
      </c>
      <c r="B202" s="22" t="s">
        <v>302</v>
      </c>
      <c r="C202" s="24">
        <v>6.017229953611664</v>
      </c>
      <c r="D202" s="24">
        <v>9.21804818293181</v>
      </c>
    </row>
    <row r="203" ht="14.25" customHeight="1">
      <c r="A203" s="23">
        <v>50103.0</v>
      </c>
      <c r="B203" s="22" t="s">
        <v>303</v>
      </c>
      <c r="C203" s="24">
        <v>27.606310013717422</v>
      </c>
      <c r="D203" s="24">
        <v>40.539250775471245</v>
      </c>
    </row>
    <row r="204" ht="14.25" customHeight="1">
      <c r="A204" s="23">
        <v>50104.0</v>
      </c>
      <c r="B204" s="22" t="s">
        <v>305</v>
      </c>
      <c r="C204" s="24">
        <v>5.081669691470054</v>
      </c>
      <c r="D204" s="24">
        <v>16.707616707616708</v>
      </c>
    </row>
    <row r="205" ht="14.25" customHeight="1">
      <c r="A205" s="23">
        <v>50201.0</v>
      </c>
      <c r="B205" s="22" t="s">
        <v>308</v>
      </c>
      <c r="C205" s="24">
        <v>32.90030211480362</v>
      </c>
      <c r="D205" s="24">
        <v>37.999288846746474</v>
      </c>
    </row>
    <row r="206" ht="14.25" customHeight="1">
      <c r="A206" s="23">
        <v>50202.0</v>
      </c>
      <c r="B206" s="22" t="s">
        <v>309</v>
      </c>
      <c r="C206" s="24">
        <v>18.255838868652237</v>
      </c>
      <c r="D206" s="24">
        <v>35.860728172499115</v>
      </c>
    </row>
    <row r="207" ht="14.25" customHeight="1">
      <c r="A207" s="23">
        <v>50203.0</v>
      </c>
      <c r="B207" s="22" t="s">
        <v>310</v>
      </c>
      <c r="C207" s="24">
        <v>53.03408816181804</v>
      </c>
      <c r="D207" s="24">
        <v>62.02784541424736</v>
      </c>
    </row>
    <row r="208" ht="14.25" customHeight="1">
      <c r="A208" s="23">
        <v>50204.0</v>
      </c>
      <c r="B208" s="22" t="s">
        <v>311</v>
      </c>
      <c r="C208" s="24">
        <v>4.847950639048039</v>
      </c>
      <c r="D208" s="24">
        <v>11.642480211081795</v>
      </c>
    </row>
    <row r="209" ht="14.25" customHeight="1">
      <c r="A209" s="23">
        <v>50301.0</v>
      </c>
      <c r="B209" s="22" t="s">
        <v>313</v>
      </c>
      <c r="C209" s="24">
        <v>22.003909062853616</v>
      </c>
      <c r="D209" s="24">
        <v>36.79150260965113</v>
      </c>
    </row>
    <row r="210" ht="14.25" customHeight="1">
      <c r="A210" s="23">
        <v>50302.0</v>
      </c>
      <c r="B210" s="22" t="s">
        <v>315</v>
      </c>
      <c r="C210" s="24">
        <v>20.608317815021728</v>
      </c>
      <c r="D210" s="24">
        <v>35.23836875358989</v>
      </c>
    </row>
    <row r="211" ht="14.25" customHeight="1">
      <c r="A211" s="23">
        <v>50303.0</v>
      </c>
      <c r="B211" s="22" t="s">
        <v>316</v>
      </c>
      <c r="C211" s="24">
        <v>1.6166281755196306</v>
      </c>
      <c r="D211" s="24">
        <v>5.1148426944605285</v>
      </c>
    </row>
    <row r="212" ht="14.25" customHeight="1">
      <c r="A212" s="23">
        <v>50401.0</v>
      </c>
      <c r="B212" s="22" t="s">
        <v>317</v>
      </c>
      <c r="C212" s="24">
        <v>15.748950069995335</v>
      </c>
      <c r="D212" s="24">
        <v>26.997075573341544</v>
      </c>
    </row>
    <row r="213" ht="14.25" customHeight="1">
      <c r="A213" s="23">
        <v>50402.0</v>
      </c>
      <c r="B213" s="22" t="s">
        <v>318</v>
      </c>
      <c r="C213" s="24">
        <v>15.646970830216903</v>
      </c>
      <c r="D213" s="24">
        <v>21.133720930232556</v>
      </c>
    </row>
    <row r="214" ht="14.25" customHeight="1">
      <c r="A214" s="23">
        <v>50403.0</v>
      </c>
      <c r="B214" s="22" t="s">
        <v>319</v>
      </c>
      <c r="C214" s="24">
        <v>7.230915125651968</v>
      </c>
      <c r="D214" s="24">
        <v>15.744137821024088</v>
      </c>
    </row>
    <row r="215" ht="14.25" customHeight="1">
      <c r="A215" s="23">
        <v>50404.0</v>
      </c>
      <c r="B215" s="22" t="s">
        <v>320</v>
      </c>
      <c r="C215" s="24">
        <v>11.250736304731985</v>
      </c>
      <c r="D215" s="24">
        <v>15.644717683222781</v>
      </c>
    </row>
    <row r="216" ht="14.25" customHeight="1">
      <c r="A216" s="23">
        <v>50405.0</v>
      </c>
      <c r="B216" s="36" t="s">
        <v>321</v>
      </c>
      <c r="C216" s="24">
        <v>14.018779342723004</v>
      </c>
      <c r="D216" s="24">
        <v>16.484949040056883</v>
      </c>
    </row>
    <row r="217" ht="14.25" customHeight="1">
      <c r="A217" s="23">
        <v>50501.0</v>
      </c>
      <c r="B217" s="22" t="s">
        <v>323</v>
      </c>
      <c r="C217" s="24">
        <v>5.025975595022351</v>
      </c>
      <c r="D217" s="24">
        <v>9.209944262585154</v>
      </c>
    </row>
    <row r="218" ht="14.25" customHeight="1">
      <c r="A218" s="23">
        <v>50502.0</v>
      </c>
      <c r="B218" s="22" t="s">
        <v>324</v>
      </c>
      <c r="C218" s="24">
        <v>15.323269723725435</v>
      </c>
      <c r="D218" s="24">
        <v>23.831106870229007</v>
      </c>
    </row>
    <row r="219" ht="14.25" customHeight="1">
      <c r="A219" s="23">
        <v>50601.0</v>
      </c>
      <c r="B219" s="22" t="s">
        <v>326</v>
      </c>
      <c r="C219" s="24">
        <v>21.06430155210643</v>
      </c>
      <c r="D219" s="24">
        <v>39.166072701354246</v>
      </c>
    </row>
    <row r="220" ht="14.25" customHeight="1">
      <c r="A220" s="23">
        <v>50602.0</v>
      </c>
      <c r="B220" s="22" t="s">
        <v>327</v>
      </c>
      <c r="C220" s="24">
        <v>24.007682458386682</v>
      </c>
      <c r="D220" s="24">
        <v>42.47422680412371</v>
      </c>
    </row>
    <row r="221" ht="14.25" customHeight="1">
      <c r="A221" s="23">
        <v>50701.0</v>
      </c>
      <c r="B221" s="22" t="s">
        <v>329</v>
      </c>
      <c r="C221" s="24">
        <v>13.705945176219295</v>
      </c>
      <c r="D221" s="24">
        <v>20.991296651423514</v>
      </c>
    </row>
    <row r="222" ht="14.25" customHeight="1">
      <c r="A222" s="23">
        <v>50702.0</v>
      </c>
      <c r="B222" s="22" t="s">
        <v>331</v>
      </c>
      <c r="C222" s="24">
        <v>8.281649033199562</v>
      </c>
      <c r="D222" s="24">
        <v>11.941996019334661</v>
      </c>
    </row>
    <row r="223" ht="14.25" customHeight="1">
      <c r="A223" s="23">
        <v>50801.0</v>
      </c>
      <c r="B223" s="22" t="s">
        <v>333</v>
      </c>
      <c r="C223" s="24">
        <v>59.06599594564157</v>
      </c>
      <c r="D223" s="24">
        <v>71.49785840262031</v>
      </c>
    </row>
    <row r="224" ht="14.25" customHeight="1">
      <c r="A224" s="23">
        <v>50802.0</v>
      </c>
      <c r="B224" s="22" t="s">
        <v>334</v>
      </c>
      <c r="C224" s="24">
        <v>20.3579418344519</v>
      </c>
      <c r="D224" s="24">
        <v>36.55025326579579</v>
      </c>
    </row>
    <row r="225" ht="14.25" customHeight="1">
      <c r="A225" s="23">
        <v>50901.0</v>
      </c>
      <c r="B225" s="22" t="s">
        <v>336</v>
      </c>
      <c r="C225" s="24">
        <v>27.6685817961899</v>
      </c>
      <c r="D225" s="24">
        <v>68.45138055222088</v>
      </c>
    </row>
    <row r="226" ht="14.25" customHeight="1">
      <c r="A226" s="23">
        <v>50902.0</v>
      </c>
      <c r="B226" s="22" t="s">
        <v>338</v>
      </c>
      <c r="C226" s="24">
        <v>20.967741935483872</v>
      </c>
      <c r="D226" s="24">
        <v>58.599695585996955</v>
      </c>
    </row>
    <row r="227" ht="14.25" customHeight="1">
      <c r="A227" s="23">
        <v>51001.0</v>
      </c>
      <c r="B227" s="22" t="s">
        <v>341</v>
      </c>
      <c r="C227" s="24">
        <v>16.647531572904708</v>
      </c>
      <c r="D227" s="24">
        <v>38.073807380738074</v>
      </c>
    </row>
    <row r="228" ht="14.25" customHeight="1">
      <c r="A228" s="23">
        <v>51002.0</v>
      </c>
      <c r="B228" s="22" t="s">
        <v>343</v>
      </c>
      <c r="C228" s="24">
        <v>16.201117318435752</v>
      </c>
      <c r="D228" s="24">
        <v>30.555555555555557</v>
      </c>
    </row>
    <row r="229" ht="14.25" customHeight="1">
      <c r="A229" s="23">
        <v>51003.0</v>
      </c>
      <c r="B229" s="22" t="s">
        <v>344</v>
      </c>
      <c r="C229" s="24">
        <v>21.3986013986014</v>
      </c>
      <c r="D229" s="24">
        <v>30.869565217391305</v>
      </c>
    </row>
    <row r="230" ht="14.25" customHeight="1">
      <c r="A230" s="23">
        <v>51101.0</v>
      </c>
      <c r="B230" s="22" t="s">
        <v>346</v>
      </c>
      <c r="C230" s="24">
        <v>23.173307053357735</v>
      </c>
      <c r="D230" s="24">
        <v>42.889137737961924</v>
      </c>
    </row>
    <row r="231" ht="14.25" customHeight="1">
      <c r="A231" s="23">
        <v>51102.0</v>
      </c>
      <c r="B231" s="22" t="s">
        <v>348</v>
      </c>
      <c r="C231" s="24">
        <v>22.80553203499859</v>
      </c>
      <c r="D231" s="24">
        <v>48.589274176179195</v>
      </c>
    </row>
    <row r="232" ht="14.25" customHeight="1">
      <c r="A232" s="23">
        <v>51103.0</v>
      </c>
      <c r="B232" s="22" t="s">
        <v>349</v>
      </c>
      <c r="C232" s="24">
        <v>2.770517511761631</v>
      </c>
      <c r="D232" s="24">
        <v>12.752795622174636</v>
      </c>
    </row>
    <row r="233" ht="14.25" customHeight="1">
      <c r="A233" s="23">
        <v>51201.0</v>
      </c>
      <c r="B233" s="22" t="s">
        <v>351</v>
      </c>
      <c r="C233" s="24">
        <v>16.14046056059185</v>
      </c>
      <c r="D233" s="24">
        <v>20.15379929952794</v>
      </c>
    </row>
    <row r="234" ht="14.25" customHeight="1">
      <c r="A234" s="23">
        <v>51202.0</v>
      </c>
      <c r="B234" s="22" t="s">
        <v>352</v>
      </c>
      <c r="C234" s="24">
        <v>5.134871628209295</v>
      </c>
      <c r="D234" s="24">
        <v>23.33433825746156</v>
      </c>
    </row>
    <row r="235" ht="14.25" customHeight="1">
      <c r="A235" s="23">
        <v>51203.0</v>
      </c>
      <c r="B235" s="22" t="s">
        <v>353</v>
      </c>
      <c r="C235" s="24">
        <v>58.333333333333336</v>
      </c>
      <c r="D235" s="24">
        <v>74.2905788876277</v>
      </c>
    </row>
    <row r="236" ht="14.25" customHeight="1">
      <c r="A236" s="23">
        <v>51204.0</v>
      </c>
      <c r="B236" s="36" t="s">
        <v>354</v>
      </c>
      <c r="C236" s="24">
        <v>6.5918653576437585</v>
      </c>
      <c r="D236" s="24">
        <v>28.346758726505563</v>
      </c>
    </row>
    <row r="237" ht="14.25" customHeight="1">
      <c r="A237" s="23">
        <v>51301.0</v>
      </c>
      <c r="B237" s="22" t="s">
        <v>356</v>
      </c>
      <c r="C237" s="24">
        <v>13.7904468412943</v>
      </c>
      <c r="D237" s="24">
        <v>25.60054907343857</v>
      </c>
    </row>
    <row r="238" ht="14.25" customHeight="1">
      <c r="A238" s="23">
        <v>51302.0</v>
      </c>
      <c r="B238" s="22" t="s">
        <v>357</v>
      </c>
      <c r="C238" s="24">
        <v>12.332751599767306</v>
      </c>
      <c r="D238" s="24">
        <v>22.446750409612235</v>
      </c>
    </row>
    <row r="239" ht="14.25" customHeight="1">
      <c r="A239" s="23">
        <v>51401.0</v>
      </c>
      <c r="B239" s="22" t="s">
        <v>359</v>
      </c>
      <c r="C239" s="24">
        <v>18.882978723404257</v>
      </c>
      <c r="D239" s="24">
        <v>53.23275862068966</v>
      </c>
    </row>
    <row r="240" ht="14.25" customHeight="1">
      <c r="A240" s="23">
        <v>51402.0</v>
      </c>
      <c r="B240" s="22" t="s">
        <v>360</v>
      </c>
      <c r="C240" s="24">
        <v>6.480117820324007</v>
      </c>
      <c r="D240" s="24">
        <v>30.997304582210244</v>
      </c>
    </row>
    <row r="241" ht="14.25" customHeight="1">
      <c r="A241" s="23">
        <v>51501.0</v>
      </c>
      <c r="B241" s="22" t="s">
        <v>362</v>
      </c>
      <c r="C241" s="24">
        <v>62.87891336756667</v>
      </c>
      <c r="D241" s="24">
        <v>78.00180142728469</v>
      </c>
    </row>
    <row r="242" ht="14.25" customHeight="1">
      <c r="A242" s="23">
        <v>51601.0</v>
      </c>
      <c r="B242" s="22" t="s">
        <v>364</v>
      </c>
      <c r="C242" s="24">
        <v>23.92638036809816</v>
      </c>
      <c r="D242" s="24">
        <v>62.968515742128936</v>
      </c>
    </row>
    <row r="243" ht="14.25" customHeight="1">
      <c r="A243" s="23">
        <v>60101.0</v>
      </c>
      <c r="B243" s="22" t="s">
        <v>33</v>
      </c>
      <c r="C243" s="24">
        <v>75.64541382951607</v>
      </c>
      <c r="D243" s="24">
        <v>76.23953018195822</v>
      </c>
    </row>
    <row r="244" ht="14.25" customHeight="1">
      <c r="A244" s="23">
        <v>60201.0</v>
      </c>
      <c r="B244" s="22" t="s">
        <v>366</v>
      </c>
      <c r="C244" s="24">
        <v>47.21021611001965</v>
      </c>
      <c r="D244" s="24">
        <v>61.904761904761905</v>
      </c>
    </row>
    <row r="245" ht="14.25" customHeight="1">
      <c r="A245" s="23">
        <v>60202.0</v>
      </c>
      <c r="B245" s="22" t="s">
        <v>367</v>
      </c>
      <c r="C245" s="24">
        <v>72.65867731913005</v>
      </c>
      <c r="D245" s="24">
        <v>83.47449651797479</v>
      </c>
    </row>
    <row r="246" ht="14.25" customHeight="1">
      <c r="A246" s="23">
        <v>60301.0</v>
      </c>
      <c r="B246" s="22" t="s">
        <v>368</v>
      </c>
      <c r="C246" s="24">
        <v>71.40211401210588</v>
      </c>
      <c r="D246" s="24">
        <v>79.20023436355646</v>
      </c>
    </row>
    <row r="247" ht="14.25" customHeight="1">
      <c r="A247" s="23">
        <v>60302.0</v>
      </c>
      <c r="B247" s="22" t="s">
        <v>369</v>
      </c>
      <c r="C247" s="24">
        <v>72.64080100125156</v>
      </c>
      <c r="D247" s="24">
        <v>75.17079419299743</v>
      </c>
    </row>
    <row r="248" ht="14.25" customHeight="1">
      <c r="A248" s="23">
        <v>60303.0</v>
      </c>
      <c r="B248" s="22" t="s">
        <v>370</v>
      </c>
      <c r="C248" s="24">
        <v>48.52755369812421</v>
      </c>
      <c r="D248" s="24">
        <v>60.27065527065527</v>
      </c>
    </row>
    <row r="249" ht="14.25" customHeight="1">
      <c r="A249" s="23">
        <v>60401.0</v>
      </c>
      <c r="B249" s="22" t="s">
        <v>372</v>
      </c>
      <c r="C249" s="24">
        <v>47.93368572801538</v>
      </c>
      <c r="D249" s="24">
        <v>69.58909682668836</v>
      </c>
    </row>
    <row r="250" ht="14.25" customHeight="1">
      <c r="A250" s="23">
        <v>60402.0</v>
      </c>
      <c r="B250" s="22" t="s">
        <v>374</v>
      </c>
      <c r="C250" s="24">
        <v>55.188679245283026</v>
      </c>
      <c r="D250" s="24">
        <v>69.28104575163398</v>
      </c>
    </row>
    <row r="251" ht="14.25" customHeight="1">
      <c r="A251" s="23">
        <v>60501.0</v>
      </c>
      <c r="B251" s="22" t="s">
        <v>376</v>
      </c>
      <c r="C251" s="24">
        <v>53.855644663787785</v>
      </c>
      <c r="D251" s="24">
        <v>67.9948586118252</v>
      </c>
    </row>
    <row r="252" ht="14.25" customHeight="1">
      <c r="A252" s="23">
        <v>60502.0</v>
      </c>
      <c r="B252" s="22" t="s">
        <v>378</v>
      </c>
      <c r="C252" s="24">
        <v>57.30095296649247</v>
      </c>
      <c r="D252" s="24">
        <v>76.23456790123457</v>
      </c>
    </row>
    <row r="253" ht="14.25" customHeight="1">
      <c r="A253" s="23">
        <v>60601.0</v>
      </c>
      <c r="B253" s="22" t="s">
        <v>234</v>
      </c>
      <c r="C253" s="24">
        <v>44.96768236380424</v>
      </c>
      <c r="D253" s="24">
        <v>62.54826254826254</v>
      </c>
    </row>
    <row r="254" ht="14.25" customHeight="1">
      <c r="A254" s="23">
        <v>70101.0</v>
      </c>
      <c r="B254" s="22" t="s">
        <v>381</v>
      </c>
      <c r="C254" s="24">
        <v>53.689230692401814</v>
      </c>
      <c r="D254" s="24">
        <v>70.49439709770103</v>
      </c>
    </row>
    <row r="255" ht="14.25" customHeight="1">
      <c r="A255" s="23">
        <v>70102.0</v>
      </c>
      <c r="B255" s="22" t="s">
        <v>382</v>
      </c>
      <c r="C255" s="24">
        <v>36.71215587284058</v>
      </c>
      <c r="D255" s="24">
        <v>27.77997341285524</v>
      </c>
    </row>
    <row r="256" ht="14.25" customHeight="1">
      <c r="A256" s="23">
        <v>70103.0</v>
      </c>
      <c r="B256" s="22" t="s">
        <v>383</v>
      </c>
      <c r="C256" s="24">
        <v>50.27609055770292</v>
      </c>
      <c r="D256" s="24">
        <v>68.48840710629328</v>
      </c>
    </row>
    <row r="257" ht="14.25" customHeight="1">
      <c r="A257" s="23">
        <v>70104.0</v>
      </c>
      <c r="B257" s="22" t="s">
        <v>385</v>
      </c>
      <c r="C257" s="24">
        <v>9.012855400206437</v>
      </c>
      <c r="D257" s="24">
        <v>17.624854098889912</v>
      </c>
    </row>
    <row r="258" ht="14.25" customHeight="1">
      <c r="A258" s="23">
        <v>70105.0</v>
      </c>
      <c r="B258" s="22" t="s">
        <v>386</v>
      </c>
      <c r="C258" s="24">
        <v>37.360032693093586</v>
      </c>
      <c r="D258" s="24">
        <v>43.46255718757524</v>
      </c>
    </row>
    <row r="259" ht="14.25" customHeight="1">
      <c r="A259" s="23">
        <v>70201.0</v>
      </c>
      <c r="B259" s="22" t="s">
        <v>387</v>
      </c>
      <c r="C259" s="24">
        <v>31.255922129382373</v>
      </c>
      <c r="D259" s="24">
        <v>31.14762174544917</v>
      </c>
    </row>
    <row r="260" ht="14.25" customHeight="1">
      <c r="A260" s="23">
        <v>70202.0</v>
      </c>
      <c r="B260" s="22" t="s">
        <v>388</v>
      </c>
      <c r="C260" s="24">
        <v>39.53125</v>
      </c>
      <c r="D260" s="24">
        <v>60.70441988950276</v>
      </c>
    </row>
    <row r="261" ht="14.25" customHeight="1">
      <c r="A261" s="23">
        <v>70301.0</v>
      </c>
      <c r="B261" s="22" t="s">
        <v>390</v>
      </c>
      <c r="C261" s="24">
        <v>35.57505773672055</v>
      </c>
      <c r="D261" s="24">
        <v>46.89189189189189</v>
      </c>
    </row>
    <row r="262" ht="14.25" customHeight="1">
      <c r="A262" s="23">
        <v>70302.0</v>
      </c>
      <c r="B262" s="22" t="s">
        <v>392</v>
      </c>
      <c r="C262" s="24">
        <v>8.79163439194423</v>
      </c>
      <c r="D262" s="24">
        <v>44.34450191140095</v>
      </c>
    </row>
    <row r="263" ht="14.25" customHeight="1">
      <c r="A263" s="23">
        <v>70303.0</v>
      </c>
      <c r="B263" s="22" t="s">
        <v>394</v>
      </c>
      <c r="C263" s="24">
        <v>10.09657594381036</v>
      </c>
      <c r="D263" s="24">
        <v>44.77045219192268</v>
      </c>
    </row>
    <row r="264" ht="14.25" customHeight="1">
      <c r="A264" s="23">
        <v>70401.0</v>
      </c>
      <c r="B264" s="22" t="s">
        <v>396</v>
      </c>
      <c r="C264" s="24">
        <v>52.160201829076</v>
      </c>
      <c r="D264" s="24">
        <v>67.8760593220339</v>
      </c>
    </row>
    <row r="265" ht="14.25" customHeight="1">
      <c r="A265" s="23">
        <v>70402.0</v>
      </c>
      <c r="B265" s="22" t="s">
        <v>397</v>
      </c>
      <c r="C265" s="24">
        <v>17.62519134047671</v>
      </c>
      <c r="D265" s="24">
        <v>49.86420423682781</v>
      </c>
    </row>
    <row r="266" ht="14.25" customHeight="1">
      <c r="A266" s="23">
        <v>70403.0</v>
      </c>
      <c r="B266" s="22" t="s">
        <v>398</v>
      </c>
      <c r="C266" s="24">
        <v>18.44331641285956</v>
      </c>
      <c r="D266" s="24">
        <v>38.36612702366127</v>
      </c>
    </row>
    <row r="267" ht="14.25" customHeight="1">
      <c r="A267" s="23">
        <v>70404.0</v>
      </c>
      <c r="B267" s="22" t="s">
        <v>399</v>
      </c>
      <c r="C267" s="24">
        <v>27.883211678832115</v>
      </c>
      <c r="D267" s="24">
        <v>57.52451809266148</v>
      </c>
    </row>
    <row r="268" ht="14.25" customHeight="1">
      <c r="A268" s="23">
        <v>70501.0</v>
      </c>
      <c r="B268" s="22" t="s">
        <v>401</v>
      </c>
      <c r="C268" s="24">
        <v>27.989487516425754</v>
      </c>
      <c r="D268" s="24">
        <v>53.20065477728957</v>
      </c>
    </row>
    <row r="269" ht="14.25" customHeight="1">
      <c r="A269" s="23">
        <v>70502.0</v>
      </c>
      <c r="B269" s="22" t="s">
        <v>403</v>
      </c>
      <c r="C269" s="24">
        <v>46.28237259816207</v>
      </c>
      <c r="D269" s="24">
        <v>53.677717810331536</v>
      </c>
    </row>
    <row r="270" ht="14.25" customHeight="1">
      <c r="A270" s="23">
        <v>70503.0</v>
      </c>
      <c r="B270" s="22" t="s">
        <v>404</v>
      </c>
      <c r="C270" s="24">
        <v>34.24072591406458</v>
      </c>
      <c r="D270" s="24">
        <v>59.48017950635752</v>
      </c>
    </row>
    <row r="271" ht="14.25" customHeight="1">
      <c r="A271" s="23">
        <v>70601.0</v>
      </c>
      <c r="B271" s="22" t="s">
        <v>406</v>
      </c>
      <c r="C271" s="24">
        <v>54.77057538237437</v>
      </c>
      <c r="D271" s="24">
        <v>78.10835629017447</v>
      </c>
    </row>
    <row r="272" ht="14.25" customHeight="1">
      <c r="A272" s="23">
        <v>70602.0</v>
      </c>
      <c r="B272" s="22" t="s">
        <v>407</v>
      </c>
      <c r="C272" s="24">
        <v>26.155082362394538</v>
      </c>
      <c r="D272" s="24">
        <v>52.32499580325667</v>
      </c>
    </row>
    <row r="273" ht="14.25" customHeight="1">
      <c r="A273" s="23">
        <v>70603.0</v>
      </c>
      <c r="B273" s="22" t="s">
        <v>409</v>
      </c>
      <c r="C273" s="24">
        <v>13.95864106351551</v>
      </c>
      <c r="D273" s="24">
        <v>26.353555120678408</v>
      </c>
    </row>
    <row r="274" ht="14.25" customHeight="1">
      <c r="A274" s="23">
        <v>70701.0</v>
      </c>
      <c r="B274" s="22" t="s">
        <v>411</v>
      </c>
      <c r="C274" s="24">
        <v>40.61624649859944</v>
      </c>
      <c r="D274" s="24">
        <v>74.5697896749522</v>
      </c>
    </row>
    <row r="275" ht="14.25" customHeight="1">
      <c r="A275" s="23">
        <v>70702.0</v>
      </c>
      <c r="B275" s="22" t="s">
        <v>412</v>
      </c>
      <c r="C275" s="24">
        <v>39.87915407854985</v>
      </c>
      <c r="D275" s="24">
        <v>60.483870967741936</v>
      </c>
    </row>
    <row r="276" ht="14.25" customHeight="1">
      <c r="A276" s="23">
        <v>70703.0</v>
      </c>
      <c r="B276" s="22" t="s">
        <v>413</v>
      </c>
      <c r="C276" s="24">
        <v>47.76119402985074</v>
      </c>
      <c r="D276" s="24">
        <v>54.709926426245325</v>
      </c>
    </row>
    <row r="277" ht="14.25" customHeight="1">
      <c r="A277" s="23">
        <v>70704.0</v>
      </c>
      <c r="B277" s="22" t="s">
        <v>414</v>
      </c>
      <c r="C277" s="24">
        <v>9.847806624888094</v>
      </c>
      <c r="D277" s="24">
        <v>66.61379857256145</v>
      </c>
    </row>
    <row r="278" ht="14.25" customHeight="1">
      <c r="A278" s="23">
        <v>70705.0</v>
      </c>
      <c r="B278" s="22" t="s">
        <v>415</v>
      </c>
      <c r="C278" s="24">
        <v>16.610878661087867</v>
      </c>
      <c r="D278" s="24">
        <v>66.0507446221732</v>
      </c>
    </row>
    <row r="279" ht="14.25" customHeight="1">
      <c r="A279" s="23">
        <v>70706.0</v>
      </c>
      <c r="B279" s="22" t="s">
        <v>416</v>
      </c>
      <c r="C279" s="24">
        <v>62.81347026510629</v>
      </c>
      <c r="D279" s="24">
        <v>70.8113917248791</v>
      </c>
    </row>
    <row r="280" ht="14.25" customHeight="1">
      <c r="A280" s="23">
        <v>70707.0</v>
      </c>
      <c r="B280" s="22" t="s">
        <v>417</v>
      </c>
      <c r="C280" s="24">
        <v>27.73938795656466</v>
      </c>
      <c r="D280" s="24">
        <v>65.9927797833935</v>
      </c>
    </row>
    <row r="281" ht="14.25" customHeight="1">
      <c r="A281" s="23">
        <v>70801.0</v>
      </c>
      <c r="B281" s="22" t="s">
        <v>418</v>
      </c>
      <c r="C281" s="24">
        <v>59.677725118483416</v>
      </c>
      <c r="D281" s="24">
        <v>70.25980313054704</v>
      </c>
    </row>
    <row r="282" ht="14.25" customHeight="1">
      <c r="A282" s="23">
        <v>70802.0</v>
      </c>
      <c r="B282" s="22" t="s">
        <v>419</v>
      </c>
      <c r="C282" s="24">
        <v>61.80555555555556</v>
      </c>
      <c r="D282" s="24">
        <v>81.88679245283019</v>
      </c>
    </row>
    <row r="283" ht="14.25" customHeight="1">
      <c r="A283" s="23">
        <v>70803.0</v>
      </c>
      <c r="B283" s="22" t="s">
        <v>420</v>
      </c>
      <c r="C283" s="24">
        <v>37.24137931034483</v>
      </c>
      <c r="D283" s="24">
        <v>59.83854692230071</v>
      </c>
    </row>
    <row r="284" ht="14.25" customHeight="1">
      <c r="A284" s="23">
        <v>70804.0</v>
      </c>
      <c r="B284" s="22" t="s">
        <v>422</v>
      </c>
      <c r="C284" s="24">
        <v>38.666666666666664</v>
      </c>
      <c r="D284" s="24">
        <v>60.89108910891089</v>
      </c>
    </row>
    <row r="285" ht="14.25" customHeight="1">
      <c r="A285" s="23">
        <v>70805.0</v>
      </c>
      <c r="B285" s="22" t="s">
        <v>423</v>
      </c>
      <c r="C285" s="24">
        <v>29.291338582677167</v>
      </c>
      <c r="D285" s="24">
        <v>53.938584779706275</v>
      </c>
    </row>
    <row r="286" ht="14.25" customHeight="1">
      <c r="A286" s="23">
        <v>70901.0</v>
      </c>
      <c r="B286" s="22" t="s">
        <v>425</v>
      </c>
      <c r="C286" s="24">
        <v>40.271055179090034</v>
      </c>
      <c r="D286" s="24">
        <v>60.538005923000995</v>
      </c>
    </row>
    <row r="287" ht="14.25" customHeight="1">
      <c r="A287" s="23">
        <v>70902.0</v>
      </c>
      <c r="B287" s="22" t="s">
        <v>426</v>
      </c>
      <c r="C287" s="24">
        <v>36.95652173913043</v>
      </c>
      <c r="D287" s="24">
        <v>69.70491803278689</v>
      </c>
    </row>
    <row r="288" ht="14.25" customHeight="1">
      <c r="A288" s="23">
        <v>70903.0</v>
      </c>
      <c r="B288" s="22" t="s">
        <v>427</v>
      </c>
      <c r="C288" s="24">
        <v>21.3225371120108</v>
      </c>
      <c r="D288" s="24">
        <v>46.21809744779583</v>
      </c>
    </row>
    <row r="289" ht="14.25" customHeight="1">
      <c r="A289" s="23">
        <v>70904.0</v>
      </c>
      <c r="B289" s="22" t="s">
        <v>428</v>
      </c>
      <c r="C289" s="24">
        <v>52.602739726027394</v>
      </c>
      <c r="D289" s="24">
        <v>71.66454891994918</v>
      </c>
    </row>
    <row r="290" ht="14.25" customHeight="1">
      <c r="A290" s="23">
        <v>71001.0</v>
      </c>
      <c r="B290" s="22" t="s">
        <v>430</v>
      </c>
      <c r="C290" s="24">
        <v>45.41244353338648</v>
      </c>
      <c r="D290" s="24">
        <v>42.310687754612985</v>
      </c>
    </row>
    <row r="291" ht="14.25" customHeight="1">
      <c r="A291" s="23">
        <v>71002.0</v>
      </c>
      <c r="B291" s="22" t="s">
        <v>431</v>
      </c>
      <c r="C291" s="24">
        <v>38.442521631644006</v>
      </c>
      <c r="D291" s="24">
        <v>49.26571821936668</v>
      </c>
    </row>
    <row r="292" ht="14.25" customHeight="1">
      <c r="A292" s="23">
        <v>71003.0</v>
      </c>
      <c r="B292" s="22" t="s">
        <v>432</v>
      </c>
      <c r="C292" s="24">
        <v>11.695137976346912</v>
      </c>
      <c r="D292" s="24">
        <v>52.663868259606076</v>
      </c>
    </row>
    <row r="293" ht="14.25" customHeight="1">
      <c r="A293" s="23">
        <v>71004.0</v>
      </c>
      <c r="B293" s="22" t="s">
        <v>433</v>
      </c>
      <c r="C293" s="24">
        <v>18.684792918115715</v>
      </c>
      <c r="D293" s="24">
        <v>43.222803955788244</v>
      </c>
    </row>
    <row r="294" ht="14.25" customHeight="1">
      <c r="A294" s="23">
        <v>71005.0</v>
      </c>
      <c r="B294" s="22" t="s">
        <v>323</v>
      </c>
      <c r="C294" s="24">
        <v>46.59188955996549</v>
      </c>
      <c r="D294" s="24">
        <v>42.966887417218544</v>
      </c>
    </row>
    <row r="295" ht="14.25" customHeight="1">
      <c r="A295" s="23">
        <v>71101.0</v>
      </c>
      <c r="B295" s="22" t="s">
        <v>373</v>
      </c>
      <c r="C295" s="24">
        <v>12.344520065712274</v>
      </c>
      <c r="D295" s="24">
        <v>34.21919846922504</v>
      </c>
    </row>
    <row r="296" ht="14.25" customHeight="1">
      <c r="A296" s="23">
        <v>71102.0</v>
      </c>
      <c r="B296" s="22" t="s">
        <v>435</v>
      </c>
      <c r="C296" s="24">
        <v>10.141287284144427</v>
      </c>
      <c r="D296" s="24">
        <v>36.91956356254757</v>
      </c>
    </row>
    <row r="297" ht="14.25" customHeight="1">
      <c r="A297" s="23">
        <v>71103.0</v>
      </c>
      <c r="B297" s="22" t="s">
        <v>436</v>
      </c>
      <c r="C297" s="24">
        <v>25.97321218767134</v>
      </c>
      <c r="D297" s="24">
        <v>17.55034936292643</v>
      </c>
    </row>
    <row r="298" ht="14.25" customHeight="1">
      <c r="A298" s="23">
        <v>71104.0</v>
      </c>
      <c r="B298" s="22" t="s">
        <v>437</v>
      </c>
      <c r="C298" s="24">
        <v>60.645724258289704</v>
      </c>
      <c r="D298" s="24">
        <v>39.001937984496124</v>
      </c>
    </row>
    <row r="299" ht="14.25" customHeight="1">
      <c r="A299" s="23">
        <v>71105.0</v>
      </c>
      <c r="B299" s="22" t="s">
        <v>438</v>
      </c>
      <c r="C299" s="24">
        <v>3.2047477744807122</v>
      </c>
      <c r="D299" s="24">
        <v>84.8135593220339</v>
      </c>
    </row>
    <row r="300" ht="14.25" customHeight="1">
      <c r="A300" s="23">
        <v>71106.0</v>
      </c>
      <c r="B300" s="22" t="s">
        <v>439</v>
      </c>
      <c r="C300" s="24">
        <v>41.3206801107157</v>
      </c>
      <c r="D300" s="24">
        <v>69.48557472141658</v>
      </c>
    </row>
    <row r="301" ht="14.25" customHeight="1">
      <c r="A301" s="23">
        <v>71201.0</v>
      </c>
      <c r="B301" s="22" t="s">
        <v>441</v>
      </c>
      <c r="C301" s="24">
        <v>17.76049766718507</v>
      </c>
      <c r="D301" s="24">
        <v>39.68636911942099</v>
      </c>
    </row>
    <row r="302" ht="14.25" customHeight="1">
      <c r="A302" s="23">
        <v>71301.0</v>
      </c>
      <c r="B302" s="22" t="s">
        <v>443</v>
      </c>
      <c r="C302" s="24">
        <v>51.325716749299424</v>
      </c>
      <c r="D302" s="24">
        <v>61.10531803962461</v>
      </c>
    </row>
    <row r="303" ht="14.25" customHeight="1">
      <c r="A303" s="23">
        <v>71302.0</v>
      </c>
      <c r="B303" s="22" t="s">
        <v>444</v>
      </c>
      <c r="C303" s="24">
        <v>20.527201346045988</v>
      </c>
      <c r="D303" s="24">
        <v>53.09200603318251</v>
      </c>
    </row>
    <row r="304" ht="14.25" customHeight="1">
      <c r="A304" s="23">
        <v>71401.0</v>
      </c>
      <c r="B304" s="22" t="s">
        <v>446</v>
      </c>
      <c r="C304" s="24">
        <v>14.866051822573562</v>
      </c>
      <c r="D304" s="24">
        <v>32.20827330726487</v>
      </c>
    </row>
    <row r="305" ht="14.25" customHeight="1">
      <c r="A305" s="23">
        <v>71402.0</v>
      </c>
      <c r="B305" s="22" t="s">
        <v>447</v>
      </c>
      <c r="C305" s="24">
        <v>3.3238855964957486</v>
      </c>
      <c r="D305" s="24">
        <v>14.836495761001212</v>
      </c>
    </row>
    <row r="306" ht="14.25" customHeight="1">
      <c r="A306" s="23">
        <v>71403.0</v>
      </c>
      <c r="B306" s="22" t="s">
        <v>448</v>
      </c>
      <c r="C306" s="24">
        <v>17.22520107238606</v>
      </c>
      <c r="D306" s="24">
        <v>57.04891080969996</v>
      </c>
    </row>
    <row r="307" ht="14.25" customHeight="1">
      <c r="A307" s="23">
        <v>71501.0</v>
      </c>
      <c r="B307" s="22" t="s">
        <v>450</v>
      </c>
      <c r="C307" s="24">
        <v>11.863792791161023</v>
      </c>
      <c r="D307" s="24">
        <v>21.040451726372304</v>
      </c>
    </row>
    <row r="308" ht="14.25" customHeight="1">
      <c r="A308" s="23">
        <v>71502.0</v>
      </c>
      <c r="B308" s="22" t="s">
        <v>451</v>
      </c>
      <c r="C308" s="24">
        <v>3.5532994923857872</v>
      </c>
      <c r="D308" s="24">
        <v>45.1829268292683</v>
      </c>
    </row>
    <row r="309" ht="14.25" customHeight="1">
      <c r="A309" s="23">
        <v>71503.0</v>
      </c>
      <c r="B309" s="22" t="s">
        <v>378</v>
      </c>
      <c r="C309" s="24">
        <v>13.898229096615108</v>
      </c>
      <c r="D309" s="24">
        <v>43.182522466687324</v>
      </c>
    </row>
    <row r="310" ht="14.25" customHeight="1">
      <c r="A310" s="23">
        <v>80101.0</v>
      </c>
      <c r="B310" s="22" t="s">
        <v>453</v>
      </c>
      <c r="C310" s="24">
        <v>29.372269859246074</v>
      </c>
      <c r="D310" s="24">
        <v>27.560486977962707</v>
      </c>
    </row>
    <row r="311" ht="14.25" customHeight="1">
      <c r="A311" s="23">
        <v>80102.0</v>
      </c>
      <c r="B311" s="22" t="s">
        <v>435</v>
      </c>
      <c r="C311" s="24">
        <v>28.13008130081301</v>
      </c>
      <c r="D311" s="24">
        <v>50.50700144857557</v>
      </c>
    </row>
    <row r="312" ht="14.25" customHeight="1">
      <c r="A312" s="23">
        <v>80201.0</v>
      </c>
      <c r="B312" s="22" t="s">
        <v>455</v>
      </c>
      <c r="C312" s="24">
        <v>12.65570757606698</v>
      </c>
      <c r="D312" s="24">
        <v>18.97092048684498</v>
      </c>
    </row>
    <row r="313" ht="14.25" customHeight="1">
      <c r="A313" s="23">
        <v>80202.0</v>
      </c>
      <c r="B313" s="22" t="s">
        <v>456</v>
      </c>
      <c r="C313" s="24">
        <v>30.331497678436453</v>
      </c>
      <c r="D313" s="24">
        <v>37.5539436231751</v>
      </c>
    </row>
    <row r="314" ht="14.25" customHeight="1">
      <c r="A314" s="23">
        <v>80301.0</v>
      </c>
      <c r="B314" s="22" t="s">
        <v>458</v>
      </c>
      <c r="C314" s="24">
        <v>5.638082376772451</v>
      </c>
      <c r="D314" s="24">
        <v>24.20251682762657</v>
      </c>
    </row>
    <row r="315" ht="14.25" customHeight="1">
      <c r="A315" s="23">
        <v>80302.0</v>
      </c>
      <c r="B315" s="22" t="s">
        <v>459</v>
      </c>
      <c r="C315" s="24">
        <v>4.993625159371016</v>
      </c>
      <c r="D315" s="24">
        <v>19.852884836411004</v>
      </c>
    </row>
    <row r="316" ht="14.25" customHeight="1">
      <c r="A316" s="23">
        <v>80303.0</v>
      </c>
      <c r="B316" s="22" t="s">
        <v>408</v>
      </c>
      <c r="C316" s="24">
        <v>22.672064777327936</v>
      </c>
      <c r="D316" s="24">
        <v>35.027223230490016</v>
      </c>
    </row>
    <row r="317" ht="14.25" customHeight="1">
      <c r="A317" s="23">
        <v>80304.0</v>
      </c>
      <c r="B317" s="22" t="s">
        <v>460</v>
      </c>
      <c r="C317" s="24">
        <v>37.059913526868435</v>
      </c>
      <c r="D317" s="24">
        <v>42.08</v>
      </c>
    </row>
    <row r="318" ht="14.25" customHeight="1">
      <c r="A318" s="23">
        <v>80401.0</v>
      </c>
      <c r="B318" s="22" t="s">
        <v>463</v>
      </c>
      <c r="C318" s="24">
        <v>41.137026239067055</v>
      </c>
      <c r="D318" s="24">
        <v>56.0884749708964</v>
      </c>
    </row>
    <row r="319" ht="14.25" customHeight="1">
      <c r="A319" s="23">
        <v>80402.0</v>
      </c>
      <c r="B319" s="22" t="s">
        <v>465</v>
      </c>
      <c r="C319" s="24">
        <v>27.078891257995735</v>
      </c>
      <c r="D319" s="24">
        <v>28.797250859106526</v>
      </c>
    </row>
    <row r="320" ht="14.25" customHeight="1">
      <c r="A320" s="23">
        <v>80501.0</v>
      </c>
      <c r="B320" s="22" t="s">
        <v>391</v>
      </c>
      <c r="C320" s="24">
        <v>9.113607990012484</v>
      </c>
      <c r="D320" s="24">
        <v>29.104062326099054</v>
      </c>
    </row>
    <row r="321" ht="14.25" customHeight="1">
      <c r="A321" s="23">
        <v>80601.0</v>
      </c>
      <c r="B321" s="22" t="s">
        <v>468</v>
      </c>
      <c r="C321" s="24">
        <v>30.787037037037035</v>
      </c>
      <c r="D321" s="24">
        <v>52.80151946818613</v>
      </c>
    </row>
    <row r="322" ht="14.25" customHeight="1">
      <c r="A322" s="23">
        <v>80602.0</v>
      </c>
      <c r="B322" s="22" t="s">
        <v>469</v>
      </c>
      <c r="C322" s="24">
        <v>24.799732977303073</v>
      </c>
      <c r="D322" s="24">
        <v>41.84060721062618</v>
      </c>
    </row>
    <row r="323" ht="14.25" customHeight="1">
      <c r="A323" s="23">
        <v>80701.0</v>
      </c>
      <c r="B323" s="22" t="s">
        <v>471</v>
      </c>
      <c r="C323" s="24">
        <v>10.36682615629984</v>
      </c>
      <c r="D323" s="24">
        <v>25.521885521885523</v>
      </c>
    </row>
    <row r="324" ht="14.25" customHeight="1">
      <c r="A324" s="23">
        <v>80702.0</v>
      </c>
      <c r="B324" s="22" t="s">
        <v>436</v>
      </c>
      <c r="C324" s="24">
        <v>5.862068965517241</v>
      </c>
      <c r="D324" s="24">
        <v>22.872340425531913</v>
      </c>
    </row>
    <row r="325" ht="14.25" customHeight="1">
      <c r="A325" s="23">
        <v>80703.0</v>
      </c>
      <c r="B325" s="22" t="s">
        <v>472</v>
      </c>
      <c r="C325" s="24">
        <v>48.717948717948715</v>
      </c>
      <c r="D325" s="24">
        <v>60.32786885245902</v>
      </c>
    </row>
    <row r="326" ht="14.25" customHeight="1">
      <c r="A326" s="23">
        <v>80801.0</v>
      </c>
      <c r="B326" s="22" t="s">
        <v>474</v>
      </c>
      <c r="C326" s="24">
        <v>3.405017921146954</v>
      </c>
      <c r="D326" s="24">
        <v>13.011152416356877</v>
      </c>
    </row>
    <row r="327" ht="14.25" customHeight="1">
      <c r="A327" s="23">
        <v>80802.0</v>
      </c>
      <c r="B327" s="22" t="s">
        <v>475</v>
      </c>
      <c r="C327" s="24">
        <v>6.047197640117994</v>
      </c>
      <c r="D327" s="24">
        <v>26.21124031007752</v>
      </c>
    </row>
    <row r="328" ht="14.25" customHeight="1">
      <c r="A328" s="23">
        <v>80803.0</v>
      </c>
      <c r="B328" s="22" t="s">
        <v>476</v>
      </c>
      <c r="C328" s="24">
        <v>26.373626373626376</v>
      </c>
      <c r="D328" s="24">
        <v>25.04911591355599</v>
      </c>
    </row>
    <row r="329" ht="14.25" customHeight="1">
      <c r="A329" s="23">
        <v>80901.0</v>
      </c>
      <c r="B329" s="36" t="s">
        <v>477</v>
      </c>
      <c r="C329" s="24">
        <v>1.7432646592709984</v>
      </c>
      <c r="D329" s="24">
        <v>40.99783080260303</v>
      </c>
    </row>
    <row r="330" ht="14.25" customHeight="1">
      <c r="A330" s="23">
        <v>90101.0</v>
      </c>
      <c r="B330" s="22" t="s">
        <v>479</v>
      </c>
      <c r="C330" s="24">
        <v>26.503576072821843</v>
      </c>
      <c r="D330" s="24">
        <v>38.85248008224107</v>
      </c>
    </row>
    <row r="331" ht="14.25" customHeight="1">
      <c r="A331" s="23">
        <v>90102.0</v>
      </c>
      <c r="B331" s="22" t="s">
        <v>480</v>
      </c>
      <c r="C331" s="24">
        <v>19.637462235649547</v>
      </c>
      <c r="D331" s="24">
        <v>27.533632286995513</v>
      </c>
    </row>
    <row r="332" ht="14.25" customHeight="1">
      <c r="A332" s="23">
        <v>90103.0</v>
      </c>
      <c r="B332" s="22" t="s">
        <v>481</v>
      </c>
      <c r="C332" s="24">
        <v>7.522935779816514</v>
      </c>
      <c r="D332" s="24">
        <v>42.768079800498754</v>
      </c>
    </row>
    <row r="333" ht="14.25" customHeight="1">
      <c r="A333" s="23">
        <v>90104.0</v>
      </c>
      <c r="B333" s="22" t="s">
        <v>482</v>
      </c>
      <c r="C333" s="24">
        <v>20.97457627118644</v>
      </c>
      <c r="D333" s="24">
        <v>50.36437246963563</v>
      </c>
    </row>
    <row r="334" ht="14.25" customHeight="1">
      <c r="A334" s="23">
        <v>90201.0</v>
      </c>
      <c r="B334" s="22" t="s">
        <v>484</v>
      </c>
      <c r="C334" s="24">
        <v>16.49782923299566</v>
      </c>
      <c r="D334" s="24">
        <v>26.69683257918552</v>
      </c>
    </row>
    <row r="335" ht="14.25" customHeight="1">
      <c r="A335" s="23">
        <v>90202.0</v>
      </c>
      <c r="B335" s="22" t="s">
        <v>323</v>
      </c>
      <c r="C335" s="24">
        <v>1.9639934533551555</v>
      </c>
      <c r="D335" s="24">
        <v>8.333333333333332</v>
      </c>
    </row>
    <row r="336" ht="14.25" customHeight="1">
      <c r="A336" s="23">
        <v>90203.0</v>
      </c>
      <c r="B336" s="22" t="s">
        <v>485</v>
      </c>
      <c r="C336" s="24">
        <v>13.594954449894884</v>
      </c>
      <c r="D336" s="24">
        <v>45.62450278440732</v>
      </c>
    </row>
    <row r="337" ht="14.25" customHeight="1">
      <c r="A337" s="23">
        <v>90301.0</v>
      </c>
      <c r="B337" s="22" t="s">
        <v>487</v>
      </c>
      <c r="C337" s="24">
        <v>18.323586744639375</v>
      </c>
      <c r="D337" s="24">
        <v>29.262086513994912</v>
      </c>
    </row>
    <row r="338" ht="14.25" customHeight="1">
      <c r="A338" s="23">
        <v>90302.0</v>
      </c>
      <c r="B338" s="22" t="s">
        <v>376</v>
      </c>
      <c r="C338" s="24">
        <v>7.526080476900149</v>
      </c>
      <c r="D338" s="24">
        <v>30.270270270270274</v>
      </c>
    </row>
    <row r="339" ht="14.25" customHeight="1">
      <c r="A339" s="23">
        <v>90303.0</v>
      </c>
      <c r="B339" s="22" t="s">
        <v>488</v>
      </c>
      <c r="C339" s="24">
        <v>0.3024803387779794</v>
      </c>
      <c r="D339" s="24">
        <v>9.634782608695652</v>
      </c>
    </row>
    <row r="340" ht="14.25" customHeight="1">
      <c r="A340" s="23">
        <v>90401.0</v>
      </c>
      <c r="B340" s="22" t="s">
        <v>408</v>
      </c>
      <c r="C340" s="24">
        <v>22.0949263502455</v>
      </c>
      <c r="D340" s="24">
        <v>46.395348837209305</v>
      </c>
    </row>
    <row r="341" ht="14.25" customHeight="1">
      <c r="A341" s="23">
        <v>90402.0</v>
      </c>
      <c r="B341" s="22" t="s">
        <v>120</v>
      </c>
      <c r="C341" s="24">
        <v>25.581395348837212</v>
      </c>
      <c r="D341" s="24">
        <v>16.486902927580893</v>
      </c>
    </row>
    <row r="342" ht="14.25" customHeight="1">
      <c r="A342" s="23">
        <v>90501.0</v>
      </c>
      <c r="B342" s="22" t="s">
        <v>491</v>
      </c>
      <c r="C342" s="24">
        <v>5.150214592274678</v>
      </c>
      <c r="D342" s="24">
        <v>21.881390593047033</v>
      </c>
    </row>
    <row r="343" ht="14.25" customHeight="1">
      <c r="A343" s="23">
        <v>90502.0</v>
      </c>
      <c r="B343" s="22" t="s">
        <v>492</v>
      </c>
      <c r="C343" s="24">
        <v>7.30050933786078</v>
      </c>
      <c r="D343" s="24">
        <v>24.717514124293785</v>
      </c>
    </row>
    <row r="344" ht="14.25" customHeight="1">
      <c r="A344" s="23">
        <v>90503.0</v>
      </c>
      <c r="B344" s="22" t="s">
        <v>494</v>
      </c>
      <c r="C344" s="24">
        <v>8.369098712446352</v>
      </c>
      <c r="D344" s="24">
        <v>14.975041597337771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29"/>
    <col customWidth="1" min="3" max="3" width="32.14"/>
    <col customWidth="1" min="4" max="4" width="31.43"/>
    <col customWidth="1" min="5" max="26" width="9.14"/>
  </cols>
  <sheetData>
    <row r="1" ht="14.25" customHeight="1">
      <c r="A1" s="49" t="s">
        <v>496</v>
      </c>
      <c r="B1" s="50" t="s">
        <v>2</v>
      </c>
      <c r="C1" s="52" t="s">
        <v>499</v>
      </c>
      <c r="D1" s="52" t="s">
        <v>500</v>
      </c>
    </row>
    <row r="2" ht="14.25" customHeight="1">
      <c r="A2" s="23">
        <v>10101.0</v>
      </c>
      <c r="B2" s="22" t="s">
        <v>19</v>
      </c>
      <c r="C2" s="23">
        <v>3453.0</v>
      </c>
      <c r="D2" s="23">
        <v>1401.0</v>
      </c>
    </row>
    <row r="3" ht="14.25" customHeight="1">
      <c r="A3" s="23">
        <v>10102.0</v>
      </c>
      <c r="B3" s="22" t="s">
        <v>20</v>
      </c>
      <c r="C3" s="23">
        <v>247.0</v>
      </c>
      <c r="D3" s="23">
        <v>107.0</v>
      </c>
    </row>
    <row r="4" ht="14.25" customHeight="1">
      <c r="A4" s="23">
        <v>10103.0</v>
      </c>
      <c r="B4" s="22" t="s">
        <v>22</v>
      </c>
      <c r="C4" s="23">
        <v>2544.0</v>
      </c>
      <c r="D4" s="23">
        <v>1195.0</v>
      </c>
    </row>
    <row r="5" ht="14.25" customHeight="1">
      <c r="A5" s="23">
        <v>10201.0</v>
      </c>
      <c r="B5" s="22" t="s">
        <v>25</v>
      </c>
      <c r="C5" s="23">
        <v>1252.0</v>
      </c>
      <c r="D5" s="23">
        <v>487.0</v>
      </c>
    </row>
    <row r="6" ht="14.25" customHeight="1">
      <c r="A6" s="23">
        <v>10202.0</v>
      </c>
      <c r="B6" s="22" t="s">
        <v>27</v>
      </c>
      <c r="C6" s="23">
        <v>1292.0</v>
      </c>
      <c r="D6" s="23">
        <v>688.0</v>
      </c>
    </row>
    <row r="7" ht="14.25" customHeight="1">
      <c r="A7" s="23">
        <v>10301.0</v>
      </c>
      <c r="B7" s="22" t="s">
        <v>31</v>
      </c>
      <c r="C7" s="23">
        <v>547.0</v>
      </c>
      <c r="D7" s="23">
        <v>200.0</v>
      </c>
    </row>
    <row r="8" ht="14.25" customHeight="1">
      <c r="A8" s="23">
        <v>10302.0</v>
      </c>
      <c r="B8" s="22" t="s">
        <v>34</v>
      </c>
      <c r="C8" s="23">
        <v>924.0</v>
      </c>
      <c r="D8" s="23">
        <v>401.0</v>
      </c>
    </row>
    <row r="9" ht="14.25" customHeight="1">
      <c r="A9" s="23">
        <v>10303.0</v>
      </c>
      <c r="B9" s="22" t="s">
        <v>36</v>
      </c>
      <c r="C9" s="23">
        <v>553.0</v>
      </c>
      <c r="D9" s="23">
        <v>158.0</v>
      </c>
    </row>
    <row r="10" ht="14.25" customHeight="1">
      <c r="A10" s="23">
        <v>10304.0</v>
      </c>
      <c r="B10" s="22" t="s">
        <v>39</v>
      </c>
      <c r="C10" s="23">
        <v>257.0</v>
      </c>
      <c r="D10" s="23">
        <v>241.0</v>
      </c>
    </row>
    <row r="11" ht="14.25" customHeight="1">
      <c r="A11" s="23">
        <v>10401.0</v>
      </c>
      <c r="B11" s="22" t="s">
        <v>42</v>
      </c>
      <c r="C11" s="23">
        <v>770.0</v>
      </c>
      <c r="D11" s="23">
        <v>206.0</v>
      </c>
    </row>
    <row r="12" ht="14.25" customHeight="1">
      <c r="A12" s="23">
        <v>10402.0</v>
      </c>
      <c r="B12" s="22" t="s">
        <v>41</v>
      </c>
      <c r="C12" s="23">
        <v>206.0</v>
      </c>
      <c r="D12" s="23">
        <v>81.0</v>
      </c>
    </row>
    <row r="13" ht="14.25" customHeight="1">
      <c r="A13" s="23">
        <v>10403.0</v>
      </c>
      <c r="B13" s="22" t="s">
        <v>46</v>
      </c>
      <c r="C13" s="23">
        <v>651.0</v>
      </c>
      <c r="D13" s="23">
        <v>246.0</v>
      </c>
    </row>
    <row r="14" ht="14.25" customHeight="1">
      <c r="A14" s="23">
        <v>10404.0</v>
      </c>
      <c r="B14" s="22" t="s">
        <v>48</v>
      </c>
      <c r="C14" s="23">
        <v>145.0</v>
      </c>
      <c r="D14" s="23">
        <v>22.0</v>
      </c>
    </row>
    <row r="15" ht="14.25" customHeight="1">
      <c r="A15" s="23">
        <v>10405.0</v>
      </c>
      <c r="B15" s="22" t="s">
        <v>50</v>
      </c>
      <c r="C15" s="23">
        <v>413.0</v>
      </c>
      <c r="D15" s="23">
        <v>141.0</v>
      </c>
    </row>
    <row r="16" ht="14.25" customHeight="1">
      <c r="A16" s="23">
        <v>10501.0</v>
      </c>
      <c r="B16" s="22" t="s">
        <v>52</v>
      </c>
      <c r="C16" s="23">
        <v>983.0</v>
      </c>
      <c r="D16" s="23">
        <v>400.0</v>
      </c>
    </row>
    <row r="17" ht="14.25" customHeight="1">
      <c r="A17" s="23">
        <v>10502.0</v>
      </c>
      <c r="B17" s="22" t="s">
        <v>53</v>
      </c>
      <c r="C17" s="23">
        <v>489.0</v>
      </c>
      <c r="D17" s="23">
        <v>71.0</v>
      </c>
    </row>
    <row r="18" ht="14.25" customHeight="1">
      <c r="A18" s="23">
        <v>10601.0</v>
      </c>
      <c r="B18" s="22" t="s">
        <v>55</v>
      </c>
      <c r="C18" s="23">
        <v>1052.0</v>
      </c>
      <c r="D18" s="23">
        <v>247.0</v>
      </c>
    </row>
    <row r="19" ht="14.25" customHeight="1">
      <c r="A19" s="23">
        <v>10602.0</v>
      </c>
      <c r="B19" s="22" t="s">
        <v>54</v>
      </c>
      <c r="C19" s="23">
        <v>972.0</v>
      </c>
      <c r="D19" s="23">
        <v>255.0</v>
      </c>
    </row>
    <row r="20" ht="14.25" customHeight="1">
      <c r="A20" s="23">
        <v>10701.0</v>
      </c>
      <c r="B20" s="22" t="s">
        <v>57</v>
      </c>
      <c r="C20" s="23">
        <v>636.0</v>
      </c>
      <c r="D20" s="23">
        <v>314.0</v>
      </c>
    </row>
    <row r="21" ht="14.25" customHeight="1">
      <c r="A21" s="23">
        <v>10702.0</v>
      </c>
      <c r="B21" s="22" t="s">
        <v>58</v>
      </c>
      <c r="C21" s="23">
        <v>3145.0</v>
      </c>
      <c r="D21" s="23">
        <v>1247.0</v>
      </c>
    </row>
    <row r="22" ht="14.25" customHeight="1">
      <c r="A22" s="23">
        <v>10703.0</v>
      </c>
      <c r="B22" s="22" t="s">
        <v>59</v>
      </c>
      <c r="C22" s="23">
        <v>1317.0</v>
      </c>
      <c r="D22" s="23">
        <v>1037.0</v>
      </c>
    </row>
    <row r="23" ht="14.25" customHeight="1">
      <c r="A23" s="23">
        <v>10704.0</v>
      </c>
      <c r="B23" s="22" t="s">
        <v>60</v>
      </c>
      <c r="C23" s="23">
        <v>1443.0</v>
      </c>
      <c r="D23" s="23">
        <v>735.0</v>
      </c>
    </row>
    <row r="24" ht="14.25" customHeight="1">
      <c r="A24" s="23">
        <v>10801.0</v>
      </c>
      <c r="B24" s="22" t="s">
        <v>62</v>
      </c>
      <c r="C24" s="23">
        <v>480.0</v>
      </c>
      <c r="D24" s="23">
        <v>119.0</v>
      </c>
    </row>
    <row r="25" ht="14.25" customHeight="1">
      <c r="A25" s="23">
        <v>10901.0</v>
      </c>
      <c r="B25" s="22" t="s">
        <v>64</v>
      </c>
      <c r="C25" s="23">
        <v>297.0</v>
      </c>
      <c r="D25" s="23">
        <v>93.0</v>
      </c>
    </row>
    <row r="26" ht="14.25" customHeight="1">
      <c r="A26" s="23">
        <v>10902.0</v>
      </c>
      <c r="B26" s="22" t="s">
        <v>65</v>
      </c>
      <c r="C26" s="23">
        <v>1037.0</v>
      </c>
      <c r="D26" s="23">
        <v>703.0</v>
      </c>
    </row>
    <row r="27" ht="14.25" customHeight="1">
      <c r="A27" s="23">
        <v>10903.0</v>
      </c>
      <c r="B27" s="22" t="s">
        <v>66</v>
      </c>
      <c r="C27" s="23">
        <v>189.0</v>
      </c>
      <c r="D27" s="23">
        <v>58.0</v>
      </c>
    </row>
    <row r="28" ht="14.25" customHeight="1">
      <c r="A28" s="23">
        <v>11001.0</v>
      </c>
      <c r="B28" s="22" t="s">
        <v>68</v>
      </c>
      <c r="C28" s="23">
        <v>272.0</v>
      </c>
      <c r="D28" s="23">
        <v>175.0</v>
      </c>
    </row>
    <row r="29" ht="14.25" customHeight="1">
      <c r="A29" s="23">
        <v>11002.0</v>
      </c>
      <c r="B29" s="22" t="s">
        <v>69</v>
      </c>
      <c r="C29" s="23">
        <v>115.0</v>
      </c>
      <c r="D29" s="23">
        <v>15.0</v>
      </c>
    </row>
    <row r="30" ht="14.25" customHeight="1">
      <c r="A30" s="23">
        <v>11003.0</v>
      </c>
      <c r="B30" s="22" t="s">
        <v>71</v>
      </c>
      <c r="C30" s="23">
        <v>280.0</v>
      </c>
      <c r="D30" s="23">
        <v>41.0</v>
      </c>
    </row>
    <row r="31" ht="14.25" customHeight="1">
      <c r="A31" s="23">
        <v>20101.0</v>
      </c>
      <c r="B31" s="22" t="s">
        <v>74</v>
      </c>
      <c r="C31" s="23">
        <v>2093.0</v>
      </c>
      <c r="D31" s="23">
        <v>1201.0</v>
      </c>
    </row>
    <row r="32" ht="14.25" customHeight="1">
      <c r="A32" s="23">
        <v>20102.0</v>
      </c>
      <c r="B32" s="22" t="s">
        <v>75</v>
      </c>
      <c r="C32" s="23">
        <v>629.0</v>
      </c>
      <c r="D32" s="23">
        <v>464.0</v>
      </c>
    </row>
    <row r="33" ht="14.25" customHeight="1">
      <c r="A33" s="23">
        <v>20103.0</v>
      </c>
      <c r="B33" s="22" t="s">
        <v>76</v>
      </c>
      <c r="C33" s="23">
        <v>504.0</v>
      </c>
      <c r="D33" s="23">
        <v>192.0</v>
      </c>
    </row>
    <row r="34" ht="14.25" customHeight="1">
      <c r="A34" s="23">
        <v>20104.0</v>
      </c>
      <c r="B34" s="22" t="s">
        <v>77</v>
      </c>
      <c r="C34" s="23">
        <v>1235.0</v>
      </c>
      <c r="D34" s="23">
        <v>1130.0</v>
      </c>
    </row>
    <row r="35" ht="14.25" customHeight="1">
      <c r="A35" s="23">
        <v>20105.0</v>
      </c>
      <c r="B35" s="22" t="s">
        <v>78</v>
      </c>
      <c r="C35" s="23">
        <v>7118.0</v>
      </c>
      <c r="D35" s="23">
        <v>2972.0</v>
      </c>
    </row>
    <row r="36" ht="14.25" customHeight="1">
      <c r="A36" s="23">
        <v>20201.0</v>
      </c>
      <c r="B36" s="22" t="s">
        <v>80</v>
      </c>
      <c r="C36" s="23">
        <v>1674.0</v>
      </c>
      <c r="D36" s="23">
        <v>846.0</v>
      </c>
    </row>
    <row r="37" ht="14.25" customHeight="1">
      <c r="A37" s="23">
        <v>20202.0</v>
      </c>
      <c r="B37" s="22" t="s">
        <v>81</v>
      </c>
      <c r="C37" s="23">
        <v>812.0</v>
      </c>
      <c r="D37" s="23">
        <v>518.0</v>
      </c>
    </row>
    <row r="38" ht="14.25" customHeight="1">
      <c r="A38" s="23">
        <v>20203.0</v>
      </c>
      <c r="B38" s="22" t="s">
        <v>83</v>
      </c>
      <c r="C38" s="23">
        <v>547.0</v>
      </c>
      <c r="D38" s="23">
        <v>171.0</v>
      </c>
    </row>
    <row r="39" ht="14.25" customHeight="1">
      <c r="A39" s="23">
        <v>20204.0</v>
      </c>
      <c r="B39" s="22" t="s">
        <v>84</v>
      </c>
      <c r="C39" s="23">
        <v>485.0</v>
      </c>
      <c r="D39" s="23">
        <v>257.0</v>
      </c>
    </row>
    <row r="40" ht="14.25" customHeight="1">
      <c r="A40" s="23">
        <v>20205.0</v>
      </c>
      <c r="B40" s="22" t="s">
        <v>85</v>
      </c>
      <c r="C40" s="23">
        <v>83.0</v>
      </c>
      <c r="D40" s="23">
        <v>214.0</v>
      </c>
    </row>
    <row r="41" ht="14.25" customHeight="1">
      <c r="A41" s="23">
        <v>20206.0</v>
      </c>
      <c r="B41" s="22" t="s">
        <v>86</v>
      </c>
      <c r="C41" s="23">
        <v>193.0</v>
      </c>
      <c r="D41" s="23">
        <v>113.0</v>
      </c>
    </row>
    <row r="42" ht="14.25" customHeight="1">
      <c r="A42" s="23">
        <v>20301.0</v>
      </c>
      <c r="B42" s="22" t="s">
        <v>88</v>
      </c>
      <c r="C42" s="23">
        <v>1208.0</v>
      </c>
      <c r="D42" s="23">
        <v>684.0</v>
      </c>
    </row>
    <row r="43" ht="14.25" customHeight="1">
      <c r="A43" s="23">
        <v>20302.0</v>
      </c>
      <c r="B43" s="22" t="s">
        <v>90</v>
      </c>
      <c r="C43" s="23">
        <v>1362.0</v>
      </c>
      <c r="D43" s="23">
        <v>373.0</v>
      </c>
    </row>
    <row r="44" ht="14.25" customHeight="1">
      <c r="A44" s="23">
        <v>20303.0</v>
      </c>
      <c r="B44" s="22" t="s">
        <v>91</v>
      </c>
      <c r="C44" s="23">
        <v>1435.0</v>
      </c>
      <c r="D44" s="23">
        <v>719.0</v>
      </c>
    </row>
    <row r="45" ht="14.25" customHeight="1">
      <c r="A45" s="23">
        <v>20304.0</v>
      </c>
      <c r="B45" s="22" t="s">
        <v>92</v>
      </c>
      <c r="C45" s="23">
        <v>302.0</v>
      </c>
      <c r="D45" s="23">
        <v>109.0</v>
      </c>
    </row>
    <row r="46" ht="14.25" customHeight="1">
      <c r="A46" s="23">
        <v>20305.0</v>
      </c>
      <c r="B46" s="22" t="s">
        <v>93</v>
      </c>
      <c r="C46" s="23">
        <v>445.0</v>
      </c>
      <c r="D46" s="23">
        <v>476.0</v>
      </c>
    </row>
    <row r="47" ht="14.25" customHeight="1">
      <c r="A47" s="23">
        <v>20306.0</v>
      </c>
      <c r="B47" s="22" t="s">
        <v>94</v>
      </c>
      <c r="C47" s="23">
        <v>261.0</v>
      </c>
      <c r="D47" s="23">
        <v>152.0</v>
      </c>
    </row>
    <row r="48" ht="14.25" customHeight="1">
      <c r="A48" s="23">
        <v>20307.0</v>
      </c>
      <c r="B48" s="22" t="s">
        <v>95</v>
      </c>
      <c r="C48" s="23">
        <v>40.0</v>
      </c>
      <c r="D48" s="23">
        <v>95.0</v>
      </c>
    </row>
    <row r="49" ht="14.25" customHeight="1">
      <c r="A49" s="23">
        <v>20308.0</v>
      </c>
      <c r="B49" s="22" t="s">
        <v>96</v>
      </c>
      <c r="C49" s="23">
        <v>1802.0</v>
      </c>
      <c r="D49" s="23">
        <v>690.0</v>
      </c>
    </row>
    <row r="50" ht="14.25" customHeight="1">
      <c r="A50" s="23">
        <v>20401.0</v>
      </c>
      <c r="B50" s="22" t="s">
        <v>98</v>
      </c>
      <c r="C50" s="23">
        <v>1076.0</v>
      </c>
      <c r="D50" s="23">
        <v>800.0</v>
      </c>
    </row>
    <row r="51" ht="14.25" customHeight="1">
      <c r="A51" s="23">
        <v>20402.0</v>
      </c>
      <c r="B51" s="22" t="s">
        <v>99</v>
      </c>
      <c r="C51" s="23">
        <v>1008.0</v>
      </c>
      <c r="D51" s="23">
        <v>609.0</v>
      </c>
    </row>
    <row r="52" ht="14.25" customHeight="1">
      <c r="A52" s="23">
        <v>20403.0</v>
      </c>
      <c r="B52" s="22" t="s">
        <v>100</v>
      </c>
      <c r="C52" s="23">
        <v>1065.0</v>
      </c>
      <c r="D52" s="23">
        <v>610.0</v>
      </c>
    </row>
    <row r="53" ht="14.25" customHeight="1">
      <c r="A53" s="23">
        <v>20404.0</v>
      </c>
      <c r="B53" s="22" t="s">
        <v>102</v>
      </c>
      <c r="C53" s="23">
        <v>357.0</v>
      </c>
      <c r="D53" s="23">
        <v>274.0</v>
      </c>
    </row>
    <row r="54" ht="14.25" customHeight="1">
      <c r="A54" s="23">
        <v>20405.0</v>
      </c>
      <c r="B54" s="22" t="s">
        <v>103</v>
      </c>
      <c r="C54" s="23">
        <v>479.0</v>
      </c>
      <c r="D54" s="23">
        <v>465.0</v>
      </c>
    </row>
    <row r="55" ht="14.25" customHeight="1">
      <c r="A55" s="23">
        <v>20501.0</v>
      </c>
      <c r="B55" s="22" t="s">
        <v>105</v>
      </c>
      <c r="C55" s="23">
        <v>563.0</v>
      </c>
      <c r="D55" s="23">
        <v>325.0</v>
      </c>
    </row>
    <row r="56" ht="14.25" customHeight="1">
      <c r="A56" s="23">
        <v>20502.0</v>
      </c>
      <c r="B56" s="22" t="s">
        <v>106</v>
      </c>
      <c r="C56" s="23">
        <v>473.0</v>
      </c>
      <c r="D56" s="23">
        <v>253.0</v>
      </c>
    </row>
    <row r="57" ht="14.25" customHeight="1">
      <c r="A57" s="23">
        <v>20503.0</v>
      </c>
      <c r="B57" s="22" t="s">
        <v>107</v>
      </c>
      <c r="C57" s="23">
        <v>167.0</v>
      </c>
      <c r="D57" s="23">
        <v>202.0</v>
      </c>
    </row>
    <row r="58" ht="14.25" customHeight="1">
      <c r="A58" s="23">
        <v>20601.0</v>
      </c>
      <c r="B58" s="22" t="s">
        <v>109</v>
      </c>
      <c r="C58" s="23">
        <v>1697.0</v>
      </c>
      <c r="D58" s="23">
        <v>739.0</v>
      </c>
    </row>
    <row r="59" ht="14.25" customHeight="1">
      <c r="A59" s="23">
        <v>20602.0</v>
      </c>
      <c r="B59" s="22" t="s">
        <v>110</v>
      </c>
      <c r="C59" s="23">
        <v>1150.0</v>
      </c>
      <c r="D59" s="23">
        <v>723.0</v>
      </c>
    </row>
    <row r="60" ht="14.25" customHeight="1">
      <c r="A60" s="23">
        <v>20603.0</v>
      </c>
      <c r="B60" s="22" t="s">
        <v>111</v>
      </c>
      <c r="C60" s="23">
        <v>713.0</v>
      </c>
      <c r="D60" s="23">
        <v>427.0</v>
      </c>
    </row>
    <row r="61" ht="14.25" customHeight="1">
      <c r="A61" s="23">
        <v>20604.0</v>
      </c>
      <c r="B61" s="22" t="s">
        <v>112</v>
      </c>
      <c r="C61" s="23">
        <v>222.0</v>
      </c>
      <c r="D61" s="23">
        <v>107.0</v>
      </c>
    </row>
    <row r="62" ht="14.25" customHeight="1">
      <c r="A62" s="23">
        <v>20605.0</v>
      </c>
      <c r="B62" s="22" t="s">
        <v>113</v>
      </c>
      <c r="C62" s="23">
        <v>89.0</v>
      </c>
      <c r="D62" s="23">
        <v>90.0</v>
      </c>
    </row>
    <row r="63" ht="14.25" customHeight="1">
      <c r="A63" s="23">
        <v>20606.0</v>
      </c>
      <c r="B63" s="22" t="s">
        <v>114</v>
      </c>
      <c r="C63" s="23">
        <v>258.0</v>
      </c>
      <c r="D63" s="23">
        <v>117.0</v>
      </c>
    </row>
    <row r="64" ht="14.25" customHeight="1">
      <c r="A64" s="23">
        <v>20607.0</v>
      </c>
      <c r="B64" s="22" t="s">
        <v>115</v>
      </c>
      <c r="C64" s="23">
        <v>178.0</v>
      </c>
      <c r="D64" s="23">
        <v>170.0</v>
      </c>
    </row>
    <row r="65" ht="14.25" customHeight="1">
      <c r="A65" s="23">
        <v>20608.0</v>
      </c>
      <c r="B65" s="22" t="s">
        <v>116</v>
      </c>
      <c r="C65" s="23">
        <v>1363.0</v>
      </c>
      <c r="D65" s="23">
        <v>702.0</v>
      </c>
    </row>
    <row r="66" ht="14.25" customHeight="1">
      <c r="A66" s="23">
        <v>20701.0</v>
      </c>
      <c r="B66" s="22" t="s">
        <v>118</v>
      </c>
      <c r="C66" s="23">
        <v>1010.0</v>
      </c>
      <c r="D66" s="23">
        <v>551.0</v>
      </c>
    </row>
    <row r="67" ht="14.25" customHeight="1">
      <c r="A67" s="23">
        <v>20702.0</v>
      </c>
      <c r="B67" s="22" t="s">
        <v>119</v>
      </c>
      <c r="C67" s="23">
        <v>546.0</v>
      </c>
      <c r="D67" s="23">
        <v>125.0</v>
      </c>
    </row>
    <row r="68" ht="14.25" customHeight="1">
      <c r="A68" s="23">
        <v>20801.0</v>
      </c>
      <c r="B68" s="22" t="s">
        <v>121</v>
      </c>
      <c r="C68" s="23">
        <v>3146.0</v>
      </c>
      <c r="D68" s="23">
        <v>1883.0</v>
      </c>
    </row>
    <row r="69" ht="14.25" customHeight="1">
      <c r="A69" s="23">
        <v>20802.0</v>
      </c>
      <c r="B69" s="22" t="s">
        <v>122</v>
      </c>
      <c r="C69" s="23">
        <v>251.0</v>
      </c>
      <c r="D69" s="23">
        <v>128.0</v>
      </c>
    </row>
    <row r="70" ht="14.25" customHeight="1">
      <c r="A70" s="23">
        <v>20803.0</v>
      </c>
      <c r="B70" s="22" t="s">
        <v>124</v>
      </c>
      <c r="C70" s="23">
        <v>416.0</v>
      </c>
      <c r="D70" s="23">
        <v>381.0</v>
      </c>
    </row>
    <row r="71" ht="14.25" customHeight="1">
      <c r="A71" s="23">
        <v>20804.0</v>
      </c>
      <c r="B71" s="22" t="s">
        <v>125</v>
      </c>
      <c r="C71" s="23">
        <v>84.0</v>
      </c>
      <c r="D71" s="23">
        <v>36.0</v>
      </c>
    </row>
    <row r="72" ht="14.25" customHeight="1">
      <c r="A72" s="23">
        <v>20805.0</v>
      </c>
      <c r="B72" s="22" t="s">
        <v>126</v>
      </c>
      <c r="C72" s="23">
        <v>594.0</v>
      </c>
      <c r="D72" s="23">
        <v>238.0</v>
      </c>
    </row>
    <row r="73" ht="14.25" customHeight="1">
      <c r="A73" s="23">
        <v>20806.0</v>
      </c>
      <c r="B73" s="22" t="s">
        <v>128</v>
      </c>
      <c r="C73" s="23">
        <v>836.0</v>
      </c>
      <c r="D73" s="23">
        <v>419.0</v>
      </c>
    </row>
    <row r="74" ht="14.25" customHeight="1">
      <c r="A74" s="23">
        <v>20807.0</v>
      </c>
      <c r="B74" s="22" t="s">
        <v>130</v>
      </c>
      <c r="C74" s="23">
        <v>166.0</v>
      </c>
      <c r="D74" s="23">
        <v>144.0</v>
      </c>
    </row>
    <row r="75" ht="14.25" customHeight="1">
      <c r="A75" s="23">
        <v>20901.0</v>
      </c>
      <c r="B75" s="22" t="s">
        <v>132</v>
      </c>
      <c r="C75" s="23">
        <v>569.0</v>
      </c>
      <c r="D75" s="23">
        <v>223.0</v>
      </c>
    </row>
    <row r="76" ht="14.25" customHeight="1">
      <c r="A76" s="23">
        <v>20902.0</v>
      </c>
      <c r="B76" s="22" t="s">
        <v>133</v>
      </c>
      <c r="C76" s="23">
        <v>1159.0</v>
      </c>
      <c r="D76" s="23">
        <v>430.0</v>
      </c>
    </row>
    <row r="77" ht="14.25" customHeight="1">
      <c r="A77" s="23">
        <v>20903.0</v>
      </c>
      <c r="B77" s="22" t="s">
        <v>134</v>
      </c>
      <c r="C77" s="23">
        <v>351.0</v>
      </c>
      <c r="D77" s="23">
        <v>581.0</v>
      </c>
    </row>
    <row r="78" ht="14.25" customHeight="1">
      <c r="A78" s="23">
        <v>20904.0</v>
      </c>
      <c r="B78" s="22" t="s">
        <v>135</v>
      </c>
      <c r="C78" s="23">
        <v>134.0</v>
      </c>
      <c r="D78" s="23">
        <v>210.0</v>
      </c>
    </row>
    <row r="79" ht="14.25" customHeight="1">
      <c r="A79" s="23">
        <v>20905.0</v>
      </c>
      <c r="B79" s="22" t="s">
        <v>136</v>
      </c>
      <c r="C79" s="23">
        <v>358.0</v>
      </c>
      <c r="D79" s="23">
        <v>348.0</v>
      </c>
    </row>
    <row r="80" ht="14.25" customHeight="1">
      <c r="A80" s="23">
        <v>21001.0</v>
      </c>
      <c r="B80" s="22" t="s">
        <v>137</v>
      </c>
      <c r="C80" s="23">
        <v>1715.0</v>
      </c>
      <c r="D80" s="23">
        <v>1034.0</v>
      </c>
    </row>
    <row r="81" ht="14.25" customHeight="1">
      <c r="A81" s="23">
        <v>21002.0</v>
      </c>
      <c r="B81" s="22" t="s">
        <v>138</v>
      </c>
      <c r="C81" s="23">
        <v>409.0</v>
      </c>
      <c r="D81" s="23">
        <v>290.0</v>
      </c>
    </row>
    <row r="82" ht="14.25" customHeight="1">
      <c r="A82" s="23">
        <v>21003.0</v>
      </c>
      <c r="B82" s="22" t="s">
        <v>139</v>
      </c>
      <c r="C82" s="23">
        <v>247.0</v>
      </c>
      <c r="D82" s="23">
        <v>306.0</v>
      </c>
    </row>
    <row r="83" ht="14.25" customHeight="1">
      <c r="A83" s="23">
        <v>21004.0</v>
      </c>
      <c r="B83" s="22" t="s">
        <v>140</v>
      </c>
      <c r="C83" s="23">
        <v>720.0</v>
      </c>
      <c r="D83" s="23">
        <v>540.0</v>
      </c>
    </row>
    <row r="84" ht="14.25" customHeight="1">
      <c r="A84" s="23">
        <v>21005.0</v>
      </c>
      <c r="B84" s="22" t="s">
        <v>141</v>
      </c>
      <c r="C84" s="23">
        <v>573.0</v>
      </c>
      <c r="D84" s="23">
        <v>901.0</v>
      </c>
    </row>
    <row r="85" ht="14.25" customHeight="1">
      <c r="A85" s="23">
        <v>21006.0</v>
      </c>
      <c r="B85" s="22" t="s">
        <v>142</v>
      </c>
      <c r="C85" s="23">
        <v>191.0</v>
      </c>
      <c r="D85" s="23">
        <v>84.0</v>
      </c>
    </row>
    <row r="86" ht="14.25" customHeight="1">
      <c r="A86" s="23">
        <v>21101.0</v>
      </c>
      <c r="B86" s="22" t="s">
        <v>144</v>
      </c>
      <c r="C86" s="23">
        <v>538.0</v>
      </c>
      <c r="D86" s="23">
        <v>195.0</v>
      </c>
    </row>
    <row r="87" ht="14.25" customHeight="1">
      <c r="A87" s="23">
        <v>21102.0</v>
      </c>
      <c r="B87" s="22" t="s">
        <v>146</v>
      </c>
      <c r="C87" s="23">
        <v>1194.0</v>
      </c>
      <c r="D87" s="23">
        <v>552.0</v>
      </c>
    </row>
    <row r="88" ht="14.25" customHeight="1">
      <c r="A88" s="23">
        <v>21103.0</v>
      </c>
      <c r="B88" s="22" t="s">
        <v>148</v>
      </c>
      <c r="C88" s="23">
        <v>236.0</v>
      </c>
      <c r="D88" s="23">
        <v>95.0</v>
      </c>
    </row>
    <row r="89" ht="14.25" customHeight="1">
      <c r="A89" s="23">
        <v>21104.0</v>
      </c>
      <c r="B89" s="22" t="s">
        <v>149</v>
      </c>
      <c r="C89" s="23">
        <v>2449.0</v>
      </c>
      <c r="D89" s="23">
        <v>1599.0</v>
      </c>
    </row>
    <row r="90" ht="14.25" customHeight="1">
      <c r="A90" s="23">
        <v>21105.0</v>
      </c>
      <c r="B90" s="22" t="s">
        <v>150</v>
      </c>
      <c r="C90" s="23">
        <v>6396.0</v>
      </c>
      <c r="D90" s="23">
        <v>1767.0</v>
      </c>
    </row>
    <row r="91" ht="14.25" customHeight="1">
      <c r="A91" s="23">
        <v>21201.0</v>
      </c>
      <c r="B91" s="22" t="s">
        <v>152</v>
      </c>
      <c r="C91" s="23">
        <v>2422.0</v>
      </c>
      <c r="D91" s="23">
        <v>1891.0</v>
      </c>
    </row>
    <row r="92" ht="14.25" customHeight="1">
      <c r="A92" s="23">
        <v>21202.0</v>
      </c>
      <c r="B92" s="22" t="s">
        <v>153</v>
      </c>
      <c r="C92" s="23">
        <v>1403.0</v>
      </c>
      <c r="D92" s="23">
        <v>910.0</v>
      </c>
    </row>
    <row r="93" ht="14.25" customHeight="1">
      <c r="A93" s="23">
        <v>21203.0</v>
      </c>
      <c r="B93" s="22" t="s">
        <v>154</v>
      </c>
      <c r="C93" s="23">
        <v>981.0</v>
      </c>
      <c r="D93" s="23">
        <v>681.0</v>
      </c>
    </row>
    <row r="94" ht="14.25" customHeight="1">
      <c r="A94" s="23">
        <v>21204.0</v>
      </c>
      <c r="B94" s="22" t="s">
        <v>155</v>
      </c>
      <c r="C94" s="23">
        <v>210.0</v>
      </c>
      <c r="D94" s="23">
        <v>215.0</v>
      </c>
    </row>
    <row r="95" ht="14.25" customHeight="1">
      <c r="A95" s="23">
        <v>21301.0</v>
      </c>
      <c r="B95" s="22" t="s">
        <v>157</v>
      </c>
      <c r="C95" s="23">
        <v>1950.0</v>
      </c>
      <c r="D95" s="23">
        <v>1335.0</v>
      </c>
    </row>
    <row r="96" ht="14.25" customHeight="1">
      <c r="A96" s="23">
        <v>21302.0</v>
      </c>
      <c r="B96" s="22" t="s">
        <v>159</v>
      </c>
      <c r="C96" s="23">
        <v>812.0</v>
      </c>
      <c r="D96" s="23">
        <v>353.0</v>
      </c>
    </row>
    <row r="97" ht="14.25" customHeight="1">
      <c r="A97" s="23">
        <v>21303.0</v>
      </c>
      <c r="B97" s="22" t="s">
        <v>160</v>
      </c>
      <c r="C97" s="23">
        <v>845.0</v>
      </c>
      <c r="D97" s="23">
        <v>856.0</v>
      </c>
    </row>
    <row r="98" ht="14.25" customHeight="1">
      <c r="A98" s="23">
        <v>21304.0</v>
      </c>
      <c r="B98" s="22" t="s">
        <v>161</v>
      </c>
      <c r="C98" s="23">
        <v>666.0</v>
      </c>
      <c r="D98" s="23">
        <v>375.0</v>
      </c>
    </row>
    <row r="99" ht="14.25" customHeight="1">
      <c r="A99" s="23">
        <v>21305.0</v>
      </c>
      <c r="B99" s="22" t="s">
        <v>162</v>
      </c>
      <c r="C99" s="23">
        <v>901.0</v>
      </c>
      <c r="D99" s="23">
        <v>630.0</v>
      </c>
    </row>
    <row r="100" ht="14.25" customHeight="1">
      <c r="A100" s="23">
        <v>21306.0</v>
      </c>
      <c r="B100" s="22" t="s">
        <v>163</v>
      </c>
      <c r="C100" s="23">
        <v>865.0</v>
      </c>
      <c r="D100" s="23">
        <v>563.0</v>
      </c>
    </row>
    <row r="101" ht="14.25" customHeight="1">
      <c r="A101" s="23">
        <v>21307.0</v>
      </c>
      <c r="B101" s="22" t="s">
        <v>164</v>
      </c>
      <c r="C101" s="23">
        <v>174.0</v>
      </c>
      <c r="D101" s="23">
        <v>98.0</v>
      </c>
    </row>
    <row r="102" ht="14.25" customHeight="1">
      <c r="A102" s="23">
        <v>21401.0</v>
      </c>
      <c r="B102" s="22" t="s">
        <v>166</v>
      </c>
      <c r="C102" s="23">
        <v>1031.0</v>
      </c>
      <c r="D102" s="23">
        <v>583.0</v>
      </c>
    </row>
    <row r="103" ht="14.25" customHeight="1">
      <c r="A103" s="23">
        <v>21402.0</v>
      </c>
      <c r="B103" s="22" t="s">
        <v>167</v>
      </c>
      <c r="C103" s="23">
        <v>283.0</v>
      </c>
      <c r="D103" s="23">
        <v>153.0</v>
      </c>
    </row>
    <row r="104" ht="14.25" customHeight="1">
      <c r="A104" s="23">
        <v>21501.0</v>
      </c>
      <c r="B104" s="22" t="s">
        <v>169</v>
      </c>
      <c r="C104" s="23">
        <v>402.0</v>
      </c>
      <c r="D104" s="23">
        <v>282.0</v>
      </c>
    </row>
    <row r="105" ht="14.25" customHeight="1">
      <c r="A105" s="23">
        <v>21502.0</v>
      </c>
      <c r="B105" s="22" t="s">
        <v>170</v>
      </c>
      <c r="C105" s="23">
        <v>180.0</v>
      </c>
      <c r="D105" s="23">
        <v>116.0</v>
      </c>
    </row>
    <row r="106" ht="14.25" customHeight="1">
      <c r="A106" s="23">
        <v>21601.0</v>
      </c>
      <c r="B106" s="22" t="s">
        <v>172</v>
      </c>
      <c r="C106" s="23">
        <v>676.0</v>
      </c>
      <c r="D106" s="23">
        <v>315.0</v>
      </c>
    </row>
    <row r="107" ht="14.25" customHeight="1">
      <c r="A107" s="23">
        <v>21602.0</v>
      </c>
      <c r="B107" s="22" t="s">
        <v>174</v>
      </c>
      <c r="C107" s="23">
        <v>196.0</v>
      </c>
      <c r="D107" s="23">
        <v>177.0</v>
      </c>
    </row>
    <row r="108" ht="14.25" customHeight="1">
      <c r="A108" s="23">
        <v>21701.0</v>
      </c>
      <c r="B108" s="22" t="s">
        <v>176</v>
      </c>
      <c r="C108" s="23">
        <v>391.0</v>
      </c>
      <c r="D108" s="23">
        <v>490.0</v>
      </c>
    </row>
    <row r="109" ht="14.25" customHeight="1">
      <c r="A109" s="23">
        <v>21702.0</v>
      </c>
      <c r="B109" s="22" t="s">
        <v>177</v>
      </c>
      <c r="C109" s="23">
        <v>477.0</v>
      </c>
      <c r="D109" s="23">
        <v>228.0</v>
      </c>
    </row>
    <row r="110" ht="14.25" customHeight="1">
      <c r="A110" s="23">
        <v>21703.0</v>
      </c>
      <c r="B110" s="22" t="s">
        <v>178</v>
      </c>
      <c r="C110" s="23">
        <v>306.0</v>
      </c>
      <c r="D110" s="23">
        <v>142.0</v>
      </c>
    </row>
    <row r="111" ht="14.25" customHeight="1">
      <c r="A111" s="23">
        <v>21801.0</v>
      </c>
      <c r="B111" s="22" t="s">
        <v>180</v>
      </c>
      <c r="C111" s="23">
        <v>1162.0</v>
      </c>
      <c r="D111" s="23">
        <v>354.0</v>
      </c>
    </row>
    <row r="112" ht="14.25" customHeight="1">
      <c r="A112" s="23">
        <v>21802.0</v>
      </c>
      <c r="B112" s="22" t="s">
        <v>182</v>
      </c>
      <c r="C112" s="23">
        <v>546.0</v>
      </c>
      <c r="D112" s="23">
        <v>240.0</v>
      </c>
    </row>
    <row r="113" ht="14.25" customHeight="1">
      <c r="A113" s="23">
        <v>21803.0</v>
      </c>
      <c r="B113" s="22" t="s">
        <v>183</v>
      </c>
      <c r="C113" s="23">
        <v>298.0</v>
      </c>
      <c r="D113" s="23">
        <v>107.0</v>
      </c>
    </row>
    <row r="114" ht="14.25" customHeight="1">
      <c r="A114" s="23">
        <v>21901.0</v>
      </c>
      <c r="B114" s="22" t="s">
        <v>185</v>
      </c>
      <c r="C114" s="23">
        <v>254.0</v>
      </c>
      <c r="D114" s="23">
        <v>261.0</v>
      </c>
    </row>
    <row r="115" ht="14.25" customHeight="1">
      <c r="A115" s="23">
        <v>21902.0</v>
      </c>
      <c r="B115" s="22" t="s">
        <v>186</v>
      </c>
      <c r="C115" s="23">
        <v>133.0</v>
      </c>
      <c r="D115" s="23">
        <v>97.0</v>
      </c>
    </row>
    <row r="116" ht="14.25" customHeight="1">
      <c r="A116" s="23">
        <v>22001.0</v>
      </c>
      <c r="B116" s="22" t="s">
        <v>187</v>
      </c>
      <c r="C116" s="23">
        <v>2741.0</v>
      </c>
      <c r="D116" s="23">
        <v>1250.0</v>
      </c>
    </row>
    <row r="117" ht="14.25" customHeight="1">
      <c r="A117" s="23">
        <v>22002.0</v>
      </c>
      <c r="B117" s="22" t="s">
        <v>188</v>
      </c>
      <c r="C117" s="23">
        <v>1574.0</v>
      </c>
      <c r="D117" s="23">
        <v>691.0</v>
      </c>
    </row>
    <row r="118" ht="14.25" customHeight="1">
      <c r="A118" s="23">
        <v>30101.0</v>
      </c>
      <c r="B118" s="22" t="s">
        <v>23</v>
      </c>
      <c r="C118" s="23">
        <v>6236.0</v>
      </c>
      <c r="D118" s="23">
        <v>4032.0</v>
      </c>
    </row>
    <row r="119" ht="14.25" customHeight="1">
      <c r="A119" s="23">
        <v>30201.0</v>
      </c>
      <c r="B119" s="22" t="s">
        <v>191</v>
      </c>
      <c r="C119" s="23">
        <v>1387.0</v>
      </c>
      <c r="D119" s="23">
        <v>569.0</v>
      </c>
    </row>
    <row r="120" ht="14.25" customHeight="1">
      <c r="A120" s="23">
        <v>30202.0</v>
      </c>
      <c r="B120" s="22" t="s">
        <v>192</v>
      </c>
      <c r="C120" s="23">
        <v>392.0</v>
      </c>
      <c r="D120" s="23">
        <v>130.0</v>
      </c>
    </row>
    <row r="121" ht="14.25" customHeight="1">
      <c r="A121" s="23">
        <v>30203.0</v>
      </c>
      <c r="B121" s="22" t="s">
        <v>193</v>
      </c>
      <c r="C121" s="23">
        <v>191.0</v>
      </c>
      <c r="D121" s="23">
        <v>67.0</v>
      </c>
    </row>
    <row r="122" ht="14.25" customHeight="1">
      <c r="A122" s="23">
        <v>30301.0</v>
      </c>
      <c r="B122" s="22" t="s">
        <v>195</v>
      </c>
      <c r="C122" s="23">
        <v>2151.0</v>
      </c>
      <c r="D122" s="23">
        <v>1032.0</v>
      </c>
    </row>
    <row r="123" ht="14.25" customHeight="1">
      <c r="A123" s="23">
        <v>30302.0</v>
      </c>
      <c r="B123" s="22" t="s">
        <v>197</v>
      </c>
      <c r="C123" s="23">
        <v>1224.0</v>
      </c>
      <c r="D123" s="23">
        <v>550.0</v>
      </c>
    </row>
    <row r="124" ht="14.25" customHeight="1">
      <c r="A124" s="23">
        <v>30303.0</v>
      </c>
      <c r="B124" s="22" t="s">
        <v>198</v>
      </c>
      <c r="C124" s="23">
        <v>1504.0</v>
      </c>
      <c r="D124" s="23">
        <v>1664.0</v>
      </c>
    </row>
    <row r="125" ht="14.25" customHeight="1">
      <c r="A125" s="23">
        <v>30401.0</v>
      </c>
      <c r="B125" s="22" t="s">
        <v>200</v>
      </c>
      <c r="C125" s="23">
        <v>449.0</v>
      </c>
      <c r="D125" s="23">
        <v>496.0</v>
      </c>
    </row>
    <row r="126" ht="14.25" customHeight="1">
      <c r="A126" s="23">
        <v>30402.0</v>
      </c>
      <c r="B126" s="22" t="s">
        <v>201</v>
      </c>
      <c r="C126" s="23">
        <v>741.0</v>
      </c>
      <c r="D126" s="23">
        <v>448.0</v>
      </c>
    </row>
    <row r="127" ht="14.25" customHeight="1">
      <c r="A127" s="23">
        <v>30403.0</v>
      </c>
      <c r="B127" s="22" t="s">
        <v>203</v>
      </c>
      <c r="C127" s="23">
        <v>1026.0</v>
      </c>
      <c r="D127" s="23">
        <v>2606.0</v>
      </c>
    </row>
    <row r="128" ht="14.25" customHeight="1">
      <c r="A128" s="23">
        <v>30404.0</v>
      </c>
      <c r="B128" s="22" t="s">
        <v>204</v>
      </c>
      <c r="C128" s="23">
        <v>371.0</v>
      </c>
      <c r="D128" s="23">
        <v>331.0</v>
      </c>
    </row>
    <row r="129" ht="14.25" customHeight="1">
      <c r="A129" s="23">
        <v>30501.0</v>
      </c>
      <c r="B129" s="22" t="s">
        <v>205</v>
      </c>
      <c r="C129" s="23">
        <v>234.0</v>
      </c>
      <c r="D129" s="23">
        <v>147.0</v>
      </c>
    </row>
    <row r="130" ht="14.25" customHeight="1">
      <c r="A130" s="23">
        <v>30502.0</v>
      </c>
      <c r="B130" s="22" t="s">
        <v>206</v>
      </c>
      <c r="C130" s="23">
        <v>491.0</v>
      </c>
      <c r="D130" s="23">
        <v>254.0</v>
      </c>
    </row>
    <row r="131" ht="14.25" customHeight="1">
      <c r="A131" s="23">
        <v>30601.0</v>
      </c>
      <c r="B131" s="22" t="s">
        <v>207</v>
      </c>
      <c r="C131" s="23">
        <v>935.0</v>
      </c>
      <c r="D131" s="23">
        <v>523.0</v>
      </c>
    </row>
    <row r="132" ht="14.25" customHeight="1">
      <c r="A132" s="23">
        <v>30602.0</v>
      </c>
      <c r="B132" s="22" t="s">
        <v>209</v>
      </c>
      <c r="C132" s="23">
        <v>360.0</v>
      </c>
      <c r="D132" s="23">
        <v>326.0</v>
      </c>
    </row>
    <row r="133" ht="14.25" customHeight="1">
      <c r="A133" s="23">
        <v>30701.0</v>
      </c>
      <c r="B133" s="22" t="s">
        <v>210</v>
      </c>
      <c r="C133" s="23">
        <v>980.0</v>
      </c>
      <c r="D133" s="23">
        <v>627.0</v>
      </c>
    </row>
    <row r="134" ht="14.25" customHeight="1">
      <c r="A134" s="23">
        <v>30702.0</v>
      </c>
      <c r="B134" s="22" t="s">
        <v>211</v>
      </c>
      <c r="C134" s="23">
        <v>345.0</v>
      </c>
      <c r="D134" s="23">
        <v>139.0</v>
      </c>
    </row>
    <row r="135" ht="14.25" customHeight="1">
      <c r="A135" s="23">
        <v>30703.0</v>
      </c>
      <c r="B135" s="22" t="s">
        <v>213</v>
      </c>
      <c r="C135" s="23">
        <v>257.0</v>
      </c>
      <c r="D135" s="23">
        <v>68.0</v>
      </c>
    </row>
    <row r="136" ht="14.25" customHeight="1">
      <c r="A136" s="23">
        <v>30801.0</v>
      </c>
      <c r="B136" s="22" t="s">
        <v>215</v>
      </c>
      <c r="C136" s="23">
        <v>22.0</v>
      </c>
      <c r="D136" s="23">
        <v>22.0</v>
      </c>
    </row>
    <row r="137" ht="14.25" customHeight="1">
      <c r="A137" s="23">
        <v>30802.0</v>
      </c>
      <c r="B137" s="22" t="s">
        <v>216</v>
      </c>
      <c r="C137" s="23">
        <v>88.0</v>
      </c>
      <c r="D137" s="23">
        <v>100.0</v>
      </c>
    </row>
    <row r="138" ht="14.25" customHeight="1">
      <c r="A138" s="23">
        <v>30803.0</v>
      </c>
      <c r="B138" s="22" t="s">
        <v>217</v>
      </c>
      <c r="C138" s="23">
        <v>40.0</v>
      </c>
      <c r="D138" s="23">
        <v>411.0</v>
      </c>
    </row>
    <row r="139" ht="14.25" customHeight="1">
      <c r="A139" s="23">
        <v>30901.0</v>
      </c>
      <c r="B139" s="22" t="s">
        <v>218</v>
      </c>
      <c r="C139" s="23">
        <v>786.0</v>
      </c>
      <c r="D139" s="23">
        <v>575.0</v>
      </c>
    </row>
    <row r="140" ht="14.25" customHeight="1">
      <c r="A140" s="23">
        <v>30902.0</v>
      </c>
      <c r="B140" s="22" t="s">
        <v>219</v>
      </c>
      <c r="C140" s="23">
        <v>1058.0</v>
      </c>
      <c r="D140" s="23">
        <v>492.0</v>
      </c>
    </row>
    <row r="141" ht="14.25" customHeight="1">
      <c r="A141" s="23">
        <v>30903.0</v>
      </c>
      <c r="B141" s="22" t="s">
        <v>220</v>
      </c>
      <c r="C141" s="23">
        <v>551.0</v>
      </c>
      <c r="D141" s="23">
        <v>189.0</v>
      </c>
    </row>
    <row r="142" ht="14.25" customHeight="1">
      <c r="A142" s="23">
        <v>30904.0</v>
      </c>
      <c r="B142" s="22" t="s">
        <v>221</v>
      </c>
      <c r="C142" s="23">
        <v>611.0</v>
      </c>
      <c r="D142" s="23">
        <v>151.0</v>
      </c>
    </row>
    <row r="143" ht="14.25" customHeight="1">
      <c r="A143" s="23">
        <v>30905.0</v>
      </c>
      <c r="B143" s="22" t="s">
        <v>222</v>
      </c>
      <c r="C143" s="23">
        <v>28.0</v>
      </c>
      <c r="D143" s="23">
        <v>43.0</v>
      </c>
    </row>
    <row r="144" ht="14.25" customHeight="1">
      <c r="A144" s="23">
        <v>31001.0</v>
      </c>
      <c r="B144" s="22" t="s">
        <v>224</v>
      </c>
      <c r="C144" s="23">
        <v>2451.0</v>
      </c>
      <c r="D144" s="23">
        <v>2068.0</v>
      </c>
    </row>
    <row r="145" ht="14.25" customHeight="1">
      <c r="A145" s="23">
        <v>31002.0</v>
      </c>
      <c r="B145" s="22" t="s">
        <v>225</v>
      </c>
      <c r="C145" s="23">
        <v>1255.0</v>
      </c>
      <c r="D145" s="23">
        <v>926.0</v>
      </c>
    </row>
    <row r="146" ht="14.25" customHeight="1">
      <c r="A146" s="23">
        <v>31003.0</v>
      </c>
      <c r="B146" s="22" t="s">
        <v>226</v>
      </c>
      <c r="C146" s="23">
        <v>7639.0</v>
      </c>
      <c r="D146" s="23">
        <v>6640.0</v>
      </c>
    </row>
    <row r="147" ht="14.25" customHeight="1">
      <c r="A147" s="23">
        <v>31101.0</v>
      </c>
      <c r="B147" s="22" t="s">
        <v>227</v>
      </c>
      <c r="C147" s="23">
        <v>3053.0</v>
      </c>
      <c r="D147" s="23">
        <v>1608.0</v>
      </c>
    </row>
    <row r="148" ht="14.25" customHeight="1">
      <c r="A148" s="23">
        <v>31201.0</v>
      </c>
      <c r="B148" s="22" t="s">
        <v>229</v>
      </c>
      <c r="C148" s="23">
        <v>1701.0</v>
      </c>
      <c r="D148" s="23">
        <v>608.0</v>
      </c>
    </row>
    <row r="149" ht="14.25" customHeight="1">
      <c r="A149" s="23">
        <v>31202.0</v>
      </c>
      <c r="B149" s="22" t="s">
        <v>230</v>
      </c>
      <c r="C149" s="23">
        <v>1169.0</v>
      </c>
      <c r="D149" s="23">
        <v>588.0</v>
      </c>
    </row>
    <row r="150" ht="14.25" customHeight="1">
      <c r="A150" s="23">
        <v>31203.0</v>
      </c>
      <c r="B150" s="22" t="s">
        <v>231</v>
      </c>
      <c r="C150" s="23">
        <v>539.0</v>
      </c>
      <c r="D150" s="23">
        <v>403.0</v>
      </c>
    </row>
    <row r="151" ht="14.25" customHeight="1">
      <c r="A151" s="23">
        <v>31204.0</v>
      </c>
      <c r="B151" s="22" t="s">
        <v>232</v>
      </c>
      <c r="C151" s="23">
        <v>1799.0</v>
      </c>
      <c r="D151" s="23">
        <v>1093.0</v>
      </c>
    </row>
    <row r="152" ht="14.25" customHeight="1">
      <c r="A152" s="23">
        <v>31205.0</v>
      </c>
      <c r="B152" s="22" t="s">
        <v>233</v>
      </c>
      <c r="C152" s="23">
        <v>4354.0</v>
      </c>
      <c r="D152" s="23">
        <v>3391.0</v>
      </c>
    </row>
    <row r="153" ht="14.25" customHeight="1">
      <c r="A153" s="23">
        <v>31206.0</v>
      </c>
      <c r="B153" s="22" t="s">
        <v>234</v>
      </c>
      <c r="C153" s="23">
        <v>3921.0</v>
      </c>
      <c r="D153" s="23">
        <v>2776.0</v>
      </c>
    </row>
    <row r="154" ht="14.25" customHeight="1">
      <c r="A154" s="23">
        <v>31301.0</v>
      </c>
      <c r="B154" s="22" t="s">
        <v>235</v>
      </c>
      <c r="C154" s="23">
        <v>1333.0</v>
      </c>
      <c r="D154" s="23">
        <v>506.0</v>
      </c>
    </row>
    <row r="155" ht="14.25" customHeight="1">
      <c r="A155" s="23">
        <v>31302.0</v>
      </c>
      <c r="B155" s="22" t="s">
        <v>236</v>
      </c>
      <c r="C155" s="23">
        <v>629.0</v>
      </c>
      <c r="D155" s="23">
        <v>451.0</v>
      </c>
    </row>
    <row r="156" ht="14.25" customHeight="1">
      <c r="A156" s="23">
        <v>31303.0</v>
      </c>
      <c r="B156" s="22" t="s">
        <v>237</v>
      </c>
      <c r="C156" s="23">
        <v>383.0</v>
      </c>
      <c r="D156" s="23">
        <v>216.0</v>
      </c>
    </row>
    <row r="157" ht="14.25" customHeight="1">
      <c r="A157" s="23">
        <v>31304.0</v>
      </c>
      <c r="B157" s="36" t="s">
        <v>238</v>
      </c>
      <c r="C157" s="23">
        <v>1249.0</v>
      </c>
      <c r="D157" s="23">
        <v>968.0</v>
      </c>
    </row>
    <row r="158" ht="14.25" customHeight="1">
      <c r="A158" s="23">
        <v>31401.0</v>
      </c>
      <c r="B158" s="22" t="s">
        <v>240</v>
      </c>
      <c r="C158" s="23">
        <v>118.0</v>
      </c>
      <c r="D158" s="23">
        <v>154.0</v>
      </c>
    </row>
    <row r="159" ht="14.25" customHeight="1">
      <c r="A159" s="23">
        <v>31402.0</v>
      </c>
      <c r="B159" s="22" t="s">
        <v>242</v>
      </c>
      <c r="C159" s="23">
        <v>121.0</v>
      </c>
      <c r="D159" s="23">
        <v>108.0</v>
      </c>
    </row>
    <row r="160" ht="14.25" customHeight="1">
      <c r="A160" s="23">
        <v>31403.0</v>
      </c>
      <c r="B160" s="22" t="s">
        <v>243</v>
      </c>
      <c r="C160" s="23">
        <v>150.0</v>
      </c>
      <c r="D160" s="23">
        <v>52.0</v>
      </c>
    </row>
    <row r="161" ht="14.25" customHeight="1">
      <c r="A161" s="23">
        <v>31404.0</v>
      </c>
      <c r="B161" s="22" t="s">
        <v>245</v>
      </c>
      <c r="C161" s="23">
        <v>27.0</v>
      </c>
      <c r="D161" s="23">
        <v>7.0</v>
      </c>
    </row>
    <row r="162" ht="14.25" customHeight="1">
      <c r="A162" s="23">
        <v>31405.0</v>
      </c>
      <c r="B162" s="22" t="s">
        <v>246</v>
      </c>
      <c r="C162" s="23">
        <v>138.0</v>
      </c>
      <c r="D162" s="23">
        <v>77.0</v>
      </c>
    </row>
    <row r="163" ht="14.25" customHeight="1">
      <c r="A163" s="23">
        <v>31501.0</v>
      </c>
      <c r="B163" s="22" t="s">
        <v>248</v>
      </c>
      <c r="C163" s="23">
        <v>307.0</v>
      </c>
      <c r="D163" s="23">
        <v>298.0</v>
      </c>
    </row>
    <row r="164" ht="14.25" customHeight="1">
      <c r="A164" s="23">
        <v>31601.0</v>
      </c>
      <c r="B164" s="22" t="s">
        <v>249</v>
      </c>
      <c r="C164" s="23">
        <v>863.0</v>
      </c>
      <c r="D164" s="23">
        <v>523.0</v>
      </c>
    </row>
    <row r="165" ht="14.25" customHeight="1">
      <c r="A165" s="23">
        <v>31602.0</v>
      </c>
      <c r="B165" s="22" t="s">
        <v>250</v>
      </c>
      <c r="C165" s="23">
        <v>1403.0</v>
      </c>
      <c r="D165" s="23">
        <v>824.0</v>
      </c>
    </row>
    <row r="166" ht="14.25" customHeight="1">
      <c r="A166" s="23">
        <v>40101.0</v>
      </c>
      <c r="B166" s="22" t="s">
        <v>26</v>
      </c>
      <c r="C166" s="23">
        <v>2150.0</v>
      </c>
      <c r="D166" s="23">
        <v>984.0</v>
      </c>
    </row>
    <row r="167" ht="14.25" customHeight="1">
      <c r="A167" s="23">
        <v>40102.0</v>
      </c>
      <c r="B167" s="22" t="s">
        <v>251</v>
      </c>
      <c r="C167" s="23">
        <v>1401.0</v>
      </c>
      <c r="D167" s="23">
        <v>583.0</v>
      </c>
    </row>
    <row r="168" ht="14.25" customHeight="1">
      <c r="A168" s="23">
        <v>40103.0</v>
      </c>
      <c r="B168" s="22" t="s">
        <v>252</v>
      </c>
      <c r="C168" s="23">
        <v>2534.0</v>
      </c>
      <c r="D168" s="23">
        <v>1559.0</v>
      </c>
    </row>
    <row r="169" ht="14.25" customHeight="1">
      <c r="A169" s="23">
        <v>40104.0</v>
      </c>
      <c r="B169" s="22" t="s">
        <v>253</v>
      </c>
      <c r="C169" s="23">
        <v>412.0</v>
      </c>
      <c r="D169" s="23">
        <v>345.0</v>
      </c>
    </row>
    <row r="170" ht="14.25" customHeight="1">
      <c r="A170" s="23">
        <v>40201.0</v>
      </c>
      <c r="B170" s="22" t="s">
        <v>256</v>
      </c>
      <c r="C170" s="23">
        <v>1815.0</v>
      </c>
      <c r="D170" s="23">
        <v>1152.0</v>
      </c>
    </row>
    <row r="171" ht="14.25" customHeight="1">
      <c r="A171" s="23">
        <v>40202.0</v>
      </c>
      <c r="B171" s="22" t="s">
        <v>257</v>
      </c>
      <c r="C171" s="23">
        <v>373.0</v>
      </c>
      <c r="D171" s="23">
        <v>492.0</v>
      </c>
    </row>
    <row r="172" ht="14.25" customHeight="1">
      <c r="A172" s="23">
        <v>40301.0</v>
      </c>
      <c r="B172" s="22" t="s">
        <v>259</v>
      </c>
      <c r="C172" s="23">
        <v>1348.0</v>
      </c>
      <c r="D172" s="23">
        <v>891.0</v>
      </c>
    </row>
    <row r="173" ht="14.25" customHeight="1">
      <c r="A173" s="23">
        <v>40302.0</v>
      </c>
      <c r="B173" s="22" t="s">
        <v>260</v>
      </c>
      <c r="C173" s="23">
        <v>174.0</v>
      </c>
      <c r="D173" s="23">
        <v>101.0</v>
      </c>
    </row>
    <row r="174" ht="14.25" customHeight="1">
      <c r="A174" s="23">
        <v>40401.0</v>
      </c>
      <c r="B174" s="22" t="s">
        <v>262</v>
      </c>
      <c r="C174" s="23">
        <v>246.0</v>
      </c>
      <c r="D174" s="23">
        <v>121.0</v>
      </c>
    </row>
    <row r="175" ht="14.25" customHeight="1">
      <c r="A175" s="23">
        <v>40402.0</v>
      </c>
      <c r="B175" s="22" t="s">
        <v>263</v>
      </c>
      <c r="C175" s="23">
        <v>393.0</v>
      </c>
      <c r="D175" s="23">
        <v>390.0</v>
      </c>
    </row>
    <row r="176" ht="14.25" customHeight="1">
      <c r="A176" s="23">
        <v>40501.0</v>
      </c>
      <c r="B176" s="22" t="s">
        <v>265</v>
      </c>
      <c r="C176" s="23">
        <v>3.0</v>
      </c>
      <c r="D176" s="23">
        <v>9.0</v>
      </c>
    </row>
    <row r="177" ht="14.25" customHeight="1">
      <c r="A177" s="23">
        <v>40502.0</v>
      </c>
      <c r="B177" s="22" t="s">
        <v>266</v>
      </c>
      <c r="C177" s="23">
        <v>449.0</v>
      </c>
      <c r="D177" s="23">
        <v>140.0</v>
      </c>
    </row>
    <row r="178" ht="14.25" customHeight="1">
      <c r="A178" s="23">
        <v>40503.0</v>
      </c>
      <c r="B178" s="22" t="s">
        <v>267</v>
      </c>
      <c r="C178" s="23">
        <v>194.0</v>
      </c>
      <c r="D178" s="23">
        <v>20.0</v>
      </c>
    </row>
    <row r="179" ht="14.25" customHeight="1">
      <c r="A179" s="23">
        <v>40504.0</v>
      </c>
      <c r="B179" s="22" t="s">
        <v>268</v>
      </c>
      <c r="C179" s="23">
        <v>40.0</v>
      </c>
      <c r="D179" s="23">
        <v>3.0</v>
      </c>
    </row>
    <row r="180" ht="14.25" customHeight="1">
      <c r="A180" s="23">
        <v>40505.0</v>
      </c>
      <c r="B180" s="22" t="s">
        <v>269</v>
      </c>
      <c r="C180" s="23">
        <v>81.0</v>
      </c>
      <c r="D180" s="23">
        <v>47.0</v>
      </c>
    </row>
    <row r="181" ht="14.25" customHeight="1">
      <c r="A181" s="23">
        <v>40601.0</v>
      </c>
      <c r="B181" s="22" t="s">
        <v>270</v>
      </c>
      <c r="C181" s="23">
        <v>457.0</v>
      </c>
      <c r="D181" s="23">
        <v>315.0</v>
      </c>
    </row>
    <row r="182" ht="14.25" customHeight="1">
      <c r="A182" s="23">
        <v>40602.0</v>
      </c>
      <c r="B182" s="22" t="s">
        <v>272</v>
      </c>
      <c r="C182" s="23">
        <v>303.0</v>
      </c>
      <c r="D182" s="23">
        <v>123.0</v>
      </c>
    </row>
    <row r="183" ht="14.25" customHeight="1">
      <c r="A183" s="23">
        <v>40603.0</v>
      </c>
      <c r="B183" s="22" t="s">
        <v>273</v>
      </c>
      <c r="C183" s="23">
        <v>117.0</v>
      </c>
      <c r="D183" s="23">
        <v>55.0</v>
      </c>
    </row>
    <row r="184" ht="14.25" customHeight="1">
      <c r="A184" s="23">
        <v>40701.0</v>
      </c>
      <c r="B184" s="22" t="s">
        <v>275</v>
      </c>
      <c r="C184" s="23">
        <v>266.0</v>
      </c>
      <c r="D184" s="23">
        <v>76.0</v>
      </c>
    </row>
    <row r="185" ht="14.25" customHeight="1">
      <c r="A185" s="23">
        <v>40702.0</v>
      </c>
      <c r="B185" s="22" t="s">
        <v>277</v>
      </c>
      <c r="C185" s="23">
        <v>102.0</v>
      </c>
      <c r="D185" s="23">
        <v>55.0</v>
      </c>
    </row>
    <row r="186" ht="14.25" customHeight="1">
      <c r="A186" s="23">
        <v>40801.0</v>
      </c>
      <c r="B186" s="22" t="s">
        <v>279</v>
      </c>
      <c r="C186" s="23">
        <v>686.0</v>
      </c>
      <c r="D186" s="23">
        <v>397.0</v>
      </c>
    </row>
    <row r="187" ht="14.25" customHeight="1">
      <c r="A187" s="23">
        <v>40802.0</v>
      </c>
      <c r="B187" s="22" t="s">
        <v>280</v>
      </c>
      <c r="C187" s="23">
        <v>271.0</v>
      </c>
      <c r="D187" s="23">
        <v>152.0</v>
      </c>
    </row>
    <row r="188" ht="14.25" customHeight="1">
      <c r="A188" s="23">
        <v>40901.0</v>
      </c>
      <c r="B188" s="22" t="s">
        <v>281</v>
      </c>
      <c r="C188" s="23">
        <v>364.0</v>
      </c>
      <c r="D188" s="23">
        <v>194.0</v>
      </c>
    </row>
    <row r="189" ht="14.25" customHeight="1">
      <c r="A189" s="23">
        <v>40902.0</v>
      </c>
      <c r="B189" s="22" t="s">
        <v>282</v>
      </c>
      <c r="C189" s="23">
        <v>54.0</v>
      </c>
      <c r="D189" s="23">
        <v>13.0</v>
      </c>
    </row>
    <row r="190" ht="14.25" customHeight="1">
      <c r="A190" s="23">
        <v>40903.0</v>
      </c>
      <c r="B190" s="22" t="s">
        <v>283</v>
      </c>
      <c r="C190" s="23">
        <v>58.0</v>
      </c>
      <c r="D190" s="23">
        <v>326.0</v>
      </c>
    </row>
    <row r="191" ht="14.25" customHeight="1">
      <c r="A191" s="23">
        <v>41001.0</v>
      </c>
      <c r="B191" s="22" t="s">
        <v>285</v>
      </c>
      <c r="C191" s="23">
        <v>2368.0</v>
      </c>
      <c r="D191" s="23">
        <v>1108.0</v>
      </c>
    </row>
    <row r="192" ht="14.25" customHeight="1">
      <c r="A192" s="23">
        <v>41101.0</v>
      </c>
      <c r="B192" s="22" t="s">
        <v>287</v>
      </c>
      <c r="C192" s="23">
        <v>218.0</v>
      </c>
      <c r="D192" s="23">
        <v>97.0</v>
      </c>
    </row>
    <row r="193" ht="14.25" customHeight="1">
      <c r="A193" s="23">
        <v>41201.0</v>
      </c>
      <c r="B193" s="22" t="s">
        <v>289</v>
      </c>
      <c r="C193" s="23">
        <v>768.0</v>
      </c>
      <c r="D193" s="23">
        <v>449.0</v>
      </c>
    </row>
    <row r="194" ht="14.25" customHeight="1">
      <c r="A194" s="23">
        <v>41202.0</v>
      </c>
      <c r="B194" s="22" t="s">
        <v>291</v>
      </c>
      <c r="C194" s="23">
        <v>169.0</v>
      </c>
      <c r="D194" s="23">
        <v>211.0</v>
      </c>
    </row>
    <row r="195" ht="14.25" customHeight="1">
      <c r="A195" s="23">
        <v>41301.0</v>
      </c>
      <c r="B195" s="22" t="s">
        <v>229</v>
      </c>
      <c r="C195" s="23">
        <v>755.0</v>
      </c>
      <c r="D195" s="23">
        <v>732.0</v>
      </c>
    </row>
    <row r="196" ht="14.25" customHeight="1">
      <c r="A196" s="23">
        <v>41401.0</v>
      </c>
      <c r="B196" s="22" t="s">
        <v>294</v>
      </c>
      <c r="C196" s="23">
        <v>1133.0</v>
      </c>
      <c r="D196" s="23">
        <v>574.0</v>
      </c>
    </row>
    <row r="197" ht="14.25" customHeight="1">
      <c r="A197" s="23">
        <v>41501.0</v>
      </c>
      <c r="B197" s="22" t="s">
        <v>296</v>
      </c>
      <c r="C197" s="23">
        <v>60.0</v>
      </c>
      <c r="D197" s="23">
        <v>41.0</v>
      </c>
    </row>
    <row r="198" ht="14.25" customHeight="1">
      <c r="A198" s="23">
        <v>41502.0</v>
      </c>
      <c r="B198" s="22" t="s">
        <v>297</v>
      </c>
      <c r="C198" s="23">
        <v>86.0</v>
      </c>
      <c r="D198" s="23">
        <v>26.0</v>
      </c>
    </row>
    <row r="199" ht="14.25" customHeight="1">
      <c r="A199" s="23">
        <v>41503.0</v>
      </c>
      <c r="B199" s="22" t="s">
        <v>258</v>
      </c>
      <c r="C199" s="23">
        <v>103.0</v>
      </c>
      <c r="D199" s="23">
        <v>11.0</v>
      </c>
    </row>
    <row r="200" ht="14.25" customHeight="1">
      <c r="A200" s="23">
        <v>41601.0</v>
      </c>
      <c r="B200" s="22" t="s">
        <v>299</v>
      </c>
      <c r="C200" s="23">
        <v>1097.0</v>
      </c>
      <c r="D200" s="23">
        <v>632.0</v>
      </c>
    </row>
    <row r="201" ht="14.25" customHeight="1">
      <c r="A201" s="23">
        <v>50101.0</v>
      </c>
      <c r="B201" s="22" t="s">
        <v>29</v>
      </c>
      <c r="C201" s="23">
        <v>1117.0</v>
      </c>
      <c r="D201" s="23">
        <v>1118.0</v>
      </c>
    </row>
    <row r="202" ht="14.25" customHeight="1">
      <c r="A202" s="23">
        <v>50102.0</v>
      </c>
      <c r="B202" s="22" t="s">
        <v>302</v>
      </c>
      <c r="C202" s="23">
        <v>2087.0</v>
      </c>
      <c r="D202" s="23">
        <v>1094.0</v>
      </c>
    </row>
    <row r="203" ht="14.25" customHeight="1">
      <c r="A203" s="23">
        <v>50103.0</v>
      </c>
      <c r="B203" s="22" t="s">
        <v>303</v>
      </c>
      <c r="C203" s="23">
        <v>279.0</v>
      </c>
      <c r="D203" s="23">
        <v>173.0</v>
      </c>
    </row>
    <row r="204" ht="14.25" customHeight="1">
      <c r="A204" s="23">
        <v>50104.0</v>
      </c>
      <c r="B204" s="22" t="s">
        <v>305</v>
      </c>
      <c r="C204" s="23">
        <v>408.0</v>
      </c>
      <c r="D204" s="23">
        <v>329.0</v>
      </c>
    </row>
    <row r="205" ht="14.25" customHeight="1">
      <c r="A205" s="23">
        <v>50201.0</v>
      </c>
      <c r="B205" s="22" t="s">
        <v>308</v>
      </c>
      <c r="C205" s="23">
        <v>537.0</v>
      </c>
      <c r="D205" s="23">
        <v>588.0</v>
      </c>
    </row>
    <row r="206" ht="14.25" customHeight="1">
      <c r="A206" s="23">
        <v>50202.0</v>
      </c>
      <c r="B206" s="22" t="s">
        <v>309</v>
      </c>
      <c r="C206" s="23">
        <v>273.0</v>
      </c>
      <c r="D206" s="23">
        <v>166.0</v>
      </c>
    </row>
    <row r="207" ht="14.25" customHeight="1">
      <c r="A207" s="23">
        <v>50203.0</v>
      </c>
      <c r="B207" s="22" t="s">
        <v>310</v>
      </c>
      <c r="C207" s="23">
        <v>509.0</v>
      </c>
      <c r="D207" s="23">
        <v>429.0</v>
      </c>
    </row>
    <row r="208" ht="14.25" customHeight="1">
      <c r="A208" s="23">
        <v>50204.0</v>
      </c>
      <c r="B208" s="22" t="s">
        <v>311</v>
      </c>
      <c r="C208" s="23">
        <v>372.0</v>
      </c>
      <c r="D208" s="23">
        <v>213.0</v>
      </c>
    </row>
    <row r="209" ht="14.25" customHeight="1">
      <c r="A209" s="23">
        <v>50301.0</v>
      </c>
      <c r="B209" s="22" t="s">
        <v>313</v>
      </c>
      <c r="C209" s="23">
        <v>1958.0</v>
      </c>
      <c r="D209" s="23">
        <v>1085.0</v>
      </c>
    </row>
    <row r="210" ht="14.25" customHeight="1">
      <c r="A210" s="23">
        <v>50302.0</v>
      </c>
      <c r="B210" s="22" t="s">
        <v>315</v>
      </c>
      <c r="C210" s="23">
        <v>622.0</v>
      </c>
      <c r="D210" s="23">
        <v>362.0</v>
      </c>
    </row>
    <row r="211" ht="14.25" customHeight="1">
      <c r="A211" s="23">
        <v>50303.0</v>
      </c>
      <c r="B211" s="22" t="s">
        <v>316</v>
      </c>
      <c r="C211" s="23">
        <v>1863.0</v>
      </c>
      <c r="D211" s="23">
        <v>1197.0</v>
      </c>
    </row>
    <row r="212" ht="14.25" customHeight="1">
      <c r="A212" s="23">
        <v>50401.0</v>
      </c>
      <c r="B212" s="22" t="s">
        <v>317</v>
      </c>
      <c r="C212" s="23">
        <v>919.0</v>
      </c>
      <c r="D212" s="23">
        <v>930.0</v>
      </c>
    </row>
    <row r="213" ht="14.25" customHeight="1">
      <c r="A213" s="23">
        <v>50402.0</v>
      </c>
      <c r="B213" s="22" t="s">
        <v>318</v>
      </c>
      <c r="C213" s="23">
        <v>1664.0</v>
      </c>
      <c r="D213" s="23">
        <v>1037.0</v>
      </c>
    </row>
    <row r="214" ht="14.25" customHeight="1">
      <c r="A214" s="23">
        <v>50403.0</v>
      </c>
      <c r="B214" s="22" t="s">
        <v>319</v>
      </c>
      <c r="C214" s="23">
        <v>2044.0</v>
      </c>
      <c r="D214" s="23">
        <v>1464.0</v>
      </c>
    </row>
    <row r="215" ht="14.25" customHeight="1">
      <c r="A215" s="23">
        <v>50404.0</v>
      </c>
      <c r="B215" s="22" t="s">
        <v>320</v>
      </c>
      <c r="C215" s="23">
        <v>1480.0</v>
      </c>
      <c r="D215" s="23">
        <v>1093.0</v>
      </c>
    </row>
    <row r="216" ht="14.25" customHeight="1">
      <c r="A216" s="23">
        <v>50405.0</v>
      </c>
      <c r="B216" s="36" t="s">
        <v>321</v>
      </c>
      <c r="C216" s="23">
        <v>1242.0</v>
      </c>
      <c r="D216" s="23">
        <v>1058.0</v>
      </c>
    </row>
    <row r="217" ht="14.25" customHeight="1">
      <c r="A217" s="23">
        <v>50501.0</v>
      </c>
      <c r="B217" s="22" t="s">
        <v>323</v>
      </c>
      <c r="C217" s="23">
        <v>2967.0</v>
      </c>
      <c r="D217" s="23">
        <v>2897.0</v>
      </c>
    </row>
    <row r="218" ht="14.25" customHeight="1">
      <c r="A218" s="23">
        <v>50502.0</v>
      </c>
      <c r="B218" s="22" t="s">
        <v>324</v>
      </c>
      <c r="C218" s="23">
        <v>906.0</v>
      </c>
      <c r="D218" s="23">
        <v>782.0</v>
      </c>
    </row>
    <row r="219" ht="14.25" customHeight="1">
      <c r="A219" s="23">
        <v>50601.0</v>
      </c>
      <c r="B219" s="22" t="s">
        <v>326</v>
      </c>
      <c r="C219" s="23">
        <v>1796.0</v>
      </c>
      <c r="D219" s="23">
        <v>1463.0</v>
      </c>
    </row>
    <row r="220" ht="14.25" customHeight="1">
      <c r="A220" s="23">
        <v>50602.0</v>
      </c>
      <c r="B220" s="22" t="s">
        <v>327</v>
      </c>
      <c r="C220" s="23">
        <v>495.0</v>
      </c>
      <c r="D220" s="23">
        <v>466.0</v>
      </c>
    </row>
    <row r="221" ht="14.25" customHeight="1">
      <c r="A221" s="23">
        <v>50701.0</v>
      </c>
      <c r="B221" s="22" t="s">
        <v>329</v>
      </c>
      <c r="C221" s="23">
        <v>919.0</v>
      </c>
      <c r="D221" s="23">
        <v>450.0</v>
      </c>
    </row>
    <row r="222" ht="14.25" customHeight="1">
      <c r="A222" s="23">
        <v>50702.0</v>
      </c>
      <c r="B222" s="22" t="s">
        <v>331</v>
      </c>
      <c r="C222" s="23">
        <v>247.0</v>
      </c>
      <c r="D222" s="23">
        <v>264.0</v>
      </c>
    </row>
    <row r="223" ht="14.25" customHeight="1">
      <c r="A223" s="23">
        <v>50801.0</v>
      </c>
      <c r="B223" s="22" t="s">
        <v>333</v>
      </c>
      <c r="C223" s="23">
        <v>1151.0</v>
      </c>
      <c r="D223" s="23">
        <v>683.0</v>
      </c>
    </row>
    <row r="224" ht="14.25" customHeight="1">
      <c r="A224" s="23">
        <v>50802.0</v>
      </c>
      <c r="B224" s="22" t="s">
        <v>334</v>
      </c>
      <c r="C224" s="23">
        <v>176.0</v>
      </c>
      <c r="D224" s="23">
        <v>156.0</v>
      </c>
    </row>
    <row r="225" ht="14.25" customHeight="1">
      <c r="A225" s="23">
        <v>50901.0</v>
      </c>
      <c r="B225" s="22" t="s">
        <v>336</v>
      </c>
      <c r="C225" s="23">
        <v>393.0</v>
      </c>
      <c r="D225" s="23">
        <v>207.0</v>
      </c>
    </row>
    <row r="226" ht="14.25" customHeight="1">
      <c r="A226" s="23">
        <v>50902.0</v>
      </c>
      <c r="B226" s="22" t="s">
        <v>338</v>
      </c>
      <c r="C226" s="23">
        <v>88.0</v>
      </c>
      <c r="D226" s="23">
        <v>59.0</v>
      </c>
    </row>
    <row r="227" ht="14.25" customHeight="1">
      <c r="A227" s="23">
        <v>51001.0</v>
      </c>
      <c r="B227" s="22" t="s">
        <v>341</v>
      </c>
      <c r="C227" s="23">
        <v>138.0</v>
      </c>
      <c r="D227" s="23">
        <v>183.0</v>
      </c>
    </row>
    <row r="228" ht="14.25" customHeight="1">
      <c r="A228" s="23">
        <v>51002.0</v>
      </c>
      <c r="B228" s="22" t="s">
        <v>343</v>
      </c>
      <c r="C228" s="23">
        <v>162.0</v>
      </c>
      <c r="D228" s="23">
        <v>99.0</v>
      </c>
    </row>
    <row r="229" ht="14.25" customHeight="1">
      <c r="A229" s="23">
        <v>51003.0</v>
      </c>
      <c r="B229" s="22" t="s">
        <v>344</v>
      </c>
      <c r="C229" s="23">
        <v>156.0</v>
      </c>
      <c r="D229" s="23">
        <v>95.0</v>
      </c>
    </row>
    <row r="230" ht="14.25" customHeight="1">
      <c r="A230" s="23">
        <v>51101.0</v>
      </c>
      <c r="B230" s="22" t="s">
        <v>346</v>
      </c>
      <c r="C230" s="23">
        <v>1312.0</v>
      </c>
      <c r="D230" s="23">
        <v>509.0</v>
      </c>
    </row>
    <row r="231" ht="14.25" customHeight="1">
      <c r="A231" s="23">
        <v>51102.0</v>
      </c>
      <c r="B231" s="22" t="s">
        <v>348</v>
      </c>
      <c r="C231" s="23">
        <v>605.0</v>
      </c>
      <c r="D231" s="23">
        <v>548.0</v>
      </c>
    </row>
    <row r="232" ht="14.25" customHeight="1">
      <c r="A232" s="23">
        <v>51103.0</v>
      </c>
      <c r="B232" s="22" t="s">
        <v>349</v>
      </c>
      <c r="C232" s="23">
        <v>1416.0</v>
      </c>
      <c r="D232" s="23">
        <v>763.0</v>
      </c>
    </row>
    <row r="233" ht="14.25" customHeight="1">
      <c r="A233" s="23">
        <v>51201.0</v>
      </c>
      <c r="B233" s="22" t="s">
        <v>351</v>
      </c>
      <c r="C233" s="23">
        <v>1393.0</v>
      </c>
      <c r="D233" s="23">
        <v>814.0</v>
      </c>
    </row>
    <row r="234" ht="14.25" customHeight="1">
      <c r="A234" s="23">
        <v>51202.0</v>
      </c>
      <c r="B234" s="22" t="s">
        <v>352</v>
      </c>
      <c r="C234" s="23">
        <v>951.0</v>
      </c>
      <c r="D234" s="23">
        <v>441.0</v>
      </c>
    </row>
    <row r="235" ht="14.25" customHeight="1">
      <c r="A235" s="23">
        <v>51203.0</v>
      </c>
      <c r="B235" s="22" t="s">
        <v>353</v>
      </c>
      <c r="C235" s="23">
        <v>521.0</v>
      </c>
      <c r="D235" s="23">
        <v>201.0</v>
      </c>
    </row>
    <row r="236" ht="14.25" customHeight="1">
      <c r="A236" s="23">
        <v>51204.0</v>
      </c>
      <c r="B236" s="36" t="s">
        <v>354</v>
      </c>
      <c r="C236" s="23">
        <v>630.0</v>
      </c>
      <c r="D236" s="23">
        <v>412.0</v>
      </c>
    </row>
    <row r="237" ht="14.25" customHeight="1">
      <c r="A237" s="23">
        <v>51301.0</v>
      </c>
      <c r="B237" s="22" t="s">
        <v>356</v>
      </c>
      <c r="C237" s="23">
        <v>257.0</v>
      </c>
      <c r="D237" s="23">
        <v>117.0</v>
      </c>
    </row>
    <row r="238" ht="14.25" customHeight="1">
      <c r="A238" s="23">
        <v>51302.0</v>
      </c>
      <c r="B238" s="22" t="s">
        <v>357</v>
      </c>
      <c r="C238" s="23">
        <v>300.0</v>
      </c>
      <c r="D238" s="23">
        <v>160.0</v>
      </c>
    </row>
    <row r="239" ht="14.25" customHeight="1">
      <c r="A239" s="23">
        <v>51401.0</v>
      </c>
      <c r="B239" s="22" t="s">
        <v>359</v>
      </c>
      <c r="C239" s="23">
        <v>308.0</v>
      </c>
      <c r="D239" s="23">
        <v>35.0</v>
      </c>
    </row>
    <row r="240" ht="14.25" customHeight="1">
      <c r="A240" s="23">
        <v>51402.0</v>
      </c>
      <c r="B240" s="22" t="s">
        <v>360</v>
      </c>
      <c r="C240" s="23">
        <v>108.0</v>
      </c>
      <c r="D240" s="23">
        <v>87.0</v>
      </c>
    </row>
    <row r="241" ht="14.25" customHeight="1">
      <c r="A241" s="23">
        <v>51501.0</v>
      </c>
      <c r="B241" s="22" t="s">
        <v>362</v>
      </c>
      <c r="C241" s="23">
        <v>736.0</v>
      </c>
      <c r="D241" s="23">
        <v>444.0</v>
      </c>
    </row>
    <row r="242" ht="14.25" customHeight="1">
      <c r="A242" s="23">
        <v>51601.0</v>
      </c>
      <c r="B242" s="22" t="s">
        <v>364</v>
      </c>
      <c r="C242" s="23">
        <v>79.0</v>
      </c>
      <c r="D242" s="23">
        <v>22.0</v>
      </c>
    </row>
    <row r="243" ht="14.25" customHeight="1">
      <c r="A243" s="23">
        <v>60101.0</v>
      </c>
      <c r="B243" s="22" t="s">
        <v>33</v>
      </c>
      <c r="C243" s="23">
        <v>1314.0</v>
      </c>
      <c r="D243" s="23">
        <v>411.0</v>
      </c>
    </row>
    <row r="244" ht="14.25" customHeight="1">
      <c r="A244" s="23">
        <v>60201.0</v>
      </c>
      <c r="B244" s="22" t="s">
        <v>366</v>
      </c>
      <c r="C244" s="23">
        <v>363.0</v>
      </c>
      <c r="D244" s="23">
        <v>253.0</v>
      </c>
    </row>
    <row r="245" ht="14.25" customHeight="1">
      <c r="A245" s="23">
        <v>60202.0</v>
      </c>
      <c r="B245" s="22" t="s">
        <v>367</v>
      </c>
      <c r="C245" s="23">
        <v>226.0</v>
      </c>
      <c r="D245" s="23">
        <v>68.0</v>
      </c>
    </row>
    <row r="246" ht="14.25" customHeight="1">
      <c r="A246" s="23">
        <v>60301.0</v>
      </c>
      <c r="B246" s="22" t="s">
        <v>368</v>
      </c>
      <c r="C246" s="23">
        <v>410.0</v>
      </c>
      <c r="D246" s="23">
        <v>131.0</v>
      </c>
    </row>
    <row r="247" ht="14.25" customHeight="1">
      <c r="A247" s="23">
        <v>60302.0</v>
      </c>
      <c r="B247" s="22" t="s">
        <v>369</v>
      </c>
      <c r="C247" s="23">
        <v>126.0</v>
      </c>
      <c r="D247" s="23">
        <v>80.0</v>
      </c>
    </row>
    <row r="248" ht="14.25" customHeight="1">
      <c r="A248" s="23">
        <v>60303.0</v>
      </c>
      <c r="B248" s="22" t="s">
        <v>370</v>
      </c>
      <c r="C248" s="23">
        <v>265.0</v>
      </c>
      <c r="D248" s="23">
        <v>162.0</v>
      </c>
    </row>
    <row r="249" ht="14.25" customHeight="1">
      <c r="A249" s="23">
        <v>60401.0</v>
      </c>
      <c r="B249" s="22" t="s">
        <v>372</v>
      </c>
      <c r="C249" s="23">
        <v>318.0</v>
      </c>
      <c r="D249" s="23">
        <v>96.0</v>
      </c>
    </row>
    <row r="250" ht="14.25" customHeight="1">
      <c r="A250" s="23">
        <v>60402.0</v>
      </c>
      <c r="B250" s="22" t="s">
        <v>374</v>
      </c>
      <c r="C250" s="23">
        <v>126.0</v>
      </c>
      <c r="D250" s="23">
        <v>47.0</v>
      </c>
    </row>
    <row r="251" ht="14.25" customHeight="1">
      <c r="A251" s="23">
        <v>60501.0</v>
      </c>
      <c r="B251" s="22" t="s">
        <v>376</v>
      </c>
      <c r="C251" s="23">
        <v>577.0</v>
      </c>
      <c r="D251" s="23">
        <v>382.0</v>
      </c>
    </row>
    <row r="252" ht="14.25" customHeight="1">
      <c r="A252" s="23">
        <v>60502.0</v>
      </c>
      <c r="B252" s="22" t="s">
        <v>378</v>
      </c>
      <c r="C252" s="23">
        <v>203.0</v>
      </c>
      <c r="D252" s="23">
        <v>63.0</v>
      </c>
    </row>
    <row r="253" ht="14.25" customHeight="1">
      <c r="A253" s="23">
        <v>60601.0</v>
      </c>
      <c r="B253" s="22" t="s">
        <v>234</v>
      </c>
      <c r="C253" s="23">
        <v>455.0</v>
      </c>
      <c r="D253" s="23">
        <v>220.0</v>
      </c>
    </row>
    <row r="254" ht="14.25" customHeight="1">
      <c r="A254" s="23">
        <v>70101.0</v>
      </c>
      <c r="B254" s="22" t="s">
        <v>381</v>
      </c>
      <c r="C254" s="23">
        <v>451.0</v>
      </c>
      <c r="D254" s="23">
        <v>388.0</v>
      </c>
    </row>
    <row r="255" ht="14.25" customHeight="1">
      <c r="A255" s="23">
        <v>70102.0</v>
      </c>
      <c r="B255" s="22" t="s">
        <v>382</v>
      </c>
      <c r="C255" s="23">
        <v>168.0</v>
      </c>
      <c r="D255" s="23">
        <v>169.0</v>
      </c>
    </row>
    <row r="256" ht="14.25" customHeight="1">
      <c r="A256" s="23">
        <v>70103.0</v>
      </c>
      <c r="B256" s="22" t="s">
        <v>383</v>
      </c>
      <c r="C256" s="23">
        <v>283.0</v>
      </c>
      <c r="D256" s="23">
        <v>106.0</v>
      </c>
    </row>
    <row r="257" ht="14.25" customHeight="1">
      <c r="A257" s="23">
        <v>70104.0</v>
      </c>
      <c r="B257" s="22" t="s">
        <v>385</v>
      </c>
      <c r="C257" s="23">
        <v>134.0</v>
      </c>
      <c r="D257" s="23">
        <v>77.0</v>
      </c>
    </row>
    <row r="258" ht="14.25" customHeight="1">
      <c r="A258" s="23">
        <v>70105.0</v>
      </c>
      <c r="B258" s="22" t="s">
        <v>386</v>
      </c>
      <c r="C258" s="23">
        <v>878.0</v>
      </c>
      <c r="D258" s="23">
        <v>185.0</v>
      </c>
    </row>
    <row r="259" ht="14.25" customHeight="1">
      <c r="A259" s="23">
        <v>70201.0</v>
      </c>
      <c r="B259" s="22" t="s">
        <v>387</v>
      </c>
      <c r="C259" s="23">
        <v>181.0</v>
      </c>
      <c r="D259" s="23">
        <v>203.0</v>
      </c>
    </row>
    <row r="260" ht="14.25" customHeight="1">
      <c r="A260" s="23">
        <v>70202.0</v>
      </c>
      <c r="B260" s="22" t="s">
        <v>388</v>
      </c>
      <c r="C260" s="23">
        <v>34.0</v>
      </c>
      <c r="D260" s="23">
        <v>7.0</v>
      </c>
    </row>
    <row r="261" ht="14.25" customHeight="1">
      <c r="A261" s="23">
        <v>70301.0</v>
      </c>
      <c r="B261" s="22" t="s">
        <v>390</v>
      </c>
      <c r="C261" s="23">
        <v>264.0</v>
      </c>
      <c r="D261" s="23">
        <v>517.0</v>
      </c>
    </row>
    <row r="262" ht="14.25" customHeight="1">
      <c r="A262" s="23">
        <v>70302.0</v>
      </c>
      <c r="B262" s="22" t="s">
        <v>392</v>
      </c>
      <c r="C262" s="23">
        <v>231.0</v>
      </c>
      <c r="D262" s="23">
        <v>165.0</v>
      </c>
    </row>
    <row r="263" ht="14.25" customHeight="1">
      <c r="A263" s="23">
        <v>70303.0</v>
      </c>
      <c r="B263" s="22" t="s">
        <v>394</v>
      </c>
      <c r="C263" s="23">
        <v>97.0</v>
      </c>
      <c r="D263" s="23">
        <v>120.0</v>
      </c>
    </row>
    <row r="264" ht="14.25" customHeight="1">
      <c r="A264" s="23">
        <v>70401.0</v>
      </c>
      <c r="B264" s="22" t="s">
        <v>396</v>
      </c>
      <c r="C264" s="23">
        <v>208.0</v>
      </c>
      <c r="D264" s="23">
        <v>93.0</v>
      </c>
    </row>
    <row r="265" ht="14.25" customHeight="1">
      <c r="A265" s="23">
        <v>70402.0</v>
      </c>
      <c r="B265" s="22" t="s">
        <v>397</v>
      </c>
      <c r="C265" s="23">
        <v>382.0</v>
      </c>
      <c r="D265" s="23">
        <v>205.0</v>
      </c>
    </row>
    <row r="266" ht="14.25" customHeight="1">
      <c r="A266" s="23">
        <v>70403.0</v>
      </c>
      <c r="B266" s="22" t="s">
        <v>398</v>
      </c>
      <c r="C266" s="23">
        <v>4041.0</v>
      </c>
      <c r="D266" s="23">
        <v>2993.0</v>
      </c>
    </row>
    <row r="267" ht="14.25" customHeight="1">
      <c r="A267" s="23">
        <v>70404.0</v>
      </c>
      <c r="B267" s="22" t="s">
        <v>399</v>
      </c>
      <c r="C267" s="23">
        <v>213.0</v>
      </c>
      <c r="D267" s="23">
        <v>208.0</v>
      </c>
    </row>
    <row r="268" ht="14.25" customHeight="1">
      <c r="A268" s="23">
        <v>70501.0</v>
      </c>
      <c r="B268" s="22" t="s">
        <v>401</v>
      </c>
      <c r="C268" s="23">
        <v>54.0</v>
      </c>
      <c r="D268" s="23">
        <v>246.0</v>
      </c>
    </row>
    <row r="269" ht="14.25" customHeight="1">
      <c r="A269" s="23">
        <v>70502.0</v>
      </c>
      <c r="B269" s="22" t="s">
        <v>403</v>
      </c>
      <c r="C269" s="23">
        <v>117.0</v>
      </c>
      <c r="D269" s="23">
        <v>188.0</v>
      </c>
    </row>
    <row r="270" ht="14.25" customHeight="1">
      <c r="A270" s="23">
        <v>70503.0</v>
      </c>
      <c r="B270" s="22" t="s">
        <v>404</v>
      </c>
      <c r="C270" s="23">
        <v>201.0</v>
      </c>
      <c r="D270" s="23">
        <v>106.0</v>
      </c>
    </row>
    <row r="271" ht="14.25" customHeight="1">
      <c r="A271" s="23">
        <v>70601.0</v>
      </c>
      <c r="B271" s="22" t="s">
        <v>406</v>
      </c>
      <c r="C271" s="23">
        <v>96.0</v>
      </c>
      <c r="D271" s="23">
        <v>17.0</v>
      </c>
    </row>
    <row r="272" ht="14.25" customHeight="1">
      <c r="A272" s="23">
        <v>70602.0</v>
      </c>
      <c r="B272" s="22" t="s">
        <v>407</v>
      </c>
      <c r="C272" s="23">
        <v>767.0</v>
      </c>
      <c r="D272" s="23">
        <v>234.0</v>
      </c>
    </row>
    <row r="273" ht="14.25" customHeight="1">
      <c r="A273" s="23">
        <v>70603.0</v>
      </c>
      <c r="B273" s="22" t="s">
        <v>409</v>
      </c>
      <c r="C273" s="23">
        <v>39.0</v>
      </c>
      <c r="D273" s="23">
        <v>11.0</v>
      </c>
    </row>
    <row r="274" ht="14.25" customHeight="1">
      <c r="A274" s="23">
        <v>70701.0</v>
      </c>
      <c r="B274" s="22" t="s">
        <v>411</v>
      </c>
      <c r="C274" s="23">
        <v>98.0</v>
      </c>
      <c r="D274" s="23">
        <v>12.0</v>
      </c>
    </row>
    <row r="275" ht="14.25" customHeight="1">
      <c r="A275" s="23">
        <v>70702.0</v>
      </c>
      <c r="B275" s="22" t="s">
        <v>412</v>
      </c>
      <c r="C275" s="23">
        <v>246.0</v>
      </c>
      <c r="D275" s="23">
        <v>84.0</v>
      </c>
    </row>
    <row r="276" ht="14.25" customHeight="1">
      <c r="A276" s="23">
        <v>70703.0</v>
      </c>
      <c r="B276" s="22" t="s">
        <v>413</v>
      </c>
      <c r="C276" s="23">
        <v>329.0</v>
      </c>
      <c r="D276" s="23">
        <v>116.0</v>
      </c>
    </row>
    <row r="277" ht="14.25" customHeight="1">
      <c r="A277" s="23">
        <v>70704.0</v>
      </c>
      <c r="B277" s="22" t="s">
        <v>414</v>
      </c>
      <c r="C277" s="23">
        <v>162.0</v>
      </c>
      <c r="D277" s="23">
        <v>24.0</v>
      </c>
    </row>
    <row r="278" ht="14.25" customHeight="1">
      <c r="A278" s="23">
        <v>70705.0</v>
      </c>
      <c r="B278" s="22" t="s">
        <v>415</v>
      </c>
      <c r="C278" s="23">
        <v>400.0</v>
      </c>
      <c r="D278" s="23">
        <v>69.0</v>
      </c>
    </row>
    <row r="279" ht="14.25" customHeight="1">
      <c r="A279" s="23">
        <v>70706.0</v>
      </c>
      <c r="B279" s="22" t="s">
        <v>416</v>
      </c>
      <c r="C279" s="23">
        <v>115.0</v>
      </c>
      <c r="D279" s="23">
        <v>31.0</v>
      </c>
    </row>
    <row r="280" ht="14.25" customHeight="1">
      <c r="A280" s="23">
        <v>70707.0</v>
      </c>
      <c r="B280" s="22" t="s">
        <v>417</v>
      </c>
      <c r="C280" s="23">
        <v>91.0</v>
      </c>
      <c r="D280" s="23">
        <v>6.0</v>
      </c>
    </row>
    <row r="281" ht="14.25" customHeight="1">
      <c r="A281" s="23">
        <v>70801.0</v>
      </c>
      <c r="B281" s="22" t="s">
        <v>418</v>
      </c>
      <c r="C281" s="23">
        <v>545.0</v>
      </c>
      <c r="D281" s="23">
        <v>79.0</v>
      </c>
    </row>
    <row r="282" ht="14.25" customHeight="1">
      <c r="A282" s="23">
        <v>70802.0</v>
      </c>
      <c r="B282" s="22" t="s">
        <v>419</v>
      </c>
      <c r="C282" s="23">
        <v>33.0</v>
      </c>
      <c r="D282" s="23">
        <v>5.0</v>
      </c>
    </row>
    <row r="283" ht="14.25" customHeight="1">
      <c r="A283" s="23">
        <v>70803.0</v>
      </c>
      <c r="B283" s="22" t="s">
        <v>420</v>
      </c>
      <c r="C283" s="23">
        <v>143.0</v>
      </c>
      <c r="D283" s="23">
        <v>27.0</v>
      </c>
    </row>
    <row r="284" ht="14.25" customHeight="1">
      <c r="A284" s="23">
        <v>70804.0</v>
      </c>
      <c r="B284" s="22" t="s">
        <v>422</v>
      </c>
      <c r="C284" s="23">
        <v>196.0</v>
      </c>
      <c r="D284" s="23">
        <v>37.0</v>
      </c>
    </row>
    <row r="285" ht="14.25" customHeight="1">
      <c r="A285" s="23">
        <v>70805.0</v>
      </c>
      <c r="B285" s="22" t="s">
        <v>423</v>
      </c>
      <c r="C285" s="23">
        <v>142.0</v>
      </c>
      <c r="D285" s="23">
        <v>22.0</v>
      </c>
    </row>
    <row r="286" ht="14.25" customHeight="1">
      <c r="A286" s="23">
        <v>70901.0</v>
      </c>
      <c r="B286" s="22" t="s">
        <v>425</v>
      </c>
      <c r="C286" s="23">
        <v>403.0</v>
      </c>
      <c r="D286" s="23">
        <v>110.0</v>
      </c>
    </row>
    <row r="287" ht="14.25" customHeight="1">
      <c r="A287" s="23">
        <v>70902.0</v>
      </c>
      <c r="B287" s="22" t="s">
        <v>426</v>
      </c>
      <c r="C287" s="23">
        <v>224.0</v>
      </c>
      <c r="D287" s="23">
        <v>78.0</v>
      </c>
    </row>
    <row r="288" ht="14.25" customHeight="1">
      <c r="A288" s="23">
        <v>70903.0</v>
      </c>
      <c r="B288" s="22" t="s">
        <v>427</v>
      </c>
      <c r="C288" s="23">
        <v>196.0</v>
      </c>
      <c r="D288" s="23">
        <v>237.0</v>
      </c>
    </row>
    <row r="289" ht="14.25" customHeight="1">
      <c r="A289" s="23">
        <v>70904.0</v>
      </c>
      <c r="B289" s="22" t="s">
        <v>428</v>
      </c>
      <c r="C289" s="23">
        <v>81.0</v>
      </c>
      <c r="D289" s="23">
        <v>32.0</v>
      </c>
    </row>
    <row r="290" ht="14.25" customHeight="1">
      <c r="A290" s="23">
        <v>71001.0</v>
      </c>
      <c r="B290" s="22" t="s">
        <v>430</v>
      </c>
      <c r="C290" s="23">
        <v>495.0</v>
      </c>
      <c r="D290" s="23">
        <v>127.0</v>
      </c>
    </row>
    <row r="291" ht="14.25" customHeight="1">
      <c r="A291" s="23">
        <v>71002.0</v>
      </c>
      <c r="B291" s="22" t="s">
        <v>431</v>
      </c>
      <c r="C291" s="23">
        <v>92.0</v>
      </c>
      <c r="D291" s="23">
        <v>48.0</v>
      </c>
    </row>
    <row r="292" ht="14.25" customHeight="1">
      <c r="A292" s="23">
        <v>71003.0</v>
      </c>
      <c r="B292" s="22" t="s">
        <v>432</v>
      </c>
      <c r="C292" s="23">
        <v>97.0</v>
      </c>
      <c r="D292" s="23">
        <v>43.0</v>
      </c>
    </row>
    <row r="293" ht="14.25" customHeight="1">
      <c r="A293" s="23">
        <v>71004.0</v>
      </c>
      <c r="B293" s="22" t="s">
        <v>433</v>
      </c>
      <c r="C293" s="23">
        <v>48.0</v>
      </c>
      <c r="D293" s="23">
        <v>42.0</v>
      </c>
    </row>
    <row r="294" ht="14.25" customHeight="1">
      <c r="A294" s="23">
        <v>71005.0</v>
      </c>
      <c r="B294" s="22" t="s">
        <v>323</v>
      </c>
      <c r="C294" s="23">
        <v>46.0</v>
      </c>
      <c r="D294" s="23">
        <v>179.0</v>
      </c>
    </row>
    <row r="295" ht="14.25" customHeight="1">
      <c r="A295" s="23">
        <v>71101.0</v>
      </c>
      <c r="B295" s="22" t="s">
        <v>373</v>
      </c>
      <c r="C295" s="23">
        <v>629.0</v>
      </c>
      <c r="D295" s="23">
        <v>414.0</v>
      </c>
    </row>
    <row r="296" ht="14.25" customHeight="1">
      <c r="A296" s="23">
        <v>71102.0</v>
      </c>
      <c r="B296" s="22" t="s">
        <v>435</v>
      </c>
      <c r="C296" s="23">
        <v>337.0</v>
      </c>
      <c r="D296" s="23">
        <v>54.0</v>
      </c>
    </row>
    <row r="297" ht="14.25" customHeight="1">
      <c r="A297" s="23">
        <v>71103.0</v>
      </c>
      <c r="B297" s="22" t="s">
        <v>436</v>
      </c>
      <c r="C297" s="23">
        <v>523.0</v>
      </c>
      <c r="D297" s="23">
        <v>32.0</v>
      </c>
    </row>
    <row r="298" ht="14.25" customHeight="1">
      <c r="A298" s="23">
        <v>71104.0</v>
      </c>
      <c r="B298" s="22" t="s">
        <v>437</v>
      </c>
      <c r="C298" s="23">
        <v>43.0</v>
      </c>
      <c r="D298" s="23">
        <v>231.0</v>
      </c>
    </row>
    <row r="299" ht="14.25" customHeight="1">
      <c r="A299" s="23">
        <v>71105.0</v>
      </c>
      <c r="B299" s="22" t="s">
        <v>438</v>
      </c>
      <c r="C299" s="23">
        <v>109.0</v>
      </c>
      <c r="D299" s="23">
        <v>4.0</v>
      </c>
    </row>
    <row r="300" ht="14.25" customHeight="1">
      <c r="A300" s="23">
        <v>71106.0</v>
      </c>
      <c r="B300" s="22" t="s">
        <v>439</v>
      </c>
      <c r="C300" s="23">
        <v>48.0</v>
      </c>
      <c r="D300" s="23">
        <v>110.0</v>
      </c>
    </row>
    <row r="301" ht="14.25" customHeight="1">
      <c r="A301" s="23">
        <v>71201.0</v>
      </c>
      <c r="B301" s="22" t="s">
        <v>441</v>
      </c>
      <c r="C301" s="23">
        <v>205.0</v>
      </c>
      <c r="D301" s="23">
        <v>94.0</v>
      </c>
    </row>
    <row r="302" ht="14.25" customHeight="1">
      <c r="A302" s="23">
        <v>71301.0</v>
      </c>
      <c r="B302" s="22" t="s">
        <v>443</v>
      </c>
      <c r="C302" s="23">
        <v>602.0</v>
      </c>
      <c r="D302" s="23">
        <v>262.0</v>
      </c>
    </row>
    <row r="303" ht="14.25" customHeight="1">
      <c r="A303" s="23">
        <v>71302.0</v>
      </c>
      <c r="B303" s="22" t="s">
        <v>444</v>
      </c>
      <c r="C303" s="23">
        <v>120.0</v>
      </c>
      <c r="D303" s="23">
        <v>61.0</v>
      </c>
    </row>
    <row r="304" ht="14.25" customHeight="1">
      <c r="A304" s="23">
        <v>71401.0</v>
      </c>
      <c r="B304" s="22" t="s">
        <v>446</v>
      </c>
      <c r="C304" s="23">
        <v>234.0</v>
      </c>
      <c r="D304" s="23">
        <v>35.0</v>
      </c>
    </row>
    <row r="305" ht="14.25" customHeight="1">
      <c r="A305" s="23">
        <v>71402.0</v>
      </c>
      <c r="B305" s="22" t="s">
        <v>447</v>
      </c>
      <c r="C305" s="23">
        <v>12.0</v>
      </c>
      <c r="D305" s="23">
        <v>19.0</v>
      </c>
    </row>
    <row r="306" ht="14.25" customHeight="1">
      <c r="A306" s="23">
        <v>71403.0</v>
      </c>
      <c r="B306" s="22" t="s">
        <v>448</v>
      </c>
      <c r="C306" s="23">
        <v>154.0</v>
      </c>
      <c r="D306" s="23">
        <v>111.0</v>
      </c>
    </row>
    <row r="307" ht="14.25" customHeight="1">
      <c r="A307" s="23">
        <v>71501.0</v>
      </c>
      <c r="B307" s="22" t="s">
        <v>450</v>
      </c>
      <c r="C307" s="23">
        <v>623.0</v>
      </c>
      <c r="D307" s="23">
        <v>935.0</v>
      </c>
    </row>
    <row r="308" ht="14.25" customHeight="1">
      <c r="A308" s="23">
        <v>71502.0</v>
      </c>
      <c r="B308" s="22" t="s">
        <v>451</v>
      </c>
      <c r="C308" s="23">
        <v>141.0</v>
      </c>
      <c r="D308" s="23">
        <v>70.0</v>
      </c>
    </row>
    <row r="309" ht="14.25" customHeight="1">
      <c r="A309" s="23">
        <v>71503.0</v>
      </c>
      <c r="B309" s="22" t="s">
        <v>378</v>
      </c>
      <c r="C309" s="23">
        <v>972.0</v>
      </c>
      <c r="D309" s="23">
        <v>297.0</v>
      </c>
    </row>
    <row r="310" ht="14.25" customHeight="1">
      <c r="A310" s="23">
        <v>80101.0</v>
      </c>
      <c r="B310" s="22" t="s">
        <v>453</v>
      </c>
      <c r="C310" s="23">
        <v>917.0</v>
      </c>
      <c r="D310" s="23">
        <v>293.0</v>
      </c>
    </row>
    <row r="311" ht="14.25" customHeight="1">
      <c r="A311" s="23">
        <v>80102.0</v>
      </c>
      <c r="B311" s="22" t="s">
        <v>435</v>
      </c>
      <c r="C311" s="23">
        <v>73.0</v>
      </c>
      <c r="D311" s="23">
        <v>74.0</v>
      </c>
    </row>
    <row r="312" ht="14.25" customHeight="1">
      <c r="A312" s="23">
        <v>80201.0</v>
      </c>
      <c r="B312" s="22" t="s">
        <v>455</v>
      </c>
      <c r="C312" s="23">
        <v>1309.0</v>
      </c>
      <c r="D312" s="23">
        <v>1336.0</v>
      </c>
    </row>
    <row r="313" ht="14.25" customHeight="1">
      <c r="A313" s="23">
        <v>80202.0</v>
      </c>
      <c r="B313" s="22" t="s">
        <v>456</v>
      </c>
      <c r="C313" s="23">
        <v>289.0</v>
      </c>
      <c r="D313" s="23">
        <v>163.0</v>
      </c>
    </row>
    <row r="314" ht="14.25" customHeight="1">
      <c r="A314" s="23">
        <v>80301.0</v>
      </c>
      <c r="B314" s="22" t="s">
        <v>458</v>
      </c>
      <c r="C314" s="23">
        <v>303.0</v>
      </c>
      <c r="D314" s="23">
        <v>105.0</v>
      </c>
    </row>
    <row r="315" ht="14.25" customHeight="1">
      <c r="A315" s="23">
        <v>80302.0</v>
      </c>
      <c r="B315" s="22" t="s">
        <v>459</v>
      </c>
      <c r="C315" s="23">
        <v>2386.0</v>
      </c>
      <c r="D315" s="23">
        <v>1969.0</v>
      </c>
    </row>
    <row r="316" ht="14.25" customHeight="1">
      <c r="A316" s="23">
        <v>80303.0</v>
      </c>
      <c r="B316" s="22" t="s">
        <v>408</v>
      </c>
      <c r="C316" s="23">
        <v>47.0</v>
      </c>
      <c r="D316" s="23">
        <v>44.0</v>
      </c>
    </row>
    <row r="317" ht="14.25" customHeight="1">
      <c r="A317" s="23">
        <v>80304.0</v>
      </c>
      <c r="B317" s="22" t="s">
        <v>460</v>
      </c>
      <c r="C317" s="23">
        <v>581.0</v>
      </c>
      <c r="D317" s="23">
        <v>596.0</v>
      </c>
    </row>
    <row r="318" ht="14.25" customHeight="1">
      <c r="A318" s="23">
        <v>80401.0</v>
      </c>
      <c r="B318" s="22" t="s">
        <v>463</v>
      </c>
      <c r="C318" s="23">
        <v>182.0</v>
      </c>
      <c r="D318" s="23">
        <v>220.0</v>
      </c>
    </row>
    <row r="319" ht="14.25" customHeight="1">
      <c r="A319" s="23">
        <v>80402.0</v>
      </c>
      <c r="B319" s="22" t="s">
        <v>465</v>
      </c>
      <c r="C319" s="23">
        <v>67.0</v>
      </c>
      <c r="D319" s="23">
        <v>50.0</v>
      </c>
    </row>
    <row r="320" ht="14.25" customHeight="1">
      <c r="A320" s="23">
        <v>80501.0</v>
      </c>
      <c r="B320" s="22" t="s">
        <v>391</v>
      </c>
      <c r="C320" s="23">
        <v>554.0</v>
      </c>
      <c r="D320" s="23">
        <v>308.0</v>
      </c>
    </row>
    <row r="321" ht="14.25" customHeight="1">
      <c r="A321" s="23">
        <v>80601.0</v>
      </c>
      <c r="B321" s="22" t="s">
        <v>468</v>
      </c>
      <c r="C321" s="23">
        <v>85.0</v>
      </c>
      <c r="D321" s="23">
        <v>53.0</v>
      </c>
    </row>
    <row r="322" ht="14.25" customHeight="1">
      <c r="A322" s="23">
        <v>80602.0</v>
      </c>
      <c r="B322" s="22" t="s">
        <v>469</v>
      </c>
      <c r="C322" s="23">
        <v>337.0</v>
      </c>
      <c r="D322" s="23">
        <v>394.0</v>
      </c>
    </row>
    <row r="323" ht="14.25" customHeight="1">
      <c r="A323" s="23">
        <v>80701.0</v>
      </c>
      <c r="B323" s="22" t="s">
        <v>471</v>
      </c>
      <c r="C323" s="23">
        <v>38.0</v>
      </c>
      <c r="D323" s="23">
        <v>25.0</v>
      </c>
    </row>
    <row r="324" ht="14.25" customHeight="1">
      <c r="A324" s="23">
        <v>80702.0</v>
      </c>
      <c r="B324" s="22" t="s">
        <v>436</v>
      </c>
      <c r="C324" s="23">
        <v>40.0</v>
      </c>
      <c r="D324" s="23">
        <v>99.0</v>
      </c>
    </row>
    <row r="325" ht="14.25" customHeight="1">
      <c r="A325" s="23">
        <v>80703.0</v>
      </c>
      <c r="B325" s="22" t="s">
        <v>472</v>
      </c>
      <c r="C325" s="23">
        <v>12.0</v>
      </c>
      <c r="D325" s="23">
        <v>2.0</v>
      </c>
    </row>
    <row r="326" ht="14.25" customHeight="1">
      <c r="A326" s="23">
        <v>80801.0</v>
      </c>
      <c r="B326" s="22" t="s">
        <v>474</v>
      </c>
      <c r="C326" s="23">
        <v>104.0</v>
      </c>
      <c r="D326" s="23">
        <v>50.0</v>
      </c>
    </row>
    <row r="327" ht="14.25" customHeight="1">
      <c r="A327" s="23">
        <v>80802.0</v>
      </c>
      <c r="B327" s="22" t="s">
        <v>475</v>
      </c>
      <c r="C327" s="23">
        <v>127.0</v>
      </c>
      <c r="D327" s="23">
        <v>137.0</v>
      </c>
    </row>
    <row r="328" ht="14.25" customHeight="1">
      <c r="A328" s="23">
        <v>80803.0</v>
      </c>
      <c r="B328" s="22" t="s">
        <v>476</v>
      </c>
      <c r="C328" s="23">
        <v>57.0</v>
      </c>
      <c r="D328" s="23">
        <v>24.0</v>
      </c>
    </row>
    <row r="329" ht="14.25" customHeight="1">
      <c r="A329" s="23">
        <v>80901.0</v>
      </c>
      <c r="B329" s="36" t="s">
        <v>477</v>
      </c>
      <c r="C329" s="23">
        <v>128.0</v>
      </c>
      <c r="D329" s="23">
        <v>193.0</v>
      </c>
    </row>
    <row r="330" ht="14.25" customHeight="1">
      <c r="A330" s="23">
        <v>90101.0</v>
      </c>
      <c r="B330" s="22" t="s">
        <v>479</v>
      </c>
      <c r="C330" s="23">
        <v>691.0</v>
      </c>
      <c r="D330" s="23">
        <v>152.0</v>
      </c>
    </row>
    <row r="331" ht="14.25" customHeight="1">
      <c r="A331" s="23">
        <v>90102.0</v>
      </c>
      <c r="B331" s="22" t="s">
        <v>480</v>
      </c>
      <c r="C331" s="23">
        <v>81.0</v>
      </c>
      <c r="D331" s="23">
        <v>52.0</v>
      </c>
    </row>
    <row r="332" ht="14.25" customHeight="1">
      <c r="A332" s="23">
        <v>90103.0</v>
      </c>
      <c r="B332" s="22" t="s">
        <v>481</v>
      </c>
      <c r="C332" s="23">
        <v>110.0</v>
      </c>
      <c r="D332" s="23">
        <v>32.0</v>
      </c>
    </row>
    <row r="333" ht="14.25" customHeight="1">
      <c r="A333" s="23">
        <v>90104.0</v>
      </c>
      <c r="B333" s="22" t="s">
        <v>482</v>
      </c>
      <c r="C333" s="23">
        <v>191.0</v>
      </c>
      <c r="D333" s="23">
        <v>72.0</v>
      </c>
    </row>
    <row r="334" ht="14.25" customHeight="1">
      <c r="A334" s="23">
        <v>90201.0</v>
      </c>
      <c r="B334" s="22" t="s">
        <v>484</v>
      </c>
      <c r="C334" s="23">
        <v>100.0</v>
      </c>
      <c r="D334" s="23">
        <v>48.0</v>
      </c>
    </row>
    <row r="335" ht="14.25" customHeight="1">
      <c r="A335" s="23">
        <v>90202.0</v>
      </c>
      <c r="B335" s="22" t="s">
        <v>323</v>
      </c>
      <c r="C335" s="23">
        <v>179.0</v>
      </c>
      <c r="D335" s="23">
        <v>14.0</v>
      </c>
    </row>
    <row r="336" ht="14.25" customHeight="1">
      <c r="A336" s="23">
        <v>90203.0</v>
      </c>
      <c r="B336" s="22" t="s">
        <v>485</v>
      </c>
      <c r="C336" s="23">
        <v>173.0</v>
      </c>
      <c r="D336" s="23">
        <v>114.0</v>
      </c>
    </row>
    <row r="337" ht="14.25" customHeight="1">
      <c r="A337" s="23">
        <v>90301.0</v>
      </c>
      <c r="B337" s="22" t="s">
        <v>487</v>
      </c>
      <c r="C337" s="23">
        <v>96.0</v>
      </c>
      <c r="D337" s="23">
        <v>99.0</v>
      </c>
    </row>
    <row r="338" ht="14.25" customHeight="1">
      <c r="A338" s="23">
        <v>90302.0</v>
      </c>
      <c r="B338" s="22" t="s">
        <v>376</v>
      </c>
      <c r="C338" s="23">
        <v>213.0</v>
      </c>
      <c r="D338" s="23">
        <v>35.0</v>
      </c>
    </row>
    <row r="339" ht="14.25" customHeight="1">
      <c r="A339" s="23">
        <v>90303.0</v>
      </c>
      <c r="B339" s="22" t="s">
        <v>488</v>
      </c>
      <c r="C339" s="23">
        <v>832.0</v>
      </c>
      <c r="D339" s="23">
        <v>174.0</v>
      </c>
    </row>
    <row r="340" ht="14.25" customHeight="1">
      <c r="A340" s="23">
        <v>90401.0</v>
      </c>
      <c r="B340" s="22" t="s">
        <v>408</v>
      </c>
      <c r="C340" s="23">
        <v>82.0</v>
      </c>
      <c r="D340" s="23">
        <v>26.0</v>
      </c>
    </row>
    <row r="341" ht="14.25" customHeight="1">
      <c r="A341" s="23">
        <v>90402.0</v>
      </c>
      <c r="B341" s="22" t="s">
        <v>120</v>
      </c>
      <c r="C341" s="24">
        <v>26.0</v>
      </c>
      <c r="D341" s="23">
        <v>44.0</v>
      </c>
    </row>
    <row r="342" ht="14.25" customHeight="1">
      <c r="A342" s="23">
        <v>90501.0</v>
      </c>
      <c r="B342" s="22" t="s">
        <v>491</v>
      </c>
      <c r="C342" s="24">
        <v>103.0</v>
      </c>
      <c r="D342" s="23">
        <v>13.0</v>
      </c>
    </row>
    <row r="343" ht="14.25" customHeight="1">
      <c r="A343" s="23">
        <v>90502.0</v>
      </c>
      <c r="B343" s="22" t="s">
        <v>492</v>
      </c>
      <c r="C343" s="24">
        <v>89.0</v>
      </c>
      <c r="D343" s="23">
        <v>12.0</v>
      </c>
    </row>
    <row r="344" ht="14.25" customHeight="1">
      <c r="A344" s="23">
        <v>90503.0</v>
      </c>
      <c r="B344" s="22" t="s">
        <v>494</v>
      </c>
      <c r="C344" s="24">
        <v>67.0</v>
      </c>
      <c r="D344" s="23">
        <v>24.0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5.14"/>
    <col customWidth="1" min="3" max="3" width="13.43"/>
    <col customWidth="1" min="4" max="4" width="16.0"/>
    <col customWidth="1" min="5" max="26" width="10.71"/>
  </cols>
  <sheetData>
    <row r="1" ht="14.25" customHeight="1">
      <c r="A1" s="53" t="s">
        <v>501</v>
      </c>
      <c r="B1" s="53" t="s">
        <v>9</v>
      </c>
      <c r="C1" s="54" t="s">
        <v>497</v>
      </c>
      <c r="D1" s="54" t="s">
        <v>498</v>
      </c>
    </row>
    <row r="2" ht="14.25" customHeight="1">
      <c r="A2" s="55">
        <v>1.0</v>
      </c>
      <c r="B2" s="24" t="s">
        <v>17</v>
      </c>
      <c r="C2" s="39">
        <v>50.16424464122707</v>
      </c>
      <c r="D2" s="24">
        <v>64.30482945790916</v>
      </c>
    </row>
    <row r="3" ht="14.25" customHeight="1">
      <c r="A3" s="55">
        <v>2.0</v>
      </c>
      <c r="B3" s="24" t="s">
        <v>21</v>
      </c>
      <c r="C3" s="39">
        <v>52.74222852471284</v>
      </c>
      <c r="D3" s="24">
        <v>65.2022081847906</v>
      </c>
    </row>
    <row r="4" ht="14.25" customHeight="1">
      <c r="A4" s="55">
        <v>3.0</v>
      </c>
      <c r="B4" s="24" t="s">
        <v>23</v>
      </c>
      <c r="C4" s="39">
        <v>42.19272639990089</v>
      </c>
      <c r="D4" s="24">
        <v>51.03693871988434</v>
      </c>
    </row>
    <row r="5" ht="14.25" customHeight="1">
      <c r="A5" s="55">
        <v>4.0</v>
      </c>
      <c r="B5" s="24" t="s">
        <v>26</v>
      </c>
      <c r="C5" s="39">
        <v>41.63986821078383</v>
      </c>
      <c r="D5" s="24">
        <v>54.90671456174433</v>
      </c>
    </row>
    <row r="6" ht="14.25" customHeight="1">
      <c r="A6" s="55">
        <v>5.0</v>
      </c>
      <c r="B6" s="24" t="s">
        <v>29</v>
      </c>
      <c r="C6" s="39">
        <v>36.36329869336613</v>
      </c>
      <c r="D6" s="24">
        <v>46.35072182258144</v>
      </c>
    </row>
    <row r="7" ht="14.25" customHeight="1">
      <c r="A7" s="55">
        <v>6.0</v>
      </c>
      <c r="B7" s="24" t="s">
        <v>33</v>
      </c>
      <c r="C7" s="39">
        <v>67.17492554337494</v>
      </c>
      <c r="D7" s="24">
        <v>74.00626505422642</v>
      </c>
    </row>
    <row r="8" ht="14.25" customHeight="1">
      <c r="A8" s="55">
        <v>7.0</v>
      </c>
      <c r="B8" s="24" t="s">
        <v>35</v>
      </c>
      <c r="C8" s="39">
        <v>43.773009084226814</v>
      </c>
      <c r="D8" s="24">
        <v>57.16375018951116</v>
      </c>
    </row>
    <row r="9" ht="14.25" customHeight="1">
      <c r="A9" s="55">
        <v>8.0</v>
      </c>
      <c r="B9" s="24" t="s">
        <v>38</v>
      </c>
      <c r="C9" s="39">
        <v>20.766854830120355</v>
      </c>
      <c r="D9" s="24">
        <v>28.566015094577953</v>
      </c>
    </row>
    <row r="10" ht="14.25" customHeight="1">
      <c r="A10" s="55">
        <v>9.0</v>
      </c>
      <c r="B10" s="24" t="s">
        <v>40</v>
      </c>
      <c r="C10" s="39">
        <v>19.246993889217425</v>
      </c>
      <c r="D10" s="24">
        <v>33.32570185731048</v>
      </c>
    </row>
    <row r="11" ht="14.25" customHeight="1">
      <c r="A11" s="55">
        <v>10.0</v>
      </c>
      <c r="B11" s="24" t="s">
        <v>43</v>
      </c>
      <c r="C11" s="39">
        <v>65.07605293503926</v>
      </c>
      <c r="D11" s="24">
        <v>73.01659714980883</v>
      </c>
    </row>
    <row r="12" ht="14.25" customHeight="1">
      <c r="A12" s="55">
        <v>11.0</v>
      </c>
      <c r="B12" s="24" t="s">
        <v>45</v>
      </c>
      <c r="C12" s="39">
        <v>45.85657111921546</v>
      </c>
      <c r="D12" s="24">
        <v>57.25012287127754</v>
      </c>
    </row>
    <row r="13" ht="14.25" customHeight="1">
      <c r="C13" s="48"/>
    </row>
    <row r="14" ht="14.25" customHeight="1">
      <c r="C14" s="48"/>
    </row>
    <row r="15" ht="14.25" customHeight="1">
      <c r="C15" s="48"/>
    </row>
    <row r="16" ht="14.25" customHeight="1">
      <c r="C16" s="48"/>
    </row>
    <row r="17" ht="14.25" customHeight="1">
      <c r="C17" s="48"/>
    </row>
    <row r="18" ht="14.25" customHeight="1">
      <c r="C18" s="48"/>
    </row>
    <row r="19" ht="14.25" customHeight="1">
      <c r="C19" s="48"/>
    </row>
    <row r="20" ht="14.25" customHeight="1">
      <c r="C20" s="48"/>
    </row>
    <row r="21" ht="14.25" customHeight="1">
      <c r="C21" s="48"/>
    </row>
    <row r="22" ht="14.25" customHeight="1">
      <c r="C22" s="48"/>
    </row>
    <row r="23" ht="14.25" customHeight="1">
      <c r="C23" s="48"/>
    </row>
    <row r="24" ht="14.25" customHeight="1">
      <c r="C24" s="48"/>
    </row>
    <row r="25" ht="14.25" customHeight="1">
      <c r="C25" s="48"/>
    </row>
    <row r="26" ht="14.25" customHeight="1">
      <c r="C26" s="48"/>
    </row>
    <row r="27" ht="14.25" customHeight="1">
      <c r="C27" s="48"/>
    </row>
    <row r="28" ht="14.25" customHeight="1">
      <c r="C28" s="48"/>
    </row>
    <row r="29" ht="14.25" customHeight="1">
      <c r="C29" s="48"/>
    </row>
    <row r="30" ht="14.25" customHeight="1">
      <c r="C30" s="48"/>
    </row>
    <row r="31" ht="14.25" customHeight="1">
      <c r="C31" s="48"/>
    </row>
    <row r="32" ht="14.25" customHeight="1">
      <c r="C32" s="48"/>
    </row>
    <row r="33" ht="14.25" customHeight="1">
      <c r="C33" s="48"/>
    </row>
    <row r="34" ht="14.25" customHeight="1">
      <c r="C34" s="48"/>
    </row>
    <row r="35" ht="14.25" customHeight="1">
      <c r="C35" s="48"/>
    </row>
    <row r="36" ht="14.25" customHeight="1">
      <c r="C36" s="48"/>
    </row>
    <row r="37" ht="14.25" customHeight="1">
      <c r="C37" s="48"/>
    </row>
    <row r="38" ht="14.25" customHeight="1">
      <c r="C38" s="48"/>
    </row>
    <row r="39" ht="14.25" customHeight="1">
      <c r="C39" s="48"/>
    </row>
    <row r="40" ht="14.25" customHeight="1">
      <c r="C40" s="48"/>
    </row>
    <row r="41" ht="14.25" customHeight="1">
      <c r="C41" s="48"/>
    </row>
    <row r="42" ht="14.25" customHeight="1">
      <c r="C42" s="48"/>
    </row>
    <row r="43" ht="14.25" customHeight="1">
      <c r="C43" s="48"/>
    </row>
    <row r="44" ht="14.25" customHeight="1">
      <c r="C44" s="48"/>
    </row>
    <row r="45" ht="14.25" customHeight="1">
      <c r="C45" s="48"/>
    </row>
    <row r="46" ht="14.25" customHeight="1">
      <c r="C46" s="48"/>
    </row>
    <row r="47" ht="14.25" customHeight="1">
      <c r="C47" s="48"/>
    </row>
    <row r="48" ht="14.25" customHeight="1">
      <c r="C48" s="48"/>
    </row>
    <row r="49" ht="14.25" customHeight="1">
      <c r="C49" s="48"/>
    </row>
    <row r="50" ht="14.25" customHeight="1">
      <c r="C50" s="48"/>
    </row>
    <row r="51" ht="14.25" customHeight="1">
      <c r="C51" s="48"/>
    </row>
    <row r="52" ht="14.25" customHeight="1">
      <c r="C52" s="48"/>
    </row>
    <row r="53" ht="14.25" customHeight="1">
      <c r="C53" s="48"/>
    </row>
    <row r="54" ht="14.25" customHeight="1">
      <c r="C54" s="48"/>
    </row>
    <row r="55" ht="14.25" customHeight="1">
      <c r="C55" s="48"/>
    </row>
    <row r="56" ht="14.25" customHeight="1">
      <c r="C56" s="48"/>
    </row>
    <row r="57" ht="14.25" customHeight="1">
      <c r="C57" s="48"/>
    </row>
    <row r="58" ht="14.25" customHeight="1">
      <c r="C58" s="48"/>
    </row>
    <row r="59" ht="14.25" customHeight="1">
      <c r="C59" s="48"/>
    </row>
    <row r="60" ht="14.25" customHeight="1">
      <c r="C60" s="48"/>
    </row>
    <row r="61" ht="14.25" customHeight="1">
      <c r="C61" s="48"/>
    </row>
    <row r="62" ht="14.25" customHeight="1">
      <c r="C62" s="48"/>
    </row>
    <row r="63" ht="14.25" customHeight="1">
      <c r="C63" s="48"/>
    </row>
    <row r="64" ht="14.25" customHeight="1">
      <c r="C64" s="48"/>
    </row>
    <row r="65" ht="14.25" customHeight="1">
      <c r="C65" s="48"/>
    </row>
    <row r="66" ht="14.25" customHeight="1">
      <c r="C66" s="48"/>
    </row>
    <row r="67" ht="14.25" customHeight="1">
      <c r="C67" s="48"/>
    </row>
    <row r="68" ht="14.25" customHeight="1">
      <c r="C68" s="48"/>
    </row>
    <row r="69" ht="14.25" customHeight="1">
      <c r="C69" s="48"/>
    </row>
    <row r="70" ht="14.25" customHeight="1">
      <c r="C70" s="48"/>
    </row>
    <row r="71" ht="14.25" customHeight="1">
      <c r="C71" s="48"/>
    </row>
    <row r="72" ht="14.25" customHeight="1">
      <c r="C72" s="48"/>
    </row>
    <row r="73" ht="14.25" customHeight="1">
      <c r="C73" s="48"/>
    </row>
    <row r="74" ht="14.25" customHeight="1">
      <c r="C74" s="48"/>
    </row>
    <row r="75" ht="14.25" customHeight="1">
      <c r="C75" s="48"/>
    </row>
    <row r="76" ht="14.25" customHeight="1">
      <c r="C76" s="48"/>
    </row>
    <row r="77" ht="14.25" customHeight="1">
      <c r="C77" s="48"/>
    </row>
    <row r="78" ht="14.25" customHeight="1">
      <c r="C78" s="48"/>
    </row>
    <row r="79" ht="14.25" customHeight="1">
      <c r="C79" s="48"/>
    </row>
    <row r="80" ht="14.25" customHeight="1">
      <c r="C80" s="48"/>
    </row>
    <row r="81" ht="14.25" customHeight="1">
      <c r="C81" s="48"/>
    </row>
    <row r="82" ht="14.25" customHeight="1">
      <c r="C82" s="48"/>
    </row>
    <row r="83" ht="14.25" customHeight="1">
      <c r="C83" s="48"/>
    </row>
    <row r="84" ht="14.25" customHeight="1">
      <c r="C84" s="48"/>
    </row>
    <row r="85" ht="14.25" customHeight="1">
      <c r="C85" s="48"/>
    </row>
    <row r="86" ht="14.25" customHeight="1">
      <c r="C86" s="48"/>
    </row>
    <row r="87" ht="14.25" customHeight="1">
      <c r="C87" s="48"/>
    </row>
    <row r="88" ht="14.25" customHeight="1">
      <c r="C88" s="48"/>
    </row>
    <row r="89" ht="14.25" customHeight="1">
      <c r="C89" s="48"/>
    </row>
    <row r="90" ht="14.25" customHeight="1">
      <c r="C90" s="48"/>
    </row>
    <row r="91" ht="14.25" customHeight="1">
      <c r="C91" s="48"/>
    </row>
    <row r="92" ht="14.25" customHeight="1">
      <c r="C92" s="48"/>
    </row>
    <row r="93" ht="14.25" customHeight="1">
      <c r="C93" s="48"/>
    </row>
    <row r="94" ht="14.25" customHeight="1">
      <c r="C94" s="48"/>
    </row>
    <row r="95" ht="14.25" customHeight="1">
      <c r="C95" s="48"/>
    </row>
    <row r="96" ht="14.25" customHeight="1">
      <c r="C96" s="48"/>
    </row>
    <row r="97" ht="14.25" customHeight="1">
      <c r="C97" s="48"/>
    </row>
    <row r="98" ht="14.25" customHeight="1">
      <c r="C98" s="48"/>
    </row>
    <row r="99" ht="14.25" customHeight="1">
      <c r="C99" s="48"/>
    </row>
    <row r="100" ht="14.25" customHeight="1">
      <c r="C100" s="48"/>
    </row>
    <row r="101" ht="14.25" customHeight="1">
      <c r="C101" s="48"/>
    </row>
    <row r="102" ht="14.25" customHeight="1">
      <c r="C102" s="48"/>
    </row>
    <row r="103" ht="14.25" customHeight="1">
      <c r="C103" s="48"/>
    </row>
    <row r="104" ht="14.25" customHeight="1">
      <c r="C104" s="48"/>
    </row>
    <row r="105" ht="14.25" customHeight="1">
      <c r="C105" s="48"/>
    </row>
    <row r="106" ht="14.25" customHeight="1">
      <c r="C106" s="48"/>
    </row>
    <row r="107" ht="14.25" customHeight="1">
      <c r="C107" s="48"/>
    </row>
    <row r="108" ht="14.25" customHeight="1">
      <c r="C108" s="48"/>
    </row>
    <row r="109" ht="14.25" customHeight="1">
      <c r="C109" s="48"/>
    </row>
    <row r="110" ht="14.25" customHeight="1">
      <c r="C110" s="48"/>
    </row>
    <row r="111" ht="14.25" customHeight="1">
      <c r="C111" s="48"/>
    </row>
    <row r="112" ht="14.25" customHeight="1">
      <c r="C112" s="48"/>
    </row>
    <row r="113" ht="14.25" customHeight="1">
      <c r="C113" s="48"/>
    </row>
    <row r="114" ht="14.25" customHeight="1">
      <c r="C114" s="48"/>
    </row>
    <row r="115" ht="14.25" customHeight="1">
      <c r="C115" s="48"/>
    </row>
    <row r="116" ht="14.25" customHeight="1">
      <c r="C116" s="48"/>
    </row>
    <row r="117" ht="14.25" customHeight="1">
      <c r="C117" s="48"/>
    </row>
    <row r="118" ht="14.25" customHeight="1">
      <c r="C118" s="48"/>
    </row>
    <row r="119" ht="14.25" customHeight="1">
      <c r="C119" s="48"/>
    </row>
    <row r="120" ht="14.25" customHeight="1">
      <c r="C120" s="48"/>
    </row>
    <row r="121" ht="14.25" customHeight="1">
      <c r="C121" s="48"/>
    </row>
    <row r="122" ht="14.25" customHeight="1">
      <c r="C122" s="48"/>
    </row>
    <row r="123" ht="14.25" customHeight="1">
      <c r="C123" s="48"/>
    </row>
    <row r="124" ht="14.25" customHeight="1">
      <c r="C124" s="48"/>
    </row>
    <row r="125" ht="14.25" customHeight="1">
      <c r="C125" s="48"/>
    </row>
    <row r="126" ht="14.25" customHeight="1">
      <c r="C126" s="48"/>
    </row>
    <row r="127" ht="14.25" customHeight="1">
      <c r="C127" s="48"/>
    </row>
    <row r="128" ht="14.25" customHeight="1">
      <c r="C128" s="48"/>
    </row>
    <row r="129" ht="14.25" customHeight="1">
      <c r="C129" s="48"/>
    </row>
    <row r="130" ht="14.25" customHeight="1">
      <c r="C130" s="48"/>
    </row>
    <row r="131" ht="14.25" customHeight="1">
      <c r="C131" s="48"/>
    </row>
    <row r="132" ht="14.25" customHeight="1">
      <c r="C132" s="48"/>
    </row>
    <row r="133" ht="14.25" customHeight="1">
      <c r="C133" s="48"/>
    </row>
    <row r="134" ht="14.25" customHeight="1">
      <c r="C134" s="48"/>
    </row>
    <row r="135" ht="14.25" customHeight="1">
      <c r="C135" s="48"/>
    </row>
    <row r="136" ht="14.25" customHeight="1">
      <c r="C136" s="48"/>
    </row>
    <row r="137" ht="14.25" customHeight="1">
      <c r="C137" s="48"/>
    </row>
    <row r="138" ht="14.25" customHeight="1">
      <c r="C138" s="48"/>
    </row>
    <row r="139" ht="14.25" customHeight="1">
      <c r="C139" s="48"/>
    </row>
    <row r="140" ht="14.25" customHeight="1">
      <c r="C140" s="48"/>
    </row>
    <row r="141" ht="14.25" customHeight="1">
      <c r="C141" s="48"/>
    </row>
    <row r="142" ht="14.25" customHeight="1">
      <c r="C142" s="48"/>
    </row>
    <row r="143" ht="14.25" customHeight="1">
      <c r="C143" s="48"/>
    </row>
    <row r="144" ht="14.25" customHeight="1">
      <c r="C144" s="48"/>
    </row>
    <row r="145" ht="14.25" customHeight="1">
      <c r="C145" s="48"/>
    </row>
    <row r="146" ht="14.25" customHeight="1">
      <c r="C146" s="48"/>
    </row>
    <row r="147" ht="14.25" customHeight="1">
      <c r="C147" s="48"/>
    </row>
    <row r="148" ht="14.25" customHeight="1">
      <c r="C148" s="48"/>
    </row>
    <row r="149" ht="14.25" customHeight="1">
      <c r="C149" s="48"/>
    </row>
    <row r="150" ht="14.25" customHeight="1">
      <c r="C150" s="48"/>
    </row>
    <row r="151" ht="14.25" customHeight="1">
      <c r="C151" s="48"/>
    </row>
    <row r="152" ht="14.25" customHeight="1">
      <c r="C152" s="48"/>
    </row>
    <row r="153" ht="14.25" customHeight="1">
      <c r="C153" s="48"/>
    </row>
    <row r="154" ht="14.25" customHeight="1">
      <c r="C154" s="48"/>
    </row>
    <row r="155" ht="14.25" customHeight="1">
      <c r="C155" s="48"/>
    </row>
    <row r="156" ht="14.25" customHeight="1">
      <c r="C156" s="48"/>
    </row>
    <row r="157" ht="14.25" customHeight="1">
      <c r="C157" s="48"/>
    </row>
    <row r="158" ht="14.25" customHeight="1">
      <c r="C158" s="48"/>
    </row>
    <row r="159" ht="14.25" customHeight="1">
      <c r="C159" s="48"/>
    </row>
    <row r="160" ht="14.25" customHeight="1">
      <c r="C160" s="48"/>
    </row>
    <row r="161" ht="14.25" customHeight="1">
      <c r="C161" s="48"/>
    </row>
    <row r="162" ht="14.25" customHeight="1">
      <c r="C162" s="48"/>
    </row>
    <row r="163" ht="14.25" customHeight="1">
      <c r="C163" s="48"/>
    </row>
    <row r="164" ht="14.25" customHeight="1">
      <c r="C164" s="48"/>
    </row>
    <row r="165" ht="14.25" customHeight="1">
      <c r="C165" s="48"/>
    </row>
    <row r="166" ht="14.25" customHeight="1">
      <c r="C166" s="48"/>
    </row>
    <row r="167" ht="14.25" customHeight="1">
      <c r="C167" s="48"/>
    </row>
    <row r="168" ht="14.25" customHeight="1">
      <c r="C168" s="48"/>
    </row>
    <row r="169" ht="14.25" customHeight="1">
      <c r="C169" s="48"/>
    </row>
    <row r="170" ht="14.25" customHeight="1">
      <c r="C170" s="48"/>
    </row>
    <row r="171" ht="14.25" customHeight="1">
      <c r="C171" s="48"/>
    </row>
    <row r="172" ht="14.25" customHeight="1">
      <c r="C172" s="48"/>
    </row>
    <row r="173" ht="14.25" customHeight="1">
      <c r="C173" s="48"/>
    </row>
    <row r="174" ht="14.25" customHeight="1">
      <c r="C174" s="48"/>
    </row>
    <row r="175" ht="14.25" customHeight="1">
      <c r="C175" s="48"/>
    </row>
    <row r="176" ht="14.25" customHeight="1">
      <c r="C176" s="48"/>
    </row>
    <row r="177" ht="14.25" customHeight="1">
      <c r="C177" s="48"/>
    </row>
    <row r="178" ht="14.25" customHeight="1">
      <c r="C178" s="48"/>
    </row>
    <row r="179" ht="14.25" customHeight="1">
      <c r="C179" s="48"/>
    </row>
    <row r="180" ht="14.25" customHeight="1">
      <c r="C180" s="48"/>
    </row>
    <row r="181" ht="14.25" customHeight="1">
      <c r="C181" s="48"/>
    </row>
    <row r="182" ht="14.25" customHeight="1">
      <c r="C182" s="48"/>
    </row>
    <row r="183" ht="14.25" customHeight="1">
      <c r="C183" s="48"/>
    </row>
    <row r="184" ht="14.25" customHeight="1">
      <c r="C184" s="48"/>
    </row>
    <row r="185" ht="14.25" customHeight="1">
      <c r="C185" s="48"/>
    </row>
    <row r="186" ht="14.25" customHeight="1">
      <c r="C186" s="48"/>
    </row>
    <row r="187" ht="14.25" customHeight="1">
      <c r="C187" s="48"/>
    </row>
    <row r="188" ht="14.25" customHeight="1">
      <c r="C188" s="48"/>
    </row>
    <row r="189" ht="14.25" customHeight="1">
      <c r="C189" s="48"/>
    </row>
    <row r="190" ht="14.25" customHeight="1">
      <c r="C190" s="48"/>
    </row>
    <row r="191" ht="14.25" customHeight="1">
      <c r="C191" s="48"/>
    </row>
    <row r="192" ht="14.25" customHeight="1">
      <c r="C192" s="48"/>
    </row>
    <row r="193" ht="14.25" customHeight="1">
      <c r="C193" s="48"/>
    </row>
    <row r="194" ht="14.25" customHeight="1">
      <c r="C194" s="48"/>
    </row>
    <row r="195" ht="14.25" customHeight="1">
      <c r="C195" s="48"/>
    </row>
    <row r="196" ht="14.25" customHeight="1">
      <c r="C196" s="48"/>
    </row>
    <row r="197" ht="14.25" customHeight="1">
      <c r="C197" s="48"/>
    </row>
    <row r="198" ht="14.25" customHeight="1">
      <c r="C198" s="48"/>
    </row>
    <row r="199" ht="14.25" customHeight="1">
      <c r="C199" s="48"/>
    </row>
    <row r="200" ht="14.25" customHeight="1">
      <c r="C200" s="48"/>
    </row>
    <row r="201" ht="14.25" customHeight="1">
      <c r="C201" s="48"/>
    </row>
    <row r="202" ht="14.25" customHeight="1">
      <c r="C202" s="48"/>
    </row>
    <row r="203" ht="14.25" customHeight="1">
      <c r="C203" s="48"/>
    </row>
    <row r="204" ht="14.25" customHeight="1">
      <c r="C204" s="48"/>
    </row>
    <row r="205" ht="14.25" customHeight="1">
      <c r="C205" s="48"/>
    </row>
    <row r="206" ht="14.25" customHeight="1">
      <c r="C206" s="48"/>
    </row>
    <row r="207" ht="14.25" customHeight="1">
      <c r="C207" s="48"/>
    </row>
    <row r="208" ht="14.25" customHeight="1">
      <c r="C208" s="48"/>
    </row>
    <row r="209" ht="14.25" customHeight="1">
      <c r="C209" s="48"/>
    </row>
    <row r="210" ht="14.25" customHeight="1">
      <c r="C210" s="48"/>
    </row>
    <row r="211" ht="14.25" customHeight="1">
      <c r="C211" s="48"/>
    </row>
    <row r="212" ht="14.25" customHeight="1">
      <c r="C212" s="48"/>
    </row>
    <row r="213" ht="14.25" customHeight="1">
      <c r="C213" s="48"/>
    </row>
    <row r="214" ht="14.25" customHeight="1">
      <c r="C214" s="48"/>
    </row>
    <row r="215" ht="14.25" customHeight="1">
      <c r="C215" s="48"/>
    </row>
    <row r="216" ht="14.25" customHeight="1">
      <c r="C216" s="48"/>
    </row>
    <row r="217" ht="14.25" customHeight="1">
      <c r="C217" s="48"/>
    </row>
    <row r="218" ht="14.25" customHeight="1">
      <c r="C218" s="48"/>
    </row>
    <row r="219" ht="14.25" customHeight="1">
      <c r="C219" s="48"/>
    </row>
    <row r="220" ht="14.25" customHeight="1">
      <c r="C220" s="48"/>
    </row>
    <row r="221" ht="14.25" customHeight="1">
      <c r="C221" s="48"/>
    </row>
    <row r="222" ht="14.25" customHeight="1">
      <c r="C222" s="48"/>
    </row>
    <row r="223" ht="14.25" customHeight="1">
      <c r="C223" s="48"/>
    </row>
    <row r="224" ht="14.25" customHeight="1">
      <c r="C224" s="48"/>
    </row>
    <row r="225" ht="14.25" customHeight="1">
      <c r="C225" s="48"/>
    </row>
    <row r="226" ht="14.25" customHeight="1">
      <c r="C226" s="48"/>
    </row>
    <row r="227" ht="14.25" customHeight="1">
      <c r="C227" s="48"/>
    </row>
    <row r="228" ht="14.25" customHeight="1">
      <c r="C228" s="48"/>
    </row>
    <row r="229" ht="14.25" customHeight="1">
      <c r="C229" s="48"/>
    </row>
    <row r="230" ht="14.25" customHeight="1">
      <c r="C230" s="48"/>
    </row>
    <row r="231" ht="14.25" customHeight="1">
      <c r="C231" s="48"/>
    </row>
    <row r="232" ht="14.25" customHeight="1">
      <c r="C232" s="48"/>
    </row>
    <row r="233" ht="14.25" customHeight="1">
      <c r="C233" s="48"/>
    </row>
    <row r="234" ht="14.25" customHeight="1">
      <c r="C234" s="48"/>
    </row>
    <row r="235" ht="14.25" customHeight="1">
      <c r="C235" s="48"/>
    </row>
    <row r="236" ht="14.25" customHeight="1">
      <c r="C236" s="48"/>
    </row>
    <row r="237" ht="14.25" customHeight="1">
      <c r="C237" s="48"/>
    </row>
    <row r="238" ht="14.25" customHeight="1">
      <c r="C238" s="48"/>
    </row>
    <row r="239" ht="14.25" customHeight="1">
      <c r="C239" s="48"/>
    </row>
    <row r="240" ht="14.25" customHeight="1">
      <c r="C240" s="48"/>
    </row>
    <row r="241" ht="14.25" customHeight="1">
      <c r="C241" s="48"/>
    </row>
    <row r="242" ht="14.25" customHeight="1">
      <c r="C242" s="48"/>
    </row>
    <row r="243" ht="14.25" customHeight="1">
      <c r="C243" s="48"/>
    </row>
    <row r="244" ht="14.25" customHeight="1">
      <c r="C244" s="48"/>
    </row>
    <row r="245" ht="14.25" customHeight="1">
      <c r="C245" s="48"/>
    </row>
    <row r="246" ht="14.25" customHeight="1">
      <c r="C246" s="48"/>
    </row>
    <row r="247" ht="14.25" customHeight="1">
      <c r="C247" s="48"/>
    </row>
    <row r="248" ht="14.25" customHeight="1">
      <c r="C248" s="48"/>
    </row>
    <row r="249" ht="14.25" customHeight="1">
      <c r="C249" s="48"/>
    </row>
    <row r="250" ht="14.25" customHeight="1">
      <c r="C250" s="48"/>
    </row>
    <row r="251" ht="14.25" customHeight="1">
      <c r="C251" s="48"/>
    </row>
    <row r="252" ht="14.25" customHeight="1">
      <c r="C252" s="48"/>
    </row>
    <row r="253" ht="14.25" customHeight="1">
      <c r="C253" s="48"/>
    </row>
    <row r="254" ht="14.25" customHeight="1">
      <c r="C254" s="48"/>
    </row>
    <row r="255" ht="14.25" customHeight="1">
      <c r="C255" s="48"/>
    </row>
    <row r="256" ht="14.25" customHeight="1">
      <c r="C256" s="48"/>
    </row>
    <row r="257" ht="14.25" customHeight="1">
      <c r="C257" s="48"/>
    </row>
    <row r="258" ht="14.25" customHeight="1">
      <c r="C258" s="48"/>
    </row>
    <row r="259" ht="14.25" customHeight="1">
      <c r="C259" s="48"/>
    </row>
    <row r="260" ht="14.25" customHeight="1">
      <c r="C260" s="48"/>
    </row>
    <row r="261" ht="14.25" customHeight="1">
      <c r="C261" s="48"/>
    </row>
    <row r="262" ht="14.25" customHeight="1">
      <c r="C262" s="48"/>
    </row>
    <row r="263" ht="14.25" customHeight="1">
      <c r="C263" s="48"/>
    </row>
    <row r="264" ht="14.25" customHeight="1">
      <c r="C264" s="48"/>
    </row>
    <row r="265" ht="14.25" customHeight="1">
      <c r="C265" s="48"/>
    </row>
    <row r="266" ht="14.25" customHeight="1">
      <c r="C266" s="48"/>
    </row>
    <row r="267" ht="14.25" customHeight="1">
      <c r="C267" s="48"/>
    </row>
    <row r="268" ht="14.25" customHeight="1">
      <c r="C268" s="48"/>
    </row>
    <row r="269" ht="14.25" customHeight="1">
      <c r="C269" s="48"/>
    </row>
    <row r="270" ht="14.25" customHeight="1">
      <c r="C270" s="48"/>
    </row>
    <row r="271" ht="14.25" customHeight="1">
      <c r="C271" s="48"/>
    </row>
    <row r="272" ht="14.25" customHeight="1">
      <c r="C272" s="48"/>
    </row>
    <row r="273" ht="14.25" customHeight="1">
      <c r="C273" s="48"/>
    </row>
    <row r="274" ht="14.25" customHeight="1">
      <c r="C274" s="48"/>
    </row>
    <row r="275" ht="14.25" customHeight="1">
      <c r="C275" s="48"/>
    </row>
    <row r="276" ht="14.25" customHeight="1">
      <c r="C276" s="48"/>
    </row>
    <row r="277" ht="14.25" customHeight="1">
      <c r="C277" s="48"/>
    </row>
    <row r="278" ht="14.25" customHeight="1">
      <c r="C278" s="48"/>
    </row>
    <row r="279" ht="14.25" customHeight="1">
      <c r="C279" s="48"/>
    </row>
    <row r="280" ht="14.25" customHeight="1">
      <c r="C280" s="48"/>
    </row>
    <row r="281" ht="14.25" customHeight="1">
      <c r="C281" s="48"/>
    </row>
    <row r="282" ht="14.25" customHeight="1">
      <c r="C282" s="48"/>
    </row>
    <row r="283" ht="14.25" customHeight="1">
      <c r="C283" s="48"/>
    </row>
    <row r="284" ht="14.25" customHeight="1">
      <c r="C284" s="48"/>
    </row>
    <row r="285" ht="14.25" customHeight="1">
      <c r="C285" s="48"/>
    </row>
    <row r="286" ht="14.25" customHeight="1">
      <c r="C286" s="48"/>
    </row>
    <row r="287" ht="14.25" customHeight="1">
      <c r="C287" s="48"/>
    </row>
    <row r="288" ht="14.25" customHeight="1">
      <c r="C288" s="48"/>
    </row>
    <row r="289" ht="14.25" customHeight="1">
      <c r="C289" s="48"/>
    </row>
    <row r="290" ht="14.25" customHeight="1">
      <c r="C290" s="48"/>
    </row>
    <row r="291" ht="14.25" customHeight="1">
      <c r="C291" s="48"/>
    </row>
    <row r="292" ht="14.25" customHeight="1">
      <c r="C292" s="48"/>
    </row>
    <row r="293" ht="14.25" customHeight="1">
      <c r="C293" s="48"/>
    </row>
    <row r="294" ht="14.25" customHeight="1">
      <c r="C294" s="48"/>
    </row>
    <row r="295" ht="14.25" customHeight="1">
      <c r="C295" s="48"/>
    </row>
    <row r="296" ht="14.25" customHeight="1">
      <c r="C296" s="48"/>
    </row>
    <row r="297" ht="14.25" customHeight="1">
      <c r="C297" s="48"/>
    </row>
    <row r="298" ht="14.25" customHeight="1">
      <c r="C298" s="48"/>
    </row>
    <row r="299" ht="14.25" customHeight="1">
      <c r="C299" s="48"/>
    </row>
    <row r="300" ht="14.25" customHeight="1">
      <c r="C300" s="48"/>
    </row>
    <row r="301" ht="14.25" customHeight="1">
      <c r="C301" s="48"/>
    </row>
    <row r="302" ht="14.25" customHeight="1">
      <c r="C302" s="48"/>
    </row>
    <row r="303" ht="14.25" customHeight="1">
      <c r="C303" s="48"/>
    </row>
    <row r="304" ht="14.25" customHeight="1">
      <c r="C304" s="48"/>
    </row>
    <row r="305" ht="14.25" customHeight="1">
      <c r="C305" s="48"/>
    </row>
    <row r="306" ht="14.25" customHeight="1">
      <c r="C306" s="48"/>
    </row>
    <row r="307" ht="14.25" customHeight="1">
      <c r="C307" s="48"/>
    </row>
    <row r="308" ht="14.25" customHeight="1">
      <c r="C308" s="48"/>
    </row>
    <row r="309" ht="14.25" customHeight="1">
      <c r="C309" s="48"/>
    </row>
    <row r="310" ht="14.25" customHeight="1">
      <c r="C310" s="48"/>
    </row>
    <row r="311" ht="14.25" customHeight="1">
      <c r="C311" s="48"/>
    </row>
    <row r="312" ht="14.25" customHeight="1">
      <c r="C312" s="48"/>
    </row>
    <row r="313" ht="14.25" customHeight="1">
      <c r="C313" s="48"/>
    </row>
    <row r="314" ht="14.25" customHeight="1">
      <c r="C314" s="48"/>
    </row>
    <row r="315" ht="14.25" customHeight="1">
      <c r="C315" s="48"/>
    </row>
    <row r="316" ht="14.25" customHeight="1">
      <c r="C316" s="48"/>
    </row>
    <row r="317" ht="14.25" customHeight="1">
      <c r="C317" s="48"/>
    </row>
    <row r="318" ht="14.25" customHeight="1">
      <c r="C318" s="48"/>
    </row>
    <row r="319" ht="14.25" customHeight="1">
      <c r="C319" s="48"/>
    </row>
    <row r="320" ht="14.25" customHeight="1">
      <c r="C320" s="48"/>
    </row>
    <row r="321" ht="14.25" customHeight="1">
      <c r="C321" s="48"/>
    </row>
    <row r="322" ht="14.25" customHeight="1">
      <c r="C322" s="48"/>
    </row>
    <row r="323" ht="14.25" customHeight="1">
      <c r="C323" s="48"/>
    </row>
    <row r="324" ht="14.25" customHeight="1">
      <c r="C324" s="48"/>
    </row>
    <row r="325" ht="14.25" customHeight="1">
      <c r="C325" s="48"/>
    </row>
    <row r="326" ht="14.25" customHeight="1">
      <c r="C326" s="48"/>
    </row>
    <row r="327" ht="14.25" customHeight="1">
      <c r="C327" s="48"/>
    </row>
    <row r="328" ht="14.25" customHeight="1">
      <c r="C328" s="48"/>
    </row>
    <row r="329" ht="14.25" customHeight="1">
      <c r="C329" s="48"/>
    </row>
    <row r="330" ht="14.25" customHeight="1">
      <c r="C330" s="48"/>
    </row>
    <row r="331" ht="14.25" customHeight="1">
      <c r="C331" s="48"/>
    </row>
    <row r="332" ht="14.25" customHeight="1">
      <c r="C332" s="48"/>
    </row>
    <row r="333" ht="14.25" customHeight="1">
      <c r="C333" s="48"/>
    </row>
    <row r="334" ht="14.25" customHeight="1">
      <c r="C334" s="48"/>
    </row>
    <row r="335" ht="14.25" customHeight="1">
      <c r="C335" s="48"/>
    </row>
    <row r="336" ht="14.25" customHeight="1">
      <c r="C336" s="48"/>
    </row>
    <row r="337" ht="14.25" customHeight="1">
      <c r="C337" s="48"/>
    </row>
    <row r="338" ht="14.25" customHeight="1">
      <c r="C338" s="48"/>
    </row>
    <row r="339" ht="14.25" customHeight="1">
      <c r="C339" s="48"/>
    </row>
    <row r="340" ht="14.25" customHeight="1">
      <c r="C340" s="48"/>
    </row>
    <row r="341" ht="14.25" customHeight="1">
      <c r="C341" s="48"/>
    </row>
    <row r="342" ht="14.25" customHeight="1">
      <c r="C342" s="48"/>
    </row>
    <row r="343" ht="14.25" customHeight="1">
      <c r="C343" s="48"/>
    </row>
    <row r="344" ht="14.25" customHeight="1">
      <c r="C344" s="48"/>
    </row>
    <row r="345" ht="14.25" customHeight="1">
      <c r="C345" s="48"/>
    </row>
    <row r="346" ht="14.25" customHeight="1">
      <c r="C346" s="48"/>
    </row>
    <row r="347" ht="14.25" customHeight="1">
      <c r="C347" s="48"/>
    </row>
    <row r="348" ht="14.25" customHeight="1">
      <c r="C348" s="48"/>
    </row>
    <row r="349" ht="14.25" customHeight="1">
      <c r="C349" s="48"/>
    </row>
    <row r="350" ht="14.25" customHeight="1">
      <c r="C350" s="48"/>
    </row>
    <row r="351" ht="14.25" customHeight="1">
      <c r="C351" s="48"/>
    </row>
    <row r="352" ht="14.25" customHeight="1">
      <c r="C352" s="48"/>
    </row>
    <row r="353" ht="14.25" customHeight="1">
      <c r="C353" s="48"/>
    </row>
    <row r="354" ht="14.25" customHeight="1">
      <c r="C354" s="48"/>
    </row>
    <row r="355" ht="14.25" customHeight="1">
      <c r="C355" s="48"/>
    </row>
    <row r="356" ht="14.25" customHeight="1">
      <c r="C356" s="48"/>
    </row>
    <row r="357" ht="14.25" customHeight="1">
      <c r="C357" s="48"/>
    </row>
    <row r="358" ht="14.25" customHeight="1">
      <c r="C358" s="48"/>
    </row>
    <row r="359" ht="14.25" customHeight="1">
      <c r="C359" s="48"/>
    </row>
    <row r="360" ht="14.25" customHeight="1">
      <c r="C360" s="48"/>
    </row>
    <row r="361" ht="14.25" customHeight="1">
      <c r="C361" s="48"/>
    </row>
    <row r="362" ht="14.25" customHeight="1">
      <c r="C362" s="48"/>
    </row>
    <row r="363" ht="14.25" customHeight="1">
      <c r="C363" s="48"/>
    </row>
    <row r="364" ht="14.25" customHeight="1">
      <c r="C364" s="48"/>
    </row>
    <row r="365" ht="14.25" customHeight="1">
      <c r="C365" s="48"/>
    </row>
    <row r="366" ht="14.25" customHeight="1">
      <c r="C366" s="48"/>
    </row>
    <row r="367" ht="14.25" customHeight="1">
      <c r="C367" s="48"/>
    </row>
    <row r="368" ht="14.25" customHeight="1">
      <c r="C368" s="48"/>
    </row>
    <row r="369" ht="14.25" customHeight="1">
      <c r="C369" s="48"/>
    </row>
    <row r="370" ht="14.25" customHeight="1">
      <c r="C370" s="48"/>
    </row>
    <row r="371" ht="14.25" customHeight="1">
      <c r="C371" s="48"/>
    </row>
    <row r="372" ht="14.25" customHeight="1">
      <c r="C372" s="48"/>
    </row>
    <row r="373" ht="14.25" customHeight="1">
      <c r="C373" s="48"/>
    </row>
    <row r="374" ht="14.25" customHeight="1">
      <c r="C374" s="48"/>
    </row>
    <row r="375" ht="14.25" customHeight="1">
      <c r="C375" s="48"/>
    </row>
    <row r="376" ht="14.25" customHeight="1">
      <c r="C376" s="48"/>
    </row>
    <row r="377" ht="14.25" customHeight="1">
      <c r="C377" s="48"/>
    </row>
    <row r="378" ht="14.25" customHeight="1">
      <c r="C378" s="48"/>
    </row>
    <row r="379" ht="14.25" customHeight="1">
      <c r="C379" s="48"/>
    </row>
    <row r="380" ht="14.25" customHeight="1">
      <c r="C380" s="48"/>
    </row>
    <row r="381" ht="14.25" customHeight="1">
      <c r="C381" s="48"/>
    </row>
    <row r="382" ht="14.25" customHeight="1">
      <c r="C382" s="48"/>
    </row>
    <row r="383" ht="14.25" customHeight="1">
      <c r="C383" s="48"/>
    </row>
    <row r="384" ht="14.25" customHeight="1">
      <c r="C384" s="48"/>
    </row>
    <row r="385" ht="14.25" customHeight="1">
      <c r="C385" s="48"/>
    </row>
    <row r="386" ht="14.25" customHeight="1">
      <c r="C386" s="48"/>
    </row>
    <row r="387" ht="14.25" customHeight="1">
      <c r="C387" s="48"/>
    </row>
    <row r="388" ht="14.25" customHeight="1">
      <c r="C388" s="48"/>
    </row>
    <row r="389" ht="14.25" customHeight="1">
      <c r="C389" s="48"/>
    </row>
    <row r="390" ht="14.25" customHeight="1">
      <c r="C390" s="48"/>
    </row>
    <row r="391" ht="14.25" customHeight="1">
      <c r="C391" s="48"/>
    </row>
    <row r="392" ht="14.25" customHeight="1">
      <c r="C392" s="48"/>
    </row>
    <row r="393" ht="14.25" customHeight="1">
      <c r="C393" s="48"/>
    </row>
    <row r="394" ht="14.25" customHeight="1">
      <c r="C394" s="48"/>
    </row>
    <row r="395" ht="14.25" customHeight="1">
      <c r="C395" s="48"/>
    </row>
    <row r="396" ht="14.25" customHeight="1">
      <c r="C396" s="48"/>
    </row>
    <row r="397" ht="14.25" customHeight="1">
      <c r="C397" s="48"/>
    </row>
    <row r="398" ht="14.25" customHeight="1">
      <c r="C398" s="48"/>
    </row>
    <row r="399" ht="14.25" customHeight="1">
      <c r="C399" s="48"/>
    </row>
    <row r="400" ht="14.25" customHeight="1">
      <c r="C400" s="48"/>
    </row>
    <row r="401" ht="14.25" customHeight="1">
      <c r="C401" s="48"/>
    </row>
    <row r="402" ht="14.25" customHeight="1">
      <c r="C402" s="48"/>
    </row>
    <row r="403" ht="14.25" customHeight="1">
      <c r="C403" s="48"/>
    </row>
    <row r="404" ht="14.25" customHeight="1">
      <c r="C404" s="48"/>
    </row>
    <row r="405" ht="14.25" customHeight="1">
      <c r="C405" s="48"/>
    </row>
    <row r="406" ht="14.25" customHeight="1">
      <c r="C406" s="48"/>
    </row>
    <row r="407" ht="14.25" customHeight="1">
      <c r="C407" s="48"/>
    </row>
    <row r="408" ht="14.25" customHeight="1">
      <c r="C408" s="48"/>
    </row>
    <row r="409" ht="14.25" customHeight="1">
      <c r="C409" s="48"/>
    </row>
    <row r="410" ht="14.25" customHeight="1">
      <c r="C410" s="48"/>
    </row>
    <row r="411" ht="14.25" customHeight="1">
      <c r="C411" s="48"/>
    </row>
    <row r="412" ht="14.25" customHeight="1">
      <c r="C412" s="48"/>
    </row>
    <row r="413" ht="14.25" customHeight="1">
      <c r="C413" s="48"/>
    </row>
    <row r="414" ht="14.25" customHeight="1">
      <c r="C414" s="48"/>
    </row>
    <row r="415" ht="14.25" customHeight="1">
      <c r="C415" s="48"/>
    </row>
    <row r="416" ht="14.25" customHeight="1">
      <c r="C416" s="48"/>
    </row>
    <row r="417" ht="14.25" customHeight="1">
      <c r="C417" s="48"/>
    </row>
    <row r="418" ht="14.25" customHeight="1">
      <c r="C418" s="48"/>
    </row>
    <row r="419" ht="14.25" customHeight="1">
      <c r="C419" s="48"/>
    </row>
    <row r="420" ht="14.25" customHeight="1">
      <c r="C420" s="48"/>
    </row>
    <row r="421" ht="14.25" customHeight="1">
      <c r="C421" s="48"/>
    </row>
    <row r="422" ht="14.25" customHeight="1">
      <c r="C422" s="48"/>
    </row>
    <row r="423" ht="14.25" customHeight="1">
      <c r="C423" s="48"/>
    </row>
    <row r="424" ht="14.25" customHeight="1">
      <c r="C424" s="48"/>
    </row>
    <row r="425" ht="14.25" customHeight="1">
      <c r="C425" s="48"/>
    </row>
    <row r="426" ht="14.25" customHeight="1">
      <c r="C426" s="48"/>
    </row>
    <row r="427" ht="14.25" customHeight="1">
      <c r="C427" s="48"/>
    </row>
    <row r="428" ht="14.25" customHeight="1">
      <c r="C428" s="48"/>
    </row>
    <row r="429" ht="14.25" customHeight="1">
      <c r="C429" s="48"/>
    </row>
    <row r="430" ht="14.25" customHeight="1">
      <c r="C430" s="48"/>
    </row>
    <row r="431" ht="14.25" customHeight="1">
      <c r="C431" s="48"/>
    </row>
    <row r="432" ht="14.25" customHeight="1">
      <c r="C432" s="48"/>
    </row>
    <row r="433" ht="14.25" customHeight="1">
      <c r="C433" s="48"/>
    </row>
    <row r="434" ht="14.25" customHeight="1">
      <c r="C434" s="48"/>
    </row>
    <row r="435" ht="14.25" customHeight="1">
      <c r="C435" s="48"/>
    </row>
    <row r="436" ht="14.25" customHeight="1">
      <c r="C436" s="48"/>
    </row>
    <row r="437" ht="14.25" customHeight="1">
      <c r="C437" s="48"/>
    </row>
    <row r="438" ht="14.25" customHeight="1">
      <c r="C438" s="48"/>
    </row>
    <row r="439" ht="14.25" customHeight="1">
      <c r="C439" s="48"/>
    </row>
    <row r="440" ht="14.25" customHeight="1">
      <c r="C440" s="48"/>
    </row>
    <row r="441" ht="14.25" customHeight="1">
      <c r="C441" s="48"/>
    </row>
    <row r="442" ht="14.25" customHeight="1">
      <c r="C442" s="48"/>
    </row>
    <row r="443" ht="14.25" customHeight="1">
      <c r="C443" s="48"/>
    </row>
    <row r="444" ht="14.25" customHeight="1">
      <c r="C444" s="48"/>
    </row>
    <row r="445" ht="14.25" customHeight="1">
      <c r="C445" s="48"/>
    </row>
    <row r="446" ht="14.25" customHeight="1">
      <c r="C446" s="48"/>
    </row>
    <row r="447" ht="14.25" customHeight="1">
      <c r="C447" s="48"/>
    </row>
    <row r="448" ht="14.25" customHeight="1">
      <c r="C448" s="48"/>
    </row>
    <row r="449" ht="14.25" customHeight="1">
      <c r="C449" s="48"/>
    </row>
    <row r="450" ht="14.25" customHeight="1">
      <c r="C450" s="48"/>
    </row>
    <row r="451" ht="14.25" customHeight="1">
      <c r="C451" s="48"/>
    </row>
    <row r="452" ht="14.25" customHeight="1">
      <c r="C452" s="48"/>
    </row>
    <row r="453" ht="14.25" customHeight="1">
      <c r="C453" s="48"/>
    </row>
    <row r="454" ht="14.25" customHeight="1">
      <c r="C454" s="48"/>
    </row>
    <row r="455" ht="14.25" customHeight="1">
      <c r="C455" s="48"/>
    </row>
    <row r="456" ht="14.25" customHeight="1">
      <c r="C456" s="48"/>
    </row>
    <row r="457" ht="14.25" customHeight="1">
      <c r="C457" s="48"/>
    </row>
    <row r="458" ht="14.25" customHeight="1">
      <c r="C458" s="48"/>
    </row>
    <row r="459" ht="14.25" customHeight="1">
      <c r="C459" s="48"/>
    </row>
    <row r="460" ht="14.25" customHeight="1">
      <c r="C460" s="48"/>
    </row>
    <row r="461" ht="14.25" customHeight="1">
      <c r="C461" s="48"/>
    </row>
    <row r="462" ht="14.25" customHeight="1">
      <c r="C462" s="48"/>
    </row>
    <row r="463" ht="14.25" customHeight="1">
      <c r="C463" s="48"/>
    </row>
    <row r="464" ht="14.25" customHeight="1">
      <c r="C464" s="48"/>
    </row>
    <row r="465" ht="14.25" customHeight="1">
      <c r="C465" s="48"/>
    </row>
    <row r="466" ht="14.25" customHeight="1">
      <c r="C466" s="48"/>
    </row>
    <row r="467" ht="14.25" customHeight="1">
      <c r="C467" s="48"/>
    </row>
    <row r="468" ht="14.25" customHeight="1">
      <c r="C468" s="48"/>
    </row>
    <row r="469" ht="14.25" customHeight="1">
      <c r="C469" s="48"/>
    </row>
    <row r="470" ht="14.25" customHeight="1">
      <c r="C470" s="48"/>
    </row>
    <row r="471" ht="14.25" customHeight="1">
      <c r="C471" s="48"/>
    </row>
    <row r="472" ht="14.25" customHeight="1">
      <c r="C472" s="48"/>
    </row>
    <row r="473" ht="14.25" customHeight="1">
      <c r="C473" s="48"/>
    </row>
    <row r="474" ht="14.25" customHeight="1">
      <c r="C474" s="48"/>
    </row>
    <row r="475" ht="14.25" customHeight="1">
      <c r="C475" s="48"/>
    </row>
    <row r="476" ht="14.25" customHeight="1">
      <c r="C476" s="48"/>
    </row>
    <row r="477" ht="14.25" customHeight="1">
      <c r="C477" s="48"/>
    </row>
    <row r="478" ht="14.25" customHeight="1">
      <c r="C478" s="48"/>
    </row>
    <row r="479" ht="14.25" customHeight="1">
      <c r="C479" s="48"/>
    </row>
    <row r="480" ht="14.25" customHeight="1">
      <c r="C480" s="48"/>
    </row>
    <row r="481" ht="14.25" customHeight="1">
      <c r="C481" s="48"/>
    </row>
    <row r="482" ht="14.25" customHeight="1">
      <c r="C482" s="48"/>
    </row>
    <row r="483" ht="14.25" customHeight="1">
      <c r="C483" s="48"/>
    </row>
    <row r="484" ht="14.25" customHeight="1">
      <c r="C484" s="48"/>
    </row>
    <row r="485" ht="14.25" customHeight="1">
      <c r="C485" s="48"/>
    </row>
    <row r="486" ht="14.25" customHeight="1">
      <c r="C486" s="48"/>
    </row>
    <row r="487" ht="14.25" customHeight="1">
      <c r="C487" s="48"/>
    </row>
    <row r="488" ht="14.25" customHeight="1">
      <c r="C488" s="48"/>
    </row>
    <row r="489" ht="14.25" customHeight="1">
      <c r="C489" s="48"/>
    </row>
    <row r="490" ht="14.25" customHeight="1">
      <c r="C490" s="48"/>
    </row>
    <row r="491" ht="14.25" customHeight="1">
      <c r="C491" s="48"/>
    </row>
    <row r="492" ht="14.25" customHeight="1">
      <c r="C492" s="48"/>
    </row>
    <row r="493" ht="14.25" customHeight="1">
      <c r="C493" s="48"/>
    </row>
    <row r="494" ht="14.25" customHeight="1">
      <c r="C494" s="48"/>
    </row>
    <row r="495" ht="14.25" customHeight="1">
      <c r="C495" s="48"/>
    </row>
    <row r="496" ht="14.25" customHeight="1">
      <c r="C496" s="48"/>
    </row>
    <row r="497" ht="14.25" customHeight="1">
      <c r="C497" s="48"/>
    </row>
    <row r="498" ht="14.25" customHeight="1">
      <c r="C498" s="48"/>
    </row>
    <row r="499" ht="14.25" customHeight="1">
      <c r="C499" s="48"/>
    </row>
    <row r="500" ht="14.25" customHeight="1">
      <c r="C500" s="48"/>
    </row>
    <row r="501" ht="14.25" customHeight="1">
      <c r="C501" s="48"/>
    </row>
    <row r="502" ht="14.25" customHeight="1">
      <c r="C502" s="48"/>
    </row>
    <row r="503" ht="14.25" customHeight="1">
      <c r="C503" s="48"/>
    </row>
    <row r="504" ht="14.25" customHeight="1">
      <c r="C504" s="48"/>
    </row>
    <row r="505" ht="14.25" customHeight="1">
      <c r="C505" s="48"/>
    </row>
    <row r="506" ht="14.25" customHeight="1">
      <c r="C506" s="48"/>
    </row>
    <row r="507" ht="14.25" customHeight="1">
      <c r="C507" s="48"/>
    </row>
    <row r="508" ht="14.25" customHeight="1">
      <c r="C508" s="48"/>
    </row>
    <row r="509" ht="14.25" customHeight="1">
      <c r="C509" s="48"/>
    </row>
    <row r="510" ht="14.25" customHeight="1">
      <c r="C510" s="48"/>
    </row>
    <row r="511" ht="14.25" customHeight="1">
      <c r="C511" s="48"/>
    </row>
    <row r="512" ht="14.25" customHeight="1">
      <c r="C512" s="48"/>
    </row>
    <row r="513" ht="14.25" customHeight="1">
      <c r="C513" s="48"/>
    </row>
    <row r="514" ht="14.25" customHeight="1">
      <c r="C514" s="48"/>
    </row>
    <row r="515" ht="14.25" customHeight="1">
      <c r="C515" s="48"/>
    </row>
    <row r="516" ht="14.25" customHeight="1">
      <c r="C516" s="48"/>
    </row>
    <row r="517" ht="14.25" customHeight="1">
      <c r="C517" s="48"/>
    </row>
    <row r="518" ht="14.25" customHeight="1">
      <c r="C518" s="48"/>
    </row>
    <row r="519" ht="14.25" customHeight="1">
      <c r="C519" s="48"/>
    </row>
    <row r="520" ht="14.25" customHeight="1">
      <c r="C520" s="48"/>
    </row>
    <row r="521" ht="14.25" customHeight="1">
      <c r="C521" s="48"/>
    </row>
    <row r="522" ht="14.25" customHeight="1">
      <c r="C522" s="48"/>
    </row>
    <row r="523" ht="14.25" customHeight="1">
      <c r="C523" s="48"/>
    </row>
    <row r="524" ht="14.25" customHeight="1">
      <c r="C524" s="48"/>
    </row>
    <row r="525" ht="14.25" customHeight="1">
      <c r="C525" s="48"/>
    </row>
    <row r="526" ht="14.25" customHeight="1">
      <c r="C526" s="48"/>
    </row>
    <row r="527" ht="14.25" customHeight="1">
      <c r="C527" s="48"/>
    </row>
    <row r="528" ht="14.25" customHeight="1">
      <c r="C528" s="48"/>
    </row>
    <row r="529" ht="14.25" customHeight="1">
      <c r="C529" s="48"/>
    </row>
    <row r="530" ht="14.25" customHeight="1">
      <c r="C530" s="48"/>
    </row>
    <row r="531" ht="14.25" customHeight="1">
      <c r="C531" s="48"/>
    </row>
    <row r="532" ht="14.25" customHeight="1">
      <c r="C532" s="48"/>
    </row>
    <row r="533" ht="14.25" customHeight="1">
      <c r="C533" s="48"/>
    </row>
    <row r="534" ht="14.25" customHeight="1">
      <c r="C534" s="48"/>
    </row>
    <row r="535" ht="14.25" customHeight="1">
      <c r="C535" s="48"/>
    </row>
    <row r="536" ht="14.25" customHeight="1">
      <c r="C536" s="48"/>
    </row>
    <row r="537" ht="14.25" customHeight="1">
      <c r="C537" s="48"/>
    </row>
    <row r="538" ht="14.25" customHeight="1">
      <c r="C538" s="48"/>
    </row>
    <row r="539" ht="14.25" customHeight="1">
      <c r="C539" s="48"/>
    </row>
    <row r="540" ht="14.25" customHeight="1">
      <c r="C540" s="48"/>
    </row>
    <row r="541" ht="14.25" customHeight="1">
      <c r="C541" s="48"/>
    </row>
    <row r="542" ht="14.25" customHeight="1">
      <c r="C542" s="48"/>
    </row>
    <row r="543" ht="14.25" customHeight="1">
      <c r="C543" s="48"/>
    </row>
    <row r="544" ht="14.25" customHeight="1">
      <c r="C544" s="48"/>
    </row>
    <row r="545" ht="14.25" customHeight="1">
      <c r="C545" s="48"/>
    </row>
    <row r="546" ht="14.25" customHeight="1">
      <c r="C546" s="48"/>
    </row>
    <row r="547" ht="14.25" customHeight="1">
      <c r="C547" s="48"/>
    </row>
    <row r="548" ht="14.25" customHeight="1">
      <c r="C548" s="48"/>
    </row>
    <row r="549" ht="14.25" customHeight="1">
      <c r="C549" s="48"/>
    </row>
    <row r="550" ht="14.25" customHeight="1">
      <c r="C550" s="48"/>
    </row>
    <row r="551" ht="14.25" customHeight="1">
      <c r="C551" s="48"/>
    </row>
    <row r="552" ht="14.25" customHeight="1">
      <c r="C552" s="48"/>
    </row>
    <row r="553" ht="14.25" customHeight="1">
      <c r="C553" s="48"/>
    </row>
    <row r="554" ht="14.25" customHeight="1">
      <c r="C554" s="48"/>
    </row>
    <row r="555" ht="14.25" customHeight="1">
      <c r="C555" s="48"/>
    </row>
    <row r="556" ht="14.25" customHeight="1">
      <c r="C556" s="48"/>
    </row>
    <row r="557" ht="14.25" customHeight="1">
      <c r="C557" s="48"/>
    </row>
    <row r="558" ht="14.25" customHeight="1">
      <c r="C558" s="48"/>
    </row>
    <row r="559" ht="14.25" customHeight="1">
      <c r="C559" s="48"/>
    </row>
    <row r="560" ht="14.25" customHeight="1">
      <c r="C560" s="48"/>
    </row>
    <row r="561" ht="14.25" customHeight="1">
      <c r="C561" s="48"/>
    </row>
    <row r="562" ht="14.25" customHeight="1">
      <c r="C562" s="48"/>
    </row>
    <row r="563" ht="14.25" customHeight="1">
      <c r="C563" s="48"/>
    </row>
    <row r="564" ht="14.25" customHeight="1">
      <c r="C564" s="48"/>
    </row>
    <row r="565" ht="14.25" customHeight="1">
      <c r="C565" s="48"/>
    </row>
    <row r="566" ht="14.25" customHeight="1">
      <c r="C566" s="48"/>
    </row>
    <row r="567" ht="14.25" customHeight="1">
      <c r="C567" s="48"/>
    </row>
    <row r="568" ht="14.25" customHeight="1">
      <c r="C568" s="48"/>
    </row>
    <row r="569" ht="14.25" customHeight="1">
      <c r="C569" s="48"/>
    </row>
    <row r="570" ht="14.25" customHeight="1">
      <c r="C570" s="48"/>
    </row>
    <row r="571" ht="14.25" customHeight="1">
      <c r="C571" s="48"/>
    </row>
    <row r="572" ht="14.25" customHeight="1">
      <c r="C572" s="48"/>
    </row>
    <row r="573" ht="14.25" customHeight="1">
      <c r="C573" s="48"/>
    </row>
    <row r="574" ht="14.25" customHeight="1">
      <c r="C574" s="48"/>
    </row>
    <row r="575" ht="14.25" customHeight="1">
      <c r="C575" s="48"/>
    </row>
    <row r="576" ht="14.25" customHeight="1">
      <c r="C576" s="48"/>
    </row>
    <row r="577" ht="14.25" customHeight="1">
      <c r="C577" s="48"/>
    </row>
    <row r="578" ht="14.25" customHeight="1">
      <c r="C578" s="48"/>
    </row>
    <row r="579" ht="14.25" customHeight="1">
      <c r="C579" s="48"/>
    </row>
    <row r="580" ht="14.25" customHeight="1">
      <c r="C580" s="48"/>
    </row>
    <row r="581" ht="14.25" customHeight="1">
      <c r="C581" s="48"/>
    </row>
    <row r="582" ht="14.25" customHeight="1">
      <c r="C582" s="48"/>
    </row>
    <row r="583" ht="14.25" customHeight="1">
      <c r="C583" s="48"/>
    </row>
    <row r="584" ht="14.25" customHeight="1">
      <c r="C584" s="48"/>
    </row>
    <row r="585" ht="14.25" customHeight="1">
      <c r="C585" s="48"/>
    </row>
    <row r="586" ht="14.25" customHeight="1">
      <c r="C586" s="48"/>
    </row>
    <row r="587" ht="14.25" customHeight="1">
      <c r="C587" s="48"/>
    </row>
    <row r="588" ht="14.25" customHeight="1">
      <c r="C588" s="48"/>
    </row>
    <row r="589" ht="14.25" customHeight="1">
      <c r="C589" s="48"/>
    </row>
    <row r="590" ht="14.25" customHeight="1">
      <c r="C590" s="48"/>
    </row>
    <row r="591" ht="14.25" customHeight="1">
      <c r="C591" s="48"/>
    </row>
    <row r="592" ht="14.25" customHeight="1">
      <c r="C592" s="48"/>
    </row>
    <row r="593" ht="14.25" customHeight="1">
      <c r="C593" s="48"/>
    </row>
    <row r="594" ht="14.25" customHeight="1">
      <c r="C594" s="48"/>
    </row>
    <row r="595" ht="14.25" customHeight="1">
      <c r="C595" s="48"/>
    </row>
    <row r="596" ht="14.25" customHeight="1">
      <c r="C596" s="48"/>
    </row>
    <row r="597" ht="14.25" customHeight="1">
      <c r="C597" s="48"/>
    </row>
    <row r="598" ht="14.25" customHeight="1">
      <c r="C598" s="48"/>
    </row>
    <row r="599" ht="14.25" customHeight="1">
      <c r="C599" s="48"/>
    </row>
    <row r="600" ht="14.25" customHeight="1">
      <c r="C600" s="48"/>
    </row>
    <row r="601" ht="14.25" customHeight="1">
      <c r="C601" s="48"/>
    </row>
    <row r="602" ht="14.25" customHeight="1">
      <c r="C602" s="48"/>
    </row>
    <row r="603" ht="14.25" customHeight="1">
      <c r="C603" s="48"/>
    </row>
    <row r="604" ht="14.25" customHeight="1">
      <c r="C604" s="48"/>
    </row>
    <row r="605" ht="14.25" customHeight="1">
      <c r="C605" s="48"/>
    </row>
    <row r="606" ht="14.25" customHeight="1">
      <c r="C606" s="48"/>
    </row>
    <row r="607" ht="14.25" customHeight="1">
      <c r="C607" s="48"/>
    </row>
    <row r="608" ht="14.25" customHeight="1">
      <c r="C608" s="48"/>
    </row>
    <row r="609" ht="14.25" customHeight="1">
      <c r="C609" s="48"/>
    </row>
    <row r="610" ht="14.25" customHeight="1">
      <c r="C610" s="48"/>
    </row>
    <row r="611" ht="14.25" customHeight="1">
      <c r="C611" s="48"/>
    </row>
    <row r="612" ht="14.25" customHeight="1">
      <c r="C612" s="48"/>
    </row>
    <row r="613" ht="14.25" customHeight="1">
      <c r="C613" s="48"/>
    </row>
    <row r="614" ht="14.25" customHeight="1">
      <c r="C614" s="48"/>
    </row>
    <row r="615" ht="14.25" customHeight="1">
      <c r="C615" s="48"/>
    </row>
    <row r="616" ht="14.25" customHeight="1">
      <c r="C616" s="48"/>
    </row>
    <row r="617" ht="14.25" customHeight="1">
      <c r="C617" s="48"/>
    </row>
    <row r="618" ht="14.25" customHeight="1">
      <c r="C618" s="48"/>
    </row>
    <row r="619" ht="14.25" customHeight="1">
      <c r="C619" s="48"/>
    </row>
    <row r="620" ht="14.25" customHeight="1">
      <c r="C620" s="48"/>
    </row>
    <row r="621" ht="14.25" customHeight="1">
      <c r="C621" s="48"/>
    </row>
    <row r="622" ht="14.25" customHeight="1">
      <c r="C622" s="48"/>
    </row>
    <row r="623" ht="14.25" customHeight="1">
      <c r="C623" s="48"/>
    </row>
    <row r="624" ht="14.25" customHeight="1">
      <c r="C624" s="48"/>
    </row>
    <row r="625" ht="14.25" customHeight="1">
      <c r="C625" s="48"/>
    </row>
    <row r="626" ht="14.25" customHeight="1">
      <c r="C626" s="48"/>
    </row>
    <row r="627" ht="14.25" customHeight="1">
      <c r="C627" s="48"/>
    </row>
    <row r="628" ht="14.25" customHeight="1">
      <c r="C628" s="48"/>
    </row>
    <row r="629" ht="14.25" customHeight="1">
      <c r="C629" s="48"/>
    </row>
    <row r="630" ht="14.25" customHeight="1">
      <c r="C630" s="48"/>
    </row>
    <row r="631" ht="14.25" customHeight="1">
      <c r="C631" s="48"/>
    </row>
    <row r="632" ht="14.25" customHeight="1">
      <c r="C632" s="48"/>
    </row>
    <row r="633" ht="14.25" customHeight="1">
      <c r="C633" s="48"/>
    </row>
    <row r="634" ht="14.25" customHeight="1">
      <c r="C634" s="48"/>
    </row>
    <row r="635" ht="14.25" customHeight="1">
      <c r="C635" s="48"/>
    </row>
    <row r="636" ht="14.25" customHeight="1">
      <c r="C636" s="48"/>
    </row>
    <row r="637" ht="14.25" customHeight="1">
      <c r="C637" s="48"/>
    </row>
    <row r="638" ht="14.25" customHeight="1">
      <c r="C638" s="48"/>
    </row>
    <row r="639" ht="14.25" customHeight="1">
      <c r="C639" s="48"/>
    </row>
    <row r="640" ht="14.25" customHeight="1">
      <c r="C640" s="48"/>
    </row>
    <row r="641" ht="14.25" customHeight="1">
      <c r="C641" s="48"/>
    </row>
    <row r="642" ht="14.25" customHeight="1">
      <c r="C642" s="48"/>
    </row>
    <row r="643" ht="14.25" customHeight="1">
      <c r="C643" s="48"/>
    </row>
    <row r="644" ht="14.25" customHeight="1">
      <c r="C644" s="48"/>
    </row>
    <row r="645" ht="14.25" customHeight="1">
      <c r="C645" s="48"/>
    </row>
    <row r="646" ht="14.25" customHeight="1">
      <c r="C646" s="48"/>
    </row>
    <row r="647" ht="14.25" customHeight="1">
      <c r="C647" s="48"/>
    </row>
    <row r="648" ht="14.25" customHeight="1">
      <c r="C648" s="48"/>
    </row>
    <row r="649" ht="14.25" customHeight="1">
      <c r="C649" s="48"/>
    </row>
    <row r="650" ht="14.25" customHeight="1">
      <c r="C650" s="48"/>
    </row>
    <row r="651" ht="14.25" customHeight="1">
      <c r="C651" s="48"/>
    </row>
    <row r="652" ht="14.25" customHeight="1">
      <c r="C652" s="48"/>
    </row>
    <row r="653" ht="14.25" customHeight="1">
      <c r="C653" s="48"/>
    </row>
    <row r="654" ht="14.25" customHeight="1">
      <c r="C654" s="48"/>
    </row>
    <row r="655" ht="14.25" customHeight="1">
      <c r="C655" s="48"/>
    </row>
    <row r="656" ht="14.25" customHeight="1">
      <c r="C656" s="48"/>
    </row>
    <row r="657" ht="14.25" customHeight="1">
      <c r="C657" s="48"/>
    </row>
    <row r="658" ht="14.25" customHeight="1">
      <c r="C658" s="48"/>
    </row>
    <row r="659" ht="14.25" customHeight="1">
      <c r="C659" s="48"/>
    </row>
    <row r="660" ht="14.25" customHeight="1">
      <c r="C660" s="48"/>
    </row>
    <row r="661" ht="14.25" customHeight="1">
      <c r="C661" s="48"/>
    </row>
    <row r="662" ht="14.25" customHeight="1">
      <c r="C662" s="48"/>
    </row>
    <row r="663" ht="14.25" customHeight="1">
      <c r="C663" s="48"/>
    </row>
    <row r="664" ht="14.25" customHeight="1">
      <c r="C664" s="48"/>
    </row>
    <row r="665" ht="14.25" customHeight="1">
      <c r="C665" s="48"/>
    </row>
    <row r="666" ht="14.25" customHeight="1">
      <c r="C666" s="48"/>
    </row>
    <row r="667" ht="14.25" customHeight="1">
      <c r="C667" s="48"/>
    </row>
    <row r="668" ht="14.25" customHeight="1">
      <c r="C668" s="48"/>
    </row>
    <row r="669" ht="14.25" customHeight="1">
      <c r="C669" s="48"/>
    </row>
    <row r="670" ht="14.25" customHeight="1">
      <c r="C670" s="48"/>
    </row>
    <row r="671" ht="14.25" customHeight="1">
      <c r="C671" s="48"/>
    </row>
    <row r="672" ht="14.25" customHeight="1">
      <c r="C672" s="48"/>
    </row>
    <row r="673" ht="14.25" customHeight="1">
      <c r="C673" s="48"/>
    </row>
    <row r="674" ht="14.25" customHeight="1">
      <c r="C674" s="48"/>
    </row>
    <row r="675" ht="14.25" customHeight="1">
      <c r="C675" s="48"/>
    </row>
    <row r="676" ht="14.25" customHeight="1">
      <c r="C676" s="48"/>
    </row>
    <row r="677" ht="14.25" customHeight="1">
      <c r="C677" s="48"/>
    </row>
    <row r="678" ht="14.25" customHeight="1">
      <c r="C678" s="48"/>
    </row>
    <row r="679" ht="14.25" customHeight="1">
      <c r="C679" s="48"/>
    </row>
    <row r="680" ht="14.25" customHeight="1">
      <c r="C680" s="48"/>
    </row>
    <row r="681" ht="14.25" customHeight="1">
      <c r="C681" s="48"/>
    </row>
    <row r="682" ht="14.25" customHeight="1">
      <c r="C682" s="48"/>
    </row>
    <row r="683" ht="14.25" customHeight="1">
      <c r="C683" s="48"/>
    </row>
    <row r="684" ht="14.25" customHeight="1">
      <c r="C684" s="48"/>
    </row>
    <row r="685" ht="14.25" customHeight="1">
      <c r="C685" s="48"/>
    </row>
    <row r="686" ht="14.25" customHeight="1">
      <c r="C686" s="48"/>
    </row>
    <row r="687" ht="14.25" customHeight="1">
      <c r="C687" s="48"/>
    </row>
    <row r="688" ht="14.25" customHeight="1">
      <c r="C688" s="48"/>
    </row>
    <row r="689" ht="14.25" customHeight="1">
      <c r="C689" s="48"/>
    </row>
    <row r="690" ht="14.25" customHeight="1">
      <c r="C690" s="48"/>
    </row>
    <row r="691" ht="14.25" customHeight="1">
      <c r="C691" s="48"/>
    </row>
    <row r="692" ht="14.25" customHeight="1">
      <c r="C692" s="48"/>
    </row>
    <row r="693" ht="14.25" customHeight="1">
      <c r="C693" s="48"/>
    </row>
    <row r="694" ht="14.25" customHeight="1">
      <c r="C694" s="48"/>
    </row>
    <row r="695" ht="14.25" customHeight="1">
      <c r="C695" s="48"/>
    </row>
    <row r="696" ht="14.25" customHeight="1">
      <c r="C696" s="48"/>
    </row>
    <row r="697" ht="14.25" customHeight="1">
      <c r="C697" s="48"/>
    </row>
    <row r="698" ht="14.25" customHeight="1">
      <c r="C698" s="48"/>
    </row>
    <row r="699" ht="14.25" customHeight="1">
      <c r="C699" s="48"/>
    </row>
    <row r="700" ht="14.25" customHeight="1">
      <c r="C700" s="48"/>
    </row>
    <row r="701" ht="14.25" customHeight="1">
      <c r="C701" s="48"/>
    </row>
    <row r="702" ht="14.25" customHeight="1">
      <c r="C702" s="48"/>
    </row>
    <row r="703" ht="14.25" customHeight="1">
      <c r="C703" s="48"/>
    </row>
    <row r="704" ht="14.25" customHeight="1">
      <c r="C704" s="48"/>
    </row>
    <row r="705" ht="14.25" customHeight="1">
      <c r="C705" s="48"/>
    </row>
    <row r="706" ht="14.25" customHeight="1">
      <c r="C706" s="48"/>
    </row>
    <row r="707" ht="14.25" customHeight="1">
      <c r="C707" s="48"/>
    </row>
    <row r="708" ht="14.25" customHeight="1">
      <c r="C708" s="48"/>
    </row>
    <row r="709" ht="14.25" customHeight="1">
      <c r="C709" s="48"/>
    </row>
    <row r="710" ht="14.25" customHeight="1">
      <c r="C710" s="48"/>
    </row>
    <row r="711" ht="14.25" customHeight="1">
      <c r="C711" s="48"/>
    </row>
    <row r="712" ht="14.25" customHeight="1">
      <c r="C712" s="48"/>
    </row>
    <row r="713" ht="14.25" customHeight="1">
      <c r="C713" s="48"/>
    </row>
    <row r="714" ht="14.25" customHeight="1">
      <c r="C714" s="48"/>
    </row>
    <row r="715" ht="14.25" customHeight="1">
      <c r="C715" s="48"/>
    </row>
    <row r="716" ht="14.25" customHeight="1">
      <c r="C716" s="48"/>
    </row>
    <row r="717" ht="14.25" customHeight="1">
      <c r="C717" s="48"/>
    </row>
    <row r="718" ht="14.25" customHeight="1">
      <c r="C718" s="48"/>
    </row>
    <row r="719" ht="14.25" customHeight="1">
      <c r="C719" s="48"/>
    </row>
    <row r="720" ht="14.25" customHeight="1">
      <c r="C720" s="48"/>
    </row>
    <row r="721" ht="14.25" customHeight="1">
      <c r="C721" s="48"/>
    </row>
    <row r="722" ht="14.25" customHeight="1">
      <c r="C722" s="48"/>
    </row>
    <row r="723" ht="14.25" customHeight="1">
      <c r="C723" s="48"/>
    </row>
    <row r="724" ht="14.25" customHeight="1">
      <c r="C724" s="48"/>
    </row>
    <row r="725" ht="14.25" customHeight="1">
      <c r="C725" s="48"/>
    </row>
    <row r="726" ht="14.25" customHeight="1">
      <c r="C726" s="48"/>
    </row>
    <row r="727" ht="14.25" customHeight="1">
      <c r="C727" s="48"/>
    </row>
    <row r="728" ht="14.25" customHeight="1">
      <c r="C728" s="48"/>
    </row>
    <row r="729" ht="14.25" customHeight="1">
      <c r="C729" s="48"/>
    </row>
    <row r="730" ht="14.25" customHeight="1">
      <c r="C730" s="48"/>
    </row>
    <row r="731" ht="14.25" customHeight="1">
      <c r="C731" s="48"/>
    </row>
    <row r="732" ht="14.25" customHeight="1">
      <c r="C732" s="48"/>
    </row>
    <row r="733" ht="14.25" customHeight="1">
      <c r="C733" s="48"/>
    </row>
    <row r="734" ht="14.25" customHeight="1">
      <c r="C734" s="48"/>
    </row>
    <row r="735" ht="14.25" customHeight="1">
      <c r="C735" s="48"/>
    </row>
    <row r="736" ht="14.25" customHeight="1">
      <c r="C736" s="48"/>
    </row>
    <row r="737" ht="14.25" customHeight="1">
      <c r="C737" s="48"/>
    </row>
    <row r="738" ht="14.25" customHeight="1">
      <c r="C738" s="48"/>
    </row>
    <row r="739" ht="14.25" customHeight="1">
      <c r="C739" s="48"/>
    </row>
    <row r="740" ht="14.25" customHeight="1">
      <c r="C740" s="48"/>
    </row>
    <row r="741" ht="14.25" customHeight="1">
      <c r="C741" s="48"/>
    </row>
    <row r="742" ht="14.25" customHeight="1">
      <c r="C742" s="48"/>
    </row>
    <row r="743" ht="14.25" customHeight="1">
      <c r="C743" s="48"/>
    </row>
    <row r="744" ht="14.25" customHeight="1">
      <c r="C744" s="48"/>
    </row>
    <row r="745" ht="14.25" customHeight="1">
      <c r="C745" s="48"/>
    </row>
    <row r="746" ht="14.25" customHeight="1">
      <c r="C746" s="48"/>
    </row>
    <row r="747" ht="14.25" customHeight="1">
      <c r="C747" s="48"/>
    </row>
    <row r="748" ht="14.25" customHeight="1">
      <c r="C748" s="48"/>
    </row>
    <row r="749" ht="14.25" customHeight="1">
      <c r="C749" s="48"/>
    </row>
    <row r="750" ht="14.25" customHeight="1">
      <c r="C750" s="48"/>
    </row>
    <row r="751" ht="14.25" customHeight="1">
      <c r="C751" s="48"/>
    </row>
    <row r="752" ht="14.25" customHeight="1">
      <c r="C752" s="48"/>
    </row>
    <row r="753" ht="14.25" customHeight="1">
      <c r="C753" s="48"/>
    </row>
    <row r="754" ht="14.25" customHeight="1">
      <c r="C754" s="48"/>
    </row>
    <row r="755" ht="14.25" customHeight="1">
      <c r="C755" s="48"/>
    </row>
    <row r="756" ht="14.25" customHeight="1">
      <c r="C756" s="48"/>
    </row>
    <row r="757" ht="14.25" customHeight="1">
      <c r="C757" s="48"/>
    </row>
    <row r="758" ht="14.25" customHeight="1">
      <c r="C758" s="48"/>
    </row>
    <row r="759" ht="14.25" customHeight="1">
      <c r="C759" s="48"/>
    </row>
    <row r="760" ht="14.25" customHeight="1">
      <c r="C760" s="48"/>
    </row>
    <row r="761" ht="14.25" customHeight="1">
      <c r="C761" s="48"/>
    </row>
    <row r="762" ht="14.25" customHeight="1">
      <c r="C762" s="48"/>
    </row>
    <row r="763" ht="14.25" customHeight="1">
      <c r="C763" s="48"/>
    </row>
    <row r="764" ht="14.25" customHeight="1">
      <c r="C764" s="48"/>
    </row>
    <row r="765" ht="14.25" customHeight="1">
      <c r="C765" s="48"/>
    </row>
    <row r="766" ht="14.25" customHeight="1">
      <c r="C766" s="48"/>
    </row>
    <row r="767" ht="14.25" customHeight="1">
      <c r="C767" s="48"/>
    </row>
    <row r="768" ht="14.25" customHeight="1">
      <c r="C768" s="48"/>
    </row>
    <row r="769" ht="14.25" customHeight="1">
      <c r="C769" s="48"/>
    </row>
    <row r="770" ht="14.25" customHeight="1">
      <c r="C770" s="48"/>
    </row>
    <row r="771" ht="14.25" customHeight="1">
      <c r="C771" s="48"/>
    </row>
    <row r="772" ht="14.25" customHeight="1">
      <c r="C772" s="48"/>
    </row>
    <row r="773" ht="14.25" customHeight="1">
      <c r="C773" s="48"/>
    </row>
    <row r="774" ht="14.25" customHeight="1">
      <c r="C774" s="48"/>
    </row>
    <row r="775" ht="14.25" customHeight="1">
      <c r="C775" s="48"/>
    </row>
    <row r="776" ht="14.25" customHeight="1">
      <c r="C776" s="48"/>
    </row>
    <row r="777" ht="14.25" customHeight="1">
      <c r="C777" s="48"/>
    </row>
    <row r="778" ht="14.25" customHeight="1">
      <c r="C778" s="48"/>
    </row>
    <row r="779" ht="14.25" customHeight="1">
      <c r="C779" s="48"/>
    </row>
    <row r="780" ht="14.25" customHeight="1">
      <c r="C780" s="48"/>
    </row>
    <row r="781" ht="14.25" customHeight="1">
      <c r="C781" s="48"/>
    </row>
    <row r="782" ht="14.25" customHeight="1">
      <c r="C782" s="48"/>
    </row>
    <row r="783" ht="14.25" customHeight="1">
      <c r="C783" s="48"/>
    </row>
    <row r="784" ht="14.25" customHeight="1">
      <c r="C784" s="48"/>
    </row>
    <row r="785" ht="14.25" customHeight="1">
      <c r="C785" s="48"/>
    </row>
    <row r="786" ht="14.25" customHeight="1">
      <c r="C786" s="48"/>
    </row>
    <row r="787" ht="14.25" customHeight="1">
      <c r="C787" s="48"/>
    </row>
    <row r="788" ht="14.25" customHeight="1">
      <c r="C788" s="48"/>
    </row>
    <row r="789" ht="14.25" customHeight="1">
      <c r="C789" s="48"/>
    </row>
    <row r="790" ht="14.25" customHeight="1">
      <c r="C790" s="48"/>
    </row>
    <row r="791" ht="14.25" customHeight="1">
      <c r="C791" s="48"/>
    </row>
    <row r="792" ht="14.25" customHeight="1">
      <c r="C792" s="48"/>
    </row>
    <row r="793" ht="14.25" customHeight="1">
      <c r="C793" s="48"/>
    </row>
    <row r="794" ht="14.25" customHeight="1">
      <c r="C794" s="48"/>
    </row>
    <row r="795" ht="14.25" customHeight="1">
      <c r="C795" s="48"/>
    </row>
    <row r="796" ht="14.25" customHeight="1">
      <c r="C796" s="48"/>
    </row>
    <row r="797" ht="14.25" customHeight="1">
      <c r="C797" s="48"/>
    </row>
    <row r="798" ht="14.25" customHeight="1">
      <c r="C798" s="48"/>
    </row>
    <row r="799" ht="14.25" customHeight="1">
      <c r="C799" s="48"/>
    </row>
    <row r="800" ht="14.25" customHeight="1">
      <c r="C800" s="48"/>
    </row>
    <row r="801" ht="14.25" customHeight="1">
      <c r="C801" s="48"/>
    </row>
    <row r="802" ht="14.25" customHeight="1">
      <c r="C802" s="48"/>
    </row>
    <row r="803" ht="14.25" customHeight="1">
      <c r="C803" s="48"/>
    </row>
    <row r="804" ht="14.25" customHeight="1">
      <c r="C804" s="48"/>
    </row>
    <row r="805" ht="14.25" customHeight="1">
      <c r="C805" s="48"/>
    </row>
    <row r="806" ht="14.25" customHeight="1">
      <c r="C806" s="48"/>
    </row>
    <row r="807" ht="14.25" customHeight="1">
      <c r="C807" s="48"/>
    </row>
    <row r="808" ht="14.25" customHeight="1">
      <c r="C808" s="48"/>
    </row>
    <row r="809" ht="14.25" customHeight="1">
      <c r="C809" s="48"/>
    </row>
    <row r="810" ht="14.25" customHeight="1">
      <c r="C810" s="48"/>
    </row>
    <row r="811" ht="14.25" customHeight="1">
      <c r="C811" s="48"/>
    </row>
    <row r="812" ht="14.25" customHeight="1">
      <c r="C812" s="48"/>
    </row>
    <row r="813" ht="14.25" customHeight="1">
      <c r="C813" s="48"/>
    </row>
    <row r="814" ht="14.25" customHeight="1">
      <c r="C814" s="48"/>
    </row>
    <row r="815" ht="14.25" customHeight="1">
      <c r="C815" s="48"/>
    </row>
    <row r="816" ht="14.25" customHeight="1">
      <c r="C816" s="48"/>
    </row>
    <row r="817" ht="14.25" customHeight="1">
      <c r="C817" s="48"/>
    </row>
    <row r="818" ht="14.25" customHeight="1">
      <c r="C818" s="48"/>
    </row>
    <row r="819" ht="14.25" customHeight="1">
      <c r="C819" s="48"/>
    </row>
    <row r="820" ht="14.25" customHeight="1">
      <c r="C820" s="48"/>
    </row>
    <row r="821" ht="14.25" customHeight="1">
      <c r="C821" s="48"/>
    </row>
    <row r="822" ht="14.25" customHeight="1">
      <c r="C822" s="48"/>
    </row>
    <row r="823" ht="14.25" customHeight="1">
      <c r="C823" s="48"/>
    </row>
    <row r="824" ht="14.25" customHeight="1">
      <c r="C824" s="48"/>
    </row>
    <row r="825" ht="14.25" customHeight="1">
      <c r="C825" s="48"/>
    </row>
    <row r="826" ht="14.25" customHeight="1">
      <c r="C826" s="48"/>
    </row>
    <row r="827" ht="14.25" customHeight="1">
      <c r="C827" s="48"/>
    </row>
    <row r="828" ht="14.25" customHeight="1">
      <c r="C828" s="48"/>
    </row>
    <row r="829" ht="14.25" customHeight="1">
      <c r="C829" s="48"/>
    </row>
    <row r="830" ht="14.25" customHeight="1">
      <c r="C830" s="48"/>
    </row>
    <row r="831" ht="14.25" customHeight="1">
      <c r="C831" s="48"/>
    </row>
    <row r="832" ht="14.25" customHeight="1">
      <c r="C832" s="48"/>
    </row>
    <row r="833" ht="14.25" customHeight="1">
      <c r="C833" s="48"/>
    </row>
    <row r="834" ht="14.25" customHeight="1">
      <c r="C834" s="48"/>
    </row>
    <row r="835" ht="14.25" customHeight="1">
      <c r="C835" s="48"/>
    </row>
    <row r="836" ht="14.25" customHeight="1">
      <c r="C836" s="48"/>
    </row>
    <row r="837" ht="14.25" customHeight="1">
      <c r="C837" s="48"/>
    </row>
    <row r="838" ht="14.25" customHeight="1">
      <c r="C838" s="48"/>
    </row>
    <row r="839" ht="14.25" customHeight="1">
      <c r="C839" s="48"/>
    </row>
    <row r="840" ht="14.25" customHeight="1">
      <c r="C840" s="48"/>
    </row>
    <row r="841" ht="14.25" customHeight="1">
      <c r="C841" s="48"/>
    </row>
    <row r="842" ht="14.25" customHeight="1">
      <c r="C842" s="48"/>
    </row>
    <row r="843" ht="14.25" customHeight="1">
      <c r="C843" s="48"/>
    </row>
    <row r="844" ht="14.25" customHeight="1">
      <c r="C844" s="48"/>
    </row>
    <row r="845" ht="14.25" customHeight="1">
      <c r="C845" s="48"/>
    </row>
    <row r="846" ht="14.25" customHeight="1">
      <c r="C846" s="48"/>
    </row>
    <row r="847" ht="14.25" customHeight="1">
      <c r="C847" s="48"/>
    </row>
    <row r="848" ht="14.25" customHeight="1">
      <c r="C848" s="48"/>
    </row>
    <row r="849" ht="14.25" customHeight="1">
      <c r="C849" s="48"/>
    </row>
    <row r="850" ht="14.25" customHeight="1">
      <c r="C850" s="48"/>
    </row>
    <row r="851" ht="14.25" customHeight="1">
      <c r="C851" s="48"/>
    </row>
    <row r="852" ht="14.25" customHeight="1">
      <c r="C852" s="48"/>
    </row>
    <row r="853" ht="14.25" customHeight="1">
      <c r="C853" s="48"/>
    </row>
    <row r="854" ht="14.25" customHeight="1">
      <c r="C854" s="48"/>
    </row>
    <row r="855" ht="14.25" customHeight="1">
      <c r="C855" s="48"/>
    </row>
    <row r="856" ht="14.25" customHeight="1">
      <c r="C856" s="48"/>
    </row>
    <row r="857" ht="14.25" customHeight="1">
      <c r="C857" s="48"/>
    </row>
    <row r="858" ht="14.25" customHeight="1">
      <c r="C858" s="48"/>
    </row>
    <row r="859" ht="14.25" customHeight="1">
      <c r="C859" s="48"/>
    </row>
    <row r="860" ht="14.25" customHeight="1">
      <c r="C860" s="48"/>
    </row>
    <row r="861" ht="14.25" customHeight="1">
      <c r="C861" s="48"/>
    </row>
    <row r="862" ht="14.25" customHeight="1">
      <c r="C862" s="48"/>
    </row>
    <row r="863" ht="14.25" customHeight="1">
      <c r="C863" s="48"/>
    </row>
    <row r="864" ht="14.25" customHeight="1">
      <c r="C864" s="48"/>
    </row>
    <row r="865" ht="14.25" customHeight="1">
      <c r="C865" s="48"/>
    </row>
    <row r="866" ht="14.25" customHeight="1">
      <c r="C866" s="48"/>
    </row>
    <row r="867" ht="14.25" customHeight="1">
      <c r="C867" s="48"/>
    </row>
    <row r="868" ht="14.25" customHeight="1">
      <c r="C868" s="48"/>
    </row>
    <row r="869" ht="14.25" customHeight="1">
      <c r="C869" s="48"/>
    </row>
    <row r="870" ht="14.25" customHeight="1">
      <c r="C870" s="48"/>
    </row>
    <row r="871" ht="14.25" customHeight="1">
      <c r="C871" s="48"/>
    </row>
    <row r="872" ht="14.25" customHeight="1">
      <c r="C872" s="48"/>
    </row>
    <row r="873" ht="14.25" customHeight="1">
      <c r="C873" s="48"/>
    </row>
    <row r="874" ht="14.25" customHeight="1">
      <c r="C874" s="48"/>
    </row>
    <row r="875" ht="14.25" customHeight="1">
      <c r="C875" s="48"/>
    </row>
    <row r="876" ht="14.25" customHeight="1">
      <c r="C876" s="48"/>
    </row>
    <row r="877" ht="14.25" customHeight="1">
      <c r="C877" s="48"/>
    </row>
    <row r="878" ht="14.25" customHeight="1">
      <c r="C878" s="48"/>
    </row>
    <row r="879" ht="14.25" customHeight="1">
      <c r="C879" s="48"/>
    </row>
    <row r="880" ht="14.25" customHeight="1">
      <c r="C880" s="48"/>
    </row>
    <row r="881" ht="14.25" customHeight="1">
      <c r="C881" s="48"/>
    </row>
    <row r="882" ht="14.25" customHeight="1">
      <c r="C882" s="48"/>
    </row>
    <row r="883" ht="14.25" customHeight="1">
      <c r="C883" s="48"/>
    </row>
    <row r="884" ht="14.25" customHeight="1">
      <c r="C884" s="48"/>
    </row>
    <row r="885" ht="14.25" customHeight="1">
      <c r="C885" s="48"/>
    </row>
    <row r="886" ht="14.25" customHeight="1">
      <c r="C886" s="48"/>
    </row>
    <row r="887" ht="14.25" customHeight="1">
      <c r="C887" s="48"/>
    </row>
    <row r="888" ht="14.25" customHeight="1">
      <c r="C888" s="48"/>
    </row>
    <row r="889" ht="14.25" customHeight="1">
      <c r="C889" s="48"/>
    </row>
    <row r="890" ht="14.25" customHeight="1">
      <c r="C890" s="48"/>
    </row>
    <row r="891" ht="14.25" customHeight="1">
      <c r="C891" s="48"/>
    </row>
    <row r="892" ht="14.25" customHeight="1">
      <c r="C892" s="48"/>
    </row>
    <row r="893" ht="14.25" customHeight="1">
      <c r="C893" s="48"/>
    </row>
    <row r="894" ht="14.25" customHeight="1">
      <c r="C894" s="48"/>
    </row>
    <row r="895" ht="14.25" customHeight="1">
      <c r="C895" s="48"/>
    </row>
    <row r="896" ht="14.25" customHeight="1">
      <c r="C896" s="48"/>
    </row>
    <row r="897" ht="14.25" customHeight="1">
      <c r="C897" s="48"/>
    </row>
    <row r="898" ht="14.25" customHeight="1">
      <c r="C898" s="48"/>
    </row>
    <row r="899" ht="14.25" customHeight="1">
      <c r="C899" s="48"/>
    </row>
    <row r="900" ht="14.25" customHeight="1">
      <c r="C900" s="48"/>
    </row>
    <row r="901" ht="14.25" customHeight="1">
      <c r="C901" s="48"/>
    </row>
    <row r="902" ht="14.25" customHeight="1">
      <c r="C902" s="48"/>
    </row>
    <row r="903" ht="14.25" customHeight="1">
      <c r="C903" s="48"/>
    </row>
    <row r="904" ht="14.25" customHeight="1">
      <c r="C904" s="48"/>
    </row>
    <row r="905" ht="14.25" customHeight="1">
      <c r="C905" s="48"/>
    </row>
    <row r="906" ht="14.25" customHeight="1">
      <c r="C906" s="48"/>
    </row>
    <row r="907" ht="14.25" customHeight="1">
      <c r="C907" s="48"/>
    </row>
    <row r="908" ht="14.25" customHeight="1">
      <c r="C908" s="48"/>
    </row>
    <row r="909" ht="14.25" customHeight="1">
      <c r="C909" s="48"/>
    </row>
    <row r="910" ht="14.25" customHeight="1">
      <c r="C910" s="48"/>
    </row>
    <row r="911" ht="14.25" customHeight="1">
      <c r="C911" s="48"/>
    </row>
    <row r="912" ht="14.25" customHeight="1">
      <c r="C912" s="48"/>
    </row>
    <row r="913" ht="14.25" customHeight="1">
      <c r="C913" s="48"/>
    </row>
    <row r="914" ht="14.25" customHeight="1">
      <c r="C914" s="48"/>
    </row>
    <row r="915" ht="14.25" customHeight="1">
      <c r="C915" s="48"/>
    </row>
    <row r="916" ht="14.25" customHeight="1">
      <c r="C916" s="48"/>
    </row>
    <row r="917" ht="14.25" customHeight="1">
      <c r="C917" s="48"/>
    </row>
    <row r="918" ht="14.25" customHeight="1">
      <c r="C918" s="48"/>
    </row>
    <row r="919" ht="14.25" customHeight="1">
      <c r="C919" s="48"/>
    </row>
    <row r="920" ht="14.25" customHeight="1">
      <c r="C920" s="48"/>
    </row>
    <row r="921" ht="14.25" customHeight="1">
      <c r="C921" s="48"/>
    </row>
    <row r="922" ht="14.25" customHeight="1">
      <c r="C922" s="48"/>
    </row>
    <row r="923" ht="14.25" customHeight="1">
      <c r="C923" s="48"/>
    </row>
    <row r="924" ht="14.25" customHeight="1">
      <c r="C924" s="48"/>
    </row>
    <row r="925" ht="14.25" customHeight="1">
      <c r="C925" s="48"/>
    </row>
    <row r="926" ht="14.25" customHeight="1">
      <c r="C926" s="48"/>
    </row>
    <row r="927" ht="14.25" customHeight="1">
      <c r="C927" s="48"/>
    </row>
    <row r="928" ht="14.25" customHeight="1">
      <c r="C928" s="48"/>
    </row>
    <row r="929" ht="14.25" customHeight="1">
      <c r="C929" s="48"/>
    </row>
    <row r="930" ht="14.25" customHeight="1">
      <c r="C930" s="48"/>
    </row>
    <row r="931" ht="14.25" customHeight="1">
      <c r="C931" s="48"/>
    </row>
    <row r="932" ht="14.25" customHeight="1">
      <c r="C932" s="48"/>
    </row>
    <row r="933" ht="14.25" customHeight="1">
      <c r="C933" s="48"/>
    </row>
    <row r="934" ht="14.25" customHeight="1">
      <c r="C934" s="48"/>
    </row>
    <row r="935" ht="14.25" customHeight="1">
      <c r="C935" s="48"/>
    </row>
    <row r="936" ht="14.25" customHeight="1">
      <c r="C936" s="48"/>
    </row>
    <row r="937" ht="14.25" customHeight="1">
      <c r="C937" s="48"/>
    </row>
    <row r="938" ht="14.25" customHeight="1">
      <c r="C938" s="48"/>
    </row>
    <row r="939" ht="14.25" customHeight="1">
      <c r="C939" s="48"/>
    </row>
    <row r="940" ht="14.25" customHeight="1">
      <c r="C940" s="48"/>
    </row>
    <row r="941" ht="14.25" customHeight="1">
      <c r="C941" s="48"/>
    </row>
    <row r="942" ht="14.25" customHeight="1">
      <c r="C942" s="48"/>
    </row>
    <row r="943" ht="14.25" customHeight="1">
      <c r="C943" s="48"/>
    </row>
    <row r="944" ht="14.25" customHeight="1">
      <c r="C944" s="48"/>
    </row>
    <row r="945" ht="14.25" customHeight="1">
      <c r="C945" s="48"/>
    </row>
    <row r="946" ht="14.25" customHeight="1">
      <c r="C946" s="48"/>
    </row>
    <row r="947" ht="14.25" customHeight="1">
      <c r="C947" s="48"/>
    </row>
    <row r="948" ht="14.25" customHeight="1">
      <c r="C948" s="48"/>
    </row>
    <row r="949" ht="14.25" customHeight="1">
      <c r="C949" s="48"/>
    </row>
    <row r="950" ht="14.25" customHeight="1">
      <c r="C950" s="48"/>
    </row>
    <row r="951" ht="14.25" customHeight="1">
      <c r="C951" s="48"/>
    </row>
    <row r="952" ht="14.25" customHeight="1">
      <c r="C952" s="48"/>
    </row>
    <row r="953" ht="14.25" customHeight="1">
      <c r="C953" s="48"/>
    </row>
    <row r="954" ht="14.25" customHeight="1">
      <c r="C954" s="48"/>
    </row>
    <row r="955" ht="14.25" customHeight="1">
      <c r="C955" s="48"/>
    </row>
    <row r="956" ht="14.25" customHeight="1">
      <c r="C956" s="48"/>
    </row>
    <row r="957" ht="14.25" customHeight="1">
      <c r="C957" s="48"/>
    </row>
    <row r="958" ht="14.25" customHeight="1">
      <c r="C958" s="48"/>
    </row>
    <row r="959" ht="14.25" customHeight="1">
      <c r="C959" s="48"/>
    </row>
    <row r="960" ht="14.25" customHeight="1">
      <c r="C960" s="48"/>
    </row>
    <row r="961" ht="14.25" customHeight="1">
      <c r="C961" s="48"/>
    </row>
    <row r="962" ht="14.25" customHeight="1">
      <c r="C962" s="48"/>
    </row>
    <row r="963" ht="14.25" customHeight="1">
      <c r="C963" s="48"/>
    </row>
    <row r="964" ht="14.25" customHeight="1">
      <c r="C964" s="48"/>
    </row>
    <row r="965" ht="14.25" customHeight="1">
      <c r="C965" s="48"/>
    </row>
    <row r="966" ht="14.25" customHeight="1">
      <c r="C966" s="48"/>
    </row>
    <row r="967" ht="14.25" customHeight="1">
      <c r="C967" s="48"/>
    </row>
    <row r="968" ht="14.25" customHeight="1">
      <c r="C968" s="48"/>
    </row>
    <row r="969" ht="14.25" customHeight="1">
      <c r="C969" s="48"/>
    </row>
    <row r="970" ht="14.25" customHeight="1">
      <c r="C970" s="48"/>
    </row>
    <row r="971" ht="14.25" customHeight="1">
      <c r="C971" s="48"/>
    </row>
    <row r="972" ht="14.25" customHeight="1">
      <c r="C972" s="48"/>
    </row>
    <row r="973" ht="14.25" customHeight="1">
      <c r="C973" s="48"/>
    </row>
    <row r="974" ht="14.25" customHeight="1">
      <c r="C974" s="48"/>
    </row>
    <row r="975" ht="14.25" customHeight="1">
      <c r="C975" s="48"/>
    </row>
    <row r="976" ht="14.25" customHeight="1">
      <c r="C976" s="48"/>
    </row>
    <row r="977" ht="14.25" customHeight="1">
      <c r="C977" s="48"/>
    </row>
    <row r="978" ht="14.25" customHeight="1">
      <c r="C978" s="48"/>
    </row>
    <row r="979" ht="14.25" customHeight="1">
      <c r="C979" s="48"/>
    </row>
    <row r="980" ht="14.25" customHeight="1">
      <c r="C980" s="48"/>
    </row>
    <row r="981" ht="14.25" customHeight="1">
      <c r="C981" s="48"/>
    </row>
    <row r="982" ht="14.25" customHeight="1">
      <c r="C982" s="48"/>
    </row>
    <row r="983" ht="14.25" customHeight="1">
      <c r="C983" s="48"/>
    </row>
    <row r="984" ht="14.25" customHeight="1">
      <c r="C984" s="48"/>
    </row>
    <row r="985" ht="14.25" customHeight="1">
      <c r="C985" s="48"/>
    </row>
    <row r="986" ht="14.25" customHeight="1">
      <c r="C986" s="48"/>
    </row>
    <row r="987" ht="14.25" customHeight="1">
      <c r="C987" s="48"/>
    </row>
    <row r="988" ht="14.25" customHeight="1">
      <c r="C988" s="48"/>
    </row>
    <row r="989" ht="14.25" customHeight="1">
      <c r="C989" s="48"/>
    </row>
    <row r="990" ht="14.25" customHeight="1">
      <c r="C990" s="48"/>
    </row>
    <row r="991" ht="14.25" customHeight="1">
      <c r="C991" s="48"/>
    </row>
    <row r="992" ht="14.25" customHeight="1">
      <c r="C992" s="48"/>
    </row>
    <row r="993" ht="14.25" customHeight="1">
      <c r="C993" s="48"/>
    </row>
    <row r="994" ht="14.25" customHeight="1">
      <c r="C994" s="48"/>
    </row>
    <row r="995" ht="14.25" customHeight="1">
      <c r="C995" s="48"/>
    </row>
    <row r="996" ht="14.25" customHeight="1">
      <c r="C996" s="48"/>
    </row>
    <row r="997" ht="14.25" customHeight="1">
      <c r="C997" s="48"/>
    </row>
    <row r="998" ht="14.25" customHeight="1">
      <c r="C998" s="48"/>
    </row>
    <row r="999" ht="14.25" customHeight="1">
      <c r="C999" s="48"/>
    </row>
    <row r="1000" ht="14.25" customHeight="1">
      <c r="C1000" s="4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5.29"/>
    <col customWidth="1" min="3" max="3" width="33.71"/>
    <col customWidth="1" min="4" max="4" width="29.57"/>
    <col customWidth="1" min="5" max="26" width="10.71"/>
  </cols>
  <sheetData>
    <row r="1" ht="14.25" customHeight="1">
      <c r="A1" s="56" t="s">
        <v>501</v>
      </c>
      <c r="B1" s="57" t="s">
        <v>9</v>
      </c>
      <c r="C1" s="56" t="s">
        <v>502</v>
      </c>
      <c r="D1" s="56" t="s">
        <v>503</v>
      </c>
    </row>
    <row r="2" ht="14.25" customHeight="1">
      <c r="A2" s="57">
        <v>1.0</v>
      </c>
      <c r="B2" s="34" t="s">
        <v>17</v>
      </c>
      <c r="C2" s="27">
        <v>25961.0</v>
      </c>
      <c r="D2" s="34">
        <v>11084.0</v>
      </c>
    </row>
    <row r="3" ht="14.25" customHeight="1">
      <c r="A3" s="57">
        <v>2.0</v>
      </c>
      <c r="B3" s="34" t="s">
        <v>21</v>
      </c>
      <c r="C3" s="27">
        <v>79253.0</v>
      </c>
      <c r="D3" s="34">
        <v>44442.0</v>
      </c>
    </row>
    <row r="4" ht="14.25" customHeight="1">
      <c r="A4" s="57">
        <v>3.0</v>
      </c>
      <c r="B4" s="34" t="s">
        <v>23</v>
      </c>
      <c r="C4" s="27">
        <v>57060.0</v>
      </c>
      <c r="D4" s="34">
        <v>40277.0</v>
      </c>
    </row>
    <row r="5" ht="14.25" customHeight="1">
      <c r="A5" s="57">
        <v>4.0</v>
      </c>
      <c r="B5" s="34" t="s">
        <v>26</v>
      </c>
      <c r="C5" s="27">
        <v>21048.0</v>
      </c>
      <c r="D5" s="34">
        <v>12424.0</v>
      </c>
    </row>
    <row r="6" ht="14.25" customHeight="1">
      <c r="A6" s="57">
        <v>5.0</v>
      </c>
      <c r="B6" s="34" t="s">
        <v>29</v>
      </c>
      <c r="C6" s="27">
        <v>35584.0</v>
      </c>
      <c r="D6" s="34">
        <v>24693.0</v>
      </c>
    </row>
    <row r="7" ht="14.25" customHeight="1">
      <c r="A7" s="57">
        <v>6.0</v>
      </c>
      <c r="B7" s="34" t="s">
        <v>33</v>
      </c>
      <c r="C7" s="27">
        <v>4383.0</v>
      </c>
      <c r="D7" s="34">
        <v>1913.0</v>
      </c>
    </row>
    <row r="8" ht="14.25" customHeight="1">
      <c r="A8" s="57">
        <v>7.0</v>
      </c>
      <c r="B8" s="34" t="s">
        <v>35</v>
      </c>
      <c r="C8" s="27">
        <v>17773.0</v>
      </c>
      <c r="D8" s="34">
        <v>10375.0</v>
      </c>
    </row>
    <row r="9" ht="14.25" customHeight="1">
      <c r="A9" s="57">
        <v>8.0</v>
      </c>
      <c r="B9" s="34" t="s">
        <v>38</v>
      </c>
      <c r="C9" s="27">
        <v>7636.0</v>
      </c>
      <c r="D9" s="34">
        <v>6135.0</v>
      </c>
    </row>
    <row r="10" ht="14.25" customHeight="1">
      <c r="A10" s="57">
        <v>9.0</v>
      </c>
      <c r="B10" s="34" t="s">
        <v>40</v>
      </c>
      <c r="C10" s="33">
        <v>3033.0</v>
      </c>
      <c r="D10" s="34">
        <v>911.0</v>
      </c>
    </row>
    <row r="11" ht="14.25" customHeight="1">
      <c r="A11" s="57">
        <v>10.0</v>
      </c>
      <c r="B11" s="34" t="s">
        <v>43</v>
      </c>
      <c r="C11" s="34">
        <v>801.0</v>
      </c>
      <c r="D11" s="34">
        <v>373.0</v>
      </c>
    </row>
    <row r="12" ht="14.25" customHeight="1">
      <c r="A12" s="57">
        <v>11.0</v>
      </c>
      <c r="B12" s="34" t="s">
        <v>45</v>
      </c>
      <c r="C12" s="34">
        <v>251731.0</v>
      </c>
      <c r="D12" s="34">
        <v>152254.0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31.57"/>
    <col customWidth="1" min="3" max="8" width="14.71"/>
    <col customWidth="1" min="9" max="10" width="9.14"/>
    <col customWidth="1" min="11" max="11" width="20.14"/>
    <col customWidth="1" min="12" max="26" width="9.14"/>
  </cols>
  <sheetData>
    <row r="1" ht="30.75" customHeight="1">
      <c r="A1" s="58" t="s">
        <v>504</v>
      </c>
      <c r="B1" s="58" t="s">
        <v>505</v>
      </c>
      <c r="C1" s="59" t="s">
        <v>506</v>
      </c>
      <c r="D1" s="59" t="s">
        <v>507</v>
      </c>
      <c r="E1" s="60" t="s">
        <v>508</v>
      </c>
      <c r="F1" s="60" t="s">
        <v>509</v>
      </c>
      <c r="G1" s="61" t="s">
        <v>510</v>
      </c>
      <c r="H1" s="61" t="s">
        <v>511</v>
      </c>
      <c r="I1" s="62" t="s">
        <v>512</v>
      </c>
      <c r="J1" s="62" t="s">
        <v>513</v>
      </c>
      <c r="K1" s="63" t="s">
        <v>514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ht="14.25" customHeight="1">
      <c r="A2" s="65">
        <v>1.0</v>
      </c>
      <c r="B2" s="22" t="s">
        <v>515</v>
      </c>
      <c r="C2" s="22">
        <v>100.0</v>
      </c>
      <c r="D2" s="66">
        <v>85.0</v>
      </c>
      <c r="E2" s="66">
        <v>85.0</v>
      </c>
      <c r="F2" s="66">
        <v>68.0</v>
      </c>
      <c r="G2" s="66">
        <v>68.0</v>
      </c>
      <c r="H2" s="66">
        <v>50.0</v>
      </c>
      <c r="I2" s="66">
        <v>50.0</v>
      </c>
      <c r="J2" s="66">
        <v>0.0</v>
      </c>
      <c r="K2" s="67" t="s">
        <v>516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26" width="11.57"/>
  </cols>
  <sheetData>
    <row r="1" ht="14.25" customHeight="1">
      <c r="A1" s="68" t="s">
        <v>517</v>
      </c>
      <c r="B1" s="69">
        <v>2012.0</v>
      </c>
      <c r="C1" s="69">
        <v>2024.0</v>
      </c>
    </row>
    <row r="2" ht="14.25" customHeight="1">
      <c r="A2" s="68" t="s">
        <v>518</v>
      </c>
      <c r="B2" s="69">
        <f>COUNTIF( 'Clasificación'!D2:D344, "Verde")</f>
        <v>1</v>
      </c>
      <c r="C2" s="69">
        <f>COUNTIF('Clasificación'!F2:F344, "Verde")</f>
        <v>2</v>
      </c>
    </row>
    <row r="3" ht="14.25" customHeight="1">
      <c r="A3" s="68" t="s">
        <v>519</v>
      </c>
      <c r="B3" s="69">
        <f>COUNTIF('Clasificación'!D2:D344, "Amarillo")</f>
        <v>7</v>
      </c>
      <c r="C3" s="69">
        <f>COUNTIF('Clasificación'!F2:F344, "Amarillo")</f>
        <v>32</v>
      </c>
    </row>
    <row r="4" ht="14.25" customHeight="1">
      <c r="A4" s="68" t="s">
        <v>520</v>
      </c>
      <c r="B4" s="69">
        <f>COUNTIF('Clasificación'!D2:D344, "Naranja")</f>
        <v>26</v>
      </c>
      <c r="C4" s="69">
        <f>COUNTIF('Clasificación'!F2:F344, "Naranja")</f>
        <v>82</v>
      </c>
    </row>
    <row r="5" ht="14.25" customHeight="1">
      <c r="A5" s="68" t="s">
        <v>521</v>
      </c>
      <c r="B5" s="69">
        <f>COUNTIF('Clasificación'!D2:D344, "Rojo")</f>
        <v>309</v>
      </c>
      <c r="C5" s="69">
        <f>COUNTIF('Clasificación'!F2:F344, "Rojo")</f>
        <v>227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6" width="14.43"/>
  </cols>
  <sheetData>
    <row r="1" ht="15.0" customHeight="1">
      <c r="A1" s="70" t="s">
        <v>522</v>
      </c>
      <c r="B1" s="70" t="s">
        <v>2</v>
      </c>
      <c r="C1" s="71" t="s">
        <v>523</v>
      </c>
      <c r="D1" s="72" t="s">
        <v>524</v>
      </c>
      <c r="E1" s="71" t="s">
        <v>525</v>
      </c>
      <c r="F1" s="72" t="s">
        <v>524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15.0" customHeight="1">
      <c r="A2" s="74">
        <v>10101.0</v>
      </c>
      <c r="B2" s="74" t="s">
        <v>19</v>
      </c>
      <c r="C2" s="75">
        <v>77.81771318106966</v>
      </c>
      <c r="D2" s="75" t="str">
        <f t="shared" ref="D2:D344" si="1">IF(C2&lt;=50,"Rojo",
   IF(C2&lt;=68,"Naranja",
   IF(C2&lt;=85,"Amarillo","Verde")))</f>
        <v>Amarillo</v>
      </c>
      <c r="E2" s="75">
        <v>83.43690222736164</v>
      </c>
      <c r="F2" s="75" t="str">
        <f t="shared" ref="F2:F344" si="2">IF(E2&lt;=50,"Rojo",
   IF(E2&lt;=68,"Naranja",
   IF(E2&lt;=85,"Amarillo","Verde")))</f>
        <v>Amarillo</v>
      </c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15.0" customHeight="1">
      <c r="A3" s="74">
        <v>10102.0</v>
      </c>
      <c r="B3" s="74" t="s">
        <v>20</v>
      </c>
      <c r="C3" s="75">
        <v>44.89795918367347</v>
      </c>
      <c r="D3" s="75" t="str">
        <f t="shared" si="1"/>
        <v>Rojo</v>
      </c>
      <c r="E3" s="75">
        <v>63.64528795811518</v>
      </c>
      <c r="F3" s="75" t="str">
        <f t="shared" si="2"/>
        <v>Naranja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5.0" customHeight="1">
      <c r="A4" s="74">
        <v>10103.0</v>
      </c>
      <c r="B4" s="74" t="s">
        <v>22</v>
      </c>
      <c r="C4" s="75">
        <v>4.187946884576098</v>
      </c>
      <c r="D4" s="75" t="str">
        <f t="shared" si="1"/>
        <v>Rojo</v>
      </c>
      <c r="E4" s="75">
        <v>12.849162011173185</v>
      </c>
      <c r="F4" s="75" t="str">
        <f t="shared" si="2"/>
        <v>Rojo</v>
      </c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5.0" customHeight="1">
      <c r="A5" s="74">
        <v>10201.0</v>
      </c>
      <c r="B5" s="74" t="s">
        <v>24</v>
      </c>
      <c r="C5" s="75">
        <v>12.844759653270291</v>
      </c>
      <c r="D5" s="75" t="str">
        <f t="shared" si="1"/>
        <v>Rojo</v>
      </c>
      <c r="E5" s="75">
        <v>29.551020408163264</v>
      </c>
      <c r="F5" s="75" t="str">
        <f t="shared" si="2"/>
        <v>Rojo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5.0" customHeight="1">
      <c r="A6" s="74">
        <v>10202.0</v>
      </c>
      <c r="B6" s="74" t="s">
        <v>27</v>
      </c>
      <c r="C6" s="75">
        <v>13.136337039204212</v>
      </c>
      <c r="D6" s="75" t="str">
        <f t="shared" si="1"/>
        <v>Rojo</v>
      </c>
      <c r="E6" s="75">
        <v>33.47107438016529</v>
      </c>
      <c r="F6" s="75" t="str">
        <f t="shared" si="2"/>
        <v>Rojo</v>
      </c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15.0" customHeight="1">
      <c r="A7" s="74">
        <v>10301.0</v>
      </c>
      <c r="B7" s="74" t="s">
        <v>30</v>
      </c>
      <c r="C7" s="75">
        <v>27.80355761794277</v>
      </c>
      <c r="D7" s="75" t="str">
        <f t="shared" si="1"/>
        <v>Rojo</v>
      </c>
      <c r="E7" s="75">
        <v>42.485095701286475</v>
      </c>
      <c r="F7" s="75" t="str">
        <f t="shared" si="2"/>
        <v>Rojo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5.0" customHeight="1">
      <c r="A8" s="74">
        <v>10302.0</v>
      </c>
      <c r="B8" s="74" t="s">
        <v>34</v>
      </c>
      <c r="C8" s="75">
        <v>17.3721015826279</v>
      </c>
      <c r="D8" s="75" t="str">
        <f t="shared" si="1"/>
        <v>Rojo</v>
      </c>
      <c r="E8" s="75">
        <v>37.786609599510854</v>
      </c>
      <c r="F8" s="75" t="str">
        <f t="shared" si="2"/>
        <v>Rojo</v>
      </c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5.0" customHeight="1">
      <c r="A9" s="74">
        <v>10303.0</v>
      </c>
      <c r="B9" s="74" t="s">
        <v>526</v>
      </c>
      <c r="C9" s="75">
        <v>26.892028254288597</v>
      </c>
      <c r="D9" s="75" t="str">
        <f t="shared" si="1"/>
        <v>Rojo</v>
      </c>
      <c r="E9" s="75">
        <v>49.03657097915847</v>
      </c>
      <c r="F9" s="75" t="str">
        <f t="shared" si="2"/>
        <v>Rojo</v>
      </c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5.0" customHeight="1">
      <c r="A10" s="74">
        <v>10304.0</v>
      </c>
      <c r="B10" s="74" t="s">
        <v>39</v>
      </c>
      <c r="C10" s="75">
        <v>39.37738940469689</v>
      </c>
      <c r="D10" s="75" t="str">
        <f t="shared" si="1"/>
        <v>Rojo</v>
      </c>
      <c r="E10" s="75">
        <v>43.111954459203034</v>
      </c>
      <c r="F10" s="75" t="str">
        <f t="shared" si="2"/>
        <v>Rojo</v>
      </c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15.0" customHeight="1">
      <c r="A11" s="74">
        <v>10401.0</v>
      </c>
      <c r="B11" s="74" t="s">
        <v>42</v>
      </c>
      <c r="C11" s="75">
        <v>33.45195729537366</v>
      </c>
      <c r="D11" s="75" t="str">
        <f t="shared" si="1"/>
        <v>Rojo</v>
      </c>
      <c r="E11" s="75">
        <v>52.35404896421846</v>
      </c>
      <c r="F11" s="75" t="str">
        <f t="shared" si="2"/>
        <v>Naranja</v>
      </c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5.0" customHeight="1">
      <c r="A12" s="74">
        <v>10402.0</v>
      </c>
      <c r="B12" s="74" t="s">
        <v>41</v>
      </c>
      <c r="C12" s="75">
        <v>28.06436346426881</v>
      </c>
      <c r="D12" s="75" t="str">
        <f t="shared" si="1"/>
        <v>Rojo</v>
      </c>
      <c r="E12" s="75">
        <v>58.31475702184574</v>
      </c>
      <c r="F12" s="75" t="str">
        <f t="shared" si="2"/>
        <v>Naranja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15.0" customHeight="1">
      <c r="A13" s="74">
        <v>10403.0</v>
      </c>
      <c r="B13" s="74" t="s">
        <v>46</v>
      </c>
      <c r="C13" s="75">
        <v>26.76616915422886</v>
      </c>
      <c r="D13" s="75" t="str">
        <f t="shared" si="1"/>
        <v>Rojo</v>
      </c>
      <c r="E13" s="75">
        <v>40.776233828461905</v>
      </c>
      <c r="F13" s="75" t="str">
        <f t="shared" si="2"/>
        <v>Rojo</v>
      </c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5.0" customHeight="1">
      <c r="A14" s="74">
        <v>10404.0</v>
      </c>
      <c r="B14" s="74" t="s">
        <v>49</v>
      </c>
      <c r="C14" s="75">
        <v>22.761194029850746</v>
      </c>
      <c r="D14" s="75" t="str">
        <f t="shared" si="1"/>
        <v>Rojo</v>
      </c>
      <c r="E14" s="75">
        <v>59.71404541631623</v>
      </c>
      <c r="F14" s="75" t="str">
        <f t="shared" si="2"/>
        <v>Naranja</v>
      </c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15.0" customHeight="1">
      <c r="A15" s="74">
        <v>10405.0</v>
      </c>
      <c r="B15" s="74" t="s">
        <v>50</v>
      </c>
      <c r="C15" s="75">
        <v>22.112211221122113</v>
      </c>
      <c r="D15" s="75" t="str">
        <f t="shared" si="1"/>
        <v>Rojo</v>
      </c>
      <c r="E15" s="75">
        <v>49.89576094510076</v>
      </c>
      <c r="F15" s="75" t="str">
        <f t="shared" si="2"/>
        <v>Rojo</v>
      </c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15.0" customHeight="1">
      <c r="A16" s="74">
        <v>10501.0</v>
      </c>
      <c r="B16" s="74" t="s">
        <v>52</v>
      </c>
      <c r="C16" s="75">
        <v>46.718210231946045</v>
      </c>
      <c r="D16" s="75" t="str">
        <f t="shared" si="1"/>
        <v>Rojo</v>
      </c>
      <c r="E16" s="75">
        <v>65.99070007749935</v>
      </c>
      <c r="F16" s="75" t="str">
        <f t="shared" si="2"/>
        <v>Naranja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5.0" customHeight="1">
      <c r="A17" s="74">
        <v>10502.0</v>
      </c>
      <c r="B17" s="74" t="s">
        <v>527</v>
      </c>
      <c r="C17" s="75">
        <v>26.936026936026934</v>
      </c>
      <c r="D17" s="75" t="str">
        <f t="shared" si="1"/>
        <v>Rojo</v>
      </c>
      <c r="E17" s="75">
        <v>48.41373315949587</v>
      </c>
      <c r="F17" s="75" t="str">
        <f t="shared" si="2"/>
        <v>Rojo</v>
      </c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15.0" customHeight="1">
      <c r="A18" s="74">
        <v>10601.0</v>
      </c>
      <c r="B18" s="74" t="s">
        <v>55</v>
      </c>
      <c r="C18" s="75">
        <v>19.33424532603739</v>
      </c>
      <c r="D18" s="75" t="str">
        <f t="shared" si="1"/>
        <v>Rojo</v>
      </c>
      <c r="E18" s="75">
        <v>44.54311755082963</v>
      </c>
      <c r="F18" s="75" t="str">
        <f t="shared" si="2"/>
        <v>Rojo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5.0" customHeight="1">
      <c r="A19" s="74">
        <v>10602.0</v>
      </c>
      <c r="B19" s="74" t="s">
        <v>54</v>
      </c>
      <c r="C19" s="75">
        <v>20.71186440677966</v>
      </c>
      <c r="D19" s="75" t="str">
        <f t="shared" si="1"/>
        <v>Rojo</v>
      </c>
      <c r="E19" s="75">
        <v>44.868035190615835</v>
      </c>
      <c r="F19" s="75" t="str">
        <f t="shared" si="2"/>
        <v>Rojo</v>
      </c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5.0" customHeight="1">
      <c r="A20" s="74">
        <v>10701.0</v>
      </c>
      <c r="B20" s="74" t="s">
        <v>57</v>
      </c>
      <c r="C20" s="75">
        <v>42.01156069364162</v>
      </c>
      <c r="D20" s="75" t="str">
        <f t="shared" si="1"/>
        <v>Rojo</v>
      </c>
      <c r="E20" s="75">
        <v>53.279175747969084</v>
      </c>
      <c r="F20" s="75" t="str">
        <f t="shared" si="2"/>
        <v>Naranja</v>
      </c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0" customHeight="1">
      <c r="A21" s="74">
        <v>10702.0</v>
      </c>
      <c r="B21" s="74" t="s">
        <v>58</v>
      </c>
      <c r="C21" s="75">
        <v>16.05894105894106</v>
      </c>
      <c r="D21" s="75" t="str">
        <f t="shared" si="1"/>
        <v>Rojo</v>
      </c>
      <c r="E21" s="75">
        <v>33.452780025430584</v>
      </c>
      <c r="F21" s="75" t="str">
        <f t="shared" si="2"/>
        <v>Rojo</v>
      </c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0" customHeight="1">
      <c r="A22" s="74">
        <v>10703.0</v>
      </c>
      <c r="B22" s="74" t="s">
        <v>59</v>
      </c>
      <c r="C22" s="75">
        <v>13.781935948182799</v>
      </c>
      <c r="D22" s="75" t="str">
        <f t="shared" si="1"/>
        <v>Rojo</v>
      </c>
      <c r="E22" s="75">
        <v>27.880127732743798</v>
      </c>
      <c r="F22" s="75" t="str">
        <f t="shared" si="2"/>
        <v>Rojo</v>
      </c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5.0" customHeight="1">
      <c r="A23" s="74">
        <v>10704.0</v>
      </c>
      <c r="B23" s="74" t="s">
        <v>60</v>
      </c>
      <c r="C23" s="75">
        <v>15.827338129496402</v>
      </c>
      <c r="D23" s="75" t="str">
        <f t="shared" si="1"/>
        <v>Rojo</v>
      </c>
      <c r="E23" s="75">
        <v>36.65</v>
      </c>
      <c r="F23" s="75" t="str">
        <f t="shared" si="2"/>
        <v>Rojo</v>
      </c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0" customHeight="1">
      <c r="A24" s="74">
        <v>10801.0</v>
      </c>
      <c r="B24" s="74" t="s">
        <v>62</v>
      </c>
      <c r="C24" s="75">
        <v>40.42553191489361</v>
      </c>
      <c r="D24" s="75" t="str">
        <f t="shared" si="1"/>
        <v>Rojo</v>
      </c>
      <c r="E24" s="75">
        <v>59.46030749921556</v>
      </c>
      <c r="F24" s="75" t="str">
        <f t="shared" si="2"/>
        <v>Naranja</v>
      </c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0" customHeight="1">
      <c r="A25" s="74">
        <v>10901.0</v>
      </c>
      <c r="B25" s="74" t="s">
        <v>64</v>
      </c>
      <c r="C25" s="75">
        <v>26.735751295336783</v>
      </c>
      <c r="D25" s="75" t="str">
        <f t="shared" si="1"/>
        <v>Rojo</v>
      </c>
      <c r="E25" s="75">
        <v>44.566010211524436</v>
      </c>
      <c r="F25" s="75" t="str">
        <f t="shared" si="2"/>
        <v>Rojo</v>
      </c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0" customHeight="1">
      <c r="A26" s="74">
        <v>10902.0</v>
      </c>
      <c r="B26" s="74" t="s">
        <v>65</v>
      </c>
      <c r="C26" s="75">
        <v>26.455026455026452</v>
      </c>
      <c r="D26" s="75" t="str">
        <f t="shared" si="1"/>
        <v>Rojo</v>
      </c>
      <c r="E26" s="75">
        <v>40.42918454935622</v>
      </c>
      <c r="F26" s="75" t="str">
        <f t="shared" si="2"/>
        <v>Rojo</v>
      </c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0" customHeight="1">
      <c r="A27" s="74">
        <v>10903.0</v>
      </c>
      <c r="B27" s="74" t="s">
        <v>66</v>
      </c>
      <c r="C27" s="75">
        <v>35.969868173258</v>
      </c>
      <c r="D27" s="75" t="str">
        <f t="shared" si="1"/>
        <v>Rojo</v>
      </c>
      <c r="E27" s="75">
        <v>61.40624999999999</v>
      </c>
      <c r="F27" s="75" t="str">
        <f t="shared" si="2"/>
        <v>Naranja</v>
      </c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75" customHeight="1">
      <c r="A28" s="74">
        <v>11001.0</v>
      </c>
      <c r="B28" s="74" t="s">
        <v>68</v>
      </c>
      <c r="C28" s="75">
        <v>39.88941548183254</v>
      </c>
      <c r="D28" s="75" t="str">
        <f t="shared" si="1"/>
        <v>Rojo</v>
      </c>
      <c r="E28" s="75">
        <v>55.389030612244895</v>
      </c>
      <c r="F28" s="75" t="str">
        <f t="shared" si="2"/>
        <v>Naranja</v>
      </c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75" customHeight="1">
      <c r="A29" s="74">
        <v>11002.0</v>
      </c>
      <c r="B29" s="74" t="s">
        <v>528</v>
      </c>
      <c r="C29" s="75">
        <v>23.217247097844112</v>
      </c>
      <c r="D29" s="75" t="str">
        <f t="shared" si="1"/>
        <v>Rojo</v>
      </c>
      <c r="E29" s="75">
        <v>68.21515892420538</v>
      </c>
      <c r="F29" s="75" t="str">
        <f t="shared" si="2"/>
        <v>Amarillo</v>
      </c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5.75" customHeight="1">
      <c r="A30" s="74">
        <v>11003.0</v>
      </c>
      <c r="B30" s="74" t="s">
        <v>71</v>
      </c>
      <c r="C30" s="75">
        <v>35.40833809251856</v>
      </c>
      <c r="D30" s="75" t="str">
        <f t="shared" si="1"/>
        <v>Rojo</v>
      </c>
      <c r="E30" s="75">
        <v>67.48251748251748</v>
      </c>
      <c r="F30" s="75" t="str">
        <f t="shared" si="2"/>
        <v>Naranja</v>
      </c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75" customHeight="1">
      <c r="A31" s="74">
        <v>20101.0</v>
      </c>
      <c r="B31" s="74" t="s">
        <v>74</v>
      </c>
      <c r="C31" s="75">
        <v>89.06552208356516</v>
      </c>
      <c r="D31" s="75" t="str">
        <f t="shared" si="1"/>
        <v>Verde</v>
      </c>
      <c r="E31" s="75">
        <v>92.31900402899602</v>
      </c>
      <c r="F31" s="75" t="str">
        <f t="shared" si="2"/>
        <v>Verde</v>
      </c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75" customHeight="1">
      <c r="A32" s="74">
        <v>20102.0</v>
      </c>
      <c r="B32" s="77" t="s">
        <v>75</v>
      </c>
      <c r="C32" s="75">
        <v>15.516175561508344</v>
      </c>
      <c r="D32" s="75" t="str">
        <f t="shared" si="1"/>
        <v>Rojo</v>
      </c>
      <c r="E32" s="75">
        <v>32.76203032300593</v>
      </c>
      <c r="F32" s="75" t="str">
        <f t="shared" si="2"/>
        <v>Rojo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A33" s="74">
        <v>20103.0</v>
      </c>
      <c r="B33" s="77" t="s">
        <v>76</v>
      </c>
      <c r="C33" s="75">
        <v>32.017362546506824</v>
      </c>
      <c r="D33" s="75" t="str">
        <f t="shared" si="1"/>
        <v>Rojo</v>
      </c>
      <c r="E33" s="75">
        <v>56.504599211563736</v>
      </c>
      <c r="F33" s="75" t="str">
        <f t="shared" si="2"/>
        <v>Naranja</v>
      </c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A34" s="74">
        <v>20104.0</v>
      </c>
      <c r="B34" s="77" t="s">
        <v>77</v>
      </c>
      <c r="C34" s="75">
        <v>6.774876499647142</v>
      </c>
      <c r="D34" s="75" t="str">
        <f t="shared" si="1"/>
        <v>Rojo</v>
      </c>
      <c r="E34" s="75">
        <v>14.057802049456955</v>
      </c>
      <c r="F34" s="75" t="str">
        <f t="shared" si="2"/>
        <v>Rojo</v>
      </c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A35" s="74">
        <v>20105.0</v>
      </c>
      <c r="B35" s="77" t="s">
        <v>78</v>
      </c>
      <c r="C35" s="75">
        <v>63.02695715820784</v>
      </c>
      <c r="D35" s="75" t="str">
        <f t="shared" si="1"/>
        <v>Naranja</v>
      </c>
      <c r="E35" s="75">
        <v>84.33423520802423</v>
      </c>
      <c r="F35" s="75" t="str">
        <f t="shared" si="2"/>
        <v>Amarillo</v>
      </c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>
      <c r="A36" s="74">
        <v>20201.0</v>
      </c>
      <c r="B36" s="77" t="s">
        <v>80</v>
      </c>
      <c r="C36" s="75">
        <v>38.180921863445896</v>
      </c>
      <c r="D36" s="75" t="str">
        <f t="shared" si="1"/>
        <v>Rojo</v>
      </c>
      <c r="E36" s="75">
        <v>58.637257043022494</v>
      </c>
      <c r="F36" s="75" t="str">
        <f t="shared" si="2"/>
        <v>Naranja</v>
      </c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75" customHeight="1">
      <c r="A37" s="74">
        <v>20202.0</v>
      </c>
      <c r="B37" s="77" t="s">
        <v>82</v>
      </c>
      <c r="C37" s="75">
        <v>14.442013129102845</v>
      </c>
      <c r="D37" s="75" t="str">
        <f t="shared" si="1"/>
        <v>Rojo</v>
      </c>
      <c r="E37" s="75">
        <v>39.29048537924892</v>
      </c>
      <c r="F37" s="75" t="str">
        <f t="shared" si="2"/>
        <v>Rojo</v>
      </c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75" customHeight="1">
      <c r="A38" s="74">
        <v>20203.0</v>
      </c>
      <c r="B38" s="77" t="s">
        <v>84</v>
      </c>
      <c r="C38" s="75">
        <v>51.92539109506619</v>
      </c>
      <c r="D38" s="75" t="str">
        <f t="shared" si="1"/>
        <v>Naranja</v>
      </c>
      <c r="E38" s="75">
        <v>49.41087039148613</v>
      </c>
      <c r="F38" s="75" t="str">
        <f t="shared" si="2"/>
        <v>Rojo</v>
      </c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75" customHeight="1">
      <c r="A39" s="74">
        <v>20204.0</v>
      </c>
      <c r="B39" s="77" t="s">
        <v>85</v>
      </c>
      <c r="C39" s="75">
        <v>29.47834645669291</v>
      </c>
      <c r="D39" s="75" t="str">
        <f t="shared" si="1"/>
        <v>Rojo</v>
      </c>
      <c r="E39" s="75">
        <v>50.70778564206269</v>
      </c>
      <c r="F39" s="75" t="str">
        <f t="shared" si="2"/>
        <v>Naranja</v>
      </c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>
      <c r="A40" s="74">
        <v>20205.0</v>
      </c>
      <c r="B40" s="77" t="s">
        <v>86</v>
      </c>
      <c r="C40" s="75">
        <v>22.59629966636336</v>
      </c>
      <c r="D40" s="75" t="str">
        <f t="shared" si="1"/>
        <v>Rojo</v>
      </c>
      <c r="E40" s="75">
        <v>56.954677383344496</v>
      </c>
      <c r="F40" s="75" t="str">
        <f t="shared" si="2"/>
        <v>Naranja</v>
      </c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75" customHeight="1">
      <c r="A41" s="74">
        <v>20206.0</v>
      </c>
      <c r="B41" s="77" t="s">
        <v>83</v>
      </c>
      <c r="C41" s="75">
        <v>34.73795101395839</v>
      </c>
      <c r="D41" s="75" t="str">
        <f t="shared" si="1"/>
        <v>Rojo</v>
      </c>
      <c r="E41" s="75">
        <v>70.66560382622559</v>
      </c>
      <c r="F41" s="75" t="str">
        <f t="shared" si="2"/>
        <v>Amarillo</v>
      </c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75" customHeight="1">
      <c r="A42" s="74">
        <v>20301.0</v>
      </c>
      <c r="B42" s="77" t="s">
        <v>89</v>
      </c>
      <c r="C42" s="75">
        <v>9.385026737967914</v>
      </c>
      <c r="D42" s="75" t="str">
        <f t="shared" si="1"/>
        <v>Rojo</v>
      </c>
      <c r="E42" s="75">
        <v>26.964149504195273</v>
      </c>
      <c r="F42" s="75" t="str">
        <f t="shared" si="2"/>
        <v>Rojo</v>
      </c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A43" s="74">
        <v>20302.0</v>
      </c>
      <c r="B43" s="77" t="s">
        <v>90</v>
      </c>
      <c r="C43" s="75">
        <v>10.260014054813773</v>
      </c>
      <c r="D43" s="75" t="str">
        <f t="shared" si="1"/>
        <v>Rojo</v>
      </c>
      <c r="E43" s="75">
        <v>33.900248423466465</v>
      </c>
      <c r="F43" s="75" t="str">
        <f t="shared" si="2"/>
        <v>Rojo</v>
      </c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74">
        <v>20303.0</v>
      </c>
      <c r="B44" s="77" t="s">
        <v>91</v>
      </c>
      <c r="C44" s="75">
        <v>6.057175205208039</v>
      </c>
      <c r="D44" s="75" t="str">
        <f t="shared" si="1"/>
        <v>Rojo</v>
      </c>
      <c r="E44" s="75">
        <v>21.769772905246672</v>
      </c>
      <c r="F44" s="75" t="str">
        <f t="shared" si="2"/>
        <v>Rojo</v>
      </c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74">
        <v>20304.0</v>
      </c>
      <c r="B45" s="77" t="s">
        <v>92</v>
      </c>
      <c r="C45" s="75">
        <v>10.526315789473683</v>
      </c>
      <c r="D45" s="75" t="str">
        <f t="shared" si="1"/>
        <v>Rojo</v>
      </c>
      <c r="E45" s="75">
        <v>39.89637305699482</v>
      </c>
      <c r="F45" s="75" t="str">
        <f t="shared" si="2"/>
        <v>Rojo</v>
      </c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74">
        <v>20305.0</v>
      </c>
      <c r="B46" s="77" t="s">
        <v>93</v>
      </c>
      <c r="C46" s="75">
        <v>9.92234685073339</v>
      </c>
      <c r="D46" s="75" t="str">
        <f t="shared" si="1"/>
        <v>Rojo</v>
      </c>
      <c r="E46" s="75">
        <v>25.31572904707233</v>
      </c>
      <c r="F46" s="75" t="str">
        <f t="shared" si="2"/>
        <v>Rojo</v>
      </c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74">
        <v>20306.0</v>
      </c>
      <c r="B47" s="77" t="s">
        <v>529</v>
      </c>
      <c r="C47" s="75">
        <v>3.4579439252336446</v>
      </c>
      <c r="D47" s="75" t="str">
        <f t="shared" si="1"/>
        <v>Rojo</v>
      </c>
      <c r="E47" s="75">
        <v>28.57142857142857</v>
      </c>
      <c r="F47" s="75" t="str">
        <f t="shared" si="2"/>
        <v>Rojo</v>
      </c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74">
        <v>20307.0</v>
      </c>
      <c r="B48" s="77" t="s">
        <v>95</v>
      </c>
      <c r="C48" s="75">
        <v>17.647058823529413</v>
      </c>
      <c r="D48" s="75" t="str">
        <f t="shared" si="1"/>
        <v>Rojo</v>
      </c>
      <c r="E48" s="75">
        <v>30.585325638911787</v>
      </c>
      <c r="F48" s="75" t="str">
        <f t="shared" si="2"/>
        <v>Rojo</v>
      </c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74">
        <v>20308.0</v>
      </c>
      <c r="B49" s="77" t="s">
        <v>96</v>
      </c>
      <c r="C49" s="75">
        <v>1.003584229390681</v>
      </c>
      <c r="D49" s="75" t="str">
        <f t="shared" si="1"/>
        <v>Rojo</v>
      </c>
      <c r="E49" s="75">
        <v>9.69459232277949</v>
      </c>
      <c r="F49" s="75" t="str">
        <f t="shared" si="2"/>
        <v>Rojo</v>
      </c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74">
        <v>20401.0</v>
      </c>
      <c r="B50" s="77" t="s">
        <v>98</v>
      </c>
      <c r="C50" s="75">
        <v>10.995809219716623</v>
      </c>
      <c r="D50" s="75" t="str">
        <f t="shared" si="1"/>
        <v>Rojo</v>
      </c>
      <c r="E50" s="75">
        <v>23.273773470623865</v>
      </c>
      <c r="F50" s="75" t="str">
        <f t="shared" si="2"/>
        <v>Rojo</v>
      </c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74">
        <v>20402.0</v>
      </c>
      <c r="B51" s="77" t="s">
        <v>99</v>
      </c>
      <c r="C51" s="75">
        <v>16.96942173781411</v>
      </c>
      <c r="D51" s="75" t="str">
        <f t="shared" si="1"/>
        <v>Rojo</v>
      </c>
      <c r="E51" s="75">
        <v>34.49394733557968</v>
      </c>
      <c r="F51" s="75" t="str">
        <f t="shared" si="2"/>
        <v>Rojo</v>
      </c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74">
        <v>20403.0</v>
      </c>
      <c r="B52" s="77" t="s">
        <v>100</v>
      </c>
      <c r="C52" s="75">
        <v>15.934168692724892</v>
      </c>
      <c r="D52" s="75" t="str">
        <f t="shared" si="1"/>
        <v>Rojo</v>
      </c>
      <c r="E52" s="75">
        <v>32.46992215145082</v>
      </c>
      <c r="F52" s="75" t="str">
        <f t="shared" si="2"/>
        <v>Rojo</v>
      </c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74">
        <v>20404.0</v>
      </c>
      <c r="B53" s="77" t="s">
        <v>102</v>
      </c>
      <c r="C53" s="75">
        <v>13.42504743833017</v>
      </c>
      <c r="D53" s="75" t="str">
        <f t="shared" si="1"/>
        <v>Rojo</v>
      </c>
      <c r="E53" s="75">
        <v>20.419469726948954</v>
      </c>
      <c r="F53" s="75" t="str">
        <f t="shared" si="2"/>
        <v>Rojo</v>
      </c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74">
        <v>20405.0</v>
      </c>
      <c r="B54" s="77" t="s">
        <v>103</v>
      </c>
      <c r="C54" s="75">
        <v>9.712586719524282</v>
      </c>
      <c r="D54" s="75" t="str">
        <f t="shared" si="1"/>
        <v>Rojo</v>
      </c>
      <c r="E54" s="75">
        <v>27.81827016520894</v>
      </c>
      <c r="F54" s="75" t="str">
        <f t="shared" si="2"/>
        <v>Rojo</v>
      </c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74">
        <v>20501.0</v>
      </c>
      <c r="B55" s="77" t="s">
        <v>105</v>
      </c>
      <c r="C55" s="75">
        <v>23.743016759776538</v>
      </c>
      <c r="D55" s="75" t="str">
        <f t="shared" si="1"/>
        <v>Rojo</v>
      </c>
      <c r="E55" s="75">
        <v>42.18847839699437</v>
      </c>
      <c r="F55" s="75" t="str">
        <f t="shared" si="2"/>
        <v>Rojo</v>
      </c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74">
        <v>20502.0</v>
      </c>
      <c r="B56" s="77" t="s">
        <v>106</v>
      </c>
      <c r="C56" s="75">
        <v>24.899890789952675</v>
      </c>
      <c r="D56" s="75" t="str">
        <f t="shared" si="1"/>
        <v>Rojo</v>
      </c>
      <c r="E56" s="75">
        <v>37.32112192329708</v>
      </c>
      <c r="F56" s="75" t="str">
        <f t="shared" si="2"/>
        <v>Rojo</v>
      </c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74">
        <v>20503.0</v>
      </c>
      <c r="B57" s="77" t="s">
        <v>107</v>
      </c>
      <c r="C57" s="75">
        <v>17.595459236326107</v>
      </c>
      <c r="D57" s="75" t="str">
        <f t="shared" si="1"/>
        <v>Rojo</v>
      </c>
      <c r="E57" s="75">
        <v>33.48</v>
      </c>
      <c r="F57" s="75" t="str">
        <f t="shared" si="2"/>
        <v>Rojo</v>
      </c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74">
        <v>20601.0</v>
      </c>
      <c r="B58" s="77" t="s">
        <v>109</v>
      </c>
      <c r="C58" s="75">
        <v>26.21082621082621</v>
      </c>
      <c r="D58" s="75" t="str">
        <f t="shared" si="1"/>
        <v>Rojo</v>
      </c>
      <c r="E58" s="75">
        <v>42.857142857142854</v>
      </c>
      <c r="F58" s="75" t="str">
        <f t="shared" si="2"/>
        <v>Rojo</v>
      </c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74">
        <v>20602.0</v>
      </c>
      <c r="B59" s="77" t="s">
        <v>110</v>
      </c>
      <c r="C59" s="75">
        <v>32.236701559495835</v>
      </c>
      <c r="D59" s="75" t="str">
        <f t="shared" si="1"/>
        <v>Rojo</v>
      </c>
      <c r="E59" s="75">
        <v>53.80443451906205</v>
      </c>
      <c r="F59" s="75" t="str">
        <f t="shared" si="2"/>
        <v>Naranja</v>
      </c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74">
        <v>20603.0</v>
      </c>
      <c r="B60" s="77" t="s">
        <v>111</v>
      </c>
      <c r="C60" s="75">
        <v>21.107382550335572</v>
      </c>
      <c r="D60" s="75" t="str">
        <f t="shared" si="1"/>
        <v>Rojo</v>
      </c>
      <c r="E60" s="75">
        <v>37.066473988439306</v>
      </c>
      <c r="F60" s="75" t="str">
        <f t="shared" si="2"/>
        <v>Rojo</v>
      </c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74">
        <v>20604.0</v>
      </c>
      <c r="B61" s="77" t="s">
        <v>112</v>
      </c>
      <c r="C61" s="75">
        <v>19.76630963972736</v>
      </c>
      <c r="D61" s="75" t="str">
        <f t="shared" si="1"/>
        <v>Rojo</v>
      </c>
      <c r="E61" s="75">
        <v>34.07620416966211</v>
      </c>
      <c r="F61" s="75" t="str">
        <f t="shared" si="2"/>
        <v>Rojo</v>
      </c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74">
        <v>20605.0</v>
      </c>
      <c r="B62" s="77" t="s">
        <v>113</v>
      </c>
      <c r="C62" s="75">
        <v>23.74245472837022</v>
      </c>
      <c r="D62" s="75" t="str">
        <f t="shared" si="1"/>
        <v>Rojo</v>
      </c>
      <c r="E62" s="75">
        <v>36.49122807017544</v>
      </c>
      <c r="F62" s="75" t="str">
        <f t="shared" si="2"/>
        <v>Rojo</v>
      </c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74">
        <v>20606.0</v>
      </c>
      <c r="B63" s="77" t="s">
        <v>114</v>
      </c>
      <c r="C63" s="75">
        <v>26.149840902516637</v>
      </c>
      <c r="D63" s="75" t="str">
        <f t="shared" si="1"/>
        <v>Rojo</v>
      </c>
      <c r="E63" s="75">
        <v>36.17021276595745</v>
      </c>
      <c r="F63" s="75" t="str">
        <f t="shared" si="2"/>
        <v>Rojo</v>
      </c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74">
        <v>20607.0</v>
      </c>
      <c r="B64" s="77" t="s">
        <v>115</v>
      </c>
      <c r="C64" s="75">
        <v>21.28395061728395</v>
      </c>
      <c r="D64" s="75" t="str">
        <f t="shared" si="1"/>
        <v>Rojo</v>
      </c>
      <c r="E64" s="75">
        <v>60.55378370542186</v>
      </c>
      <c r="F64" s="75" t="str">
        <f t="shared" si="2"/>
        <v>Naranja</v>
      </c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74">
        <v>20608.0</v>
      </c>
      <c r="B65" s="77" t="s">
        <v>116</v>
      </c>
      <c r="C65" s="75">
        <v>23.34384858044164</v>
      </c>
      <c r="D65" s="75" t="str">
        <f t="shared" si="1"/>
        <v>Rojo</v>
      </c>
      <c r="E65" s="75">
        <v>34.52846588439809</v>
      </c>
      <c r="F65" s="75" t="str">
        <f t="shared" si="2"/>
        <v>Rojo</v>
      </c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74">
        <v>20701.0</v>
      </c>
      <c r="B66" s="77" t="s">
        <v>118</v>
      </c>
      <c r="C66" s="75">
        <v>26.356756756756756</v>
      </c>
      <c r="D66" s="75" t="str">
        <f t="shared" si="1"/>
        <v>Rojo</v>
      </c>
      <c r="E66" s="75">
        <v>35.64243997404283</v>
      </c>
      <c r="F66" s="75" t="str">
        <f t="shared" si="2"/>
        <v>Rojo</v>
      </c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74">
        <v>20702.0</v>
      </c>
      <c r="B67" s="77" t="s">
        <v>119</v>
      </c>
      <c r="C67" s="75">
        <v>10.403587443946188</v>
      </c>
      <c r="D67" s="75" t="str">
        <f t="shared" si="1"/>
        <v>Rojo</v>
      </c>
      <c r="E67" s="75">
        <v>44.88265971316819</v>
      </c>
      <c r="F67" s="75" t="str">
        <f t="shared" si="2"/>
        <v>Rojo</v>
      </c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74">
        <v>20801.0</v>
      </c>
      <c r="B68" s="77" t="s">
        <v>121</v>
      </c>
      <c r="C68" s="75">
        <v>29.293660469369094</v>
      </c>
      <c r="D68" s="75" t="str">
        <f t="shared" si="1"/>
        <v>Rojo</v>
      </c>
      <c r="E68" s="75">
        <v>54.68157650032188</v>
      </c>
      <c r="F68" s="75" t="str">
        <f t="shared" si="2"/>
        <v>Naranja</v>
      </c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74">
        <v>20802.0</v>
      </c>
      <c r="B69" s="77" t="s">
        <v>122</v>
      </c>
      <c r="C69" s="75">
        <v>27.35261808861223</v>
      </c>
      <c r="D69" s="75" t="str">
        <f t="shared" si="1"/>
        <v>Rojo</v>
      </c>
      <c r="E69" s="75">
        <v>60.43478260869565</v>
      </c>
      <c r="F69" s="75" t="str">
        <f t="shared" si="2"/>
        <v>Naranja</v>
      </c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74">
        <v>20803.0</v>
      </c>
      <c r="B70" s="77" t="s">
        <v>124</v>
      </c>
      <c r="C70" s="75">
        <v>27.545909849749584</v>
      </c>
      <c r="D70" s="75" t="str">
        <f t="shared" si="1"/>
        <v>Rojo</v>
      </c>
      <c r="E70" s="75">
        <v>45.47603696539867</v>
      </c>
      <c r="F70" s="75" t="str">
        <f t="shared" si="2"/>
        <v>Rojo</v>
      </c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74">
        <v>20804.0</v>
      </c>
      <c r="B71" s="77" t="s">
        <v>125</v>
      </c>
      <c r="C71" s="75">
        <v>28.799999999999997</v>
      </c>
      <c r="D71" s="75" t="str">
        <f t="shared" si="1"/>
        <v>Rojo</v>
      </c>
      <c r="E71" s="75">
        <v>63.73831775700934</v>
      </c>
      <c r="F71" s="75" t="str">
        <f t="shared" si="2"/>
        <v>Naranja</v>
      </c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74">
        <v>20805.0</v>
      </c>
      <c r="B72" s="77" t="s">
        <v>127</v>
      </c>
      <c r="C72" s="75">
        <v>10.664993726474279</v>
      </c>
      <c r="D72" s="75" t="str">
        <f t="shared" si="1"/>
        <v>Rojo</v>
      </c>
      <c r="E72" s="75">
        <v>33.23699421965318</v>
      </c>
      <c r="F72" s="75" t="str">
        <f t="shared" si="2"/>
        <v>Rojo</v>
      </c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74">
        <v>20806.0</v>
      </c>
      <c r="B73" s="77" t="s">
        <v>129</v>
      </c>
      <c r="C73" s="75">
        <v>27.944433259512785</v>
      </c>
      <c r="D73" s="75" t="str">
        <f t="shared" si="1"/>
        <v>Rojo</v>
      </c>
      <c r="E73" s="75">
        <v>48.496687616782744</v>
      </c>
      <c r="F73" s="75" t="str">
        <f t="shared" si="2"/>
        <v>Rojo</v>
      </c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74">
        <v>20807.0</v>
      </c>
      <c r="B74" s="77" t="s">
        <v>130</v>
      </c>
      <c r="C74" s="75">
        <v>19.351291918636612</v>
      </c>
      <c r="D74" s="75" t="str">
        <f t="shared" si="1"/>
        <v>Rojo</v>
      </c>
      <c r="E74" s="75">
        <v>43.83294301327088</v>
      </c>
      <c r="F74" s="75" t="str">
        <f t="shared" si="2"/>
        <v>Rojo</v>
      </c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74">
        <v>20901.0</v>
      </c>
      <c r="B75" s="77" t="s">
        <v>132</v>
      </c>
      <c r="C75" s="75">
        <v>27.779197546639406</v>
      </c>
      <c r="D75" s="75" t="str">
        <f t="shared" si="1"/>
        <v>Rojo</v>
      </c>
      <c r="E75" s="75">
        <v>50.85701398285972</v>
      </c>
      <c r="F75" s="75" t="str">
        <f t="shared" si="2"/>
        <v>Naranja</v>
      </c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74">
        <v>20902.0</v>
      </c>
      <c r="B76" s="77" t="s">
        <v>133</v>
      </c>
      <c r="C76" s="75">
        <v>6.8555363321799305</v>
      </c>
      <c r="D76" s="75" t="str">
        <f t="shared" si="1"/>
        <v>Rojo</v>
      </c>
      <c r="E76" s="75">
        <v>31.77161795721603</v>
      </c>
      <c r="F76" s="75" t="str">
        <f t="shared" si="2"/>
        <v>Rojo</v>
      </c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74">
        <v>20903.0</v>
      </c>
      <c r="B77" s="77" t="s">
        <v>134</v>
      </c>
      <c r="C77" s="75">
        <v>10.277536860364267</v>
      </c>
      <c r="D77" s="75" t="str">
        <f t="shared" si="1"/>
        <v>Rojo</v>
      </c>
      <c r="E77" s="75">
        <v>21.41477547078706</v>
      </c>
      <c r="F77" s="75" t="str">
        <f t="shared" si="2"/>
        <v>Rojo</v>
      </c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74">
        <v>20904.0</v>
      </c>
      <c r="B78" s="77" t="s">
        <v>135</v>
      </c>
      <c r="C78" s="75">
        <v>17.990275526742302</v>
      </c>
      <c r="D78" s="75" t="str">
        <f t="shared" si="1"/>
        <v>Rojo</v>
      </c>
      <c r="E78" s="75">
        <v>21.947101857062464</v>
      </c>
      <c r="F78" s="75" t="str">
        <f t="shared" si="2"/>
        <v>Rojo</v>
      </c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74">
        <v>20905.0</v>
      </c>
      <c r="B79" s="77" t="s">
        <v>136</v>
      </c>
      <c r="C79" s="75">
        <v>15.211726384364821</v>
      </c>
      <c r="D79" s="75" t="str">
        <f t="shared" si="1"/>
        <v>Rojo</v>
      </c>
      <c r="E79" s="75">
        <v>22.77187244480785</v>
      </c>
      <c r="F79" s="75" t="str">
        <f t="shared" si="2"/>
        <v>Rojo</v>
      </c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74">
        <v>21001.0</v>
      </c>
      <c r="B80" s="77" t="s">
        <v>137</v>
      </c>
      <c r="C80" s="75">
        <v>7.703310175725378</v>
      </c>
      <c r="D80" s="75" t="str">
        <f t="shared" si="1"/>
        <v>Rojo</v>
      </c>
      <c r="E80" s="75">
        <v>23.180291153415453</v>
      </c>
      <c r="F80" s="75" t="str">
        <f t="shared" si="2"/>
        <v>Rojo</v>
      </c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74">
        <v>21002.0</v>
      </c>
      <c r="B81" s="77" t="s">
        <v>138</v>
      </c>
      <c r="C81" s="75">
        <v>24.328314142308827</v>
      </c>
      <c r="D81" s="75" t="str">
        <f t="shared" si="1"/>
        <v>Rojo</v>
      </c>
      <c r="E81" s="75">
        <v>41.47496617050068</v>
      </c>
      <c r="F81" s="75" t="str">
        <f t="shared" si="2"/>
        <v>Rojo</v>
      </c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74">
        <v>21003.0</v>
      </c>
      <c r="B82" s="77" t="s">
        <v>139</v>
      </c>
      <c r="C82" s="75">
        <v>35.34282875124213</v>
      </c>
      <c r="D82" s="75" t="str">
        <f t="shared" si="1"/>
        <v>Rojo</v>
      </c>
      <c r="E82" s="75">
        <v>51.45463935272853</v>
      </c>
      <c r="F82" s="75" t="str">
        <f t="shared" si="2"/>
        <v>Naranja</v>
      </c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74">
        <v>21004.0</v>
      </c>
      <c r="B83" s="77" t="s">
        <v>140</v>
      </c>
      <c r="C83" s="75">
        <v>12.469982847341338</v>
      </c>
      <c r="D83" s="75" t="str">
        <f t="shared" si="1"/>
        <v>Rojo</v>
      </c>
      <c r="E83" s="75">
        <v>27.395171537484114</v>
      </c>
      <c r="F83" s="75" t="str">
        <f t="shared" si="2"/>
        <v>Rojo</v>
      </c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74">
        <v>21005.0</v>
      </c>
      <c r="B84" s="77" t="s">
        <v>141</v>
      </c>
      <c r="C84" s="75">
        <v>10.737463126843657</v>
      </c>
      <c r="D84" s="75" t="str">
        <f t="shared" si="1"/>
        <v>Rojo</v>
      </c>
      <c r="E84" s="75">
        <v>12.619392185238784</v>
      </c>
      <c r="F84" s="75" t="str">
        <f t="shared" si="2"/>
        <v>Rojo</v>
      </c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74">
        <v>21006.0</v>
      </c>
      <c r="B85" s="77" t="s">
        <v>142</v>
      </c>
      <c r="C85" s="75">
        <v>29.774730656219393</v>
      </c>
      <c r="D85" s="75" t="str">
        <f t="shared" si="1"/>
        <v>Rojo</v>
      </c>
      <c r="E85" s="75">
        <v>49.492250133618384</v>
      </c>
      <c r="F85" s="75" t="str">
        <f t="shared" si="2"/>
        <v>Rojo</v>
      </c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74">
        <v>21101.0</v>
      </c>
      <c r="B86" s="77" t="s">
        <v>144</v>
      </c>
      <c r="C86" s="75">
        <v>37.3581181115315</v>
      </c>
      <c r="D86" s="75" t="str">
        <f t="shared" si="1"/>
        <v>Rojo</v>
      </c>
      <c r="E86" s="75">
        <v>55.68339340171888</v>
      </c>
      <c r="F86" s="75" t="str">
        <f t="shared" si="2"/>
        <v>Naranja</v>
      </c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74">
        <v>21102.0</v>
      </c>
      <c r="B87" s="77" t="s">
        <v>146</v>
      </c>
      <c r="C87" s="75">
        <v>35.7285736267118</v>
      </c>
      <c r="D87" s="75" t="str">
        <f t="shared" si="1"/>
        <v>Rojo</v>
      </c>
      <c r="E87" s="75">
        <v>42.65172340875449</v>
      </c>
      <c r="F87" s="75" t="str">
        <f t="shared" si="2"/>
        <v>Rojo</v>
      </c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74">
        <v>21103.0</v>
      </c>
      <c r="B88" s="77" t="s">
        <v>148</v>
      </c>
      <c r="C88" s="75">
        <v>52.296360485268636</v>
      </c>
      <c r="D88" s="75" t="str">
        <f t="shared" si="1"/>
        <v>Naranja</v>
      </c>
      <c r="E88" s="75">
        <v>68.94596397598399</v>
      </c>
      <c r="F88" s="75" t="str">
        <f t="shared" si="2"/>
        <v>Amarillo</v>
      </c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4">
        <v>21104.0</v>
      </c>
      <c r="B89" s="77" t="s">
        <v>149</v>
      </c>
      <c r="C89" s="75">
        <v>32.608695652173914</v>
      </c>
      <c r="D89" s="75" t="str">
        <f t="shared" si="1"/>
        <v>Rojo</v>
      </c>
      <c r="E89" s="75">
        <v>40.64488392089424</v>
      </c>
      <c r="F89" s="75" t="str">
        <f t="shared" si="2"/>
        <v>Rojo</v>
      </c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4">
        <v>21105.0</v>
      </c>
      <c r="B90" s="77" t="s">
        <v>150</v>
      </c>
      <c r="C90" s="75">
        <v>9.906144595981816</v>
      </c>
      <c r="D90" s="75" t="str">
        <f t="shared" si="1"/>
        <v>Rojo</v>
      </c>
      <c r="E90" s="75">
        <v>37.04570184983678</v>
      </c>
      <c r="F90" s="75" t="str">
        <f t="shared" si="2"/>
        <v>Rojo</v>
      </c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4">
        <v>21201.0</v>
      </c>
      <c r="B91" s="77" t="s">
        <v>152</v>
      </c>
      <c r="C91" s="75">
        <v>18.625130196004168</v>
      </c>
      <c r="D91" s="75" t="str">
        <f t="shared" si="1"/>
        <v>Rojo</v>
      </c>
      <c r="E91" s="75">
        <v>33.73875763083088</v>
      </c>
      <c r="F91" s="75" t="str">
        <f t="shared" si="2"/>
        <v>Rojo</v>
      </c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4">
        <v>21202.0</v>
      </c>
      <c r="B92" s="77" t="s">
        <v>153</v>
      </c>
      <c r="C92" s="75">
        <v>22.03324313877078</v>
      </c>
      <c r="D92" s="75" t="str">
        <f t="shared" si="1"/>
        <v>Rojo</v>
      </c>
      <c r="E92" s="75">
        <v>48.13780944685227</v>
      </c>
      <c r="F92" s="75" t="str">
        <f t="shared" si="2"/>
        <v>Rojo</v>
      </c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4">
        <v>21203.0</v>
      </c>
      <c r="B93" s="77" t="s">
        <v>154</v>
      </c>
      <c r="C93" s="75">
        <v>31.441768393269548</v>
      </c>
      <c r="D93" s="75" t="str">
        <f t="shared" si="1"/>
        <v>Rojo</v>
      </c>
      <c r="E93" s="75">
        <v>49.676584734799484</v>
      </c>
      <c r="F93" s="75" t="str">
        <f t="shared" si="2"/>
        <v>Rojo</v>
      </c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4">
        <v>21204.0</v>
      </c>
      <c r="B94" s="77" t="s">
        <v>155</v>
      </c>
      <c r="C94" s="75">
        <v>12.620357634112791</v>
      </c>
      <c r="D94" s="75" t="str">
        <f t="shared" si="1"/>
        <v>Rojo</v>
      </c>
      <c r="E94" s="75">
        <v>35.2258469259724</v>
      </c>
      <c r="F94" s="75" t="str">
        <f t="shared" si="2"/>
        <v>Rojo</v>
      </c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4">
        <v>21301.0</v>
      </c>
      <c r="B95" s="77" t="s">
        <v>530</v>
      </c>
      <c r="C95" s="75">
        <v>11.507430997876858</v>
      </c>
      <c r="D95" s="75" t="str">
        <f t="shared" si="1"/>
        <v>Rojo</v>
      </c>
      <c r="E95" s="75">
        <v>32.050368258493705</v>
      </c>
      <c r="F95" s="75" t="str">
        <f t="shared" si="2"/>
        <v>Rojo</v>
      </c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4">
        <v>21302.0</v>
      </c>
      <c r="B96" s="77" t="s">
        <v>159</v>
      </c>
      <c r="C96" s="75">
        <v>19.8522622345337</v>
      </c>
      <c r="D96" s="75" t="str">
        <f t="shared" si="1"/>
        <v>Rojo</v>
      </c>
      <c r="E96" s="75">
        <v>43.330782963529714</v>
      </c>
      <c r="F96" s="75" t="str">
        <f t="shared" si="2"/>
        <v>Rojo</v>
      </c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4">
        <v>21303.0</v>
      </c>
      <c r="B97" s="77" t="s">
        <v>160</v>
      </c>
      <c r="C97" s="75">
        <v>9.883103081827842</v>
      </c>
      <c r="D97" s="75" t="str">
        <f t="shared" si="1"/>
        <v>Rojo</v>
      </c>
      <c r="E97" s="75">
        <v>23.153942428035045</v>
      </c>
      <c r="F97" s="75" t="str">
        <f t="shared" si="2"/>
        <v>Rojo</v>
      </c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4">
        <v>21304.0</v>
      </c>
      <c r="B98" s="77" t="s">
        <v>161</v>
      </c>
      <c r="C98" s="75">
        <v>18.134308858113403</v>
      </c>
      <c r="D98" s="75" t="str">
        <f t="shared" si="1"/>
        <v>Rojo</v>
      </c>
      <c r="E98" s="75">
        <v>42.18035485641119</v>
      </c>
      <c r="F98" s="75" t="str">
        <f t="shared" si="2"/>
        <v>Rojo</v>
      </c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4">
        <v>21305.0</v>
      </c>
      <c r="B99" s="77" t="s">
        <v>162</v>
      </c>
      <c r="C99" s="75">
        <v>34.81392557022809</v>
      </c>
      <c r="D99" s="75" t="str">
        <f t="shared" si="1"/>
        <v>Rojo</v>
      </c>
      <c r="E99" s="75">
        <v>46.27153097250455</v>
      </c>
      <c r="F99" s="75" t="str">
        <f t="shared" si="2"/>
        <v>Rojo</v>
      </c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4">
        <v>21306.0</v>
      </c>
      <c r="B100" s="77" t="s">
        <v>163</v>
      </c>
      <c r="C100" s="75">
        <v>14.15625</v>
      </c>
      <c r="D100" s="75" t="str">
        <f t="shared" si="1"/>
        <v>Rojo</v>
      </c>
      <c r="E100" s="75">
        <v>22.36607142857143</v>
      </c>
      <c r="F100" s="75" t="str">
        <f t="shared" si="2"/>
        <v>Rojo</v>
      </c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4">
        <v>21307.0</v>
      </c>
      <c r="B101" s="77" t="s">
        <v>164</v>
      </c>
      <c r="C101" s="75">
        <v>14.229559748427672</v>
      </c>
      <c r="D101" s="75" t="str">
        <f t="shared" si="1"/>
        <v>Rojo</v>
      </c>
      <c r="E101" s="75">
        <v>23.35148215366001</v>
      </c>
      <c r="F101" s="75" t="str">
        <f t="shared" si="2"/>
        <v>Rojo</v>
      </c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4">
        <v>21401.0</v>
      </c>
      <c r="B102" s="77" t="s">
        <v>166</v>
      </c>
      <c r="C102" s="75">
        <v>36.04917095483133</v>
      </c>
      <c r="D102" s="75" t="str">
        <f t="shared" si="1"/>
        <v>Rojo</v>
      </c>
      <c r="E102" s="75">
        <v>48.78565921356978</v>
      </c>
      <c r="F102" s="75" t="str">
        <f t="shared" si="2"/>
        <v>Rojo</v>
      </c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4">
        <v>21402.0</v>
      </c>
      <c r="B103" s="77" t="s">
        <v>167</v>
      </c>
      <c r="C103" s="75">
        <v>46.02230483271376</v>
      </c>
      <c r="D103" s="75" t="str">
        <f t="shared" si="1"/>
        <v>Rojo</v>
      </c>
      <c r="E103" s="75">
        <v>63.985190171659376</v>
      </c>
      <c r="F103" s="75" t="str">
        <f t="shared" si="2"/>
        <v>Naranja</v>
      </c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4">
        <v>21501.0</v>
      </c>
      <c r="B104" s="77" t="s">
        <v>169</v>
      </c>
      <c r="C104" s="75">
        <v>5.462555066079295</v>
      </c>
      <c r="D104" s="75" t="str">
        <f t="shared" si="1"/>
        <v>Rojo</v>
      </c>
      <c r="E104" s="75">
        <v>20.26618269812462</v>
      </c>
      <c r="F104" s="75" t="str">
        <f t="shared" si="2"/>
        <v>Rojo</v>
      </c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4">
        <v>21502.0</v>
      </c>
      <c r="B105" s="77" t="s">
        <v>170</v>
      </c>
      <c r="C105" s="75">
        <v>43.44139650872818</v>
      </c>
      <c r="D105" s="75" t="str">
        <f t="shared" si="1"/>
        <v>Rojo</v>
      </c>
      <c r="E105" s="75">
        <v>64.82976482976483</v>
      </c>
      <c r="F105" s="75" t="str">
        <f t="shared" si="2"/>
        <v>Naranja</v>
      </c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4">
        <v>21601.0</v>
      </c>
      <c r="B106" s="77" t="s">
        <v>531</v>
      </c>
      <c r="C106" s="75">
        <v>9.52112676056338</v>
      </c>
      <c r="D106" s="75" t="str">
        <f t="shared" si="1"/>
        <v>Rojo</v>
      </c>
      <c r="E106" s="75">
        <v>37.35563520509757</v>
      </c>
      <c r="F106" s="75" t="str">
        <f t="shared" si="2"/>
        <v>Rojo</v>
      </c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4">
        <v>21602.0</v>
      </c>
      <c r="B107" s="77" t="s">
        <v>174</v>
      </c>
      <c r="C107" s="75">
        <v>18.329938900203665</v>
      </c>
      <c r="D107" s="75" t="str">
        <f t="shared" si="1"/>
        <v>Rojo</v>
      </c>
      <c r="E107" s="75">
        <v>38.94927536231884</v>
      </c>
      <c r="F107" s="75" t="str">
        <f t="shared" si="2"/>
        <v>Rojo</v>
      </c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74">
        <v>21701.0</v>
      </c>
      <c r="B108" s="77" t="s">
        <v>176</v>
      </c>
      <c r="C108" s="75">
        <v>39.657853810264385</v>
      </c>
      <c r="D108" s="75" t="str">
        <f t="shared" si="1"/>
        <v>Rojo</v>
      </c>
      <c r="E108" s="75">
        <v>53.38125275047675</v>
      </c>
      <c r="F108" s="75" t="str">
        <f t="shared" si="2"/>
        <v>Naranja</v>
      </c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74">
        <v>21702.0</v>
      </c>
      <c r="B109" s="77" t="s">
        <v>177</v>
      </c>
      <c r="C109" s="75">
        <v>15.403323875152006</v>
      </c>
      <c r="D109" s="75" t="str">
        <f t="shared" si="1"/>
        <v>Rojo</v>
      </c>
      <c r="E109" s="75">
        <v>43.29385844120077</v>
      </c>
      <c r="F109" s="75" t="str">
        <f t="shared" si="2"/>
        <v>Rojo</v>
      </c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74">
        <v>21703.0</v>
      </c>
      <c r="B110" s="77" t="s">
        <v>178</v>
      </c>
      <c r="C110" s="75">
        <v>5.559845559845559</v>
      </c>
      <c r="D110" s="75" t="str">
        <f t="shared" si="1"/>
        <v>Rojo</v>
      </c>
      <c r="E110" s="75">
        <v>21.57394843962008</v>
      </c>
      <c r="F110" s="75" t="str">
        <f t="shared" si="2"/>
        <v>Rojo</v>
      </c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74">
        <v>21801.0</v>
      </c>
      <c r="B111" s="77" t="s">
        <v>180</v>
      </c>
      <c r="C111" s="75">
        <v>6.789250353606789</v>
      </c>
      <c r="D111" s="75" t="str">
        <f t="shared" si="1"/>
        <v>Rojo</v>
      </c>
      <c r="E111" s="75">
        <v>24.540757749712974</v>
      </c>
      <c r="F111" s="75" t="str">
        <f t="shared" si="2"/>
        <v>Rojo</v>
      </c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74">
        <v>21802.0</v>
      </c>
      <c r="B112" s="77" t="s">
        <v>182</v>
      </c>
      <c r="C112" s="75">
        <v>21.902017291066283</v>
      </c>
      <c r="D112" s="75" t="str">
        <f t="shared" si="1"/>
        <v>Rojo</v>
      </c>
      <c r="E112" s="75">
        <v>37.603878116343495</v>
      </c>
      <c r="F112" s="75" t="str">
        <f t="shared" si="2"/>
        <v>Rojo</v>
      </c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74">
        <v>21803.0</v>
      </c>
      <c r="B113" s="77" t="s">
        <v>183</v>
      </c>
      <c r="C113" s="75">
        <v>0.13003901170351106</v>
      </c>
      <c r="D113" s="75" t="str">
        <f t="shared" si="1"/>
        <v>Rojo</v>
      </c>
      <c r="E113" s="75">
        <v>12.145289443813848</v>
      </c>
      <c r="F113" s="75" t="str">
        <f t="shared" si="2"/>
        <v>Rojo</v>
      </c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74">
        <v>21901.0</v>
      </c>
      <c r="B114" s="77" t="s">
        <v>185</v>
      </c>
      <c r="C114" s="75">
        <v>21.03825136612022</v>
      </c>
      <c r="D114" s="75" t="str">
        <f t="shared" si="1"/>
        <v>Rojo</v>
      </c>
      <c r="E114" s="75">
        <v>41.37347767253045</v>
      </c>
      <c r="F114" s="75" t="str">
        <f t="shared" si="2"/>
        <v>Rojo</v>
      </c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74">
        <v>21902.0</v>
      </c>
      <c r="B115" s="77" t="s">
        <v>186</v>
      </c>
      <c r="C115" s="75">
        <v>29.21195652173913</v>
      </c>
      <c r="D115" s="75" t="str">
        <f t="shared" si="1"/>
        <v>Rojo</v>
      </c>
      <c r="E115" s="75">
        <v>44.54277286135693</v>
      </c>
      <c r="F115" s="75" t="str">
        <f t="shared" si="2"/>
        <v>Rojo</v>
      </c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74">
        <v>22001.0</v>
      </c>
      <c r="B116" s="77" t="s">
        <v>187</v>
      </c>
      <c r="C116" s="75">
        <v>36.149462428764465</v>
      </c>
      <c r="D116" s="75" t="str">
        <f t="shared" si="1"/>
        <v>Rojo</v>
      </c>
      <c r="E116" s="75">
        <v>50.595322802523604</v>
      </c>
      <c r="F116" s="75" t="str">
        <f t="shared" si="2"/>
        <v>Naranja</v>
      </c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74">
        <v>22002.0</v>
      </c>
      <c r="B117" s="77" t="s">
        <v>188</v>
      </c>
      <c r="C117" s="75">
        <v>25.890736342042754</v>
      </c>
      <c r="D117" s="75" t="str">
        <f t="shared" si="1"/>
        <v>Rojo</v>
      </c>
      <c r="E117" s="75">
        <v>39.54575818303273</v>
      </c>
      <c r="F117" s="75" t="str">
        <f t="shared" si="2"/>
        <v>Rojo</v>
      </c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74">
        <v>30101.0</v>
      </c>
      <c r="B118" s="77" t="s">
        <v>23</v>
      </c>
      <c r="C118" s="75">
        <v>56.13047988453906</v>
      </c>
      <c r="D118" s="75" t="str">
        <f t="shared" si="1"/>
        <v>Naranja</v>
      </c>
      <c r="E118" s="75">
        <v>60.558337612414206</v>
      </c>
      <c r="F118" s="75" t="str">
        <f t="shared" si="2"/>
        <v>Naranja</v>
      </c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74">
        <v>30201.0</v>
      </c>
      <c r="B119" s="77" t="s">
        <v>191</v>
      </c>
      <c r="C119" s="75">
        <v>40.85243883674411</v>
      </c>
      <c r="D119" s="75" t="str">
        <f t="shared" si="1"/>
        <v>Rojo</v>
      </c>
      <c r="E119" s="75">
        <v>52.660395900603675</v>
      </c>
      <c r="F119" s="75" t="str">
        <f t="shared" si="2"/>
        <v>Naranja</v>
      </c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74">
        <v>30202.0</v>
      </c>
      <c r="B120" s="77" t="s">
        <v>192</v>
      </c>
      <c r="C120" s="75">
        <v>5.660377358490567</v>
      </c>
      <c r="D120" s="75" t="str">
        <f t="shared" si="1"/>
        <v>Rojo</v>
      </c>
      <c r="E120" s="75">
        <v>40.387906446092416</v>
      </c>
      <c r="F120" s="75" t="str">
        <f t="shared" si="2"/>
        <v>Rojo</v>
      </c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74">
        <v>30203.0</v>
      </c>
      <c r="B121" s="77" t="s">
        <v>193</v>
      </c>
      <c r="C121" s="75">
        <v>48.11715481171548</v>
      </c>
      <c r="D121" s="75" t="str">
        <f t="shared" si="1"/>
        <v>Rojo</v>
      </c>
      <c r="E121" s="75">
        <v>65.57291666666667</v>
      </c>
      <c r="F121" s="75" t="str">
        <f t="shared" si="2"/>
        <v>Naranja</v>
      </c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74">
        <v>30301.0</v>
      </c>
      <c r="B122" s="77" t="s">
        <v>194</v>
      </c>
      <c r="C122" s="75">
        <v>11.229073091057575</v>
      </c>
      <c r="D122" s="75" t="str">
        <f t="shared" si="1"/>
        <v>Rojo</v>
      </c>
      <c r="E122" s="75">
        <v>25.645581615730865</v>
      </c>
      <c r="F122" s="75" t="str">
        <f t="shared" si="2"/>
        <v>Rojo</v>
      </c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74">
        <v>30302.0</v>
      </c>
      <c r="B123" s="77" t="s">
        <v>197</v>
      </c>
      <c r="C123" s="75">
        <v>16.361788617886177</v>
      </c>
      <c r="D123" s="75" t="str">
        <f t="shared" si="1"/>
        <v>Rojo</v>
      </c>
      <c r="E123" s="75">
        <v>32.296791970084634</v>
      </c>
      <c r="F123" s="75" t="str">
        <f t="shared" si="2"/>
        <v>Rojo</v>
      </c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74">
        <v>30303.0</v>
      </c>
      <c r="B124" s="77" t="s">
        <v>198</v>
      </c>
      <c r="C124" s="75">
        <v>8.922764227642277</v>
      </c>
      <c r="D124" s="75" t="str">
        <f t="shared" si="1"/>
        <v>Rojo</v>
      </c>
      <c r="E124" s="75">
        <v>18.080149114631876</v>
      </c>
      <c r="F124" s="75" t="str">
        <f t="shared" si="2"/>
        <v>Rojo</v>
      </c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74">
        <v>30401.0</v>
      </c>
      <c r="B125" s="77" t="s">
        <v>200</v>
      </c>
      <c r="C125" s="75">
        <v>40.57076745082915</v>
      </c>
      <c r="D125" s="75" t="str">
        <f t="shared" si="1"/>
        <v>Rojo</v>
      </c>
      <c r="E125" s="75">
        <v>53.101736972704714</v>
      </c>
      <c r="F125" s="75" t="str">
        <f t="shared" si="2"/>
        <v>Naranja</v>
      </c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74">
        <v>30402.0</v>
      </c>
      <c r="B126" s="77" t="s">
        <v>201</v>
      </c>
      <c r="C126" s="75">
        <v>16.122913505311075</v>
      </c>
      <c r="D126" s="75" t="str">
        <f t="shared" si="1"/>
        <v>Rojo</v>
      </c>
      <c r="E126" s="75">
        <v>23.765615704937538</v>
      </c>
      <c r="F126" s="75" t="str">
        <f t="shared" si="2"/>
        <v>Rojo</v>
      </c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74">
        <v>30403.0</v>
      </c>
      <c r="B127" s="77" t="s">
        <v>203</v>
      </c>
      <c r="C127" s="75">
        <v>38.70209689081707</v>
      </c>
      <c r="D127" s="75" t="str">
        <f t="shared" si="1"/>
        <v>Rojo</v>
      </c>
      <c r="E127" s="75">
        <v>23.571165191740413</v>
      </c>
      <c r="F127" s="75" t="str">
        <f t="shared" si="2"/>
        <v>Rojo</v>
      </c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74">
        <v>30404.0</v>
      </c>
      <c r="B128" s="77" t="s">
        <v>204</v>
      </c>
      <c r="C128" s="75">
        <v>17.718940936863543</v>
      </c>
      <c r="D128" s="75" t="str">
        <f t="shared" si="1"/>
        <v>Rojo</v>
      </c>
      <c r="E128" s="75">
        <v>24.622844827586206</v>
      </c>
      <c r="F128" s="75" t="str">
        <f t="shared" si="2"/>
        <v>Rojo</v>
      </c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74">
        <v>30501.0</v>
      </c>
      <c r="B129" s="77" t="s">
        <v>205</v>
      </c>
      <c r="C129" s="75">
        <v>47.900763358778626</v>
      </c>
      <c r="D129" s="75" t="str">
        <f t="shared" si="1"/>
        <v>Rojo</v>
      </c>
      <c r="E129" s="75">
        <v>67.0596557415704</v>
      </c>
      <c r="F129" s="75" t="str">
        <f t="shared" si="2"/>
        <v>Naranja</v>
      </c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74">
        <v>30502.0</v>
      </c>
      <c r="B130" s="77" t="s">
        <v>206</v>
      </c>
      <c r="C130" s="75">
        <v>22.204871955028107</v>
      </c>
      <c r="D130" s="75" t="str">
        <f t="shared" si="1"/>
        <v>Rojo</v>
      </c>
      <c r="E130" s="75">
        <v>35.662784248474765</v>
      </c>
      <c r="F130" s="75" t="str">
        <f t="shared" si="2"/>
        <v>Rojo</v>
      </c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74">
        <v>30601.0</v>
      </c>
      <c r="B131" s="77" t="s">
        <v>207</v>
      </c>
      <c r="C131" s="75">
        <v>5.358764759309718</v>
      </c>
      <c r="D131" s="75" t="str">
        <f t="shared" si="1"/>
        <v>Rojo</v>
      </c>
      <c r="E131" s="75">
        <v>17.102564102564102</v>
      </c>
      <c r="F131" s="75" t="str">
        <f t="shared" si="2"/>
        <v>Rojo</v>
      </c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74">
        <v>30602.0</v>
      </c>
      <c r="B132" s="77" t="s">
        <v>209</v>
      </c>
      <c r="C132" s="75">
        <v>21.366496853461193</v>
      </c>
      <c r="D132" s="75" t="str">
        <f t="shared" si="1"/>
        <v>Rojo</v>
      </c>
      <c r="E132" s="75">
        <v>34.35873166114529</v>
      </c>
      <c r="F132" s="75" t="str">
        <f t="shared" si="2"/>
        <v>Rojo</v>
      </c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74">
        <v>30701.0</v>
      </c>
      <c r="B133" s="77" t="s">
        <v>210</v>
      </c>
      <c r="C133" s="75">
        <v>38.377192982456144</v>
      </c>
      <c r="D133" s="75" t="str">
        <f t="shared" si="1"/>
        <v>Rojo</v>
      </c>
      <c r="E133" s="75">
        <v>52.4102417393792</v>
      </c>
      <c r="F133" s="75" t="str">
        <f t="shared" si="2"/>
        <v>Naranja</v>
      </c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74">
        <v>30702.0</v>
      </c>
      <c r="B134" s="77" t="s">
        <v>532</v>
      </c>
      <c r="C134" s="75">
        <v>43.27923429047025</v>
      </c>
      <c r="D134" s="75" t="str">
        <f t="shared" si="1"/>
        <v>Rojo</v>
      </c>
      <c r="E134" s="75">
        <v>66.05718085106383</v>
      </c>
      <c r="F134" s="75" t="str">
        <f t="shared" si="2"/>
        <v>Naranja</v>
      </c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74">
        <v>30703.0</v>
      </c>
      <c r="B135" s="77" t="s">
        <v>213</v>
      </c>
      <c r="C135" s="75">
        <v>22.807017543859647</v>
      </c>
      <c r="D135" s="75" t="str">
        <f t="shared" si="1"/>
        <v>Rojo</v>
      </c>
      <c r="E135" s="75">
        <v>46.550416982562545</v>
      </c>
      <c r="F135" s="75" t="str">
        <f t="shared" si="2"/>
        <v>Rojo</v>
      </c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74">
        <v>30801.0</v>
      </c>
      <c r="B136" s="77" t="s">
        <v>215</v>
      </c>
      <c r="C136" s="75">
        <v>65.08389261744966</v>
      </c>
      <c r="D136" s="75" t="str">
        <f t="shared" si="1"/>
        <v>Naranja</v>
      </c>
      <c r="E136" s="75">
        <v>81.42947301988008</v>
      </c>
      <c r="F136" s="75" t="str">
        <f t="shared" si="2"/>
        <v>Amarillo</v>
      </c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74">
        <v>30802.0</v>
      </c>
      <c r="B137" s="77" t="s">
        <v>216</v>
      </c>
      <c r="C137" s="75">
        <v>43.47404172731684</v>
      </c>
      <c r="D137" s="75" t="str">
        <f t="shared" si="1"/>
        <v>Rojo</v>
      </c>
      <c r="E137" s="75">
        <v>62.55832037325039</v>
      </c>
      <c r="F137" s="75" t="str">
        <f t="shared" si="2"/>
        <v>Naranja</v>
      </c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74">
        <v>30803.0</v>
      </c>
      <c r="B138" s="77" t="s">
        <v>217</v>
      </c>
      <c r="C138" s="75">
        <v>40.40816326530612</v>
      </c>
      <c r="D138" s="75" t="str">
        <f t="shared" si="1"/>
        <v>Rojo</v>
      </c>
      <c r="E138" s="75">
        <v>59.18124006359301</v>
      </c>
      <c r="F138" s="75" t="str">
        <f t="shared" si="2"/>
        <v>Naranja</v>
      </c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74">
        <v>30901.0</v>
      </c>
      <c r="B139" s="77" t="s">
        <v>218</v>
      </c>
      <c r="C139" s="75">
        <v>51.87720909521026</v>
      </c>
      <c r="D139" s="75" t="str">
        <f t="shared" si="1"/>
        <v>Naranja</v>
      </c>
      <c r="E139" s="75">
        <v>58.00166764963088</v>
      </c>
      <c r="F139" s="75" t="str">
        <f t="shared" si="2"/>
        <v>Naranja</v>
      </c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74">
        <v>30902.0</v>
      </c>
      <c r="B140" s="77" t="s">
        <v>219</v>
      </c>
      <c r="C140" s="75">
        <v>49.11660777385159</v>
      </c>
      <c r="D140" s="75" t="str">
        <f t="shared" si="1"/>
        <v>Rojo</v>
      </c>
      <c r="E140" s="75">
        <v>34.06642728904848</v>
      </c>
      <c r="F140" s="75" t="str">
        <f t="shared" si="2"/>
        <v>Rojo</v>
      </c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74">
        <v>30903.0</v>
      </c>
      <c r="B141" s="77" t="s">
        <v>220</v>
      </c>
      <c r="C141" s="75">
        <v>30.02814462004763</v>
      </c>
      <c r="D141" s="75" t="str">
        <f t="shared" si="1"/>
        <v>Rojo</v>
      </c>
      <c r="E141" s="75">
        <v>58.225518625920145</v>
      </c>
      <c r="F141" s="75" t="str">
        <f t="shared" si="2"/>
        <v>Naranja</v>
      </c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74">
        <v>30904.0</v>
      </c>
      <c r="B142" s="77" t="s">
        <v>221</v>
      </c>
      <c r="C142" s="75">
        <v>30.247344885410843</v>
      </c>
      <c r="D142" s="75" t="str">
        <f t="shared" si="1"/>
        <v>Rojo</v>
      </c>
      <c r="E142" s="75">
        <v>37.818032594676986</v>
      </c>
      <c r="F142" s="75" t="str">
        <f t="shared" si="2"/>
        <v>Rojo</v>
      </c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74">
        <v>30905.0</v>
      </c>
      <c r="B143" s="77" t="s">
        <v>222</v>
      </c>
      <c r="C143" s="75">
        <v>59.32366434808347</v>
      </c>
      <c r="D143" s="75" t="str">
        <f t="shared" si="1"/>
        <v>Naranja</v>
      </c>
      <c r="E143" s="75">
        <v>71.35487232933819</v>
      </c>
      <c r="F143" s="75" t="str">
        <f t="shared" si="2"/>
        <v>Amarillo</v>
      </c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74">
        <v>31001.0</v>
      </c>
      <c r="B144" s="77" t="s">
        <v>224</v>
      </c>
      <c r="C144" s="75">
        <v>45.613850555368565</v>
      </c>
      <c r="D144" s="75" t="str">
        <f t="shared" si="1"/>
        <v>Rojo</v>
      </c>
      <c r="E144" s="75">
        <v>55.44991560024815</v>
      </c>
      <c r="F144" s="75" t="str">
        <f t="shared" si="2"/>
        <v>Naranja</v>
      </c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74">
        <v>31002.0</v>
      </c>
      <c r="B145" s="77" t="s">
        <v>225</v>
      </c>
      <c r="C145" s="75">
        <v>44.68615078047161</v>
      </c>
      <c r="D145" s="75" t="str">
        <f t="shared" si="1"/>
        <v>Rojo</v>
      </c>
      <c r="E145" s="75">
        <v>54.256446485340874</v>
      </c>
      <c r="F145" s="75" t="str">
        <f t="shared" si="2"/>
        <v>Naranja</v>
      </c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74">
        <v>31003.0</v>
      </c>
      <c r="B146" s="77" t="s">
        <v>226</v>
      </c>
      <c r="C146" s="75">
        <v>19.880261927034613</v>
      </c>
      <c r="D146" s="75" t="str">
        <f t="shared" si="1"/>
        <v>Rojo</v>
      </c>
      <c r="E146" s="75">
        <v>39.44840409048652</v>
      </c>
      <c r="F146" s="75" t="str">
        <f t="shared" si="2"/>
        <v>Rojo</v>
      </c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74">
        <v>31101.0</v>
      </c>
      <c r="B147" s="77" t="s">
        <v>227</v>
      </c>
      <c r="C147" s="75">
        <v>6.9148280537409095</v>
      </c>
      <c r="D147" s="75" t="str">
        <f t="shared" si="1"/>
        <v>Rojo</v>
      </c>
      <c r="E147" s="75">
        <v>14.567337621913259</v>
      </c>
      <c r="F147" s="75" t="str">
        <f t="shared" si="2"/>
        <v>Rojo</v>
      </c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74">
        <v>31201.0</v>
      </c>
      <c r="B148" s="77" t="s">
        <v>229</v>
      </c>
      <c r="C148" s="75">
        <v>16.007612603087335</v>
      </c>
      <c r="D148" s="75" t="str">
        <f t="shared" si="1"/>
        <v>Rojo</v>
      </c>
      <c r="E148" s="75">
        <v>25.24761726780041</v>
      </c>
      <c r="F148" s="75" t="str">
        <f t="shared" si="2"/>
        <v>Rojo</v>
      </c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74">
        <v>31202.0</v>
      </c>
      <c r="B149" s="77" t="s">
        <v>230</v>
      </c>
      <c r="C149" s="75">
        <v>16.98301698301698</v>
      </c>
      <c r="D149" s="75" t="str">
        <f t="shared" si="1"/>
        <v>Rojo</v>
      </c>
      <c r="E149" s="75">
        <v>30.20242914979757</v>
      </c>
      <c r="F149" s="75" t="str">
        <f t="shared" si="2"/>
        <v>Rojo</v>
      </c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74">
        <v>31203.0</v>
      </c>
      <c r="B150" s="77" t="s">
        <v>231</v>
      </c>
      <c r="C150" s="75">
        <v>26.52370203160271</v>
      </c>
      <c r="D150" s="75" t="str">
        <f t="shared" si="1"/>
        <v>Rojo</v>
      </c>
      <c r="E150" s="75">
        <v>42.365547084277765</v>
      </c>
      <c r="F150" s="75" t="str">
        <f t="shared" si="2"/>
        <v>Rojo</v>
      </c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74">
        <v>31204.0</v>
      </c>
      <c r="B151" s="77" t="s">
        <v>232</v>
      </c>
      <c r="C151" s="75">
        <v>23.58529533250723</v>
      </c>
      <c r="D151" s="75" t="str">
        <f t="shared" si="1"/>
        <v>Rojo</v>
      </c>
      <c r="E151" s="75">
        <v>40.40920716112532</v>
      </c>
      <c r="F151" s="75" t="str">
        <f t="shared" si="2"/>
        <v>Rojo</v>
      </c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74">
        <v>31205.0</v>
      </c>
      <c r="B152" s="77" t="s">
        <v>233</v>
      </c>
      <c r="C152" s="75">
        <v>27.20193498908619</v>
      </c>
      <c r="D152" s="75" t="str">
        <f t="shared" si="1"/>
        <v>Rojo</v>
      </c>
      <c r="E152" s="75">
        <v>45.76616856885124</v>
      </c>
      <c r="F152" s="75" t="str">
        <f t="shared" si="2"/>
        <v>Rojo</v>
      </c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74">
        <v>31206.0</v>
      </c>
      <c r="B153" s="77" t="s">
        <v>234</v>
      </c>
      <c r="C153" s="75">
        <v>24.753507014028056</v>
      </c>
      <c r="D153" s="75" t="str">
        <f t="shared" si="1"/>
        <v>Rojo</v>
      </c>
      <c r="E153" s="75">
        <v>35.4714490042909</v>
      </c>
      <c r="F153" s="75" t="str">
        <f t="shared" si="2"/>
        <v>Rojo</v>
      </c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74">
        <v>31301.0</v>
      </c>
      <c r="B154" s="77" t="s">
        <v>235</v>
      </c>
      <c r="C154" s="75">
        <v>15.371002401719124</v>
      </c>
      <c r="D154" s="75" t="str">
        <f t="shared" si="1"/>
        <v>Rojo</v>
      </c>
      <c r="E154" s="75">
        <v>41.99738334060183</v>
      </c>
      <c r="F154" s="75" t="str">
        <f t="shared" si="2"/>
        <v>Rojo</v>
      </c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74">
        <v>31302.0</v>
      </c>
      <c r="B155" s="77" t="s">
        <v>236</v>
      </c>
      <c r="C155" s="75">
        <v>13.18181818181818</v>
      </c>
      <c r="D155" s="75" t="str">
        <f t="shared" si="1"/>
        <v>Rojo</v>
      </c>
      <c r="E155" s="75">
        <v>16.336368505623998</v>
      </c>
      <c r="F155" s="75" t="str">
        <f t="shared" si="2"/>
        <v>Rojo</v>
      </c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74">
        <v>31303.0</v>
      </c>
      <c r="B156" s="77" t="s">
        <v>237</v>
      </c>
      <c r="C156" s="75">
        <v>5.169340463458111</v>
      </c>
      <c r="D156" s="75" t="str">
        <f t="shared" si="1"/>
        <v>Rojo</v>
      </c>
      <c r="E156" s="75">
        <v>13.067292644757433</v>
      </c>
      <c r="F156" s="75" t="str">
        <f t="shared" si="2"/>
        <v>Rojo</v>
      </c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74">
        <v>31304.0</v>
      </c>
      <c r="B157" s="77" t="s">
        <v>238</v>
      </c>
      <c r="C157" s="75">
        <v>15.371002401719124</v>
      </c>
      <c r="D157" s="75" t="str">
        <f t="shared" si="1"/>
        <v>Rojo</v>
      </c>
      <c r="E157" s="75">
        <v>9.4553706505295</v>
      </c>
      <c r="F157" s="75" t="str">
        <f t="shared" si="2"/>
        <v>Rojo</v>
      </c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74">
        <v>31401.0</v>
      </c>
      <c r="B158" s="77" t="s">
        <v>240</v>
      </c>
      <c r="C158" s="75">
        <v>55.58970856102003</v>
      </c>
      <c r="D158" s="75" t="str">
        <f t="shared" si="1"/>
        <v>Naranja</v>
      </c>
      <c r="E158" s="75">
        <v>62.33433468810744</v>
      </c>
      <c r="F158" s="75" t="str">
        <f t="shared" si="2"/>
        <v>Naranja</v>
      </c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74">
        <v>31402.0</v>
      </c>
      <c r="B159" s="77" t="s">
        <v>242</v>
      </c>
      <c r="C159" s="75">
        <v>32.34714003944773</v>
      </c>
      <c r="D159" s="75" t="str">
        <f t="shared" si="1"/>
        <v>Rojo</v>
      </c>
      <c r="E159" s="75">
        <v>47.54751686082158</v>
      </c>
      <c r="F159" s="75" t="str">
        <f t="shared" si="2"/>
        <v>Rojo</v>
      </c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74">
        <v>31403.0</v>
      </c>
      <c r="B160" s="77" t="s">
        <v>243</v>
      </c>
      <c r="C160" s="75">
        <v>31.065239551478086</v>
      </c>
      <c r="D160" s="75" t="str">
        <f t="shared" si="1"/>
        <v>Rojo</v>
      </c>
      <c r="E160" s="75">
        <v>55.904783914952624</v>
      </c>
      <c r="F160" s="75" t="str">
        <f t="shared" si="2"/>
        <v>Naranja</v>
      </c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74">
        <v>31404.0</v>
      </c>
      <c r="B161" s="77" t="s">
        <v>245</v>
      </c>
      <c r="C161" s="75">
        <v>17.827298050139277</v>
      </c>
      <c r="D161" s="75" t="str">
        <f t="shared" si="1"/>
        <v>Rojo</v>
      </c>
      <c r="E161" s="75">
        <v>58.55670103092784</v>
      </c>
      <c r="F161" s="75" t="str">
        <f t="shared" si="2"/>
        <v>Naranja</v>
      </c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74">
        <v>31405.0</v>
      </c>
      <c r="B162" s="77" t="s">
        <v>247</v>
      </c>
      <c r="C162" s="75">
        <v>22.39657631954351</v>
      </c>
      <c r="D162" s="75" t="str">
        <f t="shared" si="1"/>
        <v>Rojo</v>
      </c>
      <c r="E162" s="75">
        <v>49.195837275307476</v>
      </c>
      <c r="F162" s="75" t="str">
        <f t="shared" si="2"/>
        <v>Rojo</v>
      </c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74">
        <v>31501.0</v>
      </c>
      <c r="B163" s="77" t="s">
        <v>533</v>
      </c>
      <c r="C163" s="75">
        <v>3.6770921386306</v>
      </c>
      <c r="D163" s="75" t="str">
        <f t="shared" si="1"/>
        <v>Rojo</v>
      </c>
      <c r="E163" s="75">
        <v>12.394892556835876</v>
      </c>
      <c r="F163" s="75" t="str">
        <f t="shared" si="2"/>
        <v>Rojo</v>
      </c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74">
        <v>31601.0</v>
      </c>
      <c r="B164" s="77" t="s">
        <v>249</v>
      </c>
      <c r="C164" s="75">
        <v>38.885467980295566</v>
      </c>
      <c r="D164" s="75" t="str">
        <f t="shared" si="1"/>
        <v>Rojo</v>
      </c>
      <c r="E164" s="75">
        <v>55.73525007487271</v>
      </c>
      <c r="F164" s="75" t="str">
        <f t="shared" si="2"/>
        <v>Naranja</v>
      </c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74">
        <v>31602.0</v>
      </c>
      <c r="B165" s="77" t="s">
        <v>250</v>
      </c>
      <c r="C165" s="75">
        <v>39.96846669294442</v>
      </c>
      <c r="D165" s="75" t="str">
        <f t="shared" si="1"/>
        <v>Rojo</v>
      </c>
      <c r="E165" s="75">
        <v>54.97076023391813</v>
      </c>
      <c r="F165" s="75" t="str">
        <f t="shared" si="2"/>
        <v>Naranja</v>
      </c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74">
        <v>40101.0</v>
      </c>
      <c r="B166" s="77" t="s">
        <v>26</v>
      </c>
      <c r="C166" s="75">
        <v>66.1852875241124</v>
      </c>
      <c r="D166" s="75" t="str">
        <f t="shared" si="1"/>
        <v>Naranja</v>
      </c>
      <c r="E166" s="75">
        <v>75.39610707114842</v>
      </c>
      <c r="F166" s="75" t="str">
        <f t="shared" si="2"/>
        <v>Amarillo</v>
      </c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74">
        <v>40102.0</v>
      </c>
      <c r="B167" s="77" t="s">
        <v>251</v>
      </c>
      <c r="C167" s="75">
        <v>16.292974588938712</v>
      </c>
      <c r="D167" s="75" t="str">
        <f t="shared" si="1"/>
        <v>Rojo</v>
      </c>
      <c r="E167" s="75">
        <v>35.373808329152034</v>
      </c>
      <c r="F167" s="75" t="str">
        <f t="shared" si="2"/>
        <v>Rojo</v>
      </c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74">
        <v>40103.0</v>
      </c>
      <c r="B168" s="77" t="s">
        <v>252</v>
      </c>
      <c r="C168" s="75">
        <v>0.18399264029438822</v>
      </c>
      <c r="D168" s="75" t="str">
        <f t="shared" si="1"/>
        <v>Rojo</v>
      </c>
      <c r="E168" s="75">
        <v>6.009365244536941</v>
      </c>
      <c r="F168" s="75" t="str">
        <f t="shared" si="2"/>
        <v>Rojo</v>
      </c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74">
        <v>40104.0</v>
      </c>
      <c r="B169" s="77" t="s">
        <v>253</v>
      </c>
      <c r="C169" s="75">
        <v>6.6473988439306355</v>
      </c>
      <c r="D169" s="75" t="str">
        <f t="shared" si="1"/>
        <v>Rojo</v>
      </c>
      <c r="E169" s="75">
        <v>26.775256222547583</v>
      </c>
      <c r="F169" s="75" t="str">
        <f t="shared" si="2"/>
        <v>Rojo</v>
      </c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74">
        <v>40201.0</v>
      </c>
      <c r="B170" s="77" t="s">
        <v>256</v>
      </c>
      <c r="C170" s="75">
        <v>23.839073327127934</v>
      </c>
      <c r="D170" s="75" t="str">
        <f t="shared" si="1"/>
        <v>Rojo</v>
      </c>
      <c r="E170" s="75">
        <v>37.059735656796875</v>
      </c>
      <c r="F170" s="75" t="str">
        <f t="shared" si="2"/>
        <v>Rojo</v>
      </c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74">
        <v>40202.0</v>
      </c>
      <c r="B171" s="77" t="s">
        <v>257</v>
      </c>
      <c r="C171" s="75">
        <v>19.292604501607716</v>
      </c>
      <c r="D171" s="75" t="str">
        <f t="shared" si="1"/>
        <v>Rojo</v>
      </c>
      <c r="E171" s="75">
        <v>32.80309544282029</v>
      </c>
      <c r="F171" s="75" t="str">
        <f t="shared" si="2"/>
        <v>Rojo</v>
      </c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74">
        <v>40301.0</v>
      </c>
      <c r="B172" s="77" t="s">
        <v>259</v>
      </c>
      <c r="C172" s="75">
        <v>3.0580075662042874</v>
      </c>
      <c r="D172" s="75" t="str">
        <f t="shared" si="1"/>
        <v>Rojo</v>
      </c>
      <c r="E172" s="75">
        <v>13.199057210199271</v>
      </c>
      <c r="F172" s="75" t="str">
        <f t="shared" si="2"/>
        <v>Rojo</v>
      </c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74">
        <v>40302.0</v>
      </c>
      <c r="B173" s="77" t="s">
        <v>260</v>
      </c>
      <c r="C173" s="75">
        <v>6.395348837209303</v>
      </c>
      <c r="D173" s="75" t="str">
        <f t="shared" si="1"/>
        <v>Rojo</v>
      </c>
      <c r="E173" s="75">
        <v>26.527570789865873</v>
      </c>
      <c r="F173" s="75" t="str">
        <f t="shared" si="2"/>
        <v>Rojo</v>
      </c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74">
        <v>40401.0</v>
      </c>
      <c r="B174" s="77" t="s">
        <v>262</v>
      </c>
      <c r="C174" s="75">
        <v>29.00369003690037</v>
      </c>
      <c r="D174" s="75" t="str">
        <f t="shared" si="1"/>
        <v>Rojo</v>
      </c>
      <c r="E174" s="75">
        <v>40.764972320080524</v>
      </c>
      <c r="F174" s="75" t="str">
        <f t="shared" si="2"/>
        <v>Rojo</v>
      </c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74">
        <v>40402.0</v>
      </c>
      <c r="B175" s="77" t="s">
        <v>263</v>
      </c>
      <c r="C175" s="75">
        <v>18.123393316195372</v>
      </c>
      <c r="D175" s="75" t="str">
        <f t="shared" si="1"/>
        <v>Rojo</v>
      </c>
      <c r="E175" s="75">
        <v>31.477272727272727</v>
      </c>
      <c r="F175" s="75" t="str">
        <f t="shared" si="2"/>
        <v>Rojo</v>
      </c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74">
        <v>40501.0</v>
      </c>
      <c r="B176" s="77" t="s">
        <v>265</v>
      </c>
      <c r="C176" s="75">
        <v>69.34097421203438</v>
      </c>
      <c r="D176" s="75" t="str">
        <f t="shared" si="1"/>
        <v>Amarillo</v>
      </c>
      <c r="E176" s="75">
        <v>69.71476510067114</v>
      </c>
      <c r="F176" s="75" t="str">
        <f t="shared" si="2"/>
        <v>Amarillo</v>
      </c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74">
        <v>40502.0</v>
      </c>
      <c r="B177" s="77" t="s">
        <v>266</v>
      </c>
      <c r="C177" s="75">
        <v>4.251386321626617</v>
      </c>
      <c r="D177" s="75" t="str">
        <f t="shared" si="1"/>
        <v>Rojo</v>
      </c>
      <c r="E177" s="75">
        <v>39.905213270142184</v>
      </c>
      <c r="F177" s="75" t="str">
        <f t="shared" si="2"/>
        <v>Rojo</v>
      </c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74">
        <v>40503.0</v>
      </c>
      <c r="B178" s="77" t="s">
        <v>267</v>
      </c>
      <c r="C178" s="75">
        <v>4.794520547945205</v>
      </c>
      <c r="D178" s="75" t="str">
        <f t="shared" si="1"/>
        <v>Rojo</v>
      </c>
      <c r="E178" s="75">
        <v>55.11363636363637</v>
      </c>
      <c r="F178" s="75" t="str">
        <f t="shared" si="2"/>
        <v>Naranja</v>
      </c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74">
        <v>40504.0</v>
      </c>
      <c r="B179" s="77" t="s">
        <v>268</v>
      </c>
      <c r="C179" s="75">
        <v>1.183431952662722</v>
      </c>
      <c r="D179" s="75" t="str">
        <f t="shared" si="1"/>
        <v>Rojo</v>
      </c>
      <c r="E179" s="75">
        <v>86.1271676300578</v>
      </c>
      <c r="F179" s="75" t="str">
        <f t="shared" si="2"/>
        <v>Verde</v>
      </c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74">
        <v>40505.0</v>
      </c>
      <c r="B180" s="77" t="s">
        <v>269</v>
      </c>
      <c r="C180" s="75">
        <v>10.848400556328233</v>
      </c>
      <c r="D180" s="75" t="str">
        <f t="shared" si="1"/>
        <v>Rojo</v>
      </c>
      <c r="E180" s="75">
        <v>57.846506300114555</v>
      </c>
      <c r="F180" s="75" t="str">
        <f t="shared" si="2"/>
        <v>Naranja</v>
      </c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74">
        <v>40601.0</v>
      </c>
      <c r="B181" s="77" t="s">
        <v>270</v>
      </c>
      <c r="C181" s="75">
        <v>23.916872138076787</v>
      </c>
      <c r="D181" s="75" t="str">
        <f t="shared" si="1"/>
        <v>Rojo</v>
      </c>
      <c r="E181" s="75">
        <v>44.23812124522119</v>
      </c>
      <c r="F181" s="75" t="str">
        <f t="shared" si="2"/>
        <v>Rojo</v>
      </c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74">
        <v>40602.0</v>
      </c>
      <c r="B182" s="77" t="s">
        <v>272</v>
      </c>
      <c r="C182" s="75">
        <v>13.08924485125858</v>
      </c>
      <c r="D182" s="75" t="str">
        <f t="shared" si="1"/>
        <v>Rojo</v>
      </c>
      <c r="E182" s="75">
        <v>30.016958733747877</v>
      </c>
      <c r="F182" s="75" t="str">
        <f t="shared" si="2"/>
        <v>Rojo</v>
      </c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74">
        <v>40603.0</v>
      </c>
      <c r="B183" s="77" t="s">
        <v>273</v>
      </c>
      <c r="C183" s="75">
        <v>29.70639032815199</v>
      </c>
      <c r="D183" s="75" t="str">
        <f t="shared" si="1"/>
        <v>Rojo</v>
      </c>
      <c r="E183" s="75">
        <v>40.0</v>
      </c>
      <c r="F183" s="75" t="str">
        <f t="shared" si="2"/>
        <v>Rojo</v>
      </c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74">
        <v>40701.0</v>
      </c>
      <c r="B184" s="77" t="s">
        <v>275</v>
      </c>
      <c r="C184" s="75">
        <v>42.96842398108221</v>
      </c>
      <c r="D184" s="75" t="str">
        <f t="shared" si="1"/>
        <v>Rojo</v>
      </c>
      <c r="E184" s="75">
        <v>63.81753074887124</v>
      </c>
      <c r="F184" s="75" t="str">
        <f t="shared" si="2"/>
        <v>Naranja</v>
      </c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74">
        <v>40702.0</v>
      </c>
      <c r="B185" s="77" t="s">
        <v>277</v>
      </c>
      <c r="C185" s="75">
        <v>34.017971758664956</v>
      </c>
      <c r="D185" s="75" t="str">
        <f t="shared" si="1"/>
        <v>Rojo</v>
      </c>
      <c r="E185" s="75">
        <v>56.11213235294118</v>
      </c>
      <c r="F185" s="75" t="str">
        <f t="shared" si="2"/>
        <v>Naranja</v>
      </c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74">
        <v>40801.0</v>
      </c>
      <c r="B186" s="77" t="s">
        <v>534</v>
      </c>
      <c r="C186" s="75">
        <v>9.931245225362872</v>
      </c>
      <c r="D186" s="75" t="str">
        <f t="shared" si="1"/>
        <v>Rojo</v>
      </c>
      <c r="E186" s="75">
        <v>35.91891439102027</v>
      </c>
      <c r="F186" s="75" t="str">
        <f t="shared" si="2"/>
        <v>Rojo</v>
      </c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74">
        <v>40802.0</v>
      </c>
      <c r="B187" s="77" t="s">
        <v>280</v>
      </c>
      <c r="C187" s="75">
        <v>12.307692307692308</v>
      </c>
      <c r="D187" s="75" t="str">
        <f t="shared" si="1"/>
        <v>Rojo</v>
      </c>
      <c r="E187" s="75">
        <v>33.01960784313726</v>
      </c>
      <c r="F187" s="75" t="str">
        <f t="shared" si="2"/>
        <v>Rojo</v>
      </c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74">
        <v>40901.0</v>
      </c>
      <c r="B188" s="77" t="s">
        <v>281</v>
      </c>
      <c r="C188" s="75">
        <v>9.835336003560302</v>
      </c>
      <c r="D188" s="75" t="str">
        <f t="shared" si="1"/>
        <v>Rojo</v>
      </c>
      <c r="E188" s="75">
        <v>40.62256809338521</v>
      </c>
      <c r="F188" s="75" t="str">
        <f t="shared" si="2"/>
        <v>Rojo</v>
      </c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74">
        <v>40902.0</v>
      </c>
      <c r="B189" s="77" t="s">
        <v>282</v>
      </c>
      <c r="C189" s="75">
        <v>1.5810276679841897</v>
      </c>
      <c r="D189" s="75" t="str">
        <f t="shared" si="1"/>
        <v>Rojo</v>
      </c>
      <c r="E189" s="75">
        <v>45.65826330532213</v>
      </c>
      <c r="F189" s="75" t="str">
        <f t="shared" si="2"/>
        <v>Rojo</v>
      </c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74">
        <v>40903.0</v>
      </c>
      <c r="B190" s="77" t="s">
        <v>535</v>
      </c>
      <c r="C190" s="75">
        <v>18.305084745762713</v>
      </c>
      <c r="D190" s="75" t="str">
        <f t="shared" si="1"/>
        <v>Rojo</v>
      </c>
      <c r="E190" s="75">
        <v>22.895927601809955</v>
      </c>
      <c r="F190" s="75" t="str">
        <f t="shared" si="2"/>
        <v>Rojo</v>
      </c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74">
        <v>41001.0</v>
      </c>
      <c r="B191" s="77" t="s">
        <v>285</v>
      </c>
      <c r="C191" s="75">
        <v>4.271530824290002</v>
      </c>
      <c r="D191" s="75" t="str">
        <f t="shared" si="1"/>
        <v>Rojo</v>
      </c>
      <c r="E191" s="75">
        <v>13.165680473372781</v>
      </c>
      <c r="F191" s="75" t="str">
        <f t="shared" si="2"/>
        <v>Rojo</v>
      </c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74">
        <v>41101.0</v>
      </c>
      <c r="B192" s="77" t="s">
        <v>287</v>
      </c>
      <c r="C192" s="75">
        <v>11.591148577449948</v>
      </c>
      <c r="D192" s="75" t="str">
        <f t="shared" si="1"/>
        <v>Rojo</v>
      </c>
      <c r="E192" s="75">
        <v>33.264462809917354</v>
      </c>
      <c r="F192" s="75" t="str">
        <f t="shared" si="2"/>
        <v>Rojo</v>
      </c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74">
        <v>41201.0</v>
      </c>
      <c r="B193" s="77" t="s">
        <v>289</v>
      </c>
      <c r="C193" s="75">
        <v>4.769076305220884</v>
      </c>
      <c r="D193" s="75" t="str">
        <f t="shared" si="1"/>
        <v>Rojo</v>
      </c>
      <c r="E193" s="75">
        <v>26.301969365426697</v>
      </c>
      <c r="F193" s="75" t="str">
        <f t="shared" si="2"/>
        <v>Rojo</v>
      </c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74">
        <v>41202.0</v>
      </c>
      <c r="B194" s="77" t="s">
        <v>291</v>
      </c>
      <c r="C194" s="75">
        <v>2.3351648351648353</v>
      </c>
      <c r="D194" s="75" t="str">
        <f t="shared" si="1"/>
        <v>Rojo</v>
      </c>
      <c r="E194" s="75">
        <v>33.12101910828025</v>
      </c>
      <c r="F194" s="75" t="str">
        <f t="shared" si="2"/>
        <v>Rojo</v>
      </c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74">
        <v>41301.0</v>
      </c>
      <c r="B195" s="77" t="s">
        <v>229</v>
      </c>
      <c r="C195" s="75">
        <v>5.514316012725344</v>
      </c>
      <c r="D195" s="75" t="str">
        <f t="shared" si="1"/>
        <v>Rojo</v>
      </c>
      <c r="E195" s="75">
        <v>18.089123867069485</v>
      </c>
      <c r="F195" s="75" t="str">
        <f t="shared" si="2"/>
        <v>Rojo</v>
      </c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74">
        <v>41401.0</v>
      </c>
      <c r="B196" s="77" t="s">
        <v>294</v>
      </c>
      <c r="C196" s="75">
        <v>18.974700399467377</v>
      </c>
      <c r="D196" s="75" t="str">
        <f t="shared" si="1"/>
        <v>Rojo</v>
      </c>
      <c r="E196" s="75">
        <v>32.938133218366026</v>
      </c>
      <c r="F196" s="75" t="str">
        <f t="shared" si="2"/>
        <v>Rojo</v>
      </c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74">
        <v>41501.0</v>
      </c>
      <c r="B197" s="77" t="s">
        <v>296</v>
      </c>
      <c r="C197" s="75">
        <v>15.469613259668508</v>
      </c>
      <c r="D197" s="75" t="str">
        <f t="shared" si="1"/>
        <v>Rojo</v>
      </c>
      <c r="E197" s="75">
        <v>47.349823321554766</v>
      </c>
      <c r="F197" s="75" t="str">
        <f t="shared" si="2"/>
        <v>Rojo</v>
      </c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74">
        <v>41502.0</v>
      </c>
      <c r="B198" s="77" t="s">
        <v>297</v>
      </c>
      <c r="C198" s="75">
        <v>12.435233160621761</v>
      </c>
      <c r="D198" s="75" t="str">
        <f t="shared" si="1"/>
        <v>Rojo</v>
      </c>
      <c r="E198" s="75">
        <v>56.838905775075986</v>
      </c>
      <c r="F198" s="75" t="str">
        <f t="shared" si="2"/>
        <v>Naranja</v>
      </c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74">
        <v>41503.0</v>
      </c>
      <c r="B199" s="77" t="s">
        <v>258</v>
      </c>
      <c r="C199" s="75">
        <v>1.2244897959183674</v>
      </c>
      <c r="D199" s="75" t="str">
        <f t="shared" si="1"/>
        <v>Rojo</v>
      </c>
      <c r="E199" s="75">
        <v>39.29961089494164</v>
      </c>
      <c r="F199" s="75" t="str">
        <f t="shared" si="2"/>
        <v>Rojo</v>
      </c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74">
        <v>41601.0</v>
      </c>
      <c r="B200" s="77" t="s">
        <v>300</v>
      </c>
      <c r="C200" s="75">
        <v>4.259094942324756</v>
      </c>
      <c r="D200" s="75" t="str">
        <f t="shared" si="1"/>
        <v>Rojo</v>
      </c>
      <c r="E200" s="75">
        <v>20.977222630418808</v>
      </c>
      <c r="F200" s="75" t="str">
        <f t="shared" si="2"/>
        <v>Rojo</v>
      </c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74">
        <v>50101.0</v>
      </c>
      <c r="B201" s="77" t="s">
        <v>29</v>
      </c>
      <c r="C201" s="75">
        <v>79.77366972832617</v>
      </c>
      <c r="D201" s="75" t="str">
        <f t="shared" si="1"/>
        <v>Amarillo</v>
      </c>
      <c r="E201" s="75">
        <v>82.4426008103415</v>
      </c>
      <c r="F201" s="75" t="str">
        <f t="shared" si="2"/>
        <v>Amarillo</v>
      </c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74">
        <v>50102.0</v>
      </c>
      <c r="B202" s="77" t="s">
        <v>302</v>
      </c>
      <c r="C202" s="75">
        <v>6.017229953611664</v>
      </c>
      <c r="D202" s="75" t="str">
        <f t="shared" si="1"/>
        <v>Rojo</v>
      </c>
      <c r="E202" s="75">
        <v>9.21804818293181</v>
      </c>
      <c r="F202" s="75" t="str">
        <f t="shared" si="2"/>
        <v>Rojo</v>
      </c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74">
        <v>50103.0</v>
      </c>
      <c r="B203" s="77" t="s">
        <v>303</v>
      </c>
      <c r="C203" s="75">
        <v>27.606310013717422</v>
      </c>
      <c r="D203" s="75" t="str">
        <f t="shared" si="1"/>
        <v>Rojo</v>
      </c>
      <c r="E203" s="75">
        <v>40.539250775471245</v>
      </c>
      <c r="F203" s="75" t="str">
        <f t="shared" si="2"/>
        <v>Rojo</v>
      </c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74">
        <v>50104.0</v>
      </c>
      <c r="B204" s="77" t="s">
        <v>305</v>
      </c>
      <c r="C204" s="75">
        <v>5.081669691470054</v>
      </c>
      <c r="D204" s="75" t="str">
        <f t="shared" si="1"/>
        <v>Rojo</v>
      </c>
      <c r="E204" s="75">
        <v>16.707616707616708</v>
      </c>
      <c r="F204" s="75" t="str">
        <f t="shared" si="2"/>
        <v>Rojo</v>
      </c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74">
        <v>50201.0</v>
      </c>
      <c r="B205" s="77" t="s">
        <v>308</v>
      </c>
      <c r="C205" s="75">
        <v>32.90030211480362</v>
      </c>
      <c r="D205" s="75" t="str">
        <f t="shared" si="1"/>
        <v>Rojo</v>
      </c>
      <c r="E205" s="75">
        <v>37.999288846746474</v>
      </c>
      <c r="F205" s="75" t="str">
        <f t="shared" si="2"/>
        <v>Rojo</v>
      </c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74">
        <v>50202.0</v>
      </c>
      <c r="B206" s="77" t="s">
        <v>309</v>
      </c>
      <c r="C206" s="75">
        <v>18.255838868652237</v>
      </c>
      <c r="D206" s="75" t="str">
        <f t="shared" si="1"/>
        <v>Rojo</v>
      </c>
      <c r="E206" s="75">
        <v>35.860728172499115</v>
      </c>
      <c r="F206" s="75" t="str">
        <f t="shared" si="2"/>
        <v>Rojo</v>
      </c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74">
        <v>50203.0</v>
      </c>
      <c r="B207" s="77" t="s">
        <v>310</v>
      </c>
      <c r="C207" s="75">
        <v>53.03408816181804</v>
      </c>
      <c r="D207" s="75" t="str">
        <f t="shared" si="1"/>
        <v>Naranja</v>
      </c>
      <c r="E207" s="75">
        <v>62.02784541424736</v>
      </c>
      <c r="F207" s="75" t="str">
        <f t="shared" si="2"/>
        <v>Naranja</v>
      </c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74">
        <v>50204.0</v>
      </c>
      <c r="B208" s="77" t="s">
        <v>311</v>
      </c>
      <c r="C208" s="75">
        <v>4.847950639048039</v>
      </c>
      <c r="D208" s="75" t="str">
        <f t="shared" si="1"/>
        <v>Rojo</v>
      </c>
      <c r="E208" s="75">
        <v>11.642480211081795</v>
      </c>
      <c r="F208" s="75" t="str">
        <f t="shared" si="2"/>
        <v>Rojo</v>
      </c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74">
        <v>50301.0</v>
      </c>
      <c r="B209" s="77" t="s">
        <v>313</v>
      </c>
      <c r="C209" s="75">
        <v>22.003909062853616</v>
      </c>
      <c r="D209" s="75" t="str">
        <f t="shared" si="1"/>
        <v>Rojo</v>
      </c>
      <c r="E209" s="75">
        <v>36.79150260965113</v>
      </c>
      <c r="F209" s="75" t="str">
        <f t="shared" si="2"/>
        <v>Rojo</v>
      </c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74">
        <v>50302.0</v>
      </c>
      <c r="B210" s="77" t="s">
        <v>315</v>
      </c>
      <c r="C210" s="75">
        <v>20.608317815021728</v>
      </c>
      <c r="D210" s="75" t="str">
        <f t="shared" si="1"/>
        <v>Rojo</v>
      </c>
      <c r="E210" s="75">
        <v>35.23836875358989</v>
      </c>
      <c r="F210" s="75" t="str">
        <f t="shared" si="2"/>
        <v>Rojo</v>
      </c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74">
        <v>50303.0</v>
      </c>
      <c r="B211" s="77" t="s">
        <v>316</v>
      </c>
      <c r="C211" s="75">
        <v>1.6166281755196306</v>
      </c>
      <c r="D211" s="75" t="str">
        <f t="shared" si="1"/>
        <v>Rojo</v>
      </c>
      <c r="E211" s="75">
        <v>5.1148426944605285</v>
      </c>
      <c r="F211" s="75" t="str">
        <f t="shared" si="2"/>
        <v>Rojo</v>
      </c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74">
        <v>50401.0</v>
      </c>
      <c r="B212" s="77" t="s">
        <v>317</v>
      </c>
      <c r="C212" s="75">
        <v>14.018779342723004</v>
      </c>
      <c r="D212" s="75" t="str">
        <f t="shared" si="1"/>
        <v>Rojo</v>
      </c>
      <c r="E212" s="75">
        <v>26.997075573341544</v>
      </c>
      <c r="F212" s="75" t="str">
        <f t="shared" si="2"/>
        <v>Rojo</v>
      </c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74">
        <v>50402.0</v>
      </c>
      <c r="B213" s="77" t="s">
        <v>318</v>
      </c>
      <c r="C213" s="75">
        <v>15.935405240706885</v>
      </c>
      <c r="D213" s="75" t="str">
        <f t="shared" si="1"/>
        <v>Rojo</v>
      </c>
      <c r="E213" s="75">
        <v>21.133720930232556</v>
      </c>
      <c r="F213" s="75" t="str">
        <f t="shared" si="2"/>
        <v>Rojo</v>
      </c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74">
        <v>50403.0</v>
      </c>
      <c r="B214" s="77" t="s">
        <v>319</v>
      </c>
      <c r="C214" s="75">
        <v>7.230915125651968</v>
      </c>
      <c r="D214" s="75" t="str">
        <f t="shared" si="1"/>
        <v>Rojo</v>
      </c>
      <c r="E214" s="75">
        <v>15.744137821024088</v>
      </c>
      <c r="F214" s="75" t="str">
        <f t="shared" si="2"/>
        <v>Rojo</v>
      </c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74">
        <v>50404.0</v>
      </c>
      <c r="B215" s="77" t="s">
        <v>320</v>
      </c>
      <c r="C215" s="75">
        <v>11.250736304731985</v>
      </c>
      <c r="D215" s="75" t="str">
        <f t="shared" si="1"/>
        <v>Rojo</v>
      </c>
      <c r="E215" s="75">
        <v>15.644717683222781</v>
      </c>
      <c r="F215" s="75" t="str">
        <f t="shared" si="2"/>
        <v>Rojo</v>
      </c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74">
        <v>50405.0</v>
      </c>
      <c r="B216" s="77" t="s">
        <v>321</v>
      </c>
      <c r="C216" s="75">
        <v>14.018779342723004</v>
      </c>
      <c r="D216" s="75" t="str">
        <f t="shared" si="1"/>
        <v>Rojo</v>
      </c>
      <c r="E216" s="75">
        <v>16.484949040056883</v>
      </c>
      <c r="F216" s="75" t="str">
        <f t="shared" si="2"/>
        <v>Rojo</v>
      </c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74">
        <v>50501.0</v>
      </c>
      <c r="B217" s="77" t="s">
        <v>323</v>
      </c>
      <c r="C217" s="75">
        <v>5.025975595022351</v>
      </c>
      <c r="D217" s="75" t="str">
        <f t="shared" si="1"/>
        <v>Rojo</v>
      </c>
      <c r="E217" s="75">
        <v>9.209944262585154</v>
      </c>
      <c r="F217" s="75" t="str">
        <f t="shared" si="2"/>
        <v>Rojo</v>
      </c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74">
        <v>50502.0</v>
      </c>
      <c r="B218" s="77" t="s">
        <v>324</v>
      </c>
      <c r="C218" s="75">
        <v>15.323269723725435</v>
      </c>
      <c r="D218" s="75" t="str">
        <f t="shared" si="1"/>
        <v>Rojo</v>
      </c>
      <c r="E218" s="75">
        <v>23.831106870229007</v>
      </c>
      <c r="F218" s="75" t="str">
        <f t="shared" si="2"/>
        <v>Rojo</v>
      </c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74">
        <v>50601.0</v>
      </c>
      <c r="B219" s="77" t="s">
        <v>326</v>
      </c>
      <c r="C219" s="75">
        <v>21.06430155210643</v>
      </c>
      <c r="D219" s="75" t="str">
        <f t="shared" si="1"/>
        <v>Rojo</v>
      </c>
      <c r="E219" s="75">
        <v>39.166072701354246</v>
      </c>
      <c r="F219" s="75" t="str">
        <f t="shared" si="2"/>
        <v>Rojo</v>
      </c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74">
        <v>50602.0</v>
      </c>
      <c r="B220" s="77" t="s">
        <v>536</v>
      </c>
      <c r="C220" s="75">
        <v>24.007682458386682</v>
      </c>
      <c r="D220" s="75" t="str">
        <f t="shared" si="1"/>
        <v>Rojo</v>
      </c>
      <c r="E220" s="75">
        <v>42.47422680412371</v>
      </c>
      <c r="F220" s="75" t="str">
        <f t="shared" si="2"/>
        <v>Rojo</v>
      </c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74">
        <v>50701.0</v>
      </c>
      <c r="B221" s="77" t="s">
        <v>329</v>
      </c>
      <c r="C221" s="75">
        <v>13.705945176219295</v>
      </c>
      <c r="D221" s="75" t="str">
        <f t="shared" si="1"/>
        <v>Rojo</v>
      </c>
      <c r="E221" s="75">
        <v>20.991296651423514</v>
      </c>
      <c r="F221" s="75" t="str">
        <f t="shared" si="2"/>
        <v>Rojo</v>
      </c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74">
        <v>50702.0</v>
      </c>
      <c r="B222" s="77" t="s">
        <v>331</v>
      </c>
      <c r="C222" s="75">
        <v>8.281649033199562</v>
      </c>
      <c r="D222" s="75" t="str">
        <f t="shared" si="1"/>
        <v>Rojo</v>
      </c>
      <c r="E222" s="75">
        <v>11.941996019334661</v>
      </c>
      <c r="F222" s="75" t="str">
        <f t="shared" si="2"/>
        <v>Rojo</v>
      </c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74">
        <v>50801.0</v>
      </c>
      <c r="B223" s="77" t="s">
        <v>333</v>
      </c>
      <c r="C223" s="75">
        <v>59.06599594564157</v>
      </c>
      <c r="D223" s="75" t="str">
        <f t="shared" si="1"/>
        <v>Naranja</v>
      </c>
      <c r="E223" s="75">
        <v>71.49785840262031</v>
      </c>
      <c r="F223" s="75" t="str">
        <f t="shared" si="2"/>
        <v>Amarillo</v>
      </c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74">
        <v>50802.0</v>
      </c>
      <c r="B224" s="77" t="s">
        <v>334</v>
      </c>
      <c r="C224" s="75">
        <v>20.3579418344519</v>
      </c>
      <c r="D224" s="75" t="str">
        <f t="shared" si="1"/>
        <v>Rojo</v>
      </c>
      <c r="E224" s="75">
        <v>36.55025326579579</v>
      </c>
      <c r="F224" s="75" t="str">
        <f t="shared" si="2"/>
        <v>Rojo</v>
      </c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74">
        <v>50901.0</v>
      </c>
      <c r="B225" s="77" t="s">
        <v>336</v>
      </c>
      <c r="C225" s="75">
        <v>27.6685817961899</v>
      </c>
      <c r="D225" s="75" t="str">
        <f t="shared" si="1"/>
        <v>Rojo</v>
      </c>
      <c r="E225" s="75">
        <v>68.45138055222088</v>
      </c>
      <c r="F225" s="75" t="str">
        <f t="shared" si="2"/>
        <v>Amarillo</v>
      </c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74">
        <v>50902.0</v>
      </c>
      <c r="B226" s="77" t="s">
        <v>338</v>
      </c>
      <c r="C226" s="75">
        <v>20.967741935483872</v>
      </c>
      <c r="D226" s="75" t="str">
        <f t="shared" si="1"/>
        <v>Rojo</v>
      </c>
      <c r="E226" s="75">
        <v>58.599695585996955</v>
      </c>
      <c r="F226" s="75" t="str">
        <f t="shared" si="2"/>
        <v>Naranja</v>
      </c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74">
        <v>51001.0</v>
      </c>
      <c r="B227" s="77" t="s">
        <v>341</v>
      </c>
      <c r="C227" s="75">
        <v>16.647531572904708</v>
      </c>
      <c r="D227" s="75" t="str">
        <f t="shared" si="1"/>
        <v>Rojo</v>
      </c>
      <c r="E227" s="75">
        <v>38.073807380738074</v>
      </c>
      <c r="F227" s="75" t="str">
        <f t="shared" si="2"/>
        <v>Rojo</v>
      </c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74">
        <v>51002.0</v>
      </c>
      <c r="B228" s="77" t="s">
        <v>343</v>
      </c>
      <c r="C228" s="75">
        <v>16.201117318435752</v>
      </c>
      <c r="D228" s="75" t="str">
        <f t="shared" si="1"/>
        <v>Rojo</v>
      </c>
      <c r="E228" s="75">
        <v>30.555555555555557</v>
      </c>
      <c r="F228" s="75" t="str">
        <f t="shared" si="2"/>
        <v>Rojo</v>
      </c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74">
        <v>51003.0</v>
      </c>
      <c r="B229" s="77" t="s">
        <v>344</v>
      </c>
      <c r="C229" s="75">
        <v>21.3986013986014</v>
      </c>
      <c r="D229" s="75" t="str">
        <f t="shared" si="1"/>
        <v>Rojo</v>
      </c>
      <c r="E229" s="75">
        <v>30.869565217391305</v>
      </c>
      <c r="F229" s="75" t="str">
        <f t="shared" si="2"/>
        <v>Rojo</v>
      </c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74">
        <v>51101.0</v>
      </c>
      <c r="B230" s="77" t="s">
        <v>346</v>
      </c>
      <c r="C230" s="75">
        <v>23.173307053357735</v>
      </c>
      <c r="D230" s="75" t="str">
        <f t="shared" si="1"/>
        <v>Rojo</v>
      </c>
      <c r="E230" s="75">
        <v>42.889137737961924</v>
      </c>
      <c r="F230" s="75" t="str">
        <f t="shared" si="2"/>
        <v>Rojo</v>
      </c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74">
        <v>51102.0</v>
      </c>
      <c r="B231" s="77" t="s">
        <v>348</v>
      </c>
      <c r="C231" s="75">
        <v>22.80553203499859</v>
      </c>
      <c r="D231" s="75" t="str">
        <f t="shared" si="1"/>
        <v>Rojo</v>
      </c>
      <c r="E231" s="75">
        <v>48.589274176179195</v>
      </c>
      <c r="F231" s="75" t="str">
        <f t="shared" si="2"/>
        <v>Rojo</v>
      </c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74">
        <v>51103.0</v>
      </c>
      <c r="B232" s="77" t="s">
        <v>349</v>
      </c>
      <c r="C232" s="75">
        <v>2.770517511761631</v>
      </c>
      <c r="D232" s="75" t="str">
        <f t="shared" si="1"/>
        <v>Rojo</v>
      </c>
      <c r="E232" s="75">
        <v>12.752795622174636</v>
      </c>
      <c r="F232" s="75" t="str">
        <f t="shared" si="2"/>
        <v>Rojo</v>
      </c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74">
        <v>51201.0</v>
      </c>
      <c r="B233" s="77" t="s">
        <v>351</v>
      </c>
      <c r="C233" s="75">
        <v>16.14046056059185</v>
      </c>
      <c r="D233" s="75" t="str">
        <f t="shared" si="1"/>
        <v>Rojo</v>
      </c>
      <c r="E233" s="75">
        <v>20.15379929952794</v>
      </c>
      <c r="F233" s="75" t="str">
        <f t="shared" si="2"/>
        <v>Rojo</v>
      </c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74">
        <v>51202.0</v>
      </c>
      <c r="B234" s="77" t="s">
        <v>352</v>
      </c>
      <c r="C234" s="75">
        <v>5.7323619631901845</v>
      </c>
      <c r="D234" s="75" t="str">
        <f t="shared" si="1"/>
        <v>Rojo</v>
      </c>
      <c r="E234" s="75">
        <v>23.33433825746156</v>
      </c>
      <c r="F234" s="75" t="str">
        <f t="shared" si="2"/>
        <v>Rojo</v>
      </c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74">
        <v>51203.0</v>
      </c>
      <c r="B235" s="77" t="s">
        <v>353</v>
      </c>
      <c r="C235" s="75">
        <v>58.333333333333336</v>
      </c>
      <c r="D235" s="75" t="str">
        <f t="shared" si="1"/>
        <v>Naranja</v>
      </c>
      <c r="E235" s="75">
        <v>74.2905788876277</v>
      </c>
      <c r="F235" s="75" t="str">
        <f t="shared" si="2"/>
        <v>Amarillo</v>
      </c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74">
        <v>51204.0</v>
      </c>
      <c r="B236" s="77" t="s">
        <v>537</v>
      </c>
      <c r="C236" s="75">
        <v>5.7323619631901845</v>
      </c>
      <c r="D236" s="75" t="str">
        <f t="shared" si="1"/>
        <v>Rojo</v>
      </c>
      <c r="E236" s="75">
        <v>28.346758726505563</v>
      </c>
      <c r="F236" s="75" t="str">
        <f t="shared" si="2"/>
        <v>Rojo</v>
      </c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74">
        <v>51301.0</v>
      </c>
      <c r="B237" s="77" t="s">
        <v>356</v>
      </c>
      <c r="C237" s="75">
        <v>13.7904468412943</v>
      </c>
      <c r="D237" s="75" t="str">
        <f t="shared" si="1"/>
        <v>Rojo</v>
      </c>
      <c r="E237" s="75">
        <v>25.60054907343857</v>
      </c>
      <c r="F237" s="75" t="str">
        <f t="shared" si="2"/>
        <v>Rojo</v>
      </c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74">
        <v>51302.0</v>
      </c>
      <c r="B238" s="77" t="s">
        <v>357</v>
      </c>
      <c r="C238" s="75">
        <v>12.332751599767306</v>
      </c>
      <c r="D238" s="75" t="str">
        <f t="shared" si="1"/>
        <v>Rojo</v>
      </c>
      <c r="E238" s="75">
        <v>22.446750409612235</v>
      </c>
      <c r="F238" s="75" t="str">
        <f t="shared" si="2"/>
        <v>Rojo</v>
      </c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74">
        <v>51401.0</v>
      </c>
      <c r="B239" s="77" t="s">
        <v>359</v>
      </c>
      <c r="C239" s="75">
        <v>18.882978723404257</v>
      </c>
      <c r="D239" s="75" t="str">
        <f t="shared" si="1"/>
        <v>Rojo</v>
      </c>
      <c r="E239" s="75">
        <v>53.23275862068966</v>
      </c>
      <c r="F239" s="75" t="str">
        <f t="shared" si="2"/>
        <v>Naranja</v>
      </c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74">
        <v>51402.0</v>
      </c>
      <c r="B240" s="77" t="s">
        <v>360</v>
      </c>
      <c r="C240" s="75">
        <v>6.480117820324007</v>
      </c>
      <c r="D240" s="75" t="str">
        <f t="shared" si="1"/>
        <v>Rojo</v>
      </c>
      <c r="E240" s="75">
        <v>30.997304582210244</v>
      </c>
      <c r="F240" s="75" t="str">
        <f t="shared" si="2"/>
        <v>Rojo</v>
      </c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74">
        <v>51501.0</v>
      </c>
      <c r="B241" s="77" t="s">
        <v>362</v>
      </c>
      <c r="C241" s="75">
        <v>62.87891336756667</v>
      </c>
      <c r="D241" s="75" t="str">
        <f t="shared" si="1"/>
        <v>Naranja</v>
      </c>
      <c r="E241" s="75">
        <v>78.00180142728469</v>
      </c>
      <c r="F241" s="75" t="str">
        <f t="shared" si="2"/>
        <v>Amarillo</v>
      </c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74">
        <v>51601.0</v>
      </c>
      <c r="B242" s="77" t="s">
        <v>364</v>
      </c>
      <c r="C242" s="75">
        <v>23.92638036809816</v>
      </c>
      <c r="D242" s="75" t="str">
        <f t="shared" si="1"/>
        <v>Rojo</v>
      </c>
      <c r="E242" s="75">
        <v>62.968515742128936</v>
      </c>
      <c r="F242" s="75" t="str">
        <f t="shared" si="2"/>
        <v>Naranja</v>
      </c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74">
        <v>60101.0</v>
      </c>
      <c r="B243" s="77" t="s">
        <v>33</v>
      </c>
      <c r="C243" s="75">
        <v>75.64541382951607</v>
      </c>
      <c r="D243" s="75" t="str">
        <f t="shared" si="1"/>
        <v>Amarillo</v>
      </c>
      <c r="E243" s="75">
        <v>76.23953018195822</v>
      </c>
      <c r="F243" s="75" t="str">
        <f t="shared" si="2"/>
        <v>Amarillo</v>
      </c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74">
        <v>60201.0</v>
      </c>
      <c r="B244" s="77" t="s">
        <v>366</v>
      </c>
      <c r="C244" s="75">
        <v>47.21021611001965</v>
      </c>
      <c r="D244" s="75" t="str">
        <f t="shared" si="1"/>
        <v>Rojo</v>
      </c>
      <c r="E244" s="75">
        <v>61.904761904761905</v>
      </c>
      <c r="F244" s="75" t="str">
        <f t="shared" si="2"/>
        <v>Naranja</v>
      </c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74">
        <v>60202.0</v>
      </c>
      <c r="B245" s="77" t="s">
        <v>367</v>
      </c>
      <c r="C245" s="75">
        <v>72.65867731913005</v>
      </c>
      <c r="D245" s="75" t="str">
        <f t="shared" si="1"/>
        <v>Amarillo</v>
      </c>
      <c r="E245" s="75">
        <v>83.47449651797479</v>
      </c>
      <c r="F245" s="75" t="str">
        <f t="shared" si="2"/>
        <v>Amarillo</v>
      </c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74">
        <v>60301.0</v>
      </c>
      <c r="B246" s="77" t="s">
        <v>368</v>
      </c>
      <c r="C246" s="75">
        <v>71.40211401210588</v>
      </c>
      <c r="D246" s="75" t="str">
        <f t="shared" si="1"/>
        <v>Amarillo</v>
      </c>
      <c r="E246" s="75">
        <v>79.20023436355646</v>
      </c>
      <c r="F246" s="75" t="str">
        <f t="shared" si="2"/>
        <v>Amarillo</v>
      </c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74">
        <v>60302.0</v>
      </c>
      <c r="B247" s="77" t="s">
        <v>369</v>
      </c>
      <c r="C247" s="75">
        <v>72.64080100125156</v>
      </c>
      <c r="D247" s="75" t="str">
        <f t="shared" si="1"/>
        <v>Amarillo</v>
      </c>
      <c r="E247" s="75">
        <v>75.17079419299743</v>
      </c>
      <c r="F247" s="75" t="str">
        <f t="shared" si="2"/>
        <v>Amarillo</v>
      </c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74">
        <v>60303.0</v>
      </c>
      <c r="B248" s="77" t="s">
        <v>370</v>
      </c>
      <c r="C248" s="75">
        <v>48.52755369812421</v>
      </c>
      <c r="D248" s="75" t="str">
        <f t="shared" si="1"/>
        <v>Rojo</v>
      </c>
      <c r="E248" s="75">
        <v>60.27065527065527</v>
      </c>
      <c r="F248" s="75" t="str">
        <f t="shared" si="2"/>
        <v>Naranja</v>
      </c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74">
        <v>60401.0</v>
      </c>
      <c r="B249" s="77" t="s">
        <v>372</v>
      </c>
      <c r="C249" s="75">
        <v>47.93368572801538</v>
      </c>
      <c r="D249" s="75" t="str">
        <f t="shared" si="1"/>
        <v>Rojo</v>
      </c>
      <c r="E249" s="75">
        <v>69.58909682668836</v>
      </c>
      <c r="F249" s="75" t="str">
        <f t="shared" si="2"/>
        <v>Amarillo</v>
      </c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74">
        <v>60402.0</v>
      </c>
      <c r="B250" s="77" t="s">
        <v>374</v>
      </c>
      <c r="C250" s="75">
        <v>55.188679245283026</v>
      </c>
      <c r="D250" s="75" t="str">
        <f t="shared" si="1"/>
        <v>Naranja</v>
      </c>
      <c r="E250" s="75">
        <v>69.28104575163398</v>
      </c>
      <c r="F250" s="75" t="str">
        <f t="shared" si="2"/>
        <v>Amarillo</v>
      </c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74">
        <v>60501.0</v>
      </c>
      <c r="B251" s="77" t="s">
        <v>376</v>
      </c>
      <c r="C251" s="75">
        <v>53.855644663787785</v>
      </c>
      <c r="D251" s="75" t="str">
        <f t="shared" si="1"/>
        <v>Naranja</v>
      </c>
      <c r="E251" s="75">
        <v>67.9948586118252</v>
      </c>
      <c r="F251" s="75" t="str">
        <f t="shared" si="2"/>
        <v>Naranja</v>
      </c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74">
        <v>60502.0</v>
      </c>
      <c r="B252" s="77" t="s">
        <v>378</v>
      </c>
      <c r="C252" s="75">
        <v>57.30095296649247</v>
      </c>
      <c r="D252" s="75" t="str">
        <f t="shared" si="1"/>
        <v>Naranja</v>
      </c>
      <c r="E252" s="75">
        <v>76.23456790123457</v>
      </c>
      <c r="F252" s="75" t="str">
        <f t="shared" si="2"/>
        <v>Amarillo</v>
      </c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74">
        <v>60601.0</v>
      </c>
      <c r="B253" s="77" t="s">
        <v>234</v>
      </c>
      <c r="C253" s="75">
        <v>44.96768236380424</v>
      </c>
      <c r="D253" s="75" t="str">
        <f t="shared" si="1"/>
        <v>Rojo</v>
      </c>
      <c r="E253" s="75">
        <v>62.54826254826254</v>
      </c>
      <c r="F253" s="75" t="str">
        <f t="shared" si="2"/>
        <v>Naranja</v>
      </c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74">
        <v>70101.0</v>
      </c>
      <c r="B254" s="77" t="s">
        <v>381</v>
      </c>
      <c r="C254" s="75">
        <v>53.34810417855086</v>
      </c>
      <c r="D254" s="75" t="str">
        <f t="shared" si="1"/>
        <v>Naranja</v>
      </c>
      <c r="E254" s="75">
        <v>70.49439709770103</v>
      </c>
      <c r="F254" s="75" t="str">
        <f t="shared" si="2"/>
        <v>Amarillo</v>
      </c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74">
        <v>70102.0</v>
      </c>
      <c r="B255" s="77" t="s">
        <v>382</v>
      </c>
      <c r="C255" s="75">
        <v>44.761253783810176</v>
      </c>
      <c r="D255" s="75" t="str">
        <f t="shared" si="1"/>
        <v>Rojo</v>
      </c>
      <c r="E255" s="75">
        <v>27.77997341285524</v>
      </c>
      <c r="F255" s="75" t="str">
        <f t="shared" si="2"/>
        <v>Rojo</v>
      </c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74">
        <v>70103.0</v>
      </c>
      <c r="B256" s="77" t="s">
        <v>383</v>
      </c>
      <c r="C256" s="75">
        <v>50.27609055770292</v>
      </c>
      <c r="D256" s="75" t="str">
        <f t="shared" si="1"/>
        <v>Naranja</v>
      </c>
      <c r="E256" s="75">
        <v>68.48840710629328</v>
      </c>
      <c r="F256" s="75" t="str">
        <f t="shared" si="2"/>
        <v>Amarillo</v>
      </c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74">
        <v>70104.0</v>
      </c>
      <c r="B257" s="77" t="s">
        <v>385</v>
      </c>
      <c r="C257" s="75">
        <v>9.012855400206437</v>
      </c>
      <c r="D257" s="75" t="str">
        <f t="shared" si="1"/>
        <v>Rojo</v>
      </c>
      <c r="E257" s="75">
        <v>17.624854098889912</v>
      </c>
      <c r="F257" s="75" t="str">
        <f t="shared" si="2"/>
        <v>Rojo</v>
      </c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74">
        <v>70105.0</v>
      </c>
      <c r="B258" s="77" t="s">
        <v>386</v>
      </c>
      <c r="C258" s="75">
        <v>37.360032693093586</v>
      </c>
      <c r="D258" s="75" t="str">
        <f t="shared" si="1"/>
        <v>Rojo</v>
      </c>
      <c r="E258" s="75">
        <v>43.46255718757524</v>
      </c>
      <c r="F258" s="75" t="str">
        <f t="shared" si="2"/>
        <v>Rojo</v>
      </c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74">
        <v>70201.0</v>
      </c>
      <c r="B259" s="77" t="s">
        <v>387</v>
      </c>
      <c r="C259" s="75">
        <v>31.255922129382373</v>
      </c>
      <c r="D259" s="75" t="str">
        <f t="shared" si="1"/>
        <v>Rojo</v>
      </c>
      <c r="E259" s="75">
        <v>31.14762174544917</v>
      </c>
      <c r="F259" s="75" t="str">
        <f t="shared" si="2"/>
        <v>Rojo</v>
      </c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74">
        <v>70202.0</v>
      </c>
      <c r="B260" s="77" t="s">
        <v>388</v>
      </c>
      <c r="C260" s="75">
        <v>39.53125</v>
      </c>
      <c r="D260" s="75" t="str">
        <f t="shared" si="1"/>
        <v>Rojo</v>
      </c>
      <c r="E260" s="75">
        <v>60.70441988950276</v>
      </c>
      <c r="F260" s="75" t="str">
        <f t="shared" si="2"/>
        <v>Naranja</v>
      </c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74">
        <v>70301.0</v>
      </c>
      <c r="B261" s="77" t="s">
        <v>391</v>
      </c>
      <c r="C261" s="75">
        <v>35.57505773672055</v>
      </c>
      <c r="D261" s="75" t="str">
        <f t="shared" si="1"/>
        <v>Rojo</v>
      </c>
      <c r="E261" s="75">
        <v>46.89189189189189</v>
      </c>
      <c r="F261" s="75" t="str">
        <f t="shared" si="2"/>
        <v>Rojo</v>
      </c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74">
        <v>70302.0</v>
      </c>
      <c r="B262" s="77" t="s">
        <v>393</v>
      </c>
      <c r="C262" s="75">
        <v>8.79163439194423</v>
      </c>
      <c r="D262" s="75" t="str">
        <f t="shared" si="1"/>
        <v>Rojo</v>
      </c>
      <c r="E262" s="75">
        <v>44.34450191140095</v>
      </c>
      <c r="F262" s="75" t="str">
        <f t="shared" si="2"/>
        <v>Rojo</v>
      </c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74">
        <v>70303.0</v>
      </c>
      <c r="B263" s="77" t="s">
        <v>394</v>
      </c>
      <c r="C263" s="75">
        <v>10.09657594381036</v>
      </c>
      <c r="D263" s="75" t="str">
        <f t="shared" si="1"/>
        <v>Rojo</v>
      </c>
      <c r="E263" s="75">
        <v>44.77045219192268</v>
      </c>
      <c r="F263" s="75" t="str">
        <f t="shared" si="2"/>
        <v>Rojo</v>
      </c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74">
        <v>70401.0</v>
      </c>
      <c r="B264" s="77" t="s">
        <v>396</v>
      </c>
      <c r="C264" s="75">
        <v>52.160201829076</v>
      </c>
      <c r="D264" s="75" t="str">
        <f t="shared" si="1"/>
        <v>Naranja</v>
      </c>
      <c r="E264" s="75">
        <v>67.8760593220339</v>
      </c>
      <c r="F264" s="75" t="str">
        <f t="shared" si="2"/>
        <v>Naranja</v>
      </c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74">
        <v>70402.0</v>
      </c>
      <c r="B265" s="77" t="s">
        <v>397</v>
      </c>
      <c r="C265" s="75">
        <v>17.62519134047671</v>
      </c>
      <c r="D265" s="75" t="str">
        <f t="shared" si="1"/>
        <v>Rojo</v>
      </c>
      <c r="E265" s="75">
        <v>49.86420423682781</v>
      </c>
      <c r="F265" s="75" t="str">
        <f t="shared" si="2"/>
        <v>Rojo</v>
      </c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74">
        <v>70403.0</v>
      </c>
      <c r="B266" s="77" t="s">
        <v>398</v>
      </c>
      <c r="C266" s="75">
        <v>18.44331641285956</v>
      </c>
      <c r="D266" s="75" t="str">
        <f t="shared" si="1"/>
        <v>Rojo</v>
      </c>
      <c r="E266" s="75">
        <v>38.36612702366127</v>
      </c>
      <c r="F266" s="75" t="str">
        <f t="shared" si="2"/>
        <v>Rojo</v>
      </c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74">
        <v>70404.0</v>
      </c>
      <c r="B267" s="77" t="s">
        <v>399</v>
      </c>
      <c r="C267" s="75">
        <v>27.883211678832115</v>
      </c>
      <c r="D267" s="75" t="str">
        <f t="shared" si="1"/>
        <v>Rojo</v>
      </c>
      <c r="E267" s="75">
        <v>57.52451809266148</v>
      </c>
      <c r="F267" s="75" t="str">
        <f t="shared" si="2"/>
        <v>Naranja</v>
      </c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74">
        <v>70501.0</v>
      </c>
      <c r="B268" s="77" t="s">
        <v>402</v>
      </c>
      <c r="C268" s="75">
        <v>27.989487516425754</v>
      </c>
      <c r="D268" s="75" t="str">
        <f t="shared" si="1"/>
        <v>Rojo</v>
      </c>
      <c r="E268" s="75">
        <v>53.20065477728957</v>
      </c>
      <c r="F268" s="75" t="str">
        <f t="shared" si="2"/>
        <v>Naranja</v>
      </c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74">
        <v>70502.0</v>
      </c>
      <c r="B269" s="77" t="s">
        <v>403</v>
      </c>
      <c r="C269" s="75">
        <v>46.28237259816207</v>
      </c>
      <c r="D269" s="75" t="str">
        <f t="shared" si="1"/>
        <v>Rojo</v>
      </c>
      <c r="E269" s="75">
        <v>53.677717810331536</v>
      </c>
      <c r="F269" s="75" t="str">
        <f t="shared" si="2"/>
        <v>Naranja</v>
      </c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74">
        <v>70503.0</v>
      </c>
      <c r="B270" s="77" t="s">
        <v>404</v>
      </c>
      <c r="C270" s="75">
        <v>34.24072591406458</v>
      </c>
      <c r="D270" s="75" t="str">
        <f t="shared" si="1"/>
        <v>Rojo</v>
      </c>
      <c r="E270" s="75">
        <v>59.48017950635752</v>
      </c>
      <c r="F270" s="75" t="str">
        <f t="shared" si="2"/>
        <v>Naranja</v>
      </c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74">
        <v>70601.0</v>
      </c>
      <c r="B271" s="77" t="s">
        <v>406</v>
      </c>
      <c r="C271" s="75">
        <v>54.77057538237437</v>
      </c>
      <c r="D271" s="75" t="str">
        <f t="shared" si="1"/>
        <v>Naranja</v>
      </c>
      <c r="E271" s="75">
        <v>78.10835629017447</v>
      </c>
      <c r="F271" s="75" t="str">
        <f t="shared" si="2"/>
        <v>Amarillo</v>
      </c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74">
        <v>70602.0</v>
      </c>
      <c r="B272" s="77" t="s">
        <v>408</v>
      </c>
      <c r="C272" s="75">
        <v>26.155082362394538</v>
      </c>
      <c r="D272" s="75" t="str">
        <f t="shared" si="1"/>
        <v>Rojo</v>
      </c>
      <c r="E272" s="75">
        <v>52.32499580325667</v>
      </c>
      <c r="F272" s="75" t="str">
        <f t="shared" si="2"/>
        <v>Naranja</v>
      </c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74">
        <v>70603.0</v>
      </c>
      <c r="B273" s="77" t="s">
        <v>409</v>
      </c>
      <c r="C273" s="75">
        <v>13.95864106351551</v>
      </c>
      <c r="D273" s="75" t="str">
        <f t="shared" si="1"/>
        <v>Rojo</v>
      </c>
      <c r="E273" s="75">
        <v>26.353555120678408</v>
      </c>
      <c r="F273" s="75" t="str">
        <f t="shared" si="2"/>
        <v>Rojo</v>
      </c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74">
        <v>70701.0</v>
      </c>
      <c r="B274" s="77" t="s">
        <v>411</v>
      </c>
      <c r="C274" s="75">
        <v>40.61624649859944</v>
      </c>
      <c r="D274" s="75" t="str">
        <f t="shared" si="1"/>
        <v>Rojo</v>
      </c>
      <c r="E274" s="75">
        <v>74.5697896749522</v>
      </c>
      <c r="F274" s="75" t="str">
        <f t="shared" si="2"/>
        <v>Amarillo</v>
      </c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74">
        <v>70702.0</v>
      </c>
      <c r="B275" s="77" t="s">
        <v>538</v>
      </c>
      <c r="C275" s="75">
        <v>39.87915407854985</v>
      </c>
      <c r="D275" s="75" t="str">
        <f t="shared" si="1"/>
        <v>Rojo</v>
      </c>
      <c r="E275" s="75">
        <v>60.483870967741936</v>
      </c>
      <c r="F275" s="75" t="str">
        <f t="shared" si="2"/>
        <v>Naranja</v>
      </c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74">
        <v>70703.0</v>
      </c>
      <c r="B276" s="77" t="s">
        <v>413</v>
      </c>
      <c r="C276" s="75">
        <v>47.76119402985074</v>
      </c>
      <c r="D276" s="75" t="str">
        <f t="shared" si="1"/>
        <v>Rojo</v>
      </c>
      <c r="E276" s="75">
        <v>54.709926426245325</v>
      </c>
      <c r="F276" s="75" t="str">
        <f t="shared" si="2"/>
        <v>Naranja</v>
      </c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74">
        <v>70704.0</v>
      </c>
      <c r="B277" s="77" t="s">
        <v>414</v>
      </c>
      <c r="C277" s="75">
        <v>9.847806624888094</v>
      </c>
      <c r="D277" s="75" t="str">
        <f t="shared" si="1"/>
        <v>Rojo</v>
      </c>
      <c r="E277" s="75">
        <v>66.61379857256145</v>
      </c>
      <c r="F277" s="75" t="str">
        <f t="shared" si="2"/>
        <v>Naranja</v>
      </c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74">
        <v>70705.0</v>
      </c>
      <c r="B278" s="77" t="s">
        <v>539</v>
      </c>
      <c r="C278" s="75">
        <v>16.610878661087867</v>
      </c>
      <c r="D278" s="75" t="str">
        <f t="shared" si="1"/>
        <v>Rojo</v>
      </c>
      <c r="E278" s="75">
        <v>66.0507446221732</v>
      </c>
      <c r="F278" s="75" t="str">
        <f t="shared" si="2"/>
        <v>Naranja</v>
      </c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74">
        <v>70706.0</v>
      </c>
      <c r="B279" s="77" t="s">
        <v>416</v>
      </c>
      <c r="C279" s="75">
        <v>62.81347026510629</v>
      </c>
      <c r="D279" s="75" t="str">
        <f t="shared" si="1"/>
        <v>Naranja</v>
      </c>
      <c r="E279" s="75">
        <v>70.8113917248791</v>
      </c>
      <c r="F279" s="75" t="str">
        <f t="shared" si="2"/>
        <v>Amarillo</v>
      </c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74">
        <v>70707.0</v>
      </c>
      <c r="B280" s="77" t="s">
        <v>417</v>
      </c>
      <c r="C280" s="75">
        <v>27.73938795656466</v>
      </c>
      <c r="D280" s="75" t="str">
        <f t="shared" si="1"/>
        <v>Rojo</v>
      </c>
      <c r="E280" s="75">
        <v>65.9927797833935</v>
      </c>
      <c r="F280" s="75" t="str">
        <f t="shared" si="2"/>
        <v>Naranja</v>
      </c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74">
        <v>70801.0</v>
      </c>
      <c r="B281" s="77" t="s">
        <v>418</v>
      </c>
      <c r="C281" s="75">
        <v>59.677725118483416</v>
      </c>
      <c r="D281" s="75" t="str">
        <f t="shared" si="1"/>
        <v>Naranja</v>
      </c>
      <c r="E281" s="75">
        <v>70.25980313054704</v>
      </c>
      <c r="F281" s="75" t="str">
        <f t="shared" si="2"/>
        <v>Amarillo</v>
      </c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74">
        <v>70802.0</v>
      </c>
      <c r="B282" s="77" t="s">
        <v>419</v>
      </c>
      <c r="C282" s="75">
        <v>61.80555555555556</v>
      </c>
      <c r="D282" s="75" t="str">
        <f t="shared" si="1"/>
        <v>Naranja</v>
      </c>
      <c r="E282" s="75">
        <v>81.88679245283019</v>
      </c>
      <c r="F282" s="75" t="str">
        <f t="shared" si="2"/>
        <v>Amarillo</v>
      </c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74">
        <v>70803.0</v>
      </c>
      <c r="B283" s="77" t="s">
        <v>421</v>
      </c>
      <c r="C283" s="75">
        <v>37.24137931034483</v>
      </c>
      <c r="D283" s="75" t="str">
        <f t="shared" si="1"/>
        <v>Rojo</v>
      </c>
      <c r="E283" s="75">
        <v>59.83854692230071</v>
      </c>
      <c r="F283" s="75" t="str">
        <f t="shared" si="2"/>
        <v>Naranja</v>
      </c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74">
        <v>70804.0</v>
      </c>
      <c r="B284" s="77" t="s">
        <v>422</v>
      </c>
      <c r="C284" s="75">
        <v>38.666666666666664</v>
      </c>
      <c r="D284" s="75" t="str">
        <f t="shared" si="1"/>
        <v>Rojo</v>
      </c>
      <c r="E284" s="75">
        <v>60.89108910891089</v>
      </c>
      <c r="F284" s="75" t="str">
        <f t="shared" si="2"/>
        <v>Naranja</v>
      </c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74">
        <v>70805.0</v>
      </c>
      <c r="B285" s="77" t="s">
        <v>423</v>
      </c>
      <c r="C285" s="75">
        <v>29.291338582677167</v>
      </c>
      <c r="D285" s="75" t="str">
        <f t="shared" si="1"/>
        <v>Rojo</v>
      </c>
      <c r="E285" s="75">
        <v>53.938584779706275</v>
      </c>
      <c r="F285" s="75" t="str">
        <f t="shared" si="2"/>
        <v>Naranja</v>
      </c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74">
        <v>70901.0</v>
      </c>
      <c r="B286" s="77" t="s">
        <v>425</v>
      </c>
      <c r="C286" s="75">
        <v>40.271055179090034</v>
      </c>
      <c r="D286" s="75" t="str">
        <f t="shared" si="1"/>
        <v>Rojo</v>
      </c>
      <c r="E286" s="75">
        <v>60.538005923000995</v>
      </c>
      <c r="F286" s="75" t="str">
        <f t="shared" si="2"/>
        <v>Naranja</v>
      </c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74">
        <v>70902.0</v>
      </c>
      <c r="B287" s="77" t="s">
        <v>540</v>
      </c>
      <c r="C287" s="75">
        <v>36.95652173913043</v>
      </c>
      <c r="D287" s="75" t="str">
        <f t="shared" si="1"/>
        <v>Rojo</v>
      </c>
      <c r="E287" s="75">
        <v>69.70491803278689</v>
      </c>
      <c r="F287" s="75" t="str">
        <f t="shared" si="2"/>
        <v>Amarillo</v>
      </c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74">
        <v>70903.0</v>
      </c>
      <c r="B288" s="77" t="s">
        <v>427</v>
      </c>
      <c r="C288" s="75">
        <v>21.3225371120108</v>
      </c>
      <c r="D288" s="75" t="str">
        <f t="shared" si="1"/>
        <v>Rojo</v>
      </c>
      <c r="E288" s="75">
        <v>46.21809744779583</v>
      </c>
      <c r="F288" s="75" t="str">
        <f t="shared" si="2"/>
        <v>Rojo</v>
      </c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74">
        <v>70904.0</v>
      </c>
      <c r="B289" s="77" t="s">
        <v>428</v>
      </c>
      <c r="C289" s="75">
        <v>52.602739726027394</v>
      </c>
      <c r="D289" s="75" t="str">
        <f t="shared" si="1"/>
        <v>Naranja</v>
      </c>
      <c r="E289" s="75">
        <v>71.66454891994918</v>
      </c>
      <c r="F289" s="75" t="str">
        <f t="shared" si="2"/>
        <v>Amarillo</v>
      </c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74">
        <v>71001.0</v>
      </c>
      <c r="B290" s="77" t="s">
        <v>430</v>
      </c>
      <c r="C290" s="75">
        <v>45.41244353338648</v>
      </c>
      <c r="D290" s="75" t="str">
        <f t="shared" si="1"/>
        <v>Rojo</v>
      </c>
      <c r="E290" s="75">
        <v>42.310687754612985</v>
      </c>
      <c r="F290" s="75" t="str">
        <f t="shared" si="2"/>
        <v>Rojo</v>
      </c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74">
        <v>71002.0</v>
      </c>
      <c r="B291" s="77" t="s">
        <v>431</v>
      </c>
      <c r="C291" s="75">
        <v>38.442521631644006</v>
      </c>
      <c r="D291" s="75" t="str">
        <f t="shared" si="1"/>
        <v>Rojo</v>
      </c>
      <c r="E291" s="75">
        <v>49.26571821936668</v>
      </c>
      <c r="F291" s="75" t="str">
        <f t="shared" si="2"/>
        <v>Rojo</v>
      </c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74">
        <v>71003.0</v>
      </c>
      <c r="B292" s="77" t="s">
        <v>432</v>
      </c>
      <c r="C292" s="75">
        <v>11.695137976346912</v>
      </c>
      <c r="D292" s="75" t="str">
        <f t="shared" si="1"/>
        <v>Rojo</v>
      </c>
      <c r="E292" s="75">
        <v>52.663868259606076</v>
      </c>
      <c r="F292" s="75" t="str">
        <f t="shared" si="2"/>
        <v>Naranja</v>
      </c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74">
        <v>71004.0</v>
      </c>
      <c r="B293" s="77" t="s">
        <v>433</v>
      </c>
      <c r="C293" s="75">
        <v>18.684792918115715</v>
      </c>
      <c r="D293" s="75" t="str">
        <f t="shared" si="1"/>
        <v>Rojo</v>
      </c>
      <c r="E293" s="75">
        <v>43.222803955788244</v>
      </c>
      <c r="F293" s="75" t="str">
        <f t="shared" si="2"/>
        <v>Rojo</v>
      </c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74">
        <v>71005.0</v>
      </c>
      <c r="B294" s="77" t="s">
        <v>323</v>
      </c>
      <c r="C294" s="75">
        <v>46.59188955996549</v>
      </c>
      <c r="D294" s="75" t="str">
        <f t="shared" si="1"/>
        <v>Rojo</v>
      </c>
      <c r="E294" s="75">
        <v>42.966887417218544</v>
      </c>
      <c r="F294" s="75" t="str">
        <f t="shared" si="2"/>
        <v>Rojo</v>
      </c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74">
        <v>71101.0</v>
      </c>
      <c r="B295" s="77" t="s">
        <v>373</v>
      </c>
      <c r="C295" s="75">
        <v>12.344520065712274</v>
      </c>
      <c r="D295" s="75" t="str">
        <f t="shared" si="1"/>
        <v>Rojo</v>
      </c>
      <c r="E295" s="75">
        <v>34.21919846922504</v>
      </c>
      <c r="F295" s="75" t="str">
        <f t="shared" si="2"/>
        <v>Rojo</v>
      </c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74">
        <v>71102.0</v>
      </c>
      <c r="B296" s="77" t="s">
        <v>435</v>
      </c>
      <c r="C296" s="75">
        <v>10.141287284144427</v>
      </c>
      <c r="D296" s="75" t="str">
        <f t="shared" si="1"/>
        <v>Rojo</v>
      </c>
      <c r="E296" s="75">
        <v>36.91956356254757</v>
      </c>
      <c r="F296" s="75" t="str">
        <f t="shared" si="2"/>
        <v>Rojo</v>
      </c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74">
        <v>71103.0</v>
      </c>
      <c r="B297" s="77" t="s">
        <v>437</v>
      </c>
      <c r="C297" s="75">
        <v>60.645724258289704</v>
      </c>
      <c r="D297" s="75" t="str">
        <f t="shared" si="1"/>
        <v>Naranja</v>
      </c>
      <c r="E297" s="75">
        <v>17.55034936292643</v>
      </c>
      <c r="F297" s="75" t="str">
        <f t="shared" si="2"/>
        <v>Rojo</v>
      </c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74">
        <v>71104.0</v>
      </c>
      <c r="B298" s="77" t="s">
        <v>438</v>
      </c>
      <c r="C298" s="75">
        <v>3.2047477744807122</v>
      </c>
      <c r="D298" s="75" t="str">
        <f t="shared" si="1"/>
        <v>Rojo</v>
      </c>
      <c r="E298" s="75">
        <v>39.001937984496124</v>
      </c>
      <c r="F298" s="75" t="str">
        <f t="shared" si="2"/>
        <v>Rojo</v>
      </c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74">
        <v>71105.0</v>
      </c>
      <c r="B299" s="77" t="s">
        <v>436</v>
      </c>
      <c r="C299" s="75">
        <v>25.97321218767134</v>
      </c>
      <c r="D299" s="75" t="str">
        <f t="shared" si="1"/>
        <v>Rojo</v>
      </c>
      <c r="E299" s="75">
        <v>84.8135593220339</v>
      </c>
      <c r="F299" s="75" t="str">
        <f t="shared" si="2"/>
        <v>Amarillo</v>
      </c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74">
        <v>71106.0</v>
      </c>
      <c r="B300" s="77" t="s">
        <v>439</v>
      </c>
      <c r="C300" s="75">
        <v>41.3206801107157</v>
      </c>
      <c r="D300" s="75" t="str">
        <f t="shared" si="1"/>
        <v>Rojo</v>
      </c>
      <c r="E300" s="75">
        <v>69.48557472141658</v>
      </c>
      <c r="F300" s="75" t="str">
        <f t="shared" si="2"/>
        <v>Amarillo</v>
      </c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74">
        <v>71201.0</v>
      </c>
      <c r="B301" s="77" t="s">
        <v>441</v>
      </c>
      <c r="C301" s="75">
        <v>17.76049766718507</v>
      </c>
      <c r="D301" s="75" t="str">
        <f t="shared" si="1"/>
        <v>Rojo</v>
      </c>
      <c r="E301" s="75">
        <v>39.68636911942099</v>
      </c>
      <c r="F301" s="75" t="str">
        <f t="shared" si="2"/>
        <v>Rojo</v>
      </c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74">
        <v>71301.0</v>
      </c>
      <c r="B302" s="77" t="s">
        <v>443</v>
      </c>
      <c r="C302" s="75">
        <v>51.325716749299424</v>
      </c>
      <c r="D302" s="75" t="str">
        <f t="shared" si="1"/>
        <v>Naranja</v>
      </c>
      <c r="E302" s="75">
        <v>61.10531803962461</v>
      </c>
      <c r="F302" s="75" t="str">
        <f t="shared" si="2"/>
        <v>Naranja</v>
      </c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74">
        <v>71302.0</v>
      </c>
      <c r="B303" s="77" t="s">
        <v>444</v>
      </c>
      <c r="C303" s="75">
        <v>20.527201346045988</v>
      </c>
      <c r="D303" s="75" t="str">
        <f t="shared" si="1"/>
        <v>Rojo</v>
      </c>
      <c r="E303" s="75">
        <v>53.09200603318251</v>
      </c>
      <c r="F303" s="75" t="str">
        <f t="shared" si="2"/>
        <v>Naranja</v>
      </c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74">
        <v>71401.0</v>
      </c>
      <c r="B304" s="77" t="s">
        <v>541</v>
      </c>
      <c r="C304" s="75">
        <v>14.866051822573562</v>
      </c>
      <c r="D304" s="75" t="str">
        <f t="shared" si="1"/>
        <v>Rojo</v>
      </c>
      <c r="E304" s="75">
        <v>32.20827330726487</v>
      </c>
      <c r="F304" s="75" t="str">
        <f t="shared" si="2"/>
        <v>Rojo</v>
      </c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74">
        <v>71402.0</v>
      </c>
      <c r="B305" s="77" t="s">
        <v>447</v>
      </c>
      <c r="C305" s="75">
        <v>3.3238855964957486</v>
      </c>
      <c r="D305" s="75" t="str">
        <f t="shared" si="1"/>
        <v>Rojo</v>
      </c>
      <c r="E305" s="75">
        <v>14.836495761001212</v>
      </c>
      <c r="F305" s="75" t="str">
        <f t="shared" si="2"/>
        <v>Rojo</v>
      </c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74">
        <v>71403.0</v>
      </c>
      <c r="B306" s="77" t="s">
        <v>448</v>
      </c>
      <c r="C306" s="75">
        <v>17.22520107238606</v>
      </c>
      <c r="D306" s="75" t="str">
        <f t="shared" si="1"/>
        <v>Rojo</v>
      </c>
      <c r="E306" s="75">
        <v>57.04891080969996</v>
      </c>
      <c r="F306" s="75" t="str">
        <f t="shared" si="2"/>
        <v>Naranja</v>
      </c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74">
        <v>71501.0</v>
      </c>
      <c r="B307" s="77" t="s">
        <v>450</v>
      </c>
      <c r="C307" s="75">
        <v>11.863792791161023</v>
      </c>
      <c r="D307" s="75" t="str">
        <f t="shared" si="1"/>
        <v>Rojo</v>
      </c>
      <c r="E307" s="75">
        <v>21.040451726372304</v>
      </c>
      <c r="F307" s="75" t="str">
        <f t="shared" si="2"/>
        <v>Rojo</v>
      </c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74">
        <v>71502.0</v>
      </c>
      <c r="B308" s="77" t="s">
        <v>451</v>
      </c>
      <c r="C308" s="75">
        <v>3.5532994923857872</v>
      </c>
      <c r="D308" s="75" t="str">
        <f t="shared" si="1"/>
        <v>Rojo</v>
      </c>
      <c r="E308" s="75">
        <v>45.1829268292683</v>
      </c>
      <c r="F308" s="75" t="str">
        <f t="shared" si="2"/>
        <v>Rojo</v>
      </c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74">
        <v>71503.0</v>
      </c>
      <c r="B309" s="77" t="s">
        <v>378</v>
      </c>
      <c r="C309" s="75">
        <v>13.898229096615108</v>
      </c>
      <c r="D309" s="75" t="str">
        <f t="shared" si="1"/>
        <v>Rojo</v>
      </c>
      <c r="E309" s="75">
        <v>43.182522466687324</v>
      </c>
      <c r="F309" s="75" t="str">
        <f t="shared" si="2"/>
        <v>Rojo</v>
      </c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74">
        <v>80101.0</v>
      </c>
      <c r="B310" s="77" t="s">
        <v>453</v>
      </c>
      <c r="C310" s="75">
        <v>29.372269859246074</v>
      </c>
      <c r="D310" s="75" t="str">
        <f t="shared" si="1"/>
        <v>Rojo</v>
      </c>
      <c r="E310" s="75">
        <v>27.560486977962707</v>
      </c>
      <c r="F310" s="75" t="str">
        <f t="shared" si="2"/>
        <v>Rojo</v>
      </c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74">
        <v>80102.0</v>
      </c>
      <c r="B311" s="77" t="s">
        <v>435</v>
      </c>
      <c r="C311" s="75">
        <v>28.13008130081301</v>
      </c>
      <c r="D311" s="75" t="str">
        <f t="shared" si="1"/>
        <v>Rojo</v>
      </c>
      <c r="E311" s="75">
        <v>50.50700144857557</v>
      </c>
      <c r="F311" s="75" t="str">
        <f t="shared" si="2"/>
        <v>Naranja</v>
      </c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74">
        <v>80201.0</v>
      </c>
      <c r="B312" s="77" t="s">
        <v>455</v>
      </c>
      <c r="C312" s="75">
        <v>12.65570757606698</v>
      </c>
      <c r="D312" s="75" t="str">
        <f t="shared" si="1"/>
        <v>Rojo</v>
      </c>
      <c r="E312" s="75">
        <v>18.97092048684498</v>
      </c>
      <c r="F312" s="75" t="str">
        <f t="shared" si="2"/>
        <v>Rojo</v>
      </c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74">
        <v>80202.0</v>
      </c>
      <c r="B313" s="77" t="s">
        <v>456</v>
      </c>
      <c r="C313" s="75">
        <v>30.331497678436453</v>
      </c>
      <c r="D313" s="75" t="str">
        <f t="shared" si="1"/>
        <v>Rojo</v>
      </c>
      <c r="E313" s="75">
        <v>37.5539436231751</v>
      </c>
      <c r="F313" s="75" t="str">
        <f t="shared" si="2"/>
        <v>Rojo</v>
      </c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74">
        <v>80301.0</v>
      </c>
      <c r="B314" s="77" t="s">
        <v>458</v>
      </c>
      <c r="C314" s="75">
        <v>5.638082376772451</v>
      </c>
      <c r="D314" s="75" t="str">
        <f t="shared" si="1"/>
        <v>Rojo</v>
      </c>
      <c r="E314" s="75">
        <v>24.20251682762657</v>
      </c>
      <c r="F314" s="75" t="str">
        <f t="shared" si="2"/>
        <v>Rojo</v>
      </c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74">
        <v>80302.0</v>
      </c>
      <c r="B315" s="77" t="s">
        <v>459</v>
      </c>
      <c r="C315" s="75">
        <v>4.993625159371016</v>
      </c>
      <c r="D315" s="75" t="str">
        <f t="shared" si="1"/>
        <v>Rojo</v>
      </c>
      <c r="E315" s="75">
        <v>19.852884836411004</v>
      </c>
      <c r="F315" s="75" t="str">
        <f t="shared" si="2"/>
        <v>Rojo</v>
      </c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74">
        <v>80303.0</v>
      </c>
      <c r="B316" s="77" t="s">
        <v>408</v>
      </c>
      <c r="C316" s="75">
        <v>22.672064777327936</v>
      </c>
      <c r="D316" s="75" t="str">
        <f t="shared" si="1"/>
        <v>Rojo</v>
      </c>
      <c r="E316" s="75">
        <v>35.027223230490016</v>
      </c>
      <c r="F316" s="75" t="str">
        <f t="shared" si="2"/>
        <v>Rojo</v>
      </c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74">
        <v>80304.0</v>
      </c>
      <c r="B317" s="77" t="s">
        <v>460</v>
      </c>
      <c r="C317" s="75">
        <v>37.059913526868435</v>
      </c>
      <c r="D317" s="75" t="str">
        <f t="shared" si="1"/>
        <v>Rojo</v>
      </c>
      <c r="E317" s="75">
        <v>42.08</v>
      </c>
      <c r="F317" s="75" t="str">
        <f t="shared" si="2"/>
        <v>Rojo</v>
      </c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74">
        <v>80401.0</v>
      </c>
      <c r="B318" s="77" t="s">
        <v>463</v>
      </c>
      <c r="C318" s="75">
        <v>38.03879310344828</v>
      </c>
      <c r="D318" s="75" t="str">
        <f t="shared" si="1"/>
        <v>Rojo</v>
      </c>
      <c r="E318" s="75">
        <v>56.0884749708964</v>
      </c>
      <c r="F318" s="75" t="str">
        <f t="shared" si="2"/>
        <v>Naranja</v>
      </c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74">
        <v>80402.0</v>
      </c>
      <c r="B319" s="77" t="s">
        <v>465</v>
      </c>
      <c r="C319" s="75">
        <v>27.078891257995735</v>
      </c>
      <c r="D319" s="75" t="str">
        <f t="shared" si="1"/>
        <v>Rojo</v>
      </c>
      <c r="E319" s="75">
        <v>28.797250859106526</v>
      </c>
      <c r="F319" s="75" t="str">
        <f t="shared" si="2"/>
        <v>Rojo</v>
      </c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74">
        <v>80501.0</v>
      </c>
      <c r="B320" s="77" t="s">
        <v>391</v>
      </c>
      <c r="C320" s="75">
        <v>8.61276986678916</v>
      </c>
      <c r="D320" s="75" t="str">
        <f t="shared" si="1"/>
        <v>Rojo</v>
      </c>
      <c r="E320" s="75">
        <v>29.104062326099054</v>
      </c>
      <c r="F320" s="75" t="str">
        <f t="shared" si="2"/>
        <v>Rojo</v>
      </c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74">
        <v>80601.0</v>
      </c>
      <c r="B321" s="77" t="s">
        <v>468</v>
      </c>
      <c r="C321" s="75">
        <v>30.787037037037035</v>
      </c>
      <c r="D321" s="75" t="str">
        <f t="shared" si="1"/>
        <v>Rojo</v>
      </c>
      <c r="E321" s="75">
        <v>52.80151946818613</v>
      </c>
      <c r="F321" s="75" t="str">
        <f t="shared" si="2"/>
        <v>Naranja</v>
      </c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74">
        <v>80602.0</v>
      </c>
      <c r="B322" s="77" t="s">
        <v>469</v>
      </c>
      <c r="C322" s="75">
        <v>24.799732977303073</v>
      </c>
      <c r="D322" s="75" t="str">
        <f t="shared" si="1"/>
        <v>Rojo</v>
      </c>
      <c r="E322" s="75">
        <v>41.84060721062618</v>
      </c>
      <c r="F322" s="75" t="str">
        <f t="shared" si="2"/>
        <v>Rojo</v>
      </c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74">
        <v>80701.0</v>
      </c>
      <c r="B323" s="77" t="s">
        <v>471</v>
      </c>
      <c r="C323" s="75">
        <v>10.36682615629984</v>
      </c>
      <c r="D323" s="75" t="str">
        <f t="shared" si="1"/>
        <v>Rojo</v>
      </c>
      <c r="E323" s="75">
        <v>25.521885521885523</v>
      </c>
      <c r="F323" s="75" t="str">
        <f t="shared" si="2"/>
        <v>Rojo</v>
      </c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74">
        <v>80702.0</v>
      </c>
      <c r="B324" s="77" t="s">
        <v>436</v>
      </c>
      <c r="C324" s="75">
        <v>5.862068965517241</v>
      </c>
      <c r="D324" s="75" t="str">
        <f t="shared" si="1"/>
        <v>Rojo</v>
      </c>
      <c r="E324" s="75">
        <v>22.872340425531913</v>
      </c>
      <c r="F324" s="75" t="str">
        <f t="shared" si="2"/>
        <v>Rojo</v>
      </c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74">
        <v>80703.0</v>
      </c>
      <c r="B325" s="77" t="s">
        <v>472</v>
      </c>
      <c r="C325" s="75">
        <v>48.717948717948715</v>
      </c>
      <c r="D325" s="75" t="str">
        <f t="shared" si="1"/>
        <v>Rojo</v>
      </c>
      <c r="E325" s="75">
        <v>60.32786885245902</v>
      </c>
      <c r="F325" s="75" t="str">
        <f t="shared" si="2"/>
        <v>Naranja</v>
      </c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74">
        <v>80801.0</v>
      </c>
      <c r="B326" s="77" t="s">
        <v>474</v>
      </c>
      <c r="C326" s="75">
        <v>3.405017921146954</v>
      </c>
      <c r="D326" s="75" t="str">
        <f t="shared" si="1"/>
        <v>Rojo</v>
      </c>
      <c r="E326" s="75">
        <v>13.011152416356877</v>
      </c>
      <c r="F326" s="75" t="str">
        <f t="shared" si="2"/>
        <v>Rojo</v>
      </c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74">
        <v>80802.0</v>
      </c>
      <c r="B327" s="77" t="s">
        <v>475</v>
      </c>
      <c r="C327" s="75">
        <v>6.047197640117994</v>
      </c>
      <c r="D327" s="75" t="str">
        <f t="shared" si="1"/>
        <v>Rojo</v>
      </c>
      <c r="E327" s="75">
        <v>26.21124031007752</v>
      </c>
      <c r="F327" s="75" t="str">
        <f t="shared" si="2"/>
        <v>Rojo</v>
      </c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74">
        <v>80803.0</v>
      </c>
      <c r="B328" s="77" t="s">
        <v>476</v>
      </c>
      <c r="C328" s="75">
        <v>26.373626373626376</v>
      </c>
      <c r="D328" s="75" t="str">
        <f t="shared" si="1"/>
        <v>Rojo</v>
      </c>
      <c r="E328" s="75">
        <v>25.04911591355599</v>
      </c>
      <c r="F328" s="75" t="str">
        <f t="shared" si="2"/>
        <v>Rojo</v>
      </c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74">
        <v>80901.0</v>
      </c>
      <c r="B329" s="77" t="s">
        <v>542</v>
      </c>
      <c r="C329" s="75">
        <v>22.15472353087032</v>
      </c>
      <c r="D329" s="75" t="str">
        <f t="shared" si="1"/>
        <v>Rojo</v>
      </c>
      <c r="E329" s="75">
        <v>40.99783080260303</v>
      </c>
      <c r="F329" s="75" t="str">
        <f t="shared" si="2"/>
        <v>Rojo</v>
      </c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74">
        <v>90101.0</v>
      </c>
      <c r="B330" s="77" t="s">
        <v>479</v>
      </c>
      <c r="C330" s="75">
        <v>26.503576072821843</v>
      </c>
      <c r="D330" s="75" t="str">
        <f t="shared" si="1"/>
        <v>Rojo</v>
      </c>
      <c r="E330" s="75">
        <v>38.85248008224107</v>
      </c>
      <c r="F330" s="75" t="str">
        <f t="shared" si="2"/>
        <v>Rojo</v>
      </c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74">
        <v>90102.0</v>
      </c>
      <c r="B331" s="77" t="s">
        <v>480</v>
      </c>
      <c r="C331" s="75">
        <v>19.637462235649547</v>
      </c>
      <c r="D331" s="75" t="str">
        <f t="shared" si="1"/>
        <v>Rojo</v>
      </c>
      <c r="E331" s="75">
        <v>27.533632286995513</v>
      </c>
      <c r="F331" s="75" t="str">
        <f t="shared" si="2"/>
        <v>Rojo</v>
      </c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74">
        <v>90103.0</v>
      </c>
      <c r="B332" s="77" t="s">
        <v>481</v>
      </c>
      <c r="C332" s="75">
        <v>7.522935779816514</v>
      </c>
      <c r="D332" s="75" t="str">
        <f t="shared" si="1"/>
        <v>Rojo</v>
      </c>
      <c r="E332" s="75">
        <v>42.768079800498754</v>
      </c>
      <c r="F332" s="75" t="str">
        <f t="shared" si="2"/>
        <v>Rojo</v>
      </c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74">
        <v>90104.0</v>
      </c>
      <c r="B333" s="77" t="s">
        <v>482</v>
      </c>
      <c r="C333" s="75">
        <v>20.97457627118644</v>
      </c>
      <c r="D333" s="75" t="str">
        <f t="shared" si="1"/>
        <v>Rojo</v>
      </c>
      <c r="E333" s="75">
        <v>50.36437246963563</v>
      </c>
      <c r="F333" s="75" t="str">
        <f t="shared" si="2"/>
        <v>Naranja</v>
      </c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74">
        <v>90201.0</v>
      </c>
      <c r="B334" s="77" t="s">
        <v>484</v>
      </c>
      <c r="C334" s="75">
        <v>16.49782923299566</v>
      </c>
      <c r="D334" s="75" t="str">
        <f t="shared" si="1"/>
        <v>Rojo</v>
      </c>
      <c r="E334" s="75">
        <v>26.69683257918552</v>
      </c>
      <c r="F334" s="75" t="str">
        <f t="shared" si="2"/>
        <v>Rojo</v>
      </c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74">
        <v>90202.0</v>
      </c>
      <c r="B335" s="77" t="s">
        <v>323</v>
      </c>
      <c r="C335" s="75">
        <v>1.9639934533551555</v>
      </c>
      <c r="D335" s="75" t="str">
        <f t="shared" si="1"/>
        <v>Rojo</v>
      </c>
      <c r="E335" s="75">
        <v>8.333333333333332</v>
      </c>
      <c r="F335" s="75" t="str">
        <f t="shared" si="2"/>
        <v>Rojo</v>
      </c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74">
        <v>90203.0</v>
      </c>
      <c r="B336" s="77" t="s">
        <v>485</v>
      </c>
      <c r="C336" s="75">
        <v>13.594954449894884</v>
      </c>
      <c r="D336" s="75" t="str">
        <f t="shared" si="1"/>
        <v>Rojo</v>
      </c>
      <c r="E336" s="75">
        <v>45.62450278440732</v>
      </c>
      <c r="F336" s="75" t="str">
        <f t="shared" si="2"/>
        <v>Rojo</v>
      </c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74">
        <v>90301.0</v>
      </c>
      <c r="B337" s="77" t="s">
        <v>487</v>
      </c>
      <c r="C337" s="75">
        <v>18.323586744639375</v>
      </c>
      <c r="D337" s="75" t="str">
        <f t="shared" si="1"/>
        <v>Rojo</v>
      </c>
      <c r="E337" s="75">
        <v>29.262086513994912</v>
      </c>
      <c r="F337" s="75" t="str">
        <f t="shared" si="2"/>
        <v>Rojo</v>
      </c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74">
        <v>90302.0</v>
      </c>
      <c r="B338" s="77" t="s">
        <v>376</v>
      </c>
      <c r="C338" s="75">
        <v>7.526080476900149</v>
      </c>
      <c r="D338" s="75" t="str">
        <f t="shared" si="1"/>
        <v>Rojo</v>
      </c>
      <c r="E338" s="75">
        <v>30.270270270270274</v>
      </c>
      <c r="F338" s="75" t="str">
        <f t="shared" si="2"/>
        <v>Rojo</v>
      </c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74">
        <v>90303.0</v>
      </c>
      <c r="B339" s="77" t="s">
        <v>488</v>
      </c>
      <c r="C339" s="75">
        <v>0.3024803387779794</v>
      </c>
      <c r="D339" s="75" t="str">
        <f t="shared" si="1"/>
        <v>Rojo</v>
      </c>
      <c r="E339" s="75">
        <v>9.634782608695652</v>
      </c>
      <c r="F339" s="75" t="str">
        <f t="shared" si="2"/>
        <v>Rojo</v>
      </c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74">
        <v>90401.0</v>
      </c>
      <c r="B340" s="77" t="s">
        <v>408</v>
      </c>
      <c r="C340" s="75">
        <v>22.0949263502455</v>
      </c>
      <c r="D340" s="75" t="str">
        <f t="shared" si="1"/>
        <v>Rojo</v>
      </c>
      <c r="E340" s="75">
        <v>46.395348837209305</v>
      </c>
      <c r="F340" s="75" t="str">
        <f t="shared" si="2"/>
        <v>Rojo</v>
      </c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74">
        <v>90402.0</v>
      </c>
      <c r="B341" s="77" t="s">
        <v>120</v>
      </c>
      <c r="C341" s="75">
        <v>25.581395348837212</v>
      </c>
      <c r="D341" s="75" t="str">
        <f t="shared" si="1"/>
        <v>Rojo</v>
      </c>
      <c r="E341" s="75">
        <v>16.486902927580893</v>
      </c>
      <c r="F341" s="75" t="str">
        <f t="shared" si="2"/>
        <v>Rojo</v>
      </c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74">
        <v>90501.0</v>
      </c>
      <c r="B342" s="77" t="s">
        <v>491</v>
      </c>
      <c r="C342" s="75">
        <v>5.150214592274678</v>
      </c>
      <c r="D342" s="75" t="str">
        <f t="shared" si="1"/>
        <v>Rojo</v>
      </c>
      <c r="E342" s="75">
        <v>21.881390593047033</v>
      </c>
      <c r="F342" s="75" t="str">
        <f t="shared" si="2"/>
        <v>Rojo</v>
      </c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74">
        <v>90502.0</v>
      </c>
      <c r="B343" s="77" t="s">
        <v>492</v>
      </c>
      <c r="C343" s="75">
        <v>7.30050933786078</v>
      </c>
      <c r="D343" s="75" t="str">
        <f t="shared" si="1"/>
        <v>Rojo</v>
      </c>
      <c r="E343" s="75">
        <v>24.717514124293785</v>
      </c>
      <c r="F343" s="75" t="str">
        <f t="shared" si="2"/>
        <v>Rojo</v>
      </c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4">
        <v>90503.0</v>
      </c>
      <c r="B344" s="77" t="s">
        <v>494</v>
      </c>
      <c r="C344" s="75">
        <v>8.369098712446352</v>
      </c>
      <c r="D344" s="75" t="str">
        <f t="shared" si="1"/>
        <v>Rojo</v>
      </c>
      <c r="E344" s="75">
        <v>14.975041597337771</v>
      </c>
      <c r="F344" s="75" t="str">
        <f t="shared" si="2"/>
        <v>Rojo</v>
      </c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4"/>
      <c r="B345" s="74"/>
      <c r="C345" s="74"/>
      <c r="D345" s="74"/>
      <c r="E345" s="74"/>
      <c r="F345" s="74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4"/>
      <c r="B346" s="74"/>
      <c r="C346" s="74"/>
      <c r="D346" s="74"/>
      <c r="E346" s="74"/>
      <c r="F346" s="74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4"/>
      <c r="B347" s="74"/>
      <c r="C347" s="74"/>
      <c r="D347" s="74"/>
      <c r="E347" s="74"/>
      <c r="F347" s="74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4"/>
      <c r="B348" s="74"/>
      <c r="C348" s="74"/>
      <c r="D348" s="74"/>
      <c r="E348" s="74"/>
      <c r="F348" s="74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4"/>
      <c r="B349" s="74"/>
      <c r="C349" s="74"/>
      <c r="D349" s="74"/>
      <c r="E349" s="74"/>
      <c r="F349" s="74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4"/>
      <c r="B350" s="74"/>
      <c r="C350" s="74"/>
      <c r="D350" s="74"/>
      <c r="E350" s="74"/>
      <c r="F350" s="74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4"/>
      <c r="B351" s="74"/>
      <c r="C351" s="74"/>
      <c r="D351" s="74"/>
      <c r="E351" s="74"/>
      <c r="F351" s="74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4"/>
      <c r="B352" s="74"/>
      <c r="C352" s="74"/>
      <c r="D352" s="74"/>
      <c r="E352" s="74"/>
      <c r="F352" s="74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4"/>
      <c r="B353" s="74"/>
      <c r="C353" s="74"/>
      <c r="D353" s="74"/>
      <c r="E353" s="74"/>
      <c r="F353" s="74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4"/>
      <c r="B354" s="74"/>
      <c r="C354" s="74"/>
      <c r="D354" s="74"/>
      <c r="E354" s="74"/>
      <c r="F354" s="74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4"/>
      <c r="B355" s="74"/>
      <c r="C355" s="74"/>
      <c r="D355" s="74"/>
      <c r="E355" s="74"/>
      <c r="F355" s="74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74"/>
      <c r="B356" s="74"/>
      <c r="C356" s="74"/>
      <c r="D356" s="74"/>
      <c r="E356" s="74"/>
      <c r="F356" s="74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74"/>
      <c r="B357" s="74"/>
      <c r="C357" s="74"/>
      <c r="D357" s="74"/>
      <c r="E357" s="74"/>
      <c r="F357" s="74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74"/>
      <c r="B358" s="74"/>
      <c r="C358" s="74"/>
      <c r="D358" s="74"/>
      <c r="E358" s="74"/>
      <c r="F358" s="74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74"/>
      <c r="B359" s="74"/>
      <c r="C359" s="74"/>
      <c r="D359" s="74"/>
      <c r="E359" s="74"/>
      <c r="F359" s="74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74"/>
      <c r="B360" s="74"/>
      <c r="C360" s="74"/>
      <c r="D360" s="74"/>
      <c r="E360" s="74"/>
      <c r="F360" s="74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74"/>
      <c r="B361" s="74"/>
      <c r="C361" s="74"/>
      <c r="D361" s="74"/>
      <c r="E361" s="74"/>
      <c r="F361" s="74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74"/>
      <c r="B362" s="74"/>
      <c r="C362" s="74"/>
      <c r="D362" s="74"/>
      <c r="E362" s="74"/>
      <c r="F362" s="74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74"/>
      <c r="B363" s="74"/>
      <c r="C363" s="74"/>
      <c r="D363" s="74"/>
      <c r="E363" s="74"/>
      <c r="F363" s="74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74"/>
      <c r="B364" s="74"/>
      <c r="C364" s="74"/>
      <c r="D364" s="74"/>
      <c r="E364" s="74"/>
      <c r="F364" s="74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74"/>
      <c r="B365" s="74"/>
      <c r="C365" s="74"/>
      <c r="D365" s="74"/>
      <c r="E365" s="74"/>
      <c r="F365" s="74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74"/>
      <c r="B366" s="74"/>
      <c r="C366" s="74"/>
      <c r="D366" s="74"/>
      <c r="E366" s="74"/>
      <c r="F366" s="74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74"/>
      <c r="B367" s="74"/>
      <c r="C367" s="74"/>
      <c r="D367" s="74"/>
      <c r="E367" s="74"/>
      <c r="F367" s="74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74"/>
      <c r="B368" s="74"/>
      <c r="C368" s="74"/>
      <c r="D368" s="74"/>
      <c r="E368" s="74"/>
      <c r="F368" s="74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74"/>
      <c r="B369" s="74"/>
      <c r="C369" s="74"/>
      <c r="D369" s="74"/>
      <c r="E369" s="74"/>
      <c r="F369" s="74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74"/>
      <c r="B370" s="74"/>
      <c r="C370" s="74"/>
      <c r="D370" s="74"/>
      <c r="E370" s="74"/>
      <c r="F370" s="74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74"/>
      <c r="B371" s="74"/>
      <c r="C371" s="74"/>
      <c r="D371" s="74"/>
      <c r="E371" s="74"/>
      <c r="F371" s="74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74"/>
      <c r="B372" s="74"/>
      <c r="C372" s="74"/>
      <c r="D372" s="74"/>
      <c r="E372" s="74"/>
      <c r="F372" s="74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74"/>
      <c r="B373" s="74"/>
      <c r="C373" s="74"/>
      <c r="D373" s="74"/>
      <c r="E373" s="74"/>
      <c r="F373" s="74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74"/>
      <c r="B374" s="74"/>
      <c r="C374" s="74"/>
      <c r="D374" s="74"/>
      <c r="E374" s="74"/>
      <c r="F374" s="74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74"/>
      <c r="B375" s="74"/>
      <c r="C375" s="74"/>
      <c r="D375" s="74"/>
      <c r="E375" s="74"/>
      <c r="F375" s="74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74"/>
      <c r="B376" s="74"/>
      <c r="C376" s="74"/>
      <c r="D376" s="74"/>
      <c r="E376" s="74"/>
      <c r="F376" s="74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74"/>
      <c r="B377" s="74"/>
      <c r="C377" s="74"/>
      <c r="D377" s="74"/>
      <c r="E377" s="74"/>
      <c r="F377" s="74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74"/>
      <c r="B378" s="74"/>
      <c r="C378" s="74"/>
      <c r="D378" s="74"/>
      <c r="E378" s="74"/>
      <c r="F378" s="74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74"/>
      <c r="B379" s="74"/>
      <c r="C379" s="74"/>
      <c r="D379" s="74"/>
      <c r="E379" s="74"/>
      <c r="F379" s="74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74"/>
      <c r="B380" s="74"/>
      <c r="C380" s="74"/>
      <c r="D380" s="74"/>
      <c r="E380" s="74"/>
      <c r="F380" s="74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74"/>
      <c r="B381" s="74"/>
      <c r="C381" s="74"/>
      <c r="D381" s="74"/>
      <c r="E381" s="74"/>
      <c r="F381" s="74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74"/>
      <c r="B382" s="74"/>
      <c r="C382" s="74"/>
      <c r="D382" s="74"/>
      <c r="E382" s="74"/>
      <c r="F382" s="74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4"/>
      <c r="B383" s="74"/>
      <c r="C383" s="74"/>
      <c r="D383" s="74"/>
      <c r="E383" s="74"/>
      <c r="F383" s="74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4"/>
      <c r="B384" s="74"/>
      <c r="C384" s="74"/>
      <c r="D384" s="74"/>
      <c r="E384" s="74"/>
      <c r="F384" s="74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4"/>
      <c r="B385" s="74"/>
      <c r="C385" s="74"/>
      <c r="D385" s="74"/>
      <c r="E385" s="74"/>
      <c r="F385" s="74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4"/>
      <c r="B386" s="74"/>
      <c r="C386" s="74"/>
      <c r="D386" s="74"/>
      <c r="E386" s="74"/>
      <c r="F386" s="74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4"/>
      <c r="B387" s="74"/>
      <c r="C387" s="74"/>
      <c r="D387" s="74"/>
      <c r="E387" s="74"/>
      <c r="F387" s="74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4"/>
      <c r="B388" s="74"/>
      <c r="C388" s="74"/>
      <c r="D388" s="74"/>
      <c r="E388" s="74"/>
      <c r="F388" s="74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4"/>
      <c r="B389" s="74"/>
      <c r="C389" s="74"/>
      <c r="D389" s="74"/>
      <c r="E389" s="74"/>
      <c r="F389" s="74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4"/>
      <c r="B390" s="74"/>
      <c r="C390" s="74"/>
      <c r="D390" s="74"/>
      <c r="E390" s="74"/>
      <c r="F390" s="74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4"/>
      <c r="B391" s="74"/>
      <c r="C391" s="74"/>
      <c r="D391" s="74"/>
      <c r="E391" s="74"/>
      <c r="F391" s="74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4"/>
      <c r="B392" s="74"/>
      <c r="C392" s="74"/>
      <c r="D392" s="74"/>
      <c r="E392" s="74"/>
      <c r="F392" s="74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4"/>
      <c r="B393" s="74"/>
      <c r="C393" s="74"/>
      <c r="D393" s="74"/>
      <c r="E393" s="74"/>
      <c r="F393" s="74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4"/>
      <c r="B394" s="74"/>
      <c r="C394" s="74"/>
      <c r="D394" s="74"/>
      <c r="E394" s="74"/>
      <c r="F394" s="74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4"/>
      <c r="B395" s="74"/>
      <c r="C395" s="74"/>
      <c r="D395" s="74"/>
      <c r="E395" s="74"/>
      <c r="F395" s="74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4"/>
      <c r="B396" s="74"/>
      <c r="C396" s="74"/>
      <c r="D396" s="74"/>
      <c r="E396" s="74"/>
      <c r="F396" s="74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4"/>
      <c r="B397" s="74"/>
      <c r="C397" s="74"/>
      <c r="D397" s="74"/>
      <c r="E397" s="74"/>
      <c r="F397" s="74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4"/>
      <c r="B398" s="74"/>
      <c r="C398" s="74"/>
      <c r="D398" s="74"/>
      <c r="E398" s="74"/>
      <c r="F398" s="74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4"/>
      <c r="B399" s="74"/>
      <c r="C399" s="74"/>
      <c r="D399" s="74"/>
      <c r="E399" s="74"/>
      <c r="F399" s="74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4"/>
      <c r="B400" s="74"/>
      <c r="C400" s="74"/>
      <c r="D400" s="74"/>
      <c r="E400" s="74"/>
      <c r="F400" s="74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4"/>
      <c r="B401" s="74"/>
      <c r="C401" s="74"/>
      <c r="D401" s="74"/>
      <c r="E401" s="74"/>
      <c r="F401" s="74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4"/>
      <c r="B402" s="74"/>
      <c r="C402" s="74"/>
      <c r="D402" s="74"/>
      <c r="E402" s="74"/>
      <c r="F402" s="74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4"/>
      <c r="B403" s="74"/>
      <c r="C403" s="74"/>
      <c r="D403" s="74"/>
      <c r="E403" s="74"/>
      <c r="F403" s="74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4"/>
      <c r="B404" s="74"/>
      <c r="C404" s="74"/>
      <c r="D404" s="74"/>
      <c r="E404" s="74"/>
      <c r="F404" s="74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4"/>
      <c r="B405" s="74"/>
      <c r="C405" s="74"/>
      <c r="D405" s="74"/>
      <c r="E405" s="74"/>
      <c r="F405" s="74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4"/>
      <c r="B406" s="74"/>
      <c r="C406" s="74"/>
      <c r="D406" s="74"/>
      <c r="E406" s="74"/>
      <c r="F406" s="74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4"/>
      <c r="B407" s="74"/>
      <c r="C407" s="74"/>
      <c r="D407" s="74"/>
      <c r="E407" s="74"/>
      <c r="F407" s="74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4"/>
      <c r="B408" s="74"/>
      <c r="C408" s="74"/>
      <c r="D408" s="74"/>
      <c r="E408" s="74"/>
      <c r="F408" s="74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4"/>
      <c r="B409" s="74"/>
      <c r="C409" s="74"/>
      <c r="D409" s="74"/>
      <c r="E409" s="74"/>
      <c r="F409" s="74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4"/>
      <c r="B410" s="74"/>
      <c r="C410" s="74"/>
      <c r="D410" s="74"/>
      <c r="E410" s="74"/>
      <c r="F410" s="74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4"/>
      <c r="B411" s="74"/>
      <c r="C411" s="74"/>
      <c r="D411" s="74"/>
      <c r="E411" s="74"/>
      <c r="F411" s="74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4"/>
      <c r="B412" s="74"/>
      <c r="C412" s="74"/>
      <c r="D412" s="74"/>
      <c r="E412" s="74"/>
      <c r="F412" s="74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4"/>
      <c r="B413" s="74"/>
      <c r="C413" s="74"/>
      <c r="D413" s="74"/>
      <c r="E413" s="74"/>
      <c r="F413" s="74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4"/>
      <c r="B414" s="74"/>
      <c r="C414" s="74"/>
      <c r="D414" s="74"/>
      <c r="E414" s="74"/>
      <c r="F414" s="74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4"/>
      <c r="B415" s="74"/>
      <c r="C415" s="74"/>
      <c r="D415" s="74"/>
      <c r="E415" s="74"/>
      <c r="F415" s="74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4"/>
      <c r="B416" s="74"/>
      <c r="C416" s="74"/>
      <c r="D416" s="74"/>
      <c r="E416" s="74"/>
      <c r="F416" s="74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4"/>
      <c r="B417" s="74"/>
      <c r="C417" s="74"/>
      <c r="D417" s="74"/>
      <c r="E417" s="74"/>
      <c r="F417" s="74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4"/>
      <c r="B418" s="74"/>
      <c r="C418" s="74"/>
      <c r="D418" s="74"/>
      <c r="E418" s="74"/>
      <c r="F418" s="74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4"/>
      <c r="B419" s="74"/>
      <c r="C419" s="74"/>
      <c r="D419" s="74"/>
      <c r="E419" s="74"/>
      <c r="F419" s="74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4"/>
      <c r="B420" s="74"/>
      <c r="C420" s="74"/>
      <c r="D420" s="74"/>
      <c r="E420" s="74"/>
      <c r="F420" s="74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4"/>
      <c r="B421" s="74"/>
      <c r="C421" s="74"/>
      <c r="D421" s="74"/>
      <c r="E421" s="74"/>
      <c r="F421" s="74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4"/>
      <c r="B422" s="74"/>
      <c r="C422" s="74"/>
      <c r="D422" s="74"/>
      <c r="E422" s="74"/>
      <c r="F422" s="74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4"/>
      <c r="B423" s="74"/>
      <c r="C423" s="74"/>
      <c r="D423" s="74"/>
      <c r="E423" s="74"/>
      <c r="F423" s="74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4"/>
      <c r="B424" s="74"/>
      <c r="C424" s="74"/>
      <c r="D424" s="74"/>
      <c r="E424" s="74"/>
      <c r="F424" s="74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4"/>
      <c r="B425" s="74"/>
      <c r="C425" s="74"/>
      <c r="D425" s="74"/>
      <c r="E425" s="74"/>
      <c r="F425" s="74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4"/>
      <c r="B426" s="74"/>
      <c r="C426" s="74"/>
      <c r="D426" s="74"/>
      <c r="E426" s="74"/>
      <c r="F426" s="74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4"/>
      <c r="B427" s="74"/>
      <c r="C427" s="74"/>
      <c r="D427" s="74"/>
      <c r="E427" s="74"/>
      <c r="F427" s="74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4"/>
      <c r="B428" s="74"/>
      <c r="C428" s="74"/>
      <c r="D428" s="74"/>
      <c r="E428" s="74"/>
      <c r="F428" s="74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4"/>
      <c r="B429" s="74"/>
      <c r="C429" s="74"/>
      <c r="D429" s="74"/>
      <c r="E429" s="74"/>
      <c r="F429" s="74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4"/>
      <c r="B430" s="74"/>
      <c r="C430" s="74"/>
      <c r="D430" s="74"/>
      <c r="E430" s="74"/>
      <c r="F430" s="74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4"/>
      <c r="B431" s="74"/>
      <c r="C431" s="74"/>
      <c r="D431" s="74"/>
      <c r="E431" s="74"/>
      <c r="F431" s="74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4"/>
      <c r="B432" s="74"/>
      <c r="C432" s="74"/>
      <c r="D432" s="74"/>
      <c r="E432" s="74"/>
      <c r="F432" s="74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4"/>
      <c r="B433" s="74"/>
      <c r="C433" s="74"/>
      <c r="D433" s="74"/>
      <c r="E433" s="74"/>
      <c r="F433" s="74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4"/>
      <c r="B434" s="74"/>
      <c r="C434" s="74"/>
      <c r="D434" s="74"/>
      <c r="E434" s="74"/>
      <c r="F434" s="74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4"/>
      <c r="B435" s="74"/>
      <c r="C435" s="74"/>
      <c r="D435" s="74"/>
      <c r="E435" s="74"/>
      <c r="F435" s="74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4"/>
      <c r="B436" s="74"/>
      <c r="C436" s="74"/>
      <c r="D436" s="74"/>
      <c r="E436" s="74"/>
      <c r="F436" s="74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4"/>
      <c r="B437" s="74"/>
      <c r="C437" s="74"/>
      <c r="D437" s="74"/>
      <c r="E437" s="74"/>
      <c r="F437" s="74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4"/>
      <c r="B438" s="74"/>
      <c r="C438" s="74"/>
      <c r="D438" s="74"/>
      <c r="E438" s="74"/>
      <c r="F438" s="74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4"/>
      <c r="B439" s="74"/>
      <c r="C439" s="74"/>
      <c r="D439" s="74"/>
      <c r="E439" s="74"/>
      <c r="F439" s="74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4"/>
      <c r="B440" s="74"/>
      <c r="C440" s="74"/>
      <c r="D440" s="74"/>
      <c r="E440" s="74"/>
      <c r="F440" s="74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4"/>
      <c r="B441" s="74"/>
      <c r="C441" s="74"/>
      <c r="D441" s="74"/>
      <c r="E441" s="74"/>
      <c r="F441" s="74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4"/>
      <c r="B442" s="74"/>
      <c r="C442" s="74"/>
      <c r="D442" s="74"/>
      <c r="E442" s="74"/>
      <c r="F442" s="74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4"/>
      <c r="B443" s="74"/>
      <c r="C443" s="74"/>
      <c r="D443" s="74"/>
      <c r="E443" s="74"/>
      <c r="F443" s="74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4"/>
      <c r="B444" s="74"/>
      <c r="C444" s="74"/>
      <c r="D444" s="74"/>
      <c r="E444" s="74"/>
      <c r="F444" s="74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4"/>
      <c r="B445" s="74"/>
      <c r="C445" s="74"/>
      <c r="D445" s="74"/>
      <c r="E445" s="74"/>
      <c r="F445" s="74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4"/>
      <c r="B446" s="74"/>
      <c r="C446" s="74"/>
      <c r="D446" s="74"/>
      <c r="E446" s="74"/>
      <c r="F446" s="74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4"/>
      <c r="B447" s="74"/>
      <c r="C447" s="74"/>
      <c r="D447" s="74"/>
      <c r="E447" s="74"/>
      <c r="F447" s="74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4"/>
      <c r="B448" s="74"/>
      <c r="C448" s="74"/>
      <c r="D448" s="74"/>
      <c r="E448" s="74"/>
      <c r="F448" s="74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4"/>
      <c r="B449" s="74"/>
      <c r="C449" s="74"/>
      <c r="D449" s="74"/>
      <c r="E449" s="74"/>
      <c r="F449" s="74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4"/>
      <c r="B450" s="74"/>
      <c r="C450" s="74"/>
      <c r="D450" s="74"/>
      <c r="E450" s="74"/>
      <c r="F450" s="74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4"/>
      <c r="B451" s="74"/>
      <c r="C451" s="74"/>
      <c r="D451" s="74"/>
      <c r="E451" s="74"/>
      <c r="F451" s="74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4"/>
      <c r="B452" s="74"/>
      <c r="C452" s="74"/>
      <c r="D452" s="74"/>
      <c r="E452" s="74"/>
      <c r="F452" s="74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4"/>
      <c r="B453" s="74"/>
      <c r="C453" s="74"/>
      <c r="D453" s="74"/>
      <c r="E453" s="74"/>
      <c r="F453" s="74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4"/>
      <c r="B454" s="74"/>
      <c r="C454" s="74"/>
      <c r="D454" s="74"/>
      <c r="E454" s="74"/>
      <c r="F454" s="74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4"/>
      <c r="B455" s="74"/>
      <c r="C455" s="74"/>
      <c r="D455" s="74"/>
      <c r="E455" s="74"/>
      <c r="F455" s="74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4"/>
      <c r="B456" s="74"/>
      <c r="C456" s="74"/>
      <c r="D456" s="74"/>
      <c r="E456" s="74"/>
      <c r="F456" s="74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4"/>
      <c r="B457" s="74"/>
      <c r="C457" s="74"/>
      <c r="D457" s="74"/>
      <c r="E457" s="74"/>
      <c r="F457" s="74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4"/>
      <c r="B458" s="74"/>
      <c r="C458" s="74"/>
      <c r="D458" s="74"/>
      <c r="E458" s="74"/>
      <c r="F458" s="74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4"/>
      <c r="B459" s="74"/>
      <c r="C459" s="74"/>
      <c r="D459" s="74"/>
      <c r="E459" s="74"/>
      <c r="F459" s="74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4"/>
      <c r="B460" s="74"/>
      <c r="C460" s="74"/>
      <c r="D460" s="74"/>
      <c r="E460" s="74"/>
      <c r="F460" s="74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4"/>
      <c r="B461" s="74"/>
      <c r="C461" s="74"/>
      <c r="D461" s="74"/>
      <c r="E461" s="74"/>
      <c r="F461" s="74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4"/>
      <c r="B462" s="74"/>
      <c r="C462" s="74"/>
      <c r="D462" s="74"/>
      <c r="E462" s="74"/>
      <c r="F462" s="74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4"/>
      <c r="B463" s="74"/>
      <c r="C463" s="74"/>
      <c r="D463" s="74"/>
      <c r="E463" s="74"/>
      <c r="F463" s="74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4"/>
      <c r="B464" s="74"/>
      <c r="C464" s="74"/>
      <c r="D464" s="74"/>
      <c r="E464" s="74"/>
      <c r="F464" s="74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4"/>
      <c r="B465" s="74"/>
      <c r="C465" s="74"/>
      <c r="D465" s="74"/>
      <c r="E465" s="74"/>
      <c r="F465" s="74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4"/>
      <c r="B466" s="74"/>
      <c r="C466" s="74"/>
      <c r="D466" s="74"/>
      <c r="E466" s="74"/>
      <c r="F466" s="74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4"/>
      <c r="B467" s="74"/>
      <c r="C467" s="74"/>
      <c r="D467" s="74"/>
      <c r="E467" s="74"/>
      <c r="F467" s="74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4"/>
      <c r="B468" s="74"/>
      <c r="C468" s="74"/>
      <c r="D468" s="74"/>
      <c r="E468" s="74"/>
      <c r="F468" s="74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4"/>
      <c r="B469" s="74"/>
      <c r="C469" s="74"/>
      <c r="D469" s="74"/>
      <c r="E469" s="74"/>
      <c r="F469" s="74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4"/>
      <c r="B470" s="74"/>
      <c r="C470" s="74"/>
      <c r="D470" s="74"/>
      <c r="E470" s="74"/>
      <c r="F470" s="74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4"/>
      <c r="B471" s="74"/>
      <c r="C471" s="74"/>
      <c r="D471" s="74"/>
      <c r="E471" s="74"/>
      <c r="F471" s="74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4"/>
      <c r="B472" s="74"/>
      <c r="C472" s="74"/>
      <c r="D472" s="74"/>
      <c r="E472" s="74"/>
      <c r="F472" s="74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4"/>
      <c r="B473" s="74"/>
      <c r="C473" s="74"/>
      <c r="D473" s="74"/>
      <c r="E473" s="74"/>
      <c r="F473" s="74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4"/>
      <c r="B474" s="74"/>
      <c r="C474" s="74"/>
      <c r="D474" s="74"/>
      <c r="E474" s="74"/>
      <c r="F474" s="74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4"/>
      <c r="B475" s="74"/>
      <c r="C475" s="74"/>
      <c r="D475" s="74"/>
      <c r="E475" s="74"/>
      <c r="F475" s="74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4"/>
      <c r="B476" s="74"/>
      <c r="C476" s="74"/>
      <c r="D476" s="74"/>
      <c r="E476" s="74"/>
      <c r="F476" s="74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4"/>
      <c r="B477" s="74"/>
      <c r="C477" s="74"/>
      <c r="D477" s="74"/>
      <c r="E477" s="74"/>
      <c r="F477" s="74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4"/>
      <c r="B478" s="74"/>
      <c r="C478" s="74"/>
      <c r="D478" s="74"/>
      <c r="E478" s="74"/>
      <c r="F478" s="74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4"/>
      <c r="B479" s="74"/>
      <c r="C479" s="74"/>
      <c r="D479" s="74"/>
      <c r="E479" s="74"/>
      <c r="F479" s="74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4"/>
      <c r="B480" s="74"/>
      <c r="C480" s="74"/>
      <c r="D480" s="74"/>
      <c r="E480" s="74"/>
      <c r="F480" s="74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4"/>
      <c r="B481" s="74"/>
      <c r="C481" s="74"/>
      <c r="D481" s="74"/>
      <c r="E481" s="74"/>
      <c r="F481" s="74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4"/>
      <c r="B482" s="74"/>
      <c r="C482" s="74"/>
      <c r="D482" s="74"/>
      <c r="E482" s="74"/>
      <c r="F482" s="74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4"/>
      <c r="B483" s="74"/>
      <c r="C483" s="74"/>
      <c r="D483" s="74"/>
      <c r="E483" s="74"/>
      <c r="F483" s="74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4"/>
      <c r="B484" s="74"/>
      <c r="C484" s="74"/>
      <c r="D484" s="74"/>
      <c r="E484" s="74"/>
      <c r="F484" s="74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4"/>
      <c r="B485" s="74"/>
      <c r="C485" s="74"/>
      <c r="D485" s="74"/>
      <c r="E485" s="74"/>
      <c r="F485" s="74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4"/>
      <c r="B486" s="74"/>
      <c r="C486" s="74"/>
      <c r="D486" s="74"/>
      <c r="E486" s="74"/>
      <c r="F486" s="74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4"/>
      <c r="B487" s="74"/>
      <c r="C487" s="74"/>
      <c r="D487" s="74"/>
      <c r="E487" s="74"/>
      <c r="F487" s="74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4"/>
      <c r="B488" s="74"/>
      <c r="C488" s="74"/>
      <c r="D488" s="74"/>
      <c r="E488" s="74"/>
      <c r="F488" s="74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4"/>
      <c r="B489" s="74"/>
      <c r="C489" s="74"/>
      <c r="D489" s="74"/>
      <c r="E489" s="74"/>
      <c r="F489" s="74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4"/>
      <c r="B490" s="74"/>
      <c r="C490" s="74"/>
      <c r="D490" s="74"/>
      <c r="E490" s="74"/>
      <c r="F490" s="74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4"/>
      <c r="B491" s="74"/>
      <c r="C491" s="74"/>
      <c r="D491" s="74"/>
      <c r="E491" s="74"/>
      <c r="F491" s="74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4"/>
      <c r="B492" s="74"/>
      <c r="C492" s="74"/>
      <c r="D492" s="74"/>
      <c r="E492" s="74"/>
      <c r="F492" s="74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4"/>
      <c r="B493" s="74"/>
      <c r="C493" s="74"/>
      <c r="D493" s="74"/>
      <c r="E493" s="74"/>
      <c r="F493" s="74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4"/>
      <c r="B494" s="74"/>
      <c r="C494" s="74"/>
      <c r="D494" s="74"/>
      <c r="E494" s="74"/>
      <c r="F494" s="74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4"/>
      <c r="B495" s="74"/>
      <c r="C495" s="74"/>
      <c r="D495" s="74"/>
      <c r="E495" s="74"/>
      <c r="F495" s="74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4"/>
      <c r="B496" s="74"/>
      <c r="C496" s="74"/>
      <c r="D496" s="74"/>
      <c r="E496" s="74"/>
      <c r="F496" s="74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4"/>
      <c r="B497" s="74"/>
      <c r="C497" s="74"/>
      <c r="D497" s="74"/>
      <c r="E497" s="74"/>
      <c r="F497" s="74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4"/>
      <c r="B498" s="74"/>
      <c r="C498" s="74"/>
      <c r="D498" s="74"/>
      <c r="E498" s="74"/>
      <c r="F498" s="74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4"/>
      <c r="B499" s="74"/>
      <c r="C499" s="74"/>
      <c r="D499" s="74"/>
      <c r="E499" s="74"/>
      <c r="F499" s="74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4"/>
      <c r="B500" s="74"/>
      <c r="C500" s="74"/>
      <c r="D500" s="74"/>
      <c r="E500" s="74"/>
      <c r="F500" s="74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4"/>
      <c r="B501" s="74"/>
      <c r="C501" s="74"/>
      <c r="D501" s="74"/>
      <c r="E501" s="74"/>
      <c r="F501" s="74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4"/>
      <c r="B502" s="74"/>
      <c r="C502" s="74"/>
      <c r="D502" s="74"/>
      <c r="E502" s="74"/>
      <c r="F502" s="74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4"/>
      <c r="B503" s="74"/>
      <c r="C503" s="74"/>
      <c r="D503" s="74"/>
      <c r="E503" s="74"/>
      <c r="F503" s="74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4"/>
      <c r="B504" s="74"/>
      <c r="C504" s="74"/>
      <c r="D504" s="74"/>
      <c r="E504" s="74"/>
      <c r="F504" s="74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4"/>
      <c r="B505" s="74"/>
      <c r="C505" s="74"/>
      <c r="D505" s="74"/>
      <c r="E505" s="74"/>
      <c r="F505" s="74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4"/>
      <c r="B506" s="74"/>
      <c r="C506" s="74"/>
      <c r="D506" s="74"/>
      <c r="E506" s="74"/>
      <c r="F506" s="74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4"/>
      <c r="B507" s="74"/>
      <c r="C507" s="74"/>
      <c r="D507" s="74"/>
      <c r="E507" s="74"/>
      <c r="F507" s="74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4"/>
      <c r="B508" s="74"/>
      <c r="C508" s="74"/>
      <c r="D508" s="74"/>
      <c r="E508" s="74"/>
      <c r="F508" s="74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4"/>
      <c r="B509" s="74"/>
      <c r="C509" s="74"/>
      <c r="D509" s="74"/>
      <c r="E509" s="74"/>
      <c r="F509" s="74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4"/>
      <c r="B510" s="74"/>
      <c r="C510" s="74"/>
      <c r="D510" s="74"/>
      <c r="E510" s="74"/>
      <c r="F510" s="74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4"/>
      <c r="B511" s="74"/>
      <c r="C511" s="74"/>
      <c r="D511" s="74"/>
      <c r="E511" s="74"/>
      <c r="F511" s="74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4"/>
      <c r="B512" s="74"/>
      <c r="C512" s="74"/>
      <c r="D512" s="74"/>
      <c r="E512" s="74"/>
      <c r="F512" s="74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4"/>
      <c r="B513" s="74"/>
      <c r="C513" s="74"/>
      <c r="D513" s="74"/>
      <c r="E513" s="74"/>
      <c r="F513" s="74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4"/>
      <c r="B514" s="74"/>
      <c r="C514" s="74"/>
      <c r="D514" s="74"/>
      <c r="E514" s="74"/>
      <c r="F514" s="74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4"/>
      <c r="B515" s="74"/>
      <c r="C515" s="74"/>
      <c r="D515" s="74"/>
      <c r="E515" s="74"/>
      <c r="F515" s="74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4"/>
      <c r="B516" s="74"/>
      <c r="C516" s="74"/>
      <c r="D516" s="74"/>
      <c r="E516" s="74"/>
      <c r="F516" s="74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4"/>
      <c r="B517" s="74"/>
      <c r="C517" s="74"/>
      <c r="D517" s="74"/>
      <c r="E517" s="74"/>
      <c r="F517" s="74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4"/>
      <c r="B518" s="74"/>
      <c r="C518" s="74"/>
      <c r="D518" s="74"/>
      <c r="E518" s="74"/>
      <c r="F518" s="74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4"/>
      <c r="B519" s="74"/>
      <c r="C519" s="74"/>
      <c r="D519" s="74"/>
      <c r="E519" s="74"/>
      <c r="F519" s="74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4"/>
      <c r="B520" s="74"/>
      <c r="C520" s="74"/>
      <c r="D520" s="74"/>
      <c r="E520" s="74"/>
      <c r="F520" s="74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4"/>
      <c r="B521" s="74"/>
      <c r="C521" s="74"/>
      <c r="D521" s="74"/>
      <c r="E521" s="74"/>
      <c r="F521" s="74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4"/>
      <c r="B522" s="74"/>
      <c r="C522" s="74"/>
      <c r="D522" s="74"/>
      <c r="E522" s="74"/>
      <c r="F522" s="74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4"/>
      <c r="B523" s="74"/>
      <c r="C523" s="74"/>
      <c r="D523" s="74"/>
      <c r="E523" s="74"/>
      <c r="F523" s="74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4"/>
      <c r="B524" s="74"/>
      <c r="C524" s="74"/>
      <c r="D524" s="74"/>
      <c r="E524" s="74"/>
      <c r="F524" s="74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4"/>
      <c r="B525" s="74"/>
      <c r="C525" s="74"/>
      <c r="D525" s="74"/>
      <c r="E525" s="74"/>
      <c r="F525" s="74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4"/>
      <c r="B526" s="74"/>
      <c r="C526" s="74"/>
      <c r="D526" s="74"/>
      <c r="E526" s="74"/>
      <c r="F526" s="74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4"/>
      <c r="B527" s="74"/>
      <c r="C527" s="74"/>
      <c r="D527" s="74"/>
      <c r="E527" s="74"/>
      <c r="F527" s="74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4"/>
      <c r="B528" s="74"/>
      <c r="C528" s="74"/>
      <c r="D528" s="74"/>
      <c r="E528" s="74"/>
      <c r="F528" s="74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4"/>
      <c r="B529" s="74"/>
      <c r="C529" s="74"/>
      <c r="D529" s="74"/>
      <c r="E529" s="74"/>
      <c r="F529" s="74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4"/>
      <c r="B530" s="74"/>
      <c r="C530" s="74"/>
      <c r="D530" s="74"/>
      <c r="E530" s="74"/>
      <c r="F530" s="74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4"/>
      <c r="B531" s="74"/>
      <c r="C531" s="74"/>
      <c r="D531" s="74"/>
      <c r="E531" s="74"/>
      <c r="F531" s="74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4"/>
      <c r="B532" s="74"/>
      <c r="C532" s="74"/>
      <c r="D532" s="74"/>
      <c r="E532" s="74"/>
      <c r="F532" s="74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4"/>
      <c r="B533" s="74"/>
      <c r="C533" s="74"/>
      <c r="D533" s="74"/>
      <c r="E533" s="74"/>
      <c r="F533" s="74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4"/>
      <c r="B534" s="74"/>
      <c r="C534" s="74"/>
      <c r="D534" s="74"/>
      <c r="E534" s="74"/>
      <c r="F534" s="74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4"/>
      <c r="B535" s="74"/>
      <c r="C535" s="74"/>
      <c r="D535" s="74"/>
      <c r="E535" s="74"/>
      <c r="F535" s="74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4"/>
      <c r="B536" s="74"/>
      <c r="C536" s="74"/>
      <c r="D536" s="74"/>
      <c r="E536" s="74"/>
      <c r="F536" s="74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4"/>
      <c r="B537" s="74"/>
      <c r="C537" s="74"/>
      <c r="D537" s="74"/>
      <c r="E537" s="74"/>
      <c r="F537" s="74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4"/>
      <c r="B538" s="74"/>
      <c r="C538" s="74"/>
      <c r="D538" s="74"/>
      <c r="E538" s="74"/>
      <c r="F538" s="74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4"/>
      <c r="B539" s="74"/>
      <c r="C539" s="74"/>
      <c r="D539" s="74"/>
      <c r="E539" s="74"/>
      <c r="F539" s="74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4"/>
      <c r="B540" s="74"/>
      <c r="C540" s="74"/>
      <c r="D540" s="74"/>
      <c r="E540" s="74"/>
      <c r="F540" s="74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4"/>
      <c r="B541" s="74"/>
      <c r="C541" s="74"/>
      <c r="D541" s="74"/>
      <c r="E541" s="74"/>
      <c r="F541" s="74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4"/>
      <c r="B542" s="74"/>
      <c r="C542" s="74"/>
      <c r="D542" s="74"/>
      <c r="E542" s="74"/>
      <c r="F542" s="74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4"/>
      <c r="B543" s="74"/>
      <c r="C543" s="74"/>
      <c r="D543" s="74"/>
      <c r="E543" s="74"/>
      <c r="F543" s="74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4"/>
      <c r="B544" s="74"/>
      <c r="C544" s="74"/>
      <c r="D544" s="74"/>
      <c r="E544" s="74"/>
      <c r="F544" s="74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autoFilter ref="$A$1:$F$344"/>
  <conditionalFormatting sqref="D1:F1000">
    <cfRule type="cellIs" dxfId="0" priority="1" operator="equal">
      <formula>"Verde"</formula>
    </cfRule>
  </conditionalFormatting>
  <conditionalFormatting sqref="D1:F1000">
    <cfRule type="cellIs" dxfId="1" priority="2" operator="equal">
      <formula>"Amarillo"</formula>
    </cfRule>
  </conditionalFormatting>
  <conditionalFormatting sqref="D1:F1000">
    <cfRule type="cellIs" dxfId="2" priority="3" operator="equal">
      <formula>"Naranja"</formula>
    </cfRule>
  </conditionalFormatting>
  <conditionalFormatting sqref="D1:F1000">
    <cfRule type="cellIs" dxfId="3" priority="4" operator="equal">
      <formula>"Rojo"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2026-01-28T16:37:46Z</dcterms:created>
  <dc:creator>Karina</dc:creator>
</cp:coreProperties>
</file>