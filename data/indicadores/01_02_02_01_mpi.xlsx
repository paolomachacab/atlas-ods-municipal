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2CDD8BD2-2095-4BE4-AEF5-07A11741825A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Calculo_IPM_2012" sheetId="1" r:id="rId1"/>
    <sheet name="Calculo_IPM_2024" sheetId="2" r:id="rId2"/>
    <sheet name="Privaciones_2012" sheetId="3" r:id="rId3"/>
    <sheet name="Privaciones_2024" sheetId="4" r:id="rId4"/>
    <sheet name="Indicador_MUN" sheetId="5" r:id="rId5"/>
    <sheet name="Indicador_DEP" sheetId="6" r:id="rId6"/>
    <sheet name="Absoluto_MUN" sheetId="7" r:id="rId7"/>
    <sheet name="Absoluto_DEP" sheetId="8" r:id="rId8"/>
    <sheet name="Umbral" sheetId="9" r:id="rId9"/>
    <sheet name="Mapa" sheetId="10" r:id="rId10"/>
  </sheets>
  <calcPr calcId="191029"/>
  <extLst>
    <ext uri="GoogleSheetsCustomDataVersion2">
      <go:sheetsCustomData xmlns:go="http://customooxmlschemas.google.com/" r:id="rId14" roundtripDataChecksum="PNiVxrt+Ruhc7GwpEdfZUxf0UQiL3jQQvM4woGPnVmQ="/>
    </ext>
  </extLst>
</workbook>
</file>

<file path=xl/calcChain.xml><?xml version="1.0" encoding="utf-8"?>
<calcChain xmlns="http://schemas.openxmlformats.org/spreadsheetml/2006/main">
  <c r="E346" i="2" l="1"/>
  <c r="D346" i="2"/>
  <c r="G346" i="2" s="1"/>
  <c r="C346" i="2"/>
  <c r="F346" i="2" s="1"/>
  <c r="E345" i="2"/>
  <c r="D345" i="2"/>
  <c r="C345" i="2"/>
  <c r="G344" i="2"/>
  <c r="H344" i="2" s="1"/>
  <c r="F344" i="2"/>
  <c r="G343" i="2"/>
  <c r="F343" i="2"/>
  <c r="G342" i="2"/>
  <c r="F342" i="2"/>
  <c r="H341" i="2"/>
  <c r="G341" i="2"/>
  <c r="F341" i="2"/>
  <c r="G340" i="2"/>
  <c r="F340" i="2"/>
  <c r="G339" i="2"/>
  <c r="F339" i="2"/>
  <c r="H339" i="2" s="1"/>
  <c r="G338" i="2"/>
  <c r="F338" i="2"/>
  <c r="G337" i="2"/>
  <c r="F337" i="2"/>
  <c r="H337" i="2" s="1"/>
  <c r="G336" i="2"/>
  <c r="H336" i="2" s="1"/>
  <c r="F336" i="2"/>
  <c r="G335" i="2"/>
  <c r="F335" i="2"/>
  <c r="H335" i="2" s="1"/>
  <c r="G334" i="2"/>
  <c r="F334" i="2"/>
  <c r="G333" i="2"/>
  <c r="F333" i="2"/>
  <c r="H333" i="2" s="1"/>
  <c r="G332" i="2"/>
  <c r="F332" i="2"/>
  <c r="G331" i="2"/>
  <c r="F331" i="2"/>
  <c r="H331" i="2" s="1"/>
  <c r="G330" i="2"/>
  <c r="F330" i="2"/>
  <c r="H330" i="2" s="1"/>
  <c r="G329" i="2"/>
  <c r="F329" i="2"/>
  <c r="H329" i="2" s="1"/>
  <c r="G328" i="2"/>
  <c r="F328" i="2"/>
  <c r="G327" i="2"/>
  <c r="F327" i="2"/>
  <c r="H327" i="2" s="1"/>
  <c r="G326" i="2"/>
  <c r="F326" i="2"/>
  <c r="H326" i="2" s="1"/>
  <c r="G325" i="2"/>
  <c r="H325" i="2" s="1"/>
  <c r="F325" i="2"/>
  <c r="G324" i="2"/>
  <c r="F324" i="2"/>
  <c r="H324" i="2" s="1"/>
  <c r="H323" i="2"/>
  <c r="G323" i="2"/>
  <c r="F323" i="2"/>
  <c r="G322" i="2"/>
  <c r="F322" i="2"/>
  <c r="H322" i="2" s="1"/>
  <c r="G321" i="2"/>
  <c r="F321" i="2"/>
  <c r="H321" i="2" s="1"/>
  <c r="G320" i="2"/>
  <c r="F320" i="2"/>
  <c r="G319" i="2"/>
  <c r="F319" i="2"/>
  <c r="H319" i="2" s="1"/>
  <c r="G318" i="2"/>
  <c r="F318" i="2"/>
  <c r="H318" i="2" s="1"/>
  <c r="G317" i="2"/>
  <c r="F317" i="2"/>
  <c r="H317" i="2" s="1"/>
  <c r="G316" i="2"/>
  <c r="F316" i="2"/>
  <c r="G315" i="2"/>
  <c r="F315" i="2"/>
  <c r="G314" i="2"/>
  <c r="F314" i="2"/>
  <c r="H314" i="2" s="1"/>
  <c r="G313" i="2"/>
  <c r="F313" i="2"/>
  <c r="G312" i="2"/>
  <c r="F312" i="2"/>
  <c r="G311" i="2"/>
  <c r="F311" i="2"/>
  <c r="G310" i="2"/>
  <c r="F310" i="2"/>
  <c r="H310" i="2" s="1"/>
  <c r="H309" i="2"/>
  <c r="G309" i="2"/>
  <c r="F309" i="2"/>
  <c r="G308" i="2"/>
  <c r="F308" i="2"/>
  <c r="H308" i="2" s="1"/>
  <c r="G307" i="2"/>
  <c r="F307" i="2"/>
  <c r="H307" i="2" s="1"/>
  <c r="G306" i="2"/>
  <c r="F306" i="2"/>
  <c r="G305" i="2"/>
  <c r="F305" i="2"/>
  <c r="H305" i="2" s="1"/>
  <c r="H304" i="2"/>
  <c r="G304" i="2"/>
  <c r="F304" i="2"/>
  <c r="G303" i="2"/>
  <c r="F303" i="2"/>
  <c r="H303" i="2" s="1"/>
  <c r="G302" i="2"/>
  <c r="F302" i="2"/>
  <c r="G301" i="2"/>
  <c r="H301" i="2" s="1"/>
  <c r="F301" i="2"/>
  <c r="G300" i="2"/>
  <c r="F300" i="2"/>
  <c r="G299" i="2"/>
  <c r="H299" i="2" s="1"/>
  <c r="F299" i="2"/>
  <c r="G298" i="2"/>
  <c r="F298" i="2"/>
  <c r="H298" i="2" s="1"/>
  <c r="G297" i="2"/>
  <c r="F297" i="2"/>
  <c r="G296" i="2"/>
  <c r="F296" i="2"/>
  <c r="H296" i="2" s="1"/>
  <c r="G295" i="2"/>
  <c r="F295" i="2"/>
  <c r="G294" i="2"/>
  <c r="F294" i="2"/>
  <c r="H294" i="2" s="1"/>
  <c r="H293" i="2"/>
  <c r="G293" i="2"/>
  <c r="F293" i="2"/>
  <c r="G292" i="2"/>
  <c r="F292" i="2"/>
  <c r="G291" i="2"/>
  <c r="F291" i="2"/>
  <c r="G290" i="2"/>
  <c r="F290" i="2"/>
  <c r="H290" i="2" s="1"/>
  <c r="G289" i="2"/>
  <c r="F289" i="2"/>
  <c r="H289" i="2" s="1"/>
  <c r="G288" i="2"/>
  <c r="H288" i="2" s="1"/>
  <c r="F288" i="2"/>
  <c r="G287" i="2"/>
  <c r="F287" i="2"/>
  <c r="H287" i="2" s="1"/>
  <c r="G286" i="2"/>
  <c r="F286" i="2"/>
  <c r="G285" i="2"/>
  <c r="F285" i="2"/>
  <c r="G284" i="2"/>
  <c r="F284" i="2"/>
  <c r="G283" i="2"/>
  <c r="H283" i="2" s="1"/>
  <c r="F283" i="2"/>
  <c r="G282" i="2"/>
  <c r="F282" i="2"/>
  <c r="H282" i="2" s="1"/>
  <c r="G281" i="2"/>
  <c r="F281" i="2"/>
  <c r="G280" i="2"/>
  <c r="F280" i="2"/>
  <c r="G279" i="2"/>
  <c r="F279" i="2"/>
  <c r="G278" i="2"/>
  <c r="F278" i="2"/>
  <c r="H278" i="2" s="1"/>
  <c r="H277" i="2"/>
  <c r="G277" i="2"/>
  <c r="F277" i="2"/>
  <c r="G276" i="2"/>
  <c r="F276" i="2"/>
  <c r="H276" i="2" s="1"/>
  <c r="G275" i="2"/>
  <c r="F275" i="2"/>
  <c r="G274" i="2"/>
  <c r="F274" i="2"/>
  <c r="H274" i="2" s="1"/>
  <c r="G273" i="2"/>
  <c r="F273" i="2"/>
  <c r="H273" i="2" s="1"/>
  <c r="G272" i="2"/>
  <c r="H272" i="2" s="1"/>
  <c r="F272" i="2"/>
  <c r="G271" i="2"/>
  <c r="F271" i="2"/>
  <c r="G270" i="2"/>
  <c r="F270" i="2"/>
  <c r="G269" i="2"/>
  <c r="F269" i="2"/>
  <c r="H269" i="2" s="1"/>
  <c r="G268" i="2"/>
  <c r="F268" i="2"/>
  <c r="G267" i="2"/>
  <c r="H267" i="2" s="1"/>
  <c r="F267" i="2"/>
  <c r="G266" i="2"/>
  <c r="F266" i="2"/>
  <c r="G265" i="2"/>
  <c r="F265" i="2"/>
  <c r="G264" i="2"/>
  <c r="F264" i="2"/>
  <c r="H264" i="2" s="1"/>
  <c r="G263" i="2"/>
  <c r="F263" i="2"/>
  <c r="H263" i="2" s="1"/>
  <c r="G262" i="2"/>
  <c r="F262" i="2"/>
  <c r="H262" i="2" s="1"/>
  <c r="G261" i="2"/>
  <c r="F261" i="2"/>
  <c r="G260" i="2"/>
  <c r="F260" i="2"/>
  <c r="H259" i="2"/>
  <c r="G259" i="2"/>
  <c r="F259" i="2"/>
  <c r="G258" i="2"/>
  <c r="F258" i="2"/>
  <c r="H258" i="2" s="1"/>
  <c r="G257" i="2"/>
  <c r="F257" i="2"/>
  <c r="G256" i="2"/>
  <c r="F256" i="2"/>
  <c r="G255" i="2"/>
  <c r="F255" i="2"/>
  <c r="G254" i="2"/>
  <c r="F254" i="2"/>
  <c r="G253" i="2"/>
  <c r="F253" i="2"/>
  <c r="H253" i="2" s="1"/>
  <c r="G252" i="2"/>
  <c r="F252" i="2"/>
  <c r="G251" i="2"/>
  <c r="F251" i="2"/>
  <c r="G250" i="2"/>
  <c r="F250" i="2"/>
  <c r="G249" i="2"/>
  <c r="F249" i="2"/>
  <c r="H249" i="2" s="1"/>
  <c r="H248" i="2"/>
  <c r="G248" i="2"/>
  <c r="F248" i="2"/>
  <c r="G247" i="2"/>
  <c r="F247" i="2"/>
  <c r="H247" i="2" s="1"/>
  <c r="G246" i="2"/>
  <c r="F246" i="2"/>
  <c r="G245" i="2"/>
  <c r="H245" i="2" s="1"/>
  <c r="F245" i="2"/>
  <c r="G244" i="2"/>
  <c r="F244" i="2"/>
  <c r="H243" i="2"/>
  <c r="G243" i="2"/>
  <c r="F243" i="2"/>
  <c r="G242" i="2"/>
  <c r="F242" i="2"/>
  <c r="H242" i="2" s="1"/>
  <c r="G241" i="2"/>
  <c r="F241" i="2"/>
  <c r="G240" i="2"/>
  <c r="H240" i="2" s="1"/>
  <c r="F240" i="2"/>
  <c r="G239" i="2"/>
  <c r="F239" i="2"/>
  <c r="H239" i="2" s="1"/>
  <c r="G238" i="2"/>
  <c r="F238" i="2"/>
  <c r="G237" i="2"/>
  <c r="F237" i="2"/>
  <c r="H237" i="2" s="1"/>
  <c r="H236" i="2"/>
  <c r="G236" i="2"/>
  <c r="F236" i="2"/>
  <c r="G235" i="2"/>
  <c r="H235" i="2" s="1"/>
  <c r="F235" i="2"/>
  <c r="G234" i="2"/>
  <c r="F234" i="2"/>
  <c r="H234" i="2" s="1"/>
  <c r="G233" i="2"/>
  <c r="F233" i="2"/>
  <c r="G232" i="2"/>
  <c r="F232" i="2"/>
  <c r="H232" i="2" s="1"/>
  <c r="G231" i="2"/>
  <c r="F231" i="2"/>
  <c r="H231" i="2" s="1"/>
  <c r="G230" i="2"/>
  <c r="F230" i="2"/>
  <c r="H230" i="2" s="1"/>
  <c r="G229" i="2"/>
  <c r="F229" i="2"/>
  <c r="H228" i="2"/>
  <c r="G228" i="2"/>
  <c r="F228" i="2"/>
  <c r="G227" i="2"/>
  <c r="H227" i="2" s="1"/>
  <c r="F227" i="2"/>
  <c r="G226" i="2"/>
  <c r="F226" i="2"/>
  <c r="G225" i="2"/>
  <c r="F225" i="2"/>
  <c r="G224" i="2"/>
  <c r="F224" i="2"/>
  <c r="H224" i="2" s="1"/>
  <c r="G223" i="2"/>
  <c r="F223" i="2"/>
  <c r="H223" i="2" s="1"/>
  <c r="G222" i="2"/>
  <c r="F222" i="2"/>
  <c r="H222" i="2" s="1"/>
  <c r="G221" i="2"/>
  <c r="F221" i="2"/>
  <c r="G220" i="2"/>
  <c r="F220" i="2"/>
  <c r="H220" i="2" s="1"/>
  <c r="G219" i="2"/>
  <c r="H219" i="2" s="1"/>
  <c r="F219" i="2"/>
  <c r="G218" i="2"/>
  <c r="F218" i="2"/>
  <c r="H218" i="2" s="1"/>
  <c r="G217" i="2"/>
  <c r="F217" i="2"/>
  <c r="G216" i="2"/>
  <c r="F216" i="2"/>
  <c r="H216" i="2" s="1"/>
  <c r="G215" i="2"/>
  <c r="F215" i="2"/>
  <c r="G214" i="2"/>
  <c r="F214" i="2"/>
  <c r="H214" i="2" s="1"/>
  <c r="G213" i="2"/>
  <c r="F213" i="2"/>
  <c r="H213" i="2" s="1"/>
  <c r="G212" i="2"/>
  <c r="H212" i="2" s="1"/>
  <c r="F212" i="2"/>
  <c r="G211" i="2"/>
  <c r="F211" i="2"/>
  <c r="G210" i="2"/>
  <c r="F210" i="2"/>
  <c r="G209" i="2"/>
  <c r="F209" i="2"/>
  <c r="H209" i="2" s="1"/>
  <c r="H208" i="2"/>
  <c r="G208" i="2"/>
  <c r="F208" i="2"/>
  <c r="G207" i="2"/>
  <c r="F207" i="2"/>
  <c r="H207" i="2" s="1"/>
  <c r="G206" i="2"/>
  <c r="F206" i="2"/>
  <c r="G205" i="2"/>
  <c r="H205" i="2" s="1"/>
  <c r="F205" i="2"/>
  <c r="G204" i="2"/>
  <c r="F204" i="2"/>
  <c r="H204" i="2" s="1"/>
  <c r="G203" i="2"/>
  <c r="H203" i="2" s="1"/>
  <c r="F203" i="2"/>
  <c r="G202" i="2"/>
  <c r="F202" i="2"/>
  <c r="H202" i="2" s="1"/>
  <c r="G201" i="2"/>
  <c r="F201" i="2"/>
  <c r="G200" i="2"/>
  <c r="F200" i="2"/>
  <c r="H200" i="2" s="1"/>
  <c r="G199" i="2"/>
  <c r="F199" i="2"/>
  <c r="H199" i="2" s="1"/>
  <c r="G198" i="2"/>
  <c r="F198" i="2"/>
  <c r="H198" i="2" s="1"/>
  <c r="G197" i="2"/>
  <c r="F197" i="2"/>
  <c r="H196" i="2"/>
  <c r="G196" i="2"/>
  <c r="F196" i="2"/>
  <c r="G195" i="2"/>
  <c r="F195" i="2"/>
  <c r="G194" i="2"/>
  <c r="F194" i="2"/>
  <c r="H194" i="2" s="1"/>
  <c r="G193" i="2"/>
  <c r="F193" i="2"/>
  <c r="H193" i="2" s="1"/>
  <c r="G192" i="2"/>
  <c r="F192" i="2"/>
  <c r="G191" i="2"/>
  <c r="F191" i="2"/>
  <c r="G190" i="2"/>
  <c r="F190" i="2"/>
  <c r="G189" i="2"/>
  <c r="F189" i="2"/>
  <c r="H189" i="2" s="1"/>
  <c r="H188" i="2"/>
  <c r="G188" i="2"/>
  <c r="F188" i="2"/>
  <c r="G187" i="2"/>
  <c r="H187" i="2" s="1"/>
  <c r="F187" i="2"/>
  <c r="G186" i="2"/>
  <c r="F186" i="2"/>
  <c r="G185" i="2"/>
  <c r="F185" i="2"/>
  <c r="G184" i="2"/>
  <c r="F184" i="2"/>
  <c r="H184" i="2" s="1"/>
  <c r="G183" i="2"/>
  <c r="F183" i="2"/>
  <c r="G182" i="2"/>
  <c r="F182" i="2"/>
  <c r="H182" i="2" s="1"/>
  <c r="H181" i="2"/>
  <c r="G181" i="2"/>
  <c r="F181" i="2"/>
  <c r="G180" i="2"/>
  <c r="H180" i="2" s="1"/>
  <c r="F180" i="2"/>
  <c r="G179" i="2"/>
  <c r="F179" i="2"/>
  <c r="H179" i="2" s="1"/>
  <c r="G178" i="2"/>
  <c r="F178" i="2"/>
  <c r="G177" i="2"/>
  <c r="F177" i="2"/>
  <c r="H177" i="2" s="1"/>
  <c r="H176" i="2"/>
  <c r="G176" i="2"/>
  <c r="F176" i="2"/>
  <c r="G175" i="2"/>
  <c r="F175" i="2"/>
  <c r="G174" i="2"/>
  <c r="F174" i="2"/>
  <c r="H173" i="2"/>
  <c r="G173" i="2"/>
  <c r="F173" i="2"/>
  <c r="G172" i="2"/>
  <c r="F172" i="2"/>
  <c r="H171" i="2"/>
  <c r="G171" i="2"/>
  <c r="F171" i="2"/>
  <c r="G170" i="2"/>
  <c r="F170" i="2"/>
  <c r="G169" i="2"/>
  <c r="F169" i="2"/>
  <c r="H168" i="2"/>
  <c r="G168" i="2"/>
  <c r="F168" i="2"/>
  <c r="G167" i="2"/>
  <c r="F167" i="2"/>
  <c r="H167" i="2" s="1"/>
  <c r="G166" i="2"/>
  <c r="F166" i="2"/>
  <c r="G165" i="2"/>
  <c r="F165" i="2"/>
  <c r="H165" i="2" s="1"/>
  <c r="G164" i="2"/>
  <c r="F164" i="2"/>
  <c r="H164" i="2" s="1"/>
  <c r="H163" i="2"/>
  <c r="G163" i="2"/>
  <c r="F163" i="2"/>
  <c r="G162" i="2"/>
  <c r="F162" i="2"/>
  <c r="H162" i="2" s="1"/>
  <c r="G161" i="2"/>
  <c r="F161" i="2"/>
  <c r="G160" i="2"/>
  <c r="H160" i="2" s="1"/>
  <c r="F160" i="2"/>
  <c r="G159" i="2"/>
  <c r="F159" i="2"/>
  <c r="H159" i="2" s="1"/>
  <c r="G158" i="2"/>
  <c r="F158" i="2"/>
  <c r="G157" i="2"/>
  <c r="F157" i="2"/>
  <c r="H157" i="2" s="1"/>
  <c r="H156" i="2"/>
  <c r="G156" i="2"/>
  <c r="F156" i="2"/>
  <c r="G155" i="2"/>
  <c r="H155" i="2" s="1"/>
  <c r="F155" i="2"/>
  <c r="G154" i="2"/>
  <c r="F154" i="2"/>
  <c r="H154" i="2" s="1"/>
  <c r="G153" i="2"/>
  <c r="F153" i="2"/>
  <c r="G152" i="2"/>
  <c r="F152" i="2"/>
  <c r="G151" i="2"/>
  <c r="F151" i="2"/>
  <c r="H151" i="2" s="1"/>
  <c r="G150" i="2"/>
  <c r="F150" i="2"/>
  <c r="G149" i="2"/>
  <c r="F149" i="2"/>
  <c r="H148" i="2"/>
  <c r="G148" i="2"/>
  <c r="F148" i="2"/>
  <c r="G147" i="2"/>
  <c r="F147" i="2"/>
  <c r="G146" i="2"/>
  <c r="F146" i="2"/>
  <c r="G145" i="2"/>
  <c r="F145" i="2"/>
  <c r="H144" i="2"/>
  <c r="G144" i="2"/>
  <c r="F144" i="2"/>
  <c r="G143" i="2"/>
  <c r="F143" i="2"/>
  <c r="H143" i="2" s="1"/>
  <c r="G142" i="2"/>
  <c r="F142" i="2"/>
  <c r="G141" i="2"/>
  <c r="F141" i="2"/>
  <c r="G140" i="2"/>
  <c r="F140" i="2"/>
  <c r="H140" i="2" s="1"/>
  <c r="G139" i="2"/>
  <c r="H139" i="2" s="1"/>
  <c r="F139" i="2"/>
  <c r="G138" i="2"/>
  <c r="F138" i="2"/>
  <c r="H138" i="2" s="1"/>
  <c r="G137" i="2"/>
  <c r="F137" i="2"/>
  <c r="G136" i="2"/>
  <c r="F136" i="2"/>
  <c r="H136" i="2" s="1"/>
  <c r="G135" i="2"/>
  <c r="F135" i="2"/>
  <c r="H135" i="2" s="1"/>
  <c r="G134" i="2"/>
  <c r="F134" i="2"/>
  <c r="H134" i="2" s="1"/>
  <c r="G133" i="2"/>
  <c r="F133" i="2"/>
  <c r="H132" i="2"/>
  <c r="G132" i="2"/>
  <c r="F132" i="2"/>
  <c r="G131" i="2"/>
  <c r="F131" i="2"/>
  <c r="G130" i="2"/>
  <c r="F130" i="2"/>
  <c r="G129" i="2"/>
  <c r="F129" i="2"/>
  <c r="H128" i="2"/>
  <c r="G128" i="2"/>
  <c r="F128" i="2"/>
  <c r="G127" i="2"/>
  <c r="F127" i="2"/>
  <c r="H127" i="2" s="1"/>
  <c r="G126" i="2"/>
  <c r="F126" i="2"/>
  <c r="G125" i="2"/>
  <c r="F125" i="2"/>
  <c r="H125" i="2" s="1"/>
  <c r="G124" i="2"/>
  <c r="F124" i="2"/>
  <c r="H124" i="2" s="1"/>
  <c r="G123" i="2"/>
  <c r="H123" i="2" s="1"/>
  <c r="F123" i="2"/>
  <c r="G122" i="2"/>
  <c r="F122" i="2"/>
  <c r="H122" i="2" s="1"/>
  <c r="G121" i="2"/>
  <c r="F121" i="2"/>
  <c r="G120" i="2"/>
  <c r="F120" i="2"/>
  <c r="G119" i="2"/>
  <c r="F119" i="2"/>
  <c r="H119" i="2" s="1"/>
  <c r="G118" i="2"/>
  <c r="F118" i="2"/>
  <c r="G117" i="2"/>
  <c r="F117" i="2"/>
  <c r="H116" i="2"/>
  <c r="G116" i="2"/>
  <c r="F116" i="2"/>
  <c r="G115" i="2"/>
  <c r="F115" i="2"/>
  <c r="G114" i="2"/>
  <c r="F114" i="2"/>
  <c r="H114" i="2" s="1"/>
  <c r="G113" i="2"/>
  <c r="F113" i="2"/>
  <c r="H113" i="2" s="1"/>
  <c r="G112" i="2"/>
  <c r="F112" i="2"/>
  <c r="G111" i="2"/>
  <c r="F111" i="2"/>
  <c r="G110" i="2"/>
  <c r="F110" i="2"/>
  <c r="G109" i="2"/>
  <c r="F109" i="2"/>
  <c r="H109" i="2" s="1"/>
  <c r="H108" i="2"/>
  <c r="G108" i="2"/>
  <c r="F108" i="2"/>
  <c r="H107" i="2"/>
  <c r="G107" i="2"/>
  <c r="F107" i="2"/>
  <c r="G106" i="2"/>
  <c r="F106" i="2"/>
  <c r="H106" i="2" s="1"/>
  <c r="G105" i="2"/>
  <c r="F105" i="2"/>
  <c r="G104" i="2"/>
  <c r="F104" i="2"/>
  <c r="H104" i="2" s="1"/>
  <c r="G103" i="2"/>
  <c r="F103" i="2"/>
  <c r="G102" i="2"/>
  <c r="F102" i="2"/>
  <c r="H102" i="2" s="1"/>
  <c r="G101" i="2"/>
  <c r="F101" i="2"/>
  <c r="H101" i="2" s="1"/>
  <c r="H100" i="2"/>
  <c r="G100" i="2"/>
  <c r="F100" i="2"/>
  <c r="G99" i="2"/>
  <c r="F99" i="2"/>
  <c r="G98" i="2"/>
  <c r="F98" i="2"/>
  <c r="G97" i="2"/>
  <c r="F97" i="2"/>
  <c r="H97" i="2" s="1"/>
  <c r="G96" i="2"/>
  <c r="F96" i="2"/>
  <c r="H96" i="2" s="1"/>
  <c r="G95" i="2"/>
  <c r="F95" i="2"/>
  <c r="G94" i="2"/>
  <c r="F94" i="2"/>
  <c r="H94" i="2" s="1"/>
  <c r="H93" i="2"/>
  <c r="G93" i="2"/>
  <c r="F93" i="2"/>
  <c r="G92" i="2"/>
  <c r="H92" i="2" s="1"/>
  <c r="F92" i="2"/>
  <c r="G91" i="2"/>
  <c r="F91" i="2"/>
  <c r="H90" i="2"/>
  <c r="G90" i="2"/>
  <c r="F90" i="2"/>
  <c r="G89" i="2"/>
  <c r="F89" i="2"/>
  <c r="H89" i="2" s="1"/>
  <c r="G88" i="2"/>
  <c r="F88" i="2"/>
  <c r="H88" i="2" s="1"/>
  <c r="G87" i="2"/>
  <c r="F87" i="2"/>
  <c r="G86" i="2"/>
  <c r="F86" i="2"/>
  <c r="H86" i="2" s="1"/>
  <c r="H85" i="2"/>
  <c r="G85" i="2"/>
  <c r="F85" i="2"/>
  <c r="H84" i="2"/>
  <c r="G84" i="2"/>
  <c r="F84" i="2"/>
  <c r="G83" i="2"/>
  <c r="F83" i="2"/>
  <c r="H82" i="2"/>
  <c r="G82" i="2"/>
  <c r="F82" i="2"/>
  <c r="G81" i="2"/>
  <c r="F81" i="2"/>
  <c r="G80" i="2"/>
  <c r="F80" i="2"/>
  <c r="H80" i="2" s="1"/>
  <c r="G79" i="2"/>
  <c r="F79" i="2"/>
  <c r="G78" i="2"/>
  <c r="F78" i="2"/>
  <c r="H78" i="2" s="1"/>
  <c r="H77" i="2"/>
  <c r="G77" i="2"/>
  <c r="F77" i="2"/>
  <c r="G76" i="2"/>
  <c r="H76" i="2" s="1"/>
  <c r="F76" i="2"/>
  <c r="G75" i="2"/>
  <c r="F75" i="2"/>
  <c r="H75" i="2" s="1"/>
  <c r="H74" i="2"/>
  <c r="G74" i="2"/>
  <c r="F74" i="2"/>
  <c r="G73" i="2"/>
  <c r="F73" i="2"/>
  <c r="H73" i="2" s="1"/>
  <c r="G72" i="2"/>
  <c r="F72" i="2"/>
  <c r="G71" i="2"/>
  <c r="F71" i="2"/>
  <c r="G70" i="2"/>
  <c r="F70" i="2"/>
  <c r="H69" i="2"/>
  <c r="G69" i="2"/>
  <c r="F69" i="2"/>
  <c r="G68" i="2"/>
  <c r="H68" i="2" s="1"/>
  <c r="F68" i="2"/>
  <c r="G67" i="2"/>
  <c r="F67" i="2"/>
  <c r="H67" i="2" s="1"/>
  <c r="G66" i="2"/>
  <c r="F66" i="2"/>
  <c r="G65" i="2"/>
  <c r="F65" i="2"/>
  <c r="H64" i="2"/>
  <c r="G64" i="2"/>
  <c r="F64" i="2"/>
  <c r="G63" i="2"/>
  <c r="F63" i="2"/>
  <c r="H63" i="2" s="1"/>
  <c r="G62" i="2"/>
  <c r="F62" i="2"/>
  <c r="G61" i="2"/>
  <c r="F61" i="2"/>
  <c r="H61" i="2" s="1"/>
  <c r="G60" i="2"/>
  <c r="F60" i="2"/>
  <c r="H60" i="2" s="1"/>
  <c r="H59" i="2"/>
  <c r="G59" i="2"/>
  <c r="F59" i="2"/>
  <c r="H58" i="2"/>
  <c r="G58" i="2"/>
  <c r="F58" i="2"/>
  <c r="G57" i="2"/>
  <c r="F57" i="2"/>
  <c r="H57" i="2" s="1"/>
  <c r="H56" i="2"/>
  <c r="G56" i="2"/>
  <c r="F56" i="2"/>
  <c r="G55" i="2"/>
  <c r="F55" i="2"/>
  <c r="G54" i="2"/>
  <c r="F54" i="2"/>
  <c r="H53" i="2"/>
  <c r="G53" i="2"/>
  <c r="F53" i="2"/>
  <c r="G52" i="2"/>
  <c r="F52" i="2"/>
  <c r="H52" i="2" s="1"/>
  <c r="H51" i="2"/>
  <c r="G51" i="2"/>
  <c r="F51" i="2"/>
  <c r="H50" i="2"/>
  <c r="G50" i="2"/>
  <c r="F50" i="2"/>
  <c r="G49" i="2"/>
  <c r="F49" i="2"/>
  <c r="H49" i="2" s="1"/>
  <c r="H48" i="2"/>
  <c r="G48" i="2"/>
  <c r="F48" i="2"/>
  <c r="G47" i="2"/>
  <c r="F47" i="2"/>
  <c r="G46" i="2"/>
  <c r="F46" i="2"/>
  <c r="H46" i="2" s="1"/>
  <c r="H45" i="2"/>
  <c r="G45" i="2"/>
  <c r="F45" i="2"/>
  <c r="G44" i="2"/>
  <c r="F44" i="2"/>
  <c r="H44" i="2" s="1"/>
  <c r="G43" i="2"/>
  <c r="F43" i="2"/>
  <c r="G42" i="2"/>
  <c r="H42" i="2" s="1"/>
  <c r="F42" i="2"/>
  <c r="G41" i="2"/>
  <c r="F41" i="2"/>
  <c r="H41" i="2" s="1"/>
  <c r="H40" i="2"/>
  <c r="G40" i="2"/>
  <c r="F40" i="2"/>
  <c r="G39" i="2"/>
  <c r="F39" i="2"/>
  <c r="H39" i="2" s="1"/>
  <c r="G38" i="2"/>
  <c r="F38" i="2"/>
  <c r="H38" i="2" s="1"/>
  <c r="G37" i="2"/>
  <c r="H37" i="2" s="1"/>
  <c r="F37" i="2"/>
  <c r="G36" i="2"/>
  <c r="F36" i="2"/>
  <c r="H36" i="2" s="1"/>
  <c r="G35" i="2"/>
  <c r="F35" i="2"/>
  <c r="G34" i="2"/>
  <c r="H34" i="2" s="1"/>
  <c r="F34" i="2"/>
  <c r="G33" i="2"/>
  <c r="F33" i="2"/>
  <c r="H33" i="2" s="1"/>
  <c r="H32" i="2"/>
  <c r="G32" i="2"/>
  <c r="F32" i="2"/>
  <c r="G31" i="2"/>
  <c r="F31" i="2"/>
  <c r="H31" i="2" s="1"/>
  <c r="G30" i="2"/>
  <c r="F30" i="2"/>
  <c r="H30" i="2" s="1"/>
  <c r="G29" i="2"/>
  <c r="H29" i="2" s="1"/>
  <c r="F29" i="2"/>
  <c r="G28" i="2"/>
  <c r="F28" i="2"/>
  <c r="G27" i="2"/>
  <c r="F27" i="2"/>
  <c r="H26" i="2"/>
  <c r="G26" i="2"/>
  <c r="F26" i="2"/>
  <c r="G25" i="2"/>
  <c r="F25" i="2"/>
  <c r="H25" i="2" s="1"/>
  <c r="G24" i="2"/>
  <c r="F24" i="2"/>
  <c r="G23" i="2"/>
  <c r="F23" i="2"/>
  <c r="G22" i="2"/>
  <c r="F22" i="2"/>
  <c r="G21" i="2"/>
  <c r="F21" i="2"/>
  <c r="H21" i="2" s="1"/>
  <c r="H20" i="2"/>
  <c r="G20" i="2"/>
  <c r="F20" i="2"/>
  <c r="G19" i="2"/>
  <c r="H19" i="2" s="1"/>
  <c r="F19" i="2"/>
  <c r="G18" i="2"/>
  <c r="F18" i="2"/>
  <c r="H18" i="2" s="1"/>
  <c r="G17" i="2"/>
  <c r="F17" i="2"/>
  <c r="G16" i="2"/>
  <c r="F16" i="2"/>
  <c r="H16" i="2" s="1"/>
  <c r="G15" i="2"/>
  <c r="F15" i="2"/>
  <c r="G14" i="2"/>
  <c r="F14" i="2"/>
  <c r="H14" i="2" s="1"/>
  <c r="G13" i="2"/>
  <c r="F13" i="2"/>
  <c r="H13" i="2" s="1"/>
  <c r="H12" i="2"/>
  <c r="G12" i="2"/>
  <c r="F12" i="2"/>
  <c r="G11" i="2"/>
  <c r="F11" i="2"/>
  <c r="P10" i="2"/>
  <c r="O10" i="2"/>
  <c r="Q10" i="2" s="1"/>
  <c r="G10" i="2"/>
  <c r="F10" i="2"/>
  <c r="P9" i="2"/>
  <c r="O9" i="2"/>
  <c r="G9" i="2"/>
  <c r="F9" i="2"/>
  <c r="P8" i="2"/>
  <c r="O8" i="2"/>
  <c r="G8" i="2"/>
  <c r="F8" i="2"/>
  <c r="H8" i="2" s="1"/>
  <c r="Q7" i="2"/>
  <c r="P7" i="2"/>
  <c r="O7" i="2"/>
  <c r="G7" i="2"/>
  <c r="F7" i="2"/>
  <c r="P6" i="2"/>
  <c r="O6" i="2"/>
  <c r="Q6" i="2" s="1"/>
  <c r="G6" i="2"/>
  <c r="F6" i="2"/>
  <c r="P5" i="2"/>
  <c r="O5" i="2"/>
  <c r="G5" i="2"/>
  <c r="F5" i="2"/>
  <c r="P4" i="2"/>
  <c r="O4" i="2"/>
  <c r="G4" i="2"/>
  <c r="F4" i="2"/>
  <c r="H4" i="2" s="1"/>
  <c r="Q3" i="2"/>
  <c r="P3" i="2"/>
  <c r="O3" i="2"/>
  <c r="G3" i="2"/>
  <c r="H3" i="2" s="1"/>
  <c r="F3" i="2"/>
  <c r="P2" i="2"/>
  <c r="O2" i="2"/>
  <c r="Q2" i="2" s="1"/>
  <c r="G2" i="2"/>
  <c r="F2" i="2"/>
  <c r="G346" i="1"/>
  <c r="F346" i="1"/>
  <c r="H346" i="1" s="1"/>
  <c r="G345" i="1"/>
  <c r="F345" i="1"/>
  <c r="G344" i="1"/>
  <c r="F344" i="1"/>
  <c r="H344" i="1" s="1"/>
  <c r="G343" i="1"/>
  <c r="F343" i="1"/>
  <c r="G342" i="1"/>
  <c r="F342" i="1"/>
  <c r="H342" i="1" s="1"/>
  <c r="G341" i="1"/>
  <c r="H341" i="1" s="1"/>
  <c r="F341" i="1"/>
  <c r="G340" i="1"/>
  <c r="F340" i="1"/>
  <c r="H340" i="1" s="1"/>
  <c r="G339" i="1"/>
  <c r="F339" i="1"/>
  <c r="G338" i="1"/>
  <c r="H338" i="1" s="1"/>
  <c r="F338" i="1"/>
  <c r="G337" i="1"/>
  <c r="F337" i="1"/>
  <c r="G336" i="1"/>
  <c r="F336" i="1"/>
  <c r="G335" i="1"/>
  <c r="F335" i="1"/>
  <c r="H335" i="1" s="1"/>
  <c r="G334" i="1"/>
  <c r="F334" i="1"/>
  <c r="G333" i="1"/>
  <c r="F333" i="1"/>
  <c r="G332" i="1"/>
  <c r="F332" i="1"/>
  <c r="G331" i="1"/>
  <c r="F331" i="1"/>
  <c r="H331" i="1" s="1"/>
  <c r="G330" i="1"/>
  <c r="F330" i="1"/>
  <c r="H330" i="1" s="1"/>
  <c r="G329" i="1"/>
  <c r="F329" i="1"/>
  <c r="G328" i="1"/>
  <c r="F328" i="1"/>
  <c r="H328" i="1" s="1"/>
  <c r="G327" i="1"/>
  <c r="F327" i="1"/>
  <c r="G326" i="1"/>
  <c r="F326" i="1"/>
  <c r="H326" i="1" s="1"/>
  <c r="G325" i="1"/>
  <c r="H325" i="1" s="1"/>
  <c r="F325" i="1"/>
  <c r="G324" i="1"/>
  <c r="F324" i="1"/>
  <c r="H324" i="1" s="1"/>
  <c r="G323" i="1"/>
  <c r="F323" i="1"/>
  <c r="G322" i="1"/>
  <c r="F322" i="1"/>
  <c r="H322" i="1" s="1"/>
  <c r="G321" i="1"/>
  <c r="F321" i="1"/>
  <c r="G320" i="1"/>
  <c r="F320" i="1"/>
  <c r="H320" i="1" s="1"/>
  <c r="G319" i="1"/>
  <c r="F319" i="1"/>
  <c r="G318" i="1"/>
  <c r="F318" i="1"/>
  <c r="H318" i="1" s="1"/>
  <c r="G317" i="1"/>
  <c r="H317" i="1" s="1"/>
  <c r="F317" i="1"/>
  <c r="G316" i="1"/>
  <c r="F316" i="1"/>
  <c r="H316" i="1" s="1"/>
  <c r="G315" i="1"/>
  <c r="F315" i="1"/>
  <c r="G314" i="1"/>
  <c r="H314" i="1" s="1"/>
  <c r="F314" i="1"/>
  <c r="G313" i="1"/>
  <c r="F313" i="1"/>
  <c r="H313" i="1" s="1"/>
  <c r="G312" i="1"/>
  <c r="F312" i="1"/>
  <c r="G311" i="1"/>
  <c r="F311" i="1"/>
  <c r="H311" i="1" s="1"/>
  <c r="G310" i="1"/>
  <c r="F310" i="1"/>
  <c r="G309" i="1"/>
  <c r="F309" i="1"/>
  <c r="G308" i="1"/>
  <c r="F308" i="1"/>
  <c r="G307" i="1"/>
  <c r="F307" i="1"/>
  <c r="H307" i="1" s="1"/>
  <c r="H306" i="1"/>
  <c r="G306" i="1"/>
  <c r="F306" i="1"/>
  <c r="G305" i="1"/>
  <c r="F305" i="1"/>
  <c r="H305" i="1" s="1"/>
  <c r="G304" i="1"/>
  <c r="F304" i="1"/>
  <c r="G303" i="1"/>
  <c r="F303" i="1"/>
  <c r="H303" i="1" s="1"/>
  <c r="G302" i="1"/>
  <c r="F302" i="1"/>
  <c r="G301" i="1"/>
  <c r="F301" i="1"/>
  <c r="G300" i="1"/>
  <c r="F300" i="1"/>
  <c r="G299" i="1"/>
  <c r="F299" i="1"/>
  <c r="H299" i="1" s="1"/>
  <c r="G298" i="1"/>
  <c r="F298" i="1"/>
  <c r="H298" i="1" s="1"/>
  <c r="G297" i="1"/>
  <c r="F297" i="1"/>
  <c r="G296" i="1"/>
  <c r="F296" i="1"/>
  <c r="H296" i="1" s="1"/>
  <c r="G295" i="1"/>
  <c r="F295" i="1"/>
  <c r="G294" i="1"/>
  <c r="F294" i="1"/>
  <c r="H294" i="1" s="1"/>
  <c r="G293" i="1"/>
  <c r="H293" i="1" s="1"/>
  <c r="F293" i="1"/>
  <c r="G292" i="1"/>
  <c r="F292" i="1"/>
  <c r="H292" i="1" s="1"/>
  <c r="G291" i="1"/>
  <c r="F291" i="1"/>
  <c r="G290" i="1"/>
  <c r="F290" i="1"/>
  <c r="H290" i="1" s="1"/>
  <c r="G289" i="1"/>
  <c r="F289" i="1"/>
  <c r="G288" i="1"/>
  <c r="F288" i="1"/>
  <c r="H288" i="1" s="1"/>
  <c r="G287" i="1"/>
  <c r="F287" i="1"/>
  <c r="G286" i="1"/>
  <c r="F286" i="1"/>
  <c r="H286" i="1" s="1"/>
  <c r="G285" i="1"/>
  <c r="F285" i="1"/>
  <c r="G284" i="1"/>
  <c r="F284" i="1"/>
  <c r="H284" i="1" s="1"/>
  <c r="G283" i="1"/>
  <c r="F283" i="1"/>
  <c r="G282" i="1"/>
  <c r="F282" i="1"/>
  <c r="H282" i="1" s="1"/>
  <c r="G281" i="1"/>
  <c r="F281" i="1"/>
  <c r="G280" i="1"/>
  <c r="F280" i="1"/>
  <c r="H280" i="1" s="1"/>
  <c r="G279" i="1"/>
  <c r="F279" i="1"/>
  <c r="G278" i="1"/>
  <c r="F278" i="1"/>
  <c r="H278" i="1" s="1"/>
  <c r="G277" i="1"/>
  <c r="F277" i="1"/>
  <c r="G276" i="1"/>
  <c r="F276" i="1"/>
  <c r="H276" i="1" s="1"/>
  <c r="G275" i="1"/>
  <c r="F275" i="1"/>
  <c r="G274" i="1"/>
  <c r="F274" i="1"/>
  <c r="H274" i="1" s="1"/>
  <c r="G273" i="1"/>
  <c r="F273" i="1"/>
  <c r="G272" i="1"/>
  <c r="F272" i="1"/>
  <c r="H272" i="1" s="1"/>
  <c r="G271" i="1"/>
  <c r="F271" i="1"/>
  <c r="G270" i="1"/>
  <c r="F270" i="1"/>
  <c r="H270" i="1" s="1"/>
  <c r="G269" i="1"/>
  <c r="F269" i="1"/>
  <c r="H269" i="1" s="1"/>
  <c r="G268" i="1"/>
  <c r="F268" i="1"/>
  <c r="G267" i="1"/>
  <c r="F267" i="1"/>
  <c r="H267" i="1" s="1"/>
  <c r="G266" i="1"/>
  <c r="F266" i="1"/>
  <c r="G265" i="1"/>
  <c r="F265" i="1"/>
  <c r="H265" i="1" s="1"/>
  <c r="G264" i="1"/>
  <c r="F264" i="1"/>
  <c r="G263" i="1"/>
  <c r="F263" i="1"/>
  <c r="H263" i="1" s="1"/>
  <c r="G262" i="1"/>
  <c r="F262" i="1"/>
  <c r="G261" i="1"/>
  <c r="F261" i="1"/>
  <c r="H261" i="1" s="1"/>
  <c r="G260" i="1"/>
  <c r="F260" i="1"/>
  <c r="G259" i="1"/>
  <c r="F259" i="1"/>
  <c r="H259" i="1" s="1"/>
  <c r="G258" i="1"/>
  <c r="F258" i="1"/>
  <c r="G257" i="1"/>
  <c r="F257" i="1"/>
  <c r="H257" i="1" s="1"/>
  <c r="G256" i="1"/>
  <c r="F256" i="1"/>
  <c r="G255" i="1"/>
  <c r="F255" i="1"/>
  <c r="H255" i="1" s="1"/>
  <c r="G254" i="1"/>
  <c r="F254" i="1"/>
  <c r="G253" i="1"/>
  <c r="F253" i="1"/>
  <c r="H253" i="1" s="1"/>
  <c r="G252" i="1"/>
  <c r="F252" i="1"/>
  <c r="G251" i="1"/>
  <c r="F251" i="1"/>
  <c r="H251" i="1" s="1"/>
  <c r="G250" i="1"/>
  <c r="F250" i="1"/>
  <c r="G249" i="1"/>
  <c r="F249" i="1"/>
  <c r="G248" i="1"/>
  <c r="F248" i="1"/>
  <c r="G247" i="1"/>
  <c r="F247" i="1"/>
  <c r="H247" i="1" s="1"/>
  <c r="G246" i="1"/>
  <c r="F246" i="1"/>
  <c r="G245" i="1"/>
  <c r="F245" i="1"/>
  <c r="H245" i="1" s="1"/>
  <c r="G244" i="1"/>
  <c r="F244" i="1"/>
  <c r="G243" i="1"/>
  <c r="F243" i="1"/>
  <c r="H243" i="1" s="1"/>
  <c r="G242" i="1"/>
  <c r="F242" i="1"/>
  <c r="G241" i="1"/>
  <c r="H241" i="1" s="1"/>
  <c r="F241" i="1"/>
  <c r="G240" i="1"/>
  <c r="F240" i="1"/>
  <c r="H240" i="1" s="1"/>
  <c r="G239" i="1"/>
  <c r="F239" i="1"/>
  <c r="G238" i="1"/>
  <c r="F238" i="1"/>
  <c r="H238" i="1" s="1"/>
  <c r="G237" i="1"/>
  <c r="F237" i="1"/>
  <c r="G236" i="1"/>
  <c r="F236" i="1"/>
  <c r="H236" i="1" s="1"/>
  <c r="G235" i="1"/>
  <c r="F235" i="1"/>
  <c r="G234" i="1"/>
  <c r="F234" i="1"/>
  <c r="H234" i="1" s="1"/>
  <c r="G233" i="1"/>
  <c r="F233" i="1"/>
  <c r="G232" i="1"/>
  <c r="F232" i="1"/>
  <c r="H232" i="1" s="1"/>
  <c r="G231" i="1"/>
  <c r="F231" i="1"/>
  <c r="G230" i="1"/>
  <c r="F230" i="1"/>
  <c r="H230" i="1" s="1"/>
  <c r="G229" i="1"/>
  <c r="F229" i="1"/>
  <c r="G228" i="1"/>
  <c r="F228" i="1"/>
  <c r="H228" i="1" s="1"/>
  <c r="G227" i="1"/>
  <c r="F227" i="1"/>
  <c r="G226" i="1"/>
  <c r="F226" i="1"/>
  <c r="H226" i="1" s="1"/>
  <c r="G225" i="1"/>
  <c r="F225" i="1"/>
  <c r="G224" i="1"/>
  <c r="F224" i="1"/>
  <c r="H224" i="1" s="1"/>
  <c r="G223" i="1"/>
  <c r="F223" i="1"/>
  <c r="G222" i="1"/>
  <c r="F222" i="1"/>
  <c r="H222" i="1" s="1"/>
  <c r="G221" i="1"/>
  <c r="F221" i="1"/>
  <c r="G220" i="1"/>
  <c r="F220" i="1"/>
  <c r="H220" i="1" s="1"/>
  <c r="G219" i="1"/>
  <c r="F219" i="1"/>
  <c r="G218" i="1"/>
  <c r="F218" i="1"/>
  <c r="H218" i="1" s="1"/>
  <c r="G217" i="1"/>
  <c r="F217" i="1"/>
  <c r="G216" i="1"/>
  <c r="F216" i="1"/>
  <c r="H216" i="1" s="1"/>
  <c r="G215" i="1"/>
  <c r="F215" i="1"/>
  <c r="G214" i="1"/>
  <c r="F214" i="1"/>
  <c r="H214" i="1" s="1"/>
  <c r="G213" i="1"/>
  <c r="F213" i="1"/>
  <c r="G212" i="1"/>
  <c r="F212" i="1"/>
  <c r="H212" i="1" s="1"/>
  <c r="G211" i="1"/>
  <c r="F211" i="1"/>
  <c r="G210" i="1"/>
  <c r="F210" i="1"/>
  <c r="H210" i="1" s="1"/>
  <c r="G209" i="1"/>
  <c r="F209" i="1"/>
  <c r="G208" i="1"/>
  <c r="F208" i="1"/>
  <c r="H208" i="1" s="1"/>
  <c r="G207" i="1"/>
  <c r="F207" i="1"/>
  <c r="G206" i="1"/>
  <c r="F206" i="1"/>
  <c r="H206" i="1" s="1"/>
  <c r="G205" i="1"/>
  <c r="F205" i="1"/>
  <c r="G204" i="1"/>
  <c r="F204" i="1"/>
  <c r="H204" i="1" s="1"/>
  <c r="G203" i="1"/>
  <c r="F203" i="1"/>
  <c r="G202" i="1"/>
  <c r="F202" i="1"/>
  <c r="H202" i="1" s="1"/>
  <c r="G201" i="1"/>
  <c r="F201" i="1"/>
  <c r="G200" i="1"/>
  <c r="F200" i="1"/>
  <c r="H200" i="1" s="1"/>
  <c r="G199" i="1"/>
  <c r="F199" i="1"/>
  <c r="G198" i="1"/>
  <c r="F198" i="1"/>
  <c r="H198" i="1" s="1"/>
  <c r="G197" i="1"/>
  <c r="F197" i="1"/>
  <c r="G196" i="1"/>
  <c r="F196" i="1"/>
  <c r="H196" i="1" s="1"/>
  <c r="G195" i="1"/>
  <c r="F195" i="1"/>
  <c r="G194" i="1"/>
  <c r="H194" i="1" s="1"/>
  <c r="F194" i="1"/>
  <c r="G193" i="1"/>
  <c r="F193" i="1"/>
  <c r="H193" i="1" s="1"/>
  <c r="G192" i="1"/>
  <c r="F192" i="1"/>
  <c r="G191" i="1"/>
  <c r="F191" i="1"/>
  <c r="H191" i="1" s="1"/>
  <c r="G190" i="1"/>
  <c r="F190" i="1"/>
  <c r="G189" i="1"/>
  <c r="F189" i="1"/>
  <c r="H189" i="1" s="1"/>
  <c r="G188" i="1"/>
  <c r="F188" i="1"/>
  <c r="G187" i="1"/>
  <c r="F187" i="1"/>
  <c r="H187" i="1" s="1"/>
  <c r="H186" i="1"/>
  <c r="G186" i="1"/>
  <c r="F186" i="1"/>
  <c r="G185" i="1"/>
  <c r="F185" i="1"/>
  <c r="H185" i="1" s="1"/>
  <c r="G184" i="1"/>
  <c r="F184" i="1"/>
  <c r="G183" i="1"/>
  <c r="H183" i="1" s="1"/>
  <c r="F183" i="1"/>
  <c r="G182" i="1"/>
  <c r="F182" i="1"/>
  <c r="H182" i="1" s="1"/>
  <c r="G181" i="1"/>
  <c r="F181" i="1"/>
  <c r="G180" i="1"/>
  <c r="F180" i="1"/>
  <c r="H180" i="1" s="1"/>
  <c r="G179" i="1"/>
  <c r="F179" i="1"/>
  <c r="G178" i="1"/>
  <c r="F178" i="1"/>
  <c r="H178" i="1" s="1"/>
  <c r="G177" i="1"/>
  <c r="F177" i="1"/>
  <c r="G176" i="1"/>
  <c r="F176" i="1"/>
  <c r="H176" i="1" s="1"/>
  <c r="G175" i="1"/>
  <c r="F175" i="1"/>
  <c r="G174" i="1"/>
  <c r="F174" i="1"/>
  <c r="H174" i="1" s="1"/>
  <c r="G173" i="1"/>
  <c r="F173" i="1"/>
  <c r="G172" i="1"/>
  <c r="F172" i="1"/>
  <c r="H172" i="1" s="1"/>
  <c r="G171" i="1"/>
  <c r="F171" i="1"/>
  <c r="G170" i="1"/>
  <c r="F170" i="1"/>
  <c r="H170" i="1" s="1"/>
  <c r="G169" i="1"/>
  <c r="F169" i="1"/>
  <c r="G168" i="1"/>
  <c r="F168" i="1"/>
  <c r="H168" i="1" s="1"/>
  <c r="G167" i="1"/>
  <c r="F167" i="1"/>
  <c r="H167" i="1" s="1"/>
  <c r="G166" i="1"/>
  <c r="F166" i="1"/>
  <c r="H166" i="1" s="1"/>
  <c r="G165" i="1"/>
  <c r="F165" i="1"/>
  <c r="H165" i="1" s="1"/>
  <c r="G164" i="1"/>
  <c r="F164" i="1"/>
  <c r="H164" i="1" s="1"/>
  <c r="G163" i="1"/>
  <c r="F163" i="1"/>
  <c r="H163" i="1" s="1"/>
  <c r="G162" i="1"/>
  <c r="F162" i="1"/>
  <c r="H162" i="1" s="1"/>
  <c r="G161" i="1"/>
  <c r="F161" i="1"/>
  <c r="H161" i="1" s="1"/>
  <c r="G160" i="1"/>
  <c r="F160" i="1"/>
  <c r="H160" i="1" s="1"/>
  <c r="G159" i="1"/>
  <c r="F159" i="1"/>
  <c r="H159" i="1" s="1"/>
  <c r="G158" i="1"/>
  <c r="F158" i="1"/>
  <c r="H158" i="1" s="1"/>
  <c r="G157" i="1"/>
  <c r="F157" i="1"/>
  <c r="H157" i="1" s="1"/>
  <c r="G156" i="1"/>
  <c r="F156" i="1"/>
  <c r="H156" i="1" s="1"/>
  <c r="G155" i="1"/>
  <c r="F155" i="1"/>
  <c r="H155" i="1" s="1"/>
  <c r="G154" i="1"/>
  <c r="F154" i="1"/>
  <c r="H154" i="1" s="1"/>
  <c r="G153" i="1"/>
  <c r="F153" i="1"/>
  <c r="H153" i="1" s="1"/>
  <c r="G152" i="1"/>
  <c r="F152" i="1"/>
  <c r="H152" i="1" s="1"/>
  <c r="G151" i="1"/>
  <c r="F151" i="1"/>
  <c r="H151" i="1" s="1"/>
  <c r="G150" i="1"/>
  <c r="F150" i="1"/>
  <c r="H150" i="1" s="1"/>
  <c r="G149" i="1"/>
  <c r="F149" i="1"/>
  <c r="H149" i="1" s="1"/>
  <c r="G148" i="1"/>
  <c r="F148" i="1"/>
  <c r="H148" i="1" s="1"/>
  <c r="G147" i="1"/>
  <c r="F147" i="1"/>
  <c r="H147" i="1" s="1"/>
  <c r="G146" i="1"/>
  <c r="F146" i="1"/>
  <c r="H146" i="1" s="1"/>
  <c r="G145" i="1"/>
  <c r="F145" i="1"/>
  <c r="H145" i="1" s="1"/>
  <c r="G144" i="1"/>
  <c r="F144" i="1"/>
  <c r="H144" i="1" s="1"/>
  <c r="G143" i="1"/>
  <c r="F143" i="1"/>
  <c r="H143" i="1" s="1"/>
  <c r="G142" i="1"/>
  <c r="F142" i="1"/>
  <c r="H142" i="1" s="1"/>
  <c r="G141" i="1"/>
  <c r="F141" i="1"/>
  <c r="G140" i="1"/>
  <c r="F140" i="1"/>
  <c r="H140" i="1" s="1"/>
  <c r="G139" i="1"/>
  <c r="F139" i="1"/>
  <c r="H139" i="1" s="1"/>
  <c r="G138" i="1"/>
  <c r="H138" i="1" s="1"/>
  <c r="F138" i="1"/>
  <c r="G137" i="1"/>
  <c r="F137" i="1"/>
  <c r="G136" i="1"/>
  <c r="F136" i="1"/>
  <c r="G135" i="1"/>
  <c r="F135" i="1"/>
  <c r="G134" i="1"/>
  <c r="F134" i="1"/>
  <c r="H134" i="1" s="1"/>
  <c r="G133" i="1"/>
  <c r="F133" i="1"/>
  <c r="G132" i="1"/>
  <c r="F132" i="1"/>
  <c r="H132" i="1" s="1"/>
  <c r="G131" i="1"/>
  <c r="F131" i="1"/>
  <c r="G130" i="1"/>
  <c r="F130" i="1"/>
  <c r="H130" i="1" s="1"/>
  <c r="G129" i="1"/>
  <c r="F129" i="1"/>
  <c r="G128" i="1"/>
  <c r="F128" i="1"/>
  <c r="H128" i="1" s="1"/>
  <c r="G127" i="1"/>
  <c r="F127" i="1"/>
  <c r="G126" i="1"/>
  <c r="F126" i="1"/>
  <c r="H126" i="1" s="1"/>
  <c r="G125" i="1"/>
  <c r="F125" i="1"/>
  <c r="G124" i="1"/>
  <c r="F124" i="1"/>
  <c r="H124" i="1" s="1"/>
  <c r="G123" i="1"/>
  <c r="F123" i="1"/>
  <c r="G122" i="1"/>
  <c r="F122" i="1"/>
  <c r="H122" i="1" s="1"/>
  <c r="G121" i="1"/>
  <c r="F121" i="1"/>
  <c r="G120" i="1"/>
  <c r="F120" i="1"/>
  <c r="H120" i="1" s="1"/>
  <c r="G119" i="1"/>
  <c r="F119" i="1"/>
  <c r="G118" i="1"/>
  <c r="F118" i="1"/>
  <c r="H118" i="1" s="1"/>
  <c r="G117" i="1"/>
  <c r="F117" i="1"/>
  <c r="G116" i="1"/>
  <c r="F116" i="1"/>
  <c r="H116" i="1" s="1"/>
  <c r="G115" i="1"/>
  <c r="F115" i="1"/>
  <c r="G114" i="1"/>
  <c r="F114" i="1"/>
  <c r="H114" i="1" s="1"/>
  <c r="G113" i="1"/>
  <c r="F113" i="1"/>
  <c r="G112" i="1"/>
  <c r="F112" i="1"/>
  <c r="H112" i="1" s="1"/>
  <c r="G111" i="1"/>
  <c r="F111" i="1"/>
  <c r="G110" i="1"/>
  <c r="F110" i="1"/>
  <c r="H110" i="1" s="1"/>
  <c r="G109" i="1"/>
  <c r="F109" i="1"/>
  <c r="G108" i="1"/>
  <c r="F108" i="1"/>
  <c r="H108" i="1" s="1"/>
  <c r="G107" i="1"/>
  <c r="F107" i="1"/>
  <c r="G106" i="1"/>
  <c r="F106" i="1"/>
  <c r="H106" i="1" s="1"/>
  <c r="G105" i="1"/>
  <c r="F105" i="1"/>
  <c r="G104" i="1"/>
  <c r="F104" i="1"/>
  <c r="H104" i="1" s="1"/>
  <c r="H103" i="1"/>
  <c r="G103" i="1"/>
  <c r="F103" i="1"/>
  <c r="G102" i="1"/>
  <c r="F102" i="1"/>
  <c r="H102" i="1" s="1"/>
  <c r="G101" i="1"/>
  <c r="F101" i="1"/>
  <c r="H101" i="1" s="1"/>
  <c r="G100" i="1"/>
  <c r="F100" i="1"/>
  <c r="H100" i="1" s="1"/>
  <c r="G99" i="1"/>
  <c r="F99" i="1"/>
  <c r="H99" i="1" s="1"/>
  <c r="G98" i="1"/>
  <c r="F98" i="1"/>
  <c r="H98" i="1" s="1"/>
  <c r="G97" i="1"/>
  <c r="F97" i="1"/>
  <c r="H97" i="1" s="1"/>
  <c r="G96" i="1"/>
  <c r="F96" i="1"/>
  <c r="H96" i="1" s="1"/>
  <c r="G95" i="1"/>
  <c r="F95" i="1"/>
  <c r="H95" i="1" s="1"/>
  <c r="G94" i="1"/>
  <c r="F94" i="1"/>
  <c r="H94" i="1" s="1"/>
  <c r="G93" i="1"/>
  <c r="F93" i="1"/>
  <c r="H93" i="1" s="1"/>
  <c r="G92" i="1"/>
  <c r="F92" i="1"/>
  <c r="H92" i="1" s="1"/>
  <c r="G91" i="1"/>
  <c r="F91" i="1"/>
  <c r="H91" i="1" s="1"/>
  <c r="G90" i="1"/>
  <c r="F90" i="1"/>
  <c r="H90" i="1" s="1"/>
  <c r="G89" i="1"/>
  <c r="F89" i="1"/>
  <c r="H89" i="1" s="1"/>
  <c r="G88" i="1"/>
  <c r="F88" i="1"/>
  <c r="H88" i="1" s="1"/>
  <c r="G87" i="1"/>
  <c r="F87" i="1"/>
  <c r="H87" i="1" s="1"/>
  <c r="G86" i="1"/>
  <c r="F86" i="1"/>
  <c r="H86" i="1" s="1"/>
  <c r="G85" i="1"/>
  <c r="F85" i="1"/>
  <c r="H85" i="1" s="1"/>
  <c r="G84" i="1"/>
  <c r="F84" i="1"/>
  <c r="H84" i="1" s="1"/>
  <c r="G83" i="1"/>
  <c r="F83" i="1"/>
  <c r="H83" i="1" s="1"/>
  <c r="G82" i="1"/>
  <c r="F82" i="1"/>
  <c r="H82" i="1" s="1"/>
  <c r="G81" i="1"/>
  <c r="F81" i="1"/>
  <c r="H81" i="1" s="1"/>
  <c r="G80" i="1"/>
  <c r="F80" i="1"/>
  <c r="H80" i="1" s="1"/>
  <c r="G79" i="1"/>
  <c r="F79" i="1"/>
  <c r="H79" i="1" s="1"/>
  <c r="G78" i="1"/>
  <c r="F78" i="1"/>
  <c r="H78" i="1" s="1"/>
  <c r="G77" i="1"/>
  <c r="F77" i="1"/>
  <c r="H77" i="1" s="1"/>
  <c r="G76" i="1"/>
  <c r="F76" i="1"/>
  <c r="H76" i="1" s="1"/>
  <c r="G75" i="1"/>
  <c r="F75" i="1"/>
  <c r="H75" i="1" s="1"/>
  <c r="G74" i="1"/>
  <c r="F74" i="1"/>
  <c r="H74" i="1" s="1"/>
  <c r="G73" i="1"/>
  <c r="F73" i="1"/>
  <c r="H73" i="1" s="1"/>
  <c r="G72" i="1"/>
  <c r="F72" i="1"/>
  <c r="H72" i="1" s="1"/>
  <c r="G71" i="1"/>
  <c r="F71" i="1"/>
  <c r="H71" i="1" s="1"/>
  <c r="G70" i="1"/>
  <c r="F70" i="1"/>
  <c r="H70" i="1" s="1"/>
  <c r="G69" i="1"/>
  <c r="F69" i="1"/>
  <c r="H69" i="1" s="1"/>
  <c r="G68" i="1"/>
  <c r="F68" i="1"/>
  <c r="H68" i="1" s="1"/>
  <c r="G67" i="1"/>
  <c r="F67" i="1"/>
  <c r="H67" i="1" s="1"/>
  <c r="G66" i="1"/>
  <c r="F66" i="1"/>
  <c r="H66" i="1" s="1"/>
  <c r="G65" i="1"/>
  <c r="F65" i="1"/>
  <c r="H65" i="1" s="1"/>
  <c r="G64" i="1"/>
  <c r="F64" i="1"/>
  <c r="H64" i="1" s="1"/>
  <c r="G63" i="1"/>
  <c r="F63" i="1"/>
  <c r="H63" i="1" s="1"/>
  <c r="G62" i="1"/>
  <c r="F62" i="1"/>
  <c r="H62" i="1" s="1"/>
  <c r="G61" i="1"/>
  <c r="F61" i="1"/>
  <c r="H61" i="1" s="1"/>
  <c r="G60" i="1"/>
  <c r="F60" i="1"/>
  <c r="H60" i="1" s="1"/>
  <c r="G59" i="1"/>
  <c r="F59" i="1"/>
  <c r="H59" i="1" s="1"/>
  <c r="G58" i="1"/>
  <c r="F58" i="1"/>
  <c r="H58" i="1" s="1"/>
  <c r="G57" i="1"/>
  <c r="F57" i="1"/>
  <c r="H57" i="1" s="1"/>
  <c r="G56" i="1"/>
  <c r="F56" i="1"/>
  <c r="H56" i="1" s="1"/>
  <c r="G55" i="1"/>
  <c r="F55" i="1"/>
  <c r="H55" i="1" s="1"/>
  <c r="G54" i="1"/>
  <c r="F54" i="1"/>
  <c r="H54" i="1" s="1"/>
  <c r="G53" i="1"/>
  <c r="F53" i="1"/>
  <c r="H53" i="1" s="1"/>
  <c r="G52" i="1"/>
  <c r="F52" i="1"/>
  <c r="H52" i="1" s="1"/>
  <c r="G51" i="1"/>
  <c r="F51" i="1"/>
  <c r="H51" i="1" s="1"/>
  <c r="G50" i="1"/>
  <c r="F50" i="1"/>
  <c r="H50" i="1" s="1"/>
  <c r="G49" i="1"/>
  <c r="F49" i="1"/>
  <c r="H49" i="1" s="1"/>
  <c r="G48" i="1"/>
  <c r="F48" i="1"/>
  <c r="H48" i="1" s="1"/>
  <c r="G47" i="1"/>
  <c r="F47" i="1"/>
  <c r="H47" i="1" s="1"/>
  <c r="G46" i="1"/>
  <c r="F46" i="1"/>
  <c r="H46" i="1" s="1"/>
  <c r="G45" i="1"/>
  <c r="F45" i="1"/>
  <c r="H45" i="1" s="1"/>
  <c r="G44" i="1"/>
  <c r="F44" i="1"/>
  <c r="H44" i="1" s="1"/>
  <c r="G43" i="1"/>
  <c r="F43" i="1"/>
  <c r="H43" i="1" s="1"/>
  <c r="G42" i="1"/>
  <c r="H42" i="1" s="1"/>
  <c r="F42" i="1"/>
  <c r="G41" i="1"/>
  <c r="F41" i="1"/>
  <c r="H41" i="1" s="1"/>
  <c r="G40" i="1"/>
  <c r="F40" i="1"/>
  <c r="G39" i="1"/>
  <c r="F39" i="1"/>
  <c r="H39" i="1" s="1"/>
  <c r="G38" i="1"/>
  <c r="F38" i="1"/>
  <c r="G37" i="1"/>
  <c r="F37" i="1"/>
  <c r="G36" i="1"/>
  <c r="H36" i="1" s="1"/>
  <c r="F36" i="1"/>
  <c r="G35" i="1"/>
  <c r="F35" i="1"/>
  <c r="H35" i="1" s="1"/>
  <c r="H34" i="1"/>
  <c r="G34" i="1"/>
  <c r="F34" i="1"/>
  <c r="G33" i="1"/>
  <c r="H33" i="1" s="1"/>
  <c r="F33" i="1"/>
  <c r="G32" i="1"/>
  <c r="F32" i="1"/>
  <c r="H32" i="1" s="1"/>
  <c r="G31" i="1"/>
  <c r="F31" i="1"/>
  <c r="G30" i="1"/>
  <c r="F30" i="1"/>
  <c r="H30" i="1" s="1"/>
  <c r="G29" i="1"/>
  <c r="H29" i="1" s="1"/>
  <c r="F29" i="1"/>
  <c r="G28" i="1"/>
  <c r="F28" i="1"/>
  <c r="G27" i="1"/>
  <c r="F27" i="1"/>
  <c r="G26" i="1"/>
  <c r="F26" i="1"/>
  <c r="H26" i="1" s="1"/>
  <c r="G25" i="1"/>
  <c r="F25" i="1"/>
  <c r="H25" i="1" s="1"/>
  <c r="G24" i="1"/>
  <c r="H24" i="1" s="1"/>
  <c r="F24" i="1"/>
  <c r="G23" i="1"/>
  <c r="F23" i="1"/>
  <c r="H23" i="1" s="1"/>
  <c r="G22" i="1"/>
  <c r="F22" i="1"/>
  <c r="G21" i="1"/>
  <c r="F21" i="1"/>
  <c r="H21" i="1" s="1"/>
  <c r="G20" i="1"/>
  <c r="F20" i="1"/>
  <c r="H20" i="1" s="1"/>
  <c r="G19" i="1"/>
  <c r="H19" i="1" s="1"/>
  <c r="F19" i="1"/>
  <c r="G18" i="1"/>
  <c r="F18" i="1"/>
  <c r="H18" i="1" s="1"/>
  <c r="G17" i="1"/>
  <c r="F17" i="1"/>
  <c r="G16" i="1"/>
  <c r="F16" i="1"/>
  <c r="H16" i="1" s="1"/>
  <c r="G15" i="1"/>
  <c r="F15" i="1"/>
  <c r="H15" i="1" s="1"/>
  <c r="G14" i="1"/>
  <c r="H14" i="1" s="1"/>
  <c r="F14" i="1"/>
  <c r="G13" i="1"/>
  <c r="F13" i="1"/>
  <c r="P12" i="1"/>
  <c r="O12" i="1"/>
  <c r="G12" i="1"/>
  <c r="F12" i="1"/>
  <c r="P11" i="1"/>
  <c r="O11" i="1"/>
  <c r="G11" i="1"/>
  <c r="F11" i="1"/>
  <c r="P10" i="1"/>
  <c r="O10" i="1"/>
  <c r="G10" i="1"/>
  <c r="F10" i="1"/>
  <c r="H10" i="1" s="1"/>
  <c r="Q9" i="1"/>
  <c r="P9" i="1"/>
  <c r="O9" i="1"/>
  <c r="G9" i="1"/>
  <c r="F9" i="1"/>
  <c r="P8" i="1"/>
  <c r="O8" i="1"/>
  <c r="Q8" i="1" s="1"/>
  <c r="G8" i="1"/>
  <c r="F8" i="1"/>
  <c r="P7" i="1"/>
  <c r="O7" i="1"/>
  <c r="Q7" i="1" s="1"/>
  <c r="G7" i="1"/>
  <c r="F7" i="1"/>
  <c r="P6" i="1"/>
  <c r="O6" i="1"/>
  <c r="Q6" i="1" s="1"/>
  <c r="G6" i="1"/>
  <c r="F6" i="1"/>
  <c r="P5" i="1"/>
  <c r="O5" i="1"/>
  <c r="Q5" i="1" s="1"/>
  <c r="G5" i="1"/>
  <c r="F5" i="1"/>
  <c r="P4" i="1"/>
  <c r="O4" i="1"/>
  <c r="Q4" i="1" s="1"/>
  <c r="G4" i="1"/>
  <c r="F4" i="1"/>
  <c r="P3" i="1"/>
  <c r="O3" i="1"/>
  <c r="Q3" i="1" s="1"/>
  <c r="G3" i="1"/>
  <c r="F3" i="1"/>
  <c r="P2" i="1"/>
  <c r="Q2" i="1" s="1"/>
  <c r="O2" i="1"/>
  <c r="G2" i="1"/>
  <c r="F2" i="1"/>
  <c r="H2" i="1" s="1"/>
  <c r="H249" i="1" l="1"/>
  <c r="H301" i="1"/>
  <c r="H11" i="1"/>
  <c r="H28" i="1"/>
  <c r="H37" i="1"/>
  <c r="Q4" i="2"/>
  <c r="Q5" i="2"/>
  <c r="H11" i="2"/>
  <c r="H28" i="2"/>
  <c r="H99" i="2"/>
  <c r="H7" i="1"/>
  <c r="H8" i="1"/>
  <c r="H9" i="1"/>
  <c r="H7" i="2"/>
  <c r="H12" i="1"/>
  <c r="H13" i="1"/>
  <c r="H3" i="1"/>
  <c r="H4" i="1"/>
  <c r="H5" i="1"/>
  <c r="H6" i="1"/>
  <c r="Q10" i="1"/>
  <c r="Q11" i="1"/>
  <c r="Q12" i="1"/>
  <c r="H17" i="1"/>
  <c r="H22" i="1"/>
  <c r="H27" i="1"/>
  <c r="H31" i="1"/>
  <c r="H38" i="1"/>
  <c r="H40" i="1"/>
  <c r="H105" i="1"/>
  <c r="H107" i="1"/>
  <c r="H109" i="1"/>
  <c r="H111" i="1"/>
  <c r="H113" i="1"/>
  <c r="H115" i="1"/>
  <c r="H117" i="1"/>
  <c r="H119" i="1"/>
  <c r="H121" i="1"/>
  <c r="H123" i="1"/>
  <c r="H125" i="1"/>
  <c r="H127" i="1"/>
  <c r="H129" i="1"/>
  <c r="H131" i="1"/>
  <c r="H133" i="1"/>
  <c r="H135" i="1"/>
  <c r="H137" i="1"/>
  <c r="H333" i="1"/>
  <c r="Q8" i="2"/>
  <c r="Q9" i="2"/>
  <c r="H47" i="2"/>
  <c r="H55" i="2"/>
  <c r="H81" i="2"/>
  <c r="H118" i="2"/>
  <c r="H120" i="2"/>
  <c r="H141" i="2"/>
  <c r="H150" i="2"/>
  <c r="H152" i="2"/>
  <c r="H254" i="2"/>
  <c r="H256" i="2"/>
  <c r="H281" i="2"/>
  <c r="H285" i="2"/>
  <c r="H292" i="2"/>
  <c r="H169" i="1"/>
  <c r="H171" i="1"/>
  <c r="H173" i="1"/>
  <c r="H175" i="1"/>
  <c r="H177" i="1"/>
  <c r="H184" i="1"/>
  <c r="H195" i="1"/>
  <c r="H197" i="1"/>
  <c r="H199" i="1"/>
  <c r="H201" i="1"/>
  <c r="H203" i="1"/>
  <c r="H205" i="1"/>
  <c r="H207" i="1"/>
  <c r="H209" i="1"/>
  <c r="H211" i="1"/>
  <c r="H213" i="1"/>
  <c r="H215" i="1"/>
  <c r="H217" i="1"/>
  <c r="H219" i="1"/>
  <c r="H221" i="1"/>
  <c r="H223" i="1"/>
  <c r="H225" i="1"/>
  <c r="H242" i="1"/>
  <c r="H244" i="1"/>
  <c r="H246" i="1"/>
  <c r="H248" i="1"/>
  <c r="H250" i="1"/>
  <c r="H252" i="1"/>
  <c r="H254" i="1"/>
  <c r="H256" i="1"/>
  <c r="H258" i="1"/>
  <c r="H260" i="1"/>
  <c r="H271" i="1"/>
  <c r="H273" i="1"/>
  <c r="H275" i="1"/>
  <c r="H277" i="1"/>
  <c r="H279" i="1"/>
  <c r="H281" i="1"/>
  <c r="H283" i="1"/>
  <c r="H285" i="1"/>
  <c r="H287" i="1"/>
  <c r="H289" i="1"/>
  <c r="H300" i="1"/>
  <c r="H302" i="1"/>
  <c r="H304" i="1"/>
  <c r="H309" i="1"/>
  <c r="H315" i="1"/>
  <c r="H319" i="1"/>
  <c r="H321" i="1"/>
  <c r="H332" i="1"/>
  <c r="H334" i="1"/>
  <c r="H337" i="1"/>
  <c r="H339" i="1"/>
  <c r="H343" i="1"/>
  <c r="H345" i="1"/>
  <c r="H5" i="2"/>
  <c r="H9" i="2"/>
  <c r="H15" i="2"/>
  <c r="H17" i="2"/>
  <c r="H27" i="2"/>
  <c r="H62" i="2"/>
  <c r="H70" i="2"/>
  <c r="H72" i="2"/>
  <c r="H105" i="2"/>
  <c r="H115" i="2"/>
  <c r="H117" i="2"/>
  <c r="H126" i="2"/>
  <c r="H131" i="2"/>
  <c r="H133" i="2"/>
  <c r="H142" i="2"/>
  <c r="H147" i="2"/>
  <c r="H149" i="2"/>
  <c r="H166" i="2"/>
  <c r="H178" i="2"/>
  <c r="H183" i="2"/>
  <c r="H195" i="2"/>
  <c r="H197" i="2"/>
  <c r="H217" i="2"/>
  <c r="H226" i="2"/>
  <c r="H229" i="2"/>
  <c r="H257" i="2"/>
  <c r="H266" i="2"/>
  <c r="H271" i="2"/>
  <c r="H280" i="2"/>
  <c r="H320" i="2"/>
  <c r="H136" i="1"/>
  <c r="H141" i="1"/>
  <c r="H179" i="1"/>
  <c r="H181" i="1"/>
  <c r="H188" i="1"/>
  <c r="H190" i="1"/>
  <c r="H192" i="1"/>
  <c r="H227" i="1"/>
  <c r="H229" i="1"/>
  <c r="H231" i="1"/>
  <c r="H233" i="1"/>
  <c r="H235" i="1"/>
  <c r="H237" i="1"/>
  <c r="H239" i="1"/>
  <c r="H262" i="1"/>
  <c r="H264" i="1"/>
  <c r="H266" i="1"/>
  <c r="H268" i="1"/>
  <c r="H291" i="1"/>
  <c r="H295" i="1"/>
  <c r="H297" i="1"/>
  <c r="H308" i="1"/>
  <c r="H310" i="1"/>
  <c r="H312" i="1"/>
  <c r="H323" i="1"/>
  <c r="H327" i="1"/>
  <c r="H329" i="1"/>
  <c r="H336" i="1"/>
  <c r="H2" i="2"/>
  <c r="H6" i="2"/>
  <c r="H10" i="2"/>
  <c r="H22" i="2"/>
  <c r="H24" i="2"/>
  <c r="H66" i="2"/>
  <c r="H79" i="2"/>
  <c r="H87" i="2"/>
  <c r="H95" i="2"/>
  <c r="H110" i="2"/>
  <c r="H112" i="2"/>
  <c r="H130" i="2"/>
  <c r="H146" i="2"/>
  <c r="H158" i="2"/>
  <c r="H170" i="2"/>
  <c r="H175" i="2"/>
  <c r="H185" i="2"/>
  <c r="H190" i="2"/>
  <c r="H192" i="2"/>
  <c r="H210" i="2"/>
  <c r="H221" i="2"/>
  <c r="H238" i="2"/>
  <c r="H250" i="2"/>
  <c r="H252" i="2"/>
  <c r="H261" i="2"/>
  <c r="H297" i="2"/>
  <c r="H306" i="2"/>
  <c r="H311" i="2"/>
  <c r="H313" i="2"/>
  <c r="H315" i="2"/>
  <c r="H334" i="2"/>
  <c r="H338" i="2"/>
  <c r="H340" i="2"/>
  <c r="H342" i="2"/>
  <c r="H346" i="2"/>
  <c r="H23" i="2"/>
  <c r="H35" i="2"/>
  <c r="H43" i="2"/>
  <c r="H54" i="2"/>
  <c r="H65" i="2"/>
  <c r="H71" i="2"/>
  <c r="H83" i="2"/>
  <c r="H91" i="2"/>
  <c r="H98" i="2"/>
  <c r="H103" i="2"/>
  <c r="H111" i="2"/>
  <c r="H121" i="2"/>
  <c r="H129" i="2"/>
  <c r="H137" i="2"/>
  <c r="H145" i="2"/>
  <c r="H153" i="2"/>
  <c r="H161" i="2"/>
  <c r="H169" i="2"/>
  <c r="H172" i="2"/>
  <c r="H174" i="2"/>
  <c r="H186" i="2"/>
  <c r="H191" i="2"/>
  <c r="H201" i="2"/>
  <c r="H206" i="2"/>
  <c r="H211" i="2"/>
  <c r="H215" i="2"/>
  <c r="H225" i="2"/>
  <c r="H233" i="2"/>
  <c r="H241" i="2"/>
  <c r="H244" i="2"/>
  <c r="H246" i="2"/>
  <c r="H251" i="2"/>
  <c r="H255" i="2"/>
  <c r="H260" i="2"/>
  <c r="H265" i="2"/>
  <c r="H268" i="2"/>
  <c r="H270" i="2"/>
  <c r="H275" i="2"/>
  <c r="H279" i="2"/>
  <c r="H284" i="2"/>
  <c r="H286" i="2"/>
  <c r="H291" i="2"/>
  <c r="H295" i="2"/>
  <c r="H300" i="2"/>
  <c r="H302" i="2"/>
  <c r="H312" i="2"/>
  <c r="H316" i="2"/>
  <c r="H328" i="2"/>
  <c r="H332" i="2"/>
  <c r="H343" i="2"/>
  <c r="F345" i="2"/>
  <c r="G345" i="2"/>
  <c r="K19" i="1"/>
  <c r="K21" i="1"/>
  <c r="H345" i="2" l="1"/>
  <c r="K18" i="1"/>
</calcChain>
</file>

<file path=xl/sharedStrings.xml><?xml version="1.0" encoding="utf-8"?>
<sst xmlns="http://schemas.openxmlformats.org/spreadsheetml/2006/main" count="2192" uniqueCount="384">
  <si>
    <t>id</t>
  </si>
  <si>
    <t>Municipio</t>
  </si>
  <si>
    <t>Cantidad de pobres</t>
  </si>
  <si>
    <t>Suma de privaciones</t>
  </si>
  <si>
    <t>Cantidad de personas</t>
  </si>
  <si>
    <t>H2012</t>
  </si>
  <si>
    <t>A2012</t>
  </si>
  <si>
    <t>IPM 2012</t>
  </si>
  <si>
    <t>id_departamento</t>
  </si>
  <si>
    <t>Departamento</t>
  </si>
  <si>
    <t>IPM2012</t>
  </si>
  <si>
    <t>Sucre</t>
  </si>
  <si>
    <t>Chuquisaca</t>
  </si>
  <si>
    <t>Yotala</t>
  </si>
  <si>
    <t>La Paz</t>
  </si>
  <si>
    <t>Poroma</t>
  </si>
  <si>
    <t>Cochabamba</t>
  </si>
  <si>
    <t>Azurduy</t>
  </si>
  <si>
    <t>Oruro</t>
  </si>
  <si>
    <t>Tarvita</t>
  </si>
  <si>
    <t>Potosí</t>
  </si>
  <si>
    <t>Zudáñez</t>
  </si>
  <si>
    <t>Tarija</t>
  </si>
  <si>
    <t>Presto</t>
  </si>
  <si>
    <t>Santa Cruz</t>
  </si>
  <si>
    <t>Mojocoya</t>
  </si>
  <si>
    <t>Beni</t>
  </si>
  <si>
    <t>Icla</t>
  </si>
  <si>
    <t>Pando</t>
  </si>
  <si>
    <t>Padilla</t>
  </si>
  <si>
    <t>Gran Chaco</t>
  </si>
  <si>
    <t>Tomina</t>
  </si>
  <si>
    <t>Bolivia</t>
  </si>
  <si>
    <t>Sopachuy</t>
  </si>
  <si>
    <t>Alcalá</t>
  </si>
  <si>
    <t>El Villar</t>
  </si>
  <si>
    <t>Monteagudo</t>
  </si>
  <si>
    <t>umbrales</t>
  </si>
  <si>
    <t>Huacareta</t>
  </si>
  <si>
    <t>T1​&lt;min(IPM2012​)</t>
  </si>
  <si>
    <t>Tarabuco</t>
  </si>
  <si>
    <t>prom -des</t>
  </si>
  <si>
    <t>Yamparáez</t>
  </si>
  <si>
    <t>prom</t>
  </si>
  <si>
    <t>Camargo</t>
  </si>
  <si>
    <t>San Lucas</t>
  </si>
  <si>
    <t>DESV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</si>
  <si>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</si>
  <si>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</si>
  <si>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</si>
  <si>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</si>
  <si>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</si>
  <si>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</si>
  <si>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</si>
  <si>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Guaraní Chaqueño de Huacaya)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</si>
  <si>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</si>
  <si>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</si>
  <si>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</si>
  <si>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</si>
  <si>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</si>
  <si>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</si>
  <si>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</si>
  <si>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</si>
  <si>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</si>
  <si>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</si>
  <si>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</si>
  <si>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</si>
  <si>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</si>
  <si>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</si>
  <si>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</si>
  <si>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</si>
  <si>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</si>
  <si>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</si>
  <si>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</si>
  <si>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</si>
  <si>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</si>
  <si>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</si>
  <si>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</si>
  <si>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</si>
  <si>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</si>
  <si>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</si>
  <si>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</si>
  <si>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</si>
  <si>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</si>
  <si>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</si>
  <si>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</si>
  <si>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</si>
  <si>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</si>
  <si>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</si>
  <si>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</si>
  <si>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</si>
  <si>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</si>
  <si>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</si>
  <si>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</si>
  <si>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</si>
  <si>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</si>
  <si>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</si>
  <si>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</si>
  <si>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</si>
  <si>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</si>
  <si>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</si>
  <si>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</si>
  <si>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</si>
  <si>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</si>
  <si>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</si>
  <si>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</si>
  <si>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</si>
  <si>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</si>
  <si>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</si>
  <si>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</si>
  <si>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</si>
  <si>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</si>
  <si>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</si>
  <si>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</si>
  <si>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</si>
  <si>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</si>
  <si>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</si>
  <si>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</si>
  <si>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</si>
  <si>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</si>
  <si>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</si>
  <si>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</si>
  <si>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</si>
  <si>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</si>
  <si>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</si>
  <si>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</si>
  <si>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</si>
  <si>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</si>
  <si>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</si>
  <si>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</si>
  <si>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</si>
  <si>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</si>
  <si>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</si>
  <si>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</si>
  <si>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</si>
  <si>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</si>
  <si>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</si>
  <si>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</si>
  <si>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</si>
  <si>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</si>
  <si>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</si>
  <si>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</si>
  <si>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</si>
  <si>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</si>
  <si>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</si>
  <si>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</si>
  <si>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</si>
  <si>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</si>
  <si>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</si>
  <si>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</si>
  <si>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</si>
  <si>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</si>
  <si>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</si>
  <si>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</si>
  <si>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</si>
  <si>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</si>
  <si>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</si>
  <si>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</si>
  <si>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</si>
  <si>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</si>
  <si>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</si>
  <si>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</si>
  <si>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</si>
  <si>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</si>
  <si>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</si>
  <si>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</si>
  <si>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</si>
  <si>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</si>
  <si>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</si>
  <si>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</si>
  <si>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</si>
  <si>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</si>
  <si>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</si>
  <si>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</si>
  <si>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</si>
  <si>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</si>
  <si>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</si>
  <si>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</si>
  <si>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</si>
  <si>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</si>
  <si>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</si>
  <si>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</si>
  <si>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</si>
  <si>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</si>
  <si>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</si>
  <si>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</si>
  <si>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</si>
  <si>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</si>
  <si>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</si>
  <si>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</si>
  <si>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</si>
  <si>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</si>
  <si>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</si>
  <si>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</si>
  <si>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</si>
  <si>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</si>
  <si>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</si>
  <si>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</si>
  <si>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</si>
  <si>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</si>
  <si>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</si>
  <si>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</si>
  <si>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</si>
  <si>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</si>
  <si>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</si>
  <si>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</si>
  <si>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</si>
  <si>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</si>
  <si>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</si>
  <si>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</si>
  <si>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</si>
  <si>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</si>
  <si>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</si>
  <si>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</si>
  <si>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</si>
  <si>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</si>
  <si>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</si>
  <si>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</si>
  <si>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</si>
  <si>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</si>
  <si>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</si>
  <si>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</si>
  <si>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</si>
  <si>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</si>
  <si>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</si>
  <si>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</si>
  <si>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</si>
  <si>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</si>
  <si>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</si>
  <si>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</si>
  <si>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</si>
  <si>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</si>
  <si>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</si>
  <si>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</si>
  <si>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</si>
  <si>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</si>
  <si>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</si>
  <si>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</si>
  <si>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</si>
  <si>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</si>
  <si>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</si>
  <si>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</si>
  <si>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</si>
  <si>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</si>
  <si>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</si>
  <si>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</si>
  <si>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</si>
  <si>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</si>
  <si>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</si>
  <si>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</si>
  <si>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</si>
  <si>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</si>
  <si>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</si>
  <si>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</si>
  <si>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</si>
  <si>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</si>
  <si>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</si>
  <si>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</si>
  <si>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</si>
  <si>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</si>
  <si>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</si>
  <si>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</si>
  <si>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</si>
  <si>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</si>
  <si>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</si>
  <si>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</si>
  <si>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</si>
  <si>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</si>
  <si>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</si>
  <si>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</si>
  <si>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</si>
  <si>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</si>
  <si>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</si>
  <si>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</si>
  <si>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</si>
  <si>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</si>
  <si>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</si>
  <si>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</si>
  <si>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</si>
  <si>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</si>
  <si>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</t>
  </si>
  <si>
    <t>San Miguel</t>
  </si>
  <si>
    <t>San Rafael</t>
  </si>
  <si>
    <t>Buena Vista</t>
  </si>
  <si>
    <t>San Carlos</t>
  </si>
  <si>
    <t>Yapacaní</t>
  </si>
  <si>
    <t>San Juan</t>
  </si>
  <si>
    <t>San José</t>
  </si>
  <si>
    <t>Pailón</t>
  </si>
  <si>
    <t>Roboré</t>
  </si>
  <si>
    <t>Portachuelo</t>
  </si>
  <si>
    <t>Santa Rosa</t>
  </si>
  <si>
    <t>Colpa Bélgica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</si>
  <si>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</si>
  <si>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</si>
  <si>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</si>
  <si>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</si>
  <si>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</si>
  <si>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</si>
  <si>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</si>
  <si>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</si>
  <si>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</si>
  <si>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</si>
  <si>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</si>
  <si>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</si>
  <si>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</si>
  <si>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</si>
  <si>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</si>
  <si>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</si>
  <si>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</si>
  <si>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</si>
  <si>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</si>
  <si>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</si>
  <si>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</si>
  <si>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</si>
  <si>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</si>
  <si>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</si>
  <si>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</si>
  <si>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</si>
  <si>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</si>
  <si>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</si>
  <si>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</si>
  <si>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</si>
  <si>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</si>
  <si>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</si>
  <si>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</si>
  <si>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</si>
  <si>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</si>
  <si>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</si>
  <si>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</si>
  <si>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</si>
  <si>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</si>
  <si>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Puerto Menor de Rurrenabaque</t>
  </si>
  <si>
    <t>Santa Ana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</si>
  <si>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</si>
  <si>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</si>
  <si>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</si>
  <si>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</si>
  <si>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</si>
  <si>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</si>
  <si>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</si>
  <si>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</si>
  <si>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</si>
  <si>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</si>
  <si>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</si>
  <si>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</si>
  <si>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</si>
  <si>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</si>
  <si>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</si>
  <si>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</si>
  <si>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</si>
  <si>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</si>
  <si>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</si>
  <si>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</si>
  <si>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</si>
  <si>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H2024</t>
  </si>
  <si>
    <t>A2024</t>
  </si>
  <si>
    <t>IPM2024</t>
  </si>
  <si>
    <t>idep</t>
  </si>
  <si>
    <t>ID</t>
  </si>
  <si>
    <t>conanalfabeto2012</t>
  </si>
  <si>
    <t>sincarnet2012</t>
  </si>
  <si>
    <t>sintelefono2012</t>
  </si>
  <si>
    <t>sinaccesoasalud2012</t>
  </si>
  <si>
    <t>conembarazoadolescente2012</t>
  </si>
  <si>
    <t>conjovenquenoestudia2012</t>
  </si>
  <si>
    <t>sinaguapotable2012</t>
  </si>
  <si>
    <t>sinelectricidad2012</t>
  </si>
  <si>
    <t>sinsaneamiento2012</t>
  </si>
  <si>
    <t>Índice de Pobreza Multidimensional, 2012</t>
  </si>
  <si>
    <t>Índice de Pobreza Multidimensional, 2024</t>
  </si>
  <si>
    <t>Número de personas en hogares con 4 privaciones o más, 2012</t>
  </si>
  <si>
    <t>Número de personas en hogares con 4 privaciones o más,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</si>
  <si>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</si>
  <si>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</si>
  <si>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</si>
  <si>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</si>
  <si>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</si>
  <si>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</si>
  <si>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</si>
  <si>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</si>
  <si>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</si>
  <si>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</si>
  <si>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Índice de Pobreza Multidimensional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</si>
</sst>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.000"/>
    <numFmt numFmtId="165" formatCode="0.000"/>
    <numFmt numFmtId="166" formatCode="0.0000"/>
    <numFmt numFmtId="167" formatCode="#,##0.0000"/>
    <numFmt numFmtId="168" formatCode="#,##0.00000"/>
  </numFmts>
  <fonts count="10">
    <font>
      <sz val="11"/>
      <color theme="1"/>
      <name val="Calibri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theme="1"/>
      <name val="Play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65" fontId="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1" fontId="2" fillId="0" borderId="3" xfId="0" applyNumberFormat="1" applyFont="1" applyBorder="1" applyAlignment="1">
      <alignment horizontal="right"/>
    </xf>
    <xf numFmtId="3" fontId="2" fillId="0" borderId="3" xfId="0" applyNumberFormat="1" applyFont="1" applyBorder="1"/>
    <xf numFmtId="164" fontId="2" fillId="0" borderId="3" xfId="0" applyNumberFormat="1" applyFont="1" applyBorder="1"/>
    <xf numFmtId="166" fontId="2" fillId="0" borderId="0" xfId="0" applyNumberFormat="1" applyFont="1" applyAlignment="1">
      <alignment horizontal="right"/>
    </xf>
    <xf numFmtId="164" fontId="2" fillId="3" borderId="3" xfId="0" applyNumberFormat="1" applyFont="1" applyFill="1" applyBorder="1"/>
    <xf numFmtId="164" fontId="2" fillId="0" borderId="0" xfId="0" applyNumberFormat="1" applyFont="1"/>
    <xf numFmtId="1" fontId="2" fillId="0" borderId="3" xfId="0" applyNumberFormat="1" applyFont="1" applyBorder="1"/>
    <xf numFmtId="0" fontId="2" fillId="0" borderId="0" xfId="0" applyFont="1"/>
    <xf numFmtId="164" fontId="2" fillId="3" borderId="4" xfId="0" applyNumberFormat="1" applyFont="1" applyFill="1" applyBorder="1"/>
    <xf numFmtId="164" fontId="4" fillId="0" borderId="0" xfId="0" applyNumberFormat="1" applyFont="1"/>
    <xf numFmtId="164" fontId="2" fillId="3" borderId="1" xfId="0" applyNumberFormat="1" applyFont="1" applyFill="1" applyBorder="1"/>
    <xf numFmtId="2" fontId="2" fillId="0" borderId="3" xfId="0" applyNumberFormat="1" applyFont="1" applyBorder="1"/>
    <xf numFmtId="0" fontId="4" fillId="0" borderId="0" xfId="0" applyFont="1"/>
    <xf numFmtId="3" fontId="2" fillId="0" borderId="0" xfId="0" applyNumberFormat="1" applyFont="1"/>
    <xf numFmtId="165" fontId="1" fillId="2" borderId="1" xfId="0" applyNumberFormat="1" applyFont="1" applyFill="1" applyBorder="1" applyAlignment="1">
      <alignment horizontal="center" wrapText="1"/>
    </xf>
    <xf numFmtId="166" fontId="2" fillId="0" borderId="0" xfId="0" applyNumberFormat="1" applyFont="1"/>
    <xf numFmtId="165" fontId="2" fillId="0" borderId="3" xfId="0" applyNumberFormat="1" applyFont="1" applyBorder="1" applyAlignment="1">
      <alignment horizontal="right"/>
    </xf>
    <xf numFmtId="165" fontId="2" fillId="0" borderId="3" xfId="0" applyNumberFormat="1" applyFont="1" applyBorder="1"/>
    <xf numFmtId="167" fontId="2" fillId="0" borderId="0" xfId="0" applyNumberFormat="1" applyFont="1"/>
    <xf numFmtId="168" fontId="2" fillId="0" borderId="0" xfId="0" applyNumberFormat="1" applyFont="1"/>
    <xf numFmtId="167" fontId="2" fillId="0" borderId="0" xfId="0" applyNumberFormat="1" applyFont="1" applyAlignment="1">
      <alignment wrapText="1"/>
    </xf>
    <xf numFmtId="165" fontId="2" fillId="3" borderId="1" xfId="0" applyNumberFormat="1" applyFont="1" applyFill="1" applyBorder="1"/>
    <xf numFmtId="165" fontId="4" fillId="0" borderId="0" xfId="0" applyNumberFormat="1" applyFont="1"/>
    <xf numFmtId="0" fontId="6" fillId="4" borderId="1" xfId="0" applyFont="1" applyFill="1" applyBorder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2" fillId="0" borderId="7" xfId="0" applyFont="1" applyBorder="1"/>
    <xf numFmtId="2" fontId="2" fillId="0" borderId="0" xfId="0" applyNumberFormat="1" applyFont="1" applyAlignment="1">
      <alignment horizontal="right"/>
    </xf>
    <xf numFmtId="0" fontId="1" fillId="4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/>
    </xf>
    <xf numFmtId="2" fontId="2" fillId="0" borderId="0" xfId="0" applyNumberFormat="1" applyFont="1"/>
    <xf numFmtId="49" fontId="7" fillId="3" borderId="3" xfId="0" applyNumberFormat="1" applyFont="1" applyFill="1" applyBorder="1" applyAlignment="1">
      <alignment horizontal="center"/>
    </xf>
    <xf numFmtId="4" fontId="7" fillId="3" borderId="3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9" fontId="8" fillId="3" borderId="3" xfId="0" applyNumberFormat="1" applyFont="1" applyFill="1" applyBorder="1"/>
    <xf numFmtId="4" fontId="8" fillId="3" borderId="3" xfId="0" applyNumberFormat="1" applyFont="1" applyFill="1" applyBorder="1"/>
    <xf numFmtId="4" fontId="8" fillId="3" borderId="3" xfId="0" applyNumberFormat="1" applyFont="1" applyFill="1" applyBorder="1" applyAlignment="1">
      <alignment horizontal="right"/>
    </xf>
    <xf numFmtId="49" fontId="8" fillId="3" borderId="1" xfId="0" applyNumberFormat="1" applyFont="1" applyFill="1" applyBorder="1"/>
    <xf numFmtId="4" fontId="8" fillId="3" borderId="1" xfId="0" applyNumberFormat="1" applyFont="1" applyFill="1" applyBorder="1"/>
    <xf numFmtId="49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9" fontId="2" fillId="3" borderId="3" xfId="0" applyNumberFormat="1" applyFont="1" applyFill="1" applyBorder="1"/>
    <xf numFmtId="4" fontId="2" fillId="3" borderId="3" xfId="0" applyNumberFormat="1" applyFont="1" applyFill="1" applyBorder="1"/>
    <xf numFmtId="0" fontId="2" fillId="3" borderId="1" xfId="0" applyFont="1" applyFill="1" applyBorder="1"/>
    <xf numFmtId="49" fontId="2" fillId="3" borderId="1" xfId="0" applyNumberFormat="1" applyFont="1" applyFill="1" applyBorder="1"/>
    <xf numFmtId="4" fontId="2" fillId="3" borderId="1" xfId="0" applyNumberFormat="1" applyFont="1" applyFill="1" applyBorder="1"/>
    <xf numFmtId="49" fontId="7" fillId="3" borderId="1" xfId="0" applyNumberFormat="1" applyFont="1" applyFill="1" applyBorder="1" applyAlignment="1">
      <alignment horizontal="center"/>
    </xf>
    <xf numFmtId="4" fontId="7" fillId="3" borderId="1" xfId="0" applyNumberFormat="1" applyFont="1" applyFill="1" applyBorder="1" applyAlignment="1">
      <alignment horizontal="center"/>
    </xf>
    <xf numFmtId="4" fontId="8" fillId="3" borderId="1" xfId="0" applyNumberFormat="1" applyFont="1" applyFill="1" applyBorder="1" applyAlignment="1">
      <alignment horizontal="right"/>
    </xf>
    <xf numFmtId="1" fontId="2" fillId="0" borderId="0" xfId="0" applyNumberFormat="1" applyFont="1" applyAlignment="1">
      <alignment horizontal="right"/>
    </xf>
    <xf numFmtId="1" fontId="2" fillId="0" borderId="0" xfId="0" applyNumberFormat="1" applyFont="1"/>
    <xf numFmtId="0" fontId="3" fillId="5" borderId="3" xfId="0" applyFont="1" applyFill="1" applyBorder="1"/>
    <xf numFmtId="0" fontId="9" fillId="6" borderId="3" xfId="0" applyFont="1" applyFill="1" applyBorder="1" applyAlignment="1">
      <alignment horizontal="center" wrapText="1"/>
    </xf>
    <xf numFmtId="0" fontId="9" fillId="7" borderId="3" xfId="0" applyFont="1" applyFill="1" applyBorder="1" applyAlignment="1">
      <alignment horizontal="center" wrapText="1"/>
    </xf>
    <xf numFmtId="0" fontId="9" fillId="8" borderId="3" xfId="0" applyFont="1" applyFill="1" applyBorder="1" applyAlignment="1">
      <alignment horizontal="center" wrapText="1"/>
    </xf>
    <xf numFmtId="0" fontId="9" fillId="9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right"/>
    </xf>
    <xf numFmtId="3" fontId="2" fillId="0" borderId="3" xfId="0" applyNumberFormat="1" applyFont="1" applyBorder="1" applyAlignment="1">
      <alignment horizontal="right"/>
    </xf>
    <xf numFmtId="2" fontId="2" fillId="0" borderId="3" xfId="0" applyNumberFormat="1" applyFont="1" applyBorder="1" applyAlignment="1">
      <alignment horizontal="right"/>
    </xf>
    <xf numFmtId="2" fontId="0" fillId="10" borderId="4" xfId="0" applyNumberFormat="1" applyFill="1" applyBorder="1"/>
    <xf numFmtId="49" fontId="7" fillId="3" borderId="9" xfId="0" applyNumberFormat="1" applyFont="1" applyFill="1" applyBorder="1" applyAlignment="1">
      <alignment horizontal="center"/>
    </xf>
    <xf numFmtId="4" fontId="7" fillId="3" borderId="9" xfId="0" applyNumberFormat="1" applyFont="1" applyFill="1" applyBorder="1" applyAlignment="1">
      <alignment horizontal="center"/>
    </xf>
    <xf numFmtId="49" fontId="8" fillId="3" borderId="9" xfId="0" applyNumberFormat="1" applyFont="1" applyFill="1" applyBorder="1"/>
    <xf numFmtId="2" fontId="0" fillId="10" borderId="9" xfId="0" applyNumberFormat="1" applyFill="1" applyBorder="1"/>
    <xf numFmtId="4" fontId="8" fillId="3" borderId="9" xfId="0" applyNumberFormat="1" applyFont="1" applyFill="1" applyBorder="1" applyAlignment="1">
      <alignment horizontal="right"/>
    </xf>
    <xf numFmtId="4" fontId="8" fillId="3" borderId="9" xfId="0" applyNumberFormat="1" applyFont="1" applyFill="1" applyBorder="1"/>
    <xf numFmtId="1" fontId="7" fillId="3" borderId="9" xfId="0" applyNumberFormat="1" applyFont="1" applyFill="1" applyBorder="1" applyAlignment="1">
      <alignment horizontal="center"/>
    </xf>
    <xf numFmtId="1" fontId="8" fillId="3" borderId="9" xfId="0" applyNumberFormat="1" applyFont="1" applyFill="1" applyBorder="1"/>
    <xf numFmtId="1" fontId="8" fillId="3" borderId="1" xfId="0" applyNumberFormat="1" applyFont="1" applyFill="1" applyBorder="1"/>
    <xf numFmtId="1" fontId="0" fillId="0" borderId="0" xfId="0" applyNumberFormat="1"/>
    <xf numFmtId="1" fontId="3" fillId="3" borderId="8" xfId="0" applyNumberFormat="1" applyFont="1" applyFill="1" applyBorder="1" applyAlignment="1">
      <alignment horizontal="center"/>
    </xf>
    <xf numFmtId="1" fontId="2" fillId="3" borderId="3" xfId="0" applyNumberFormat="1" applyFont="1" applyFill="1" applyBorder="1"/>
    <xf numFmtId="1" fontId="2" fillId="3" borderId="1" xfId="0" applyNumberFormat="1" applyFont="1" applyFill="1" applyBorder="1"/>
    <xf numFmtId="1" fontId="7" fillId="3" borderId="3" xfId="0" applyNumberFormat="1" applyFont="1" applyFill="1" applyBorder="1" applyAlignment="1">
      <alignment horizontal="center"/>
    </xf>
    <xf numFmtId="1" fontId="8" fillId="3" borderId="3" xfId="0" applyNumberFormat="1" applyFont="1" applyFill="1" applyBorder="1"/>
    <xf numFmtId="2" fontId="0" fillId="0" borderId="4" xfId="0" applyNumberFormat="1" applyBorder="1"/>
    <xf numFmtId="0" fontId="2" fillId="0" borderId="5" xfId="0" applyFont="1" applyBorder="1" applyAlignment="1">
      <alignment horizontal="center"/>
    </xf>
    <xf numFmtId="0" fontId="5" fillId="0" borderId="6" xfId="0" applyFont="1" applyBorder="1"/>
  </cellXfs>
  <cellStyles count="1">
    <cellStyle name="Normal" xfId="0" builtinId="0"/>
  </cellStyles>
  <dxfs count="3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</dxfs>
  <tableStyles count="10">
    <tableStyle name="Calculo_IPM_2012-style" pivot="0" count="3" xr9:uid="{00000000-0011-0000-FFFF-FFFF00000000}">
      <tableStyleElement type="headerRow" dxfId="37"/>
      <tableStyleElement type="firstRowStripe" dxfId="36"/>
      <tableStyleElement type="secondRowStripe" dxfId="35"/>
    </tableStyle>
    <tableStyle name="Calculo_IPM_2012-style 2" pivot="0" count="3" xr9:uid="{00000000-0011-0000-FFFF-FFFF01000000}">
      <tableStyleElement type="headerRow" dxfId="34"/>
      <tableStyleElement type="firstRowStripe" dxfId="33"/>
      <tableStyleElement type="secondRowStripe" dxfId="32"/>
    </tableStyle>
    <tableStyle name="Privaciones_2012-style" pivot="0" count="3" xr9:uid="{00000000-0011-0000-FFFF-FFFF02000000}">
      <tableStyleElement type="headerRow" dxfId="31"/>
      <tableStyleElement type="firstRowStripe" dxfId="30"/>
      <tableStyleElement type="secondRowStripe" dxfId="29"/>
    </tableStyle>
    <tableStyle name="Privaciones_2024-style" pivot="0" count="3" xr9:uid="{00000000-0011-0000-FFFF-FFFF03000000}">
      <tableStyleElement type="headerRow" dxfId="28"/>
      <tableStyleElement type="firstRowStripe" dxfId="27"/>
      <tableStyleElement type="secondRowStripe" dxfId="26"/>
    </tableStyle>
    <tableStyle name="Privaciones_2024-style 2" pivot="0" count="3" xr9:uid="{00000000-0011-0000-FFFF-FFFF04000000}">
      <tableStyleElement type="headerRow" dxfId="25"/>
      <tableStyleElement type="firstRowStripe" dxfId="24"/>
      <tableStyleElement type="secondRowStripe" dxfId="23"/>
    </tableStyle>
    <tableStyle name="Indicador_MUN-style" pivot="0" count="3" xr9:uid="{00000000-0011-0000-FFFF-FFFF05000000}">
      <tableStyleElement type="headerRow" dxfId="22"/>
      <tableStyleElement type="firstRowStripe" dxfId="21"/>
      <tableStyleElement type="secondRowStripe" dxfId="20"/>
    </tableStyle>
    <tableStyle name="Indicador_DEP-style" pivot="0" count="3" xr9:uid="{00000000-0011-0000-FFFF-FFFF06000000}">
      <tableStyleElement type="headerRow" dxfId="19"/>
      <tableStyleElement type="firstRowStripe" dxfId="18"/>
      <tableStyleElement type="secondRowStripe" dxfId="17"/>
    </tableStyle>
    <tableStyle name="Absoluto_MUN-style" pivot="0" count="3" xr9:uid="{00000000-0011-0000-FFFF-FFFF07000000}">
      <tableStyleElement type="headerRow" dxfId="16"/>
      <tableStyleElement type="firstRowStripe" dxfId="15"/>
      <tableStyleElement type="secondRowStripe" dxfId="14"/>
    </tableStyle>
    <tableStyle name="Absoluto_DEP-style" pivot="0" count="3" xr9:uid="{00000000-0011-0000-FFFF-FFFF08000000}">
      <tableStyleElement type="headerRow" dxfId="13"/>
      <tableStyleElement type="firstRowStripe" dxfId="12"/>
      <tableStyleElement type="secondRowStripe" dxfId="11"/>
    </tableStyle>
    <tableStyle name="Absoluto_DEP-style 2" pivot="0" count="2" xr9:uid="{00000000-0011-0000-FFFF-FFFF09000000}"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86525" cy="4714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346">
  <tableColumns count="2">
    <tableColumn id="1" xr3:uid="{00000000-0010-0000-0000-000001000000}" name="id"/>
    <tableColumn id="2" xr3:uid="{00000000-0010-0000-0000-000002000000}" name="Municipio"/>
  </tableColumns>
  <tableStyleInfo name="Calculo_IPM_201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P1:Q1016">
  <tableColumns count="2">
    <tableColumn id="1" xr3:uid="{00000000-0010-0000-0100-000001000000}" name="A2012"/>
    <tableColumn id="2" xr3:uid="{00000000-0010-0000-0100-000002000000}" name="IPM2012"/>
  </tableColumns>
  <tableStyleInfo name="Calculo_IPM_2012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K1000">
  <tableColumns count="11">
    <tableColumn id="1" xr3:uid="{00000000-0010-0000-0200-000001000000}" name="ID"/>
    <tableColumn id="2" xr3:uid="{00000000-0010-0000-0200-000002000000}" name="Municipio"/>
    <tableColumn id="3" xr3:uid="{00000000-0010-0000-0200-000003000000}" name="conanalfabeto2012"/>
    <tableColumn id="4" xr3:uid="{00000000-0010-0000-0200-000004000000}" name="sincarnet2012"/>
    <tableColumn id="5" xr3:uid="{00000000-0010-0000-0200-000005000000}" name="sintelefono2012"/>
    <tableColumn id="6" xr3:uid="{00000000-0010-0000-0200-000006000000}" name="sinaccesoasalud2012"/>
    <tableColumn id="7" xr3:uid="{00000000-0010-0000-0200-000007000000}" name="conembarazoadolescente2012"/>
    <tableColumn id="8" xr3:uid="{00000000-0010-0000-0200-000008000000}" name="conjovenquenoestudia2012"/>
    <tableColumn id="9" xr3:uid="{00000000-0010-0000-0200-000009000000}" name="sinaguapotable2012"/>
    <tableColumn id="10" xr3:uid="{00000000-0010-0000-0200-00000A000000}" name="sinelectricidad2012"/>
    <tableColumn id="11" xr3:uid="{00000000-0010-0000-0200-00000B000000}" name="sinsaneamiento2012"/>
  </tableColumns>
  <tableStyleInfo name="Privaciones_201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J1001">
  <tableColumns count="10">
    <tableColumn id="1" xr3:uid="{00000000-0010-0000-0300-000001000000}" name="id"/>
    <tableColumn id="2" xr3:uid="{00000000-0010-0000-0300-000002000000}" name="Municipio"/>
    <tableColumn id="3" xr3:uid="{00000000-0010-0000-0300-000003000000}" name="conanalfabeto2012"/>
    <tableColumn id="4" xr3:uid="{00000000-0010-0000-0300-000004000000}" name="sincarnet2012"/>
    <tableColumn id="5" xr3:uid="{00000000-0010-0000-0300-000005000000}" name="sintelefono2012"/>
    <tableColumn id="6" xr3:uid="{00000000-0010-0000-0300-000006000000}" name="sinaccesoasalud2012"/>
    <tableColumn id="7" xr3:uid="{00000000-0010-0000-0300-000007000000}" name="conembarazoadolescente2012"/>
    <tableColumn id="8" xr3:uid="{00000000-0010-0000-0300-000008000000}" name="conjovenquenoestudia2012"/>
    <tableColumn id="9" xr3:uid="{00000000-0010-0000-0300-000009000000}" name="sinaguapotable2012"/>
    <tableColumn id="10" xr3:uid="{00000000-0010-0000-0300-00000A000000}" name="sinelectricidad2012"/>
  </tableColumns>
  <tableStyleInfo name="Privaciones_2024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K1:X1001" headerRowCount="0">
  <tableColumns count="1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</tableColumns>
  <tableStyleInfo name="Privaciones_2024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1012">
  <autoFilter ref="A1:D1012" xr:uid="{00000000-000C-0000-FFFF-FFFF05000000}"/>
  <sortState xmlns:xlrd2="http://schemas.microsoft.com/office/spreadsheetml/2017/richdata2" ref="A2:D1012">
    <sortCondition descending="1" ref="D1:D1012"/>
  </sortState>
  <tableColumns count="4">
    <tableColumn id="1" xr3:uid="{00000000-0010-0000-0500-000001000000}" name="id" dataDxfId="8"/>
    <tableColumn id="2" xr3:uid="{00000000-0010-0000-0500-000002000000}" name="Municipio"/>
    <tableColumn id="3" xr3:uid="{00000000-0010-0000-0500-000003000000}" name="Índice de Pobreza Multidimensional, 2012"/>
    <tableColumn id="4" xr3:uid="{00000000-0010-0000-0500-000004000000}" name="Índice de Pobreza Multidimensional, 2024"/>
  </tableColumns>
  <tableStyleInfo name="TableStyleLight1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1016">
  <tableColumns count="4">
    <tableColumn id="1" xr3:uid="{00000000-0010-0000-0600-000001000000}" name="id_departamento" dataDxfId="7"/>
    <tableColumn id="2" xr3:uid="{00000000-0010-0000-0600-000002000000}" name="Departamento"/>
    <tableColumn id="3" xr3:uid="{00000000-0010-0000-0600-000003000000}" name="Índice de Pobreza Multidimensional, 2012"/>
    <tableColumn id="4" xr3:uid="{00000000-0010-0000-0600-000004000000}" name="Índice de Pobreza Multidimensional, 2024"/>
  </tableColumns>
  <tableStyleInfo name="Indicador_DEP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1016">
  <tableColumns count="4">
    <tableColumn id="1" xr3:uid="{00000000-0010-0000-0700-000001000000}" name="id" dataDxfId="6"/>
    <tableColumn id="2" xr3:uid="{00000000-0010-0000-0700-000002000000}" name="Municipio"/>
    <tableColumn id="3" xr3:uid="{00000000-0010-0000-0700-000003000000}" name="Número de personas en hogares con 4 privaciones o más, 2012"/>
    <tableColumn id="4" xr3:uid="{00000000-0010-0000-0700-000004000000}" name="Número de personas en hogares con 4 privaciones o más, 2024"/>
  </tableColumns>
  <tableStyleInfo name="Absoluto_MUN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10" headerRowDxfId="5" totalsRowDxfId="4">
  <tableColumns count="4">
    <tableColumn id="1" xr3:uid="{00000000-0010-0000-0800-000001000000}" name="id_departamento" dataDxfId="3"/>
    <tableColumn id="2" xr3:uid="{00000000-0010-0000-0800-000002000000}" name="Departamento" dataDxfId="2"/>
    <tableColumn id="3" xr3:uid="{00000000-0010-0000-0800-000003000000}" name="Número de personas en hogares con 4 privaciones o más, 2012" dataDxfId="1"/>
    <tableColumn id="4" xr3:uid="{00000000-0010-0000-0800-000004000000}" name="Número de personas en hogares con 4 privaciones o más, 2024" dataDxfId="0"/>
  </tableColumns>
  <tableStyleInfo name="Absoluto_DEP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C11:D11" headerRowCount="0">
  <tableColumns count="2">
    <tableColumn id="1" xr3:uid="{00000000-0010-0000-0900-000001000000}" name="Column1"/>
    <tableColumn id="2" xr3:uid="{00000000-0010-0000-0900-000002000000}" name="Column2"/>
  </tableColumns>
  <tableStyleInfo name="Absoluto_DEP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6"/>
  <sheetViews>
    <sheetView topLeftCell="A235" workbookViewId="0">
      <selection activeCell="A246" sqref="A246:A248"/>
    </sheetView>
  </sheetViews>
  <sheetFormatPr baseColWidth="10" defaultColWidth="14.44140625" defaultRowHeight="15" customHeight="1"/>
  <cols>
    <col min="1" max="1" width="8.88671875" customWidth="1"/>
    <col min="2" max="2" width="11.33203125" customWidth="1"/>
    <col min="3" max="3" width="11" customWidth="1"/>
    <col min="4" max="4" width="11.5546875" customWidth="1"/>
    <col min="5" max="5" width="9.5546875" customWidth="1"/>
    <col min="6" max="7" width="7" customWidth="1"/>
    <col min="8" max="8" width="10" customWidth="1"/>
    <col min="10" max="10" width="16.33203125" customWidth="1"/>
    <col min="15" max="25" width="8.88671875" customWidth="1"/>
  </cols>
  <sheetData>
    <row r="1" spans="1:2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  <c r="J1" s="4" t="s">
        <v>8</v>
      </c>
      <c r="K1" s="4" t="s">
        <v>9</v>
      </c>
      <c r="L1" s="5" t="s">
        <v>2</v>
      </c>
      <c r="M1" s="5" t="s">
        <v>3</v>
      </c>
      <c r="N1" s="5" t="s">
        <v>4</v>
      </c>
      <c r="O1" s="6" t="s">
        <v>5</v>
      </c>
      <c r="P1" s="6" t="s">
        <v>6</v>
      </c>
      <c r="Q1" s="6" t="s">
        <v>10</v>
      </c>
      <c r="S1" s="7"/>
      <c r="T1" s="8"/>
      <c r="U1" s="8"/>
      <c r="V1" s="8"/>
      <c r="W1" s="8"/>
      <c r="X1" s="8"/>
      <c r="Y1" s="8"/>
    </row>
    <row r="2" spans="1:25" ht="14.25" customHeight="1">
      <c r="A2" s="9">
        <v>10101</v>
      </c>
      <c r="B2" s="9" t="s">
        <v>11</v>
      </c>
      <c r="C2" s="10">
        <v>40590</v>
      </c>
      <c r="D2" s="10">
        <v>17959.778249502182</v>
      </c>
      <c r="E2" s="11">
        <v>254279</v>
      </c>
      <c r="F2" s="12">
        <f t="shared" ref="F2:F256" si="0">C2/E2</f>
        <v>0.15962781039724083</v>
      </c>
      <c r="G2" s="12">
        <f t="shared" ref="G2:G256" si="1">D2/C2</f>
        <v>0.44246805246371473</v>
      </c>
      <c r="H2" s="12">
        <f t="shared" ref="H2:H256" si="2">F2*G2</f>
        <v>7.063020638551426E-2</v>
      </c>
      <c r="I2" s="13"/>
      <c r="J2" s="9">
        <v>1</v>
      </c>
      <c r="K2" s="9" t="s">
        <v>12</v>
      </c>
      <c r="L2" s="10">
        <v>243098</v>
      </c>
      <c r="M2" s="10">
        <v>125254.89227467775</v>
      </c>
      <c r="N2" s="10">
        <v>565214</v>
      </c>
      <c r="O2" s="12">
        <f t="shared" ref="O2:O12" si="3">L2/N2</f>
        <v>0.43009904213271433</v>
      </c>
      <c r="P2" s="14">
        <f t="shared" ref="P2:P12" si="4">M2/L2</f>
        <v>0.51524443753004034</v>
      </c>
      <c r="Q2" s="14">
        <f t="shared" ref="Q2:Q12" si="5">O2*P2</f>
        <v>0.22160613904587953</v>
      </c>
      <c r="S2" s="15"/>
    </row>
    <row r="3" spans="1:25" ht="14.25" customHeight="1">
      <c r="A3" s="9">
        <v>10102</v>
      </c>
      <c r="B3" s="9" t="s">
        <v>13</v>
      </c>
      <c r="C3" s="10">
        <v>2979</v>
      </c>
      <c r="D3" s="10">
        <v>1302.000033468008</v>
      </c>
      <c r="E3" s="11">
        <v>9084</v>
      </c>
      <c r="F3" s="12">
        <f t="shared" si="0"/>
        <v>0.32793923381770146</v>
      </c>
      <c r="G3" s="12">
        <f t="shared" si="1"/>
        <v>0.43705942714602486</v>
      </c>
      <c r="H3" s="12">
        <f t="shared" si="2"/>
        <v>0.14332893367107091</v>
      </c>
      <c r="I3" s="13"/>
      <c r="J3" s="9">
        <v>2</v>
      </c>
      <c r="K3" s="9" t="s">
        <v>14</v>
      </c>
      <c r="L3" s="10">
        <v>680954</v>
      </c>
      <c r="M3" s="10">
        <v>293504.34069293737</v>
      </c>
      <c r="N3" s="10">
        <v>2672102</v>
      </c>
      <c r="O3" s="12">
        <f t="shared" si="3"/>
        <v>0.2548383257824739</v>
      </c>
      <c r="P3" s="14">
        <f t="shared" si="4"/>
        <v>0.43101933565694212</v>
      </c>
      <c r="Q3" s="14">
        <f t="shared" si="5"/>
        <v>0.10984024587868928</v>
      </c>
      <c r="S3" s="15"/>
    </row>
    <row r="4" spans="1:25" ht="14.25" customHeight="1">
      <c r="A4" s="9">
        <v>10103</v>
      </c>
      <c r="B4" s="9" t="s">
        <v>15</v>
      </c>
      <c r="C4" s="10">
        <v>15252</v>
      </c>
      <c r="D4" s="10">
        <v>8819.8891350328922</v>
      </c>
      <c r="E4" s="11">
        <v>16315</v>
      </c>
      <c r="F4" s="12">
        <f t="shared" si="0"/>
        <v>0.9348452344468281</v>
      </c>
      <c r="G4" s="12">
        <f t="shared" si="1"/>
        <v>0.57827754622560268</v>
      </c>
      <c r="H4" s="12">
        <f t="shared" si="2"/>
        <v>0.54060000827661003</v>
      </c>
      <c r="I4" s="13"/>
      <c r="J4" s="9">
        <v>3</v>
      </c>
      <c r="K4" s="9" t="s">
        <v>16</v>
      </c>
      <c r="L4" s="10">
        <v>556233</v>
      </c>
      <c r="M4" s="10">
        <v>245574.67298841476</v>
      </c>
      <c r="N4" s="10">
        <v>1731480</v>
      </c>
      <c r="O4" s="12">
        <f t="shared" si="3"/>
        <v>0.32124714117402453</v>
      </c>
      <c r="P4" s="14">
        <f t="shared" si="4"/>
        <v>0.44149605109444201</v>
      </c>
      <c r="Q4" s="14">
        <f t="shared" si="5"/>
        <v>0.14182934425371055</v>
      </c>
      <c r="S4" s="15"/>
    </row>
    <row r="5" spans="1:25" ht="14.25" customHeight="1">
      <c r="A5" s="9">
        <v>10201</v>
      </c>
      <c r="B5" s="9" t="s">
        <v>17</v>
      </c>
      <c r="C5" s="10">
        <v>8894</v>
      </c>
      <c r="D5" s="10">
        <v>5306.555699378252</v>
      </c>
      <c r="E5" s="11">
        <v>10369</v>
      </c>
      <c r="F5" s="12">
        <f t="shared" si="0"/>
        <v>0.8577490596971743</v>
      </c>
      <c r="G5" s="12">
        <f t="shared" si="1"/>
        <v>0.59664444562381969</v>
      </c>
      <c r="H5" s="12">
        <f t="shared" si="2"/>
        <v>0.51177121220737321</v>
      </c>
      <c r="I5" s="13"/>
      <c r="J5" s="9">
        <v>4</v>
      </c>
      <c r="K5" s="9" t="s">
        <v>18</v>
      </c>
      <c r="L5" s="10">
        <v>144695</v>
      </c>
      <c r="M5" s="10">
        <v>63081.668221056461</v>
      </c>
      <c r="N5" s="10">
        <v>485798</v>
      </c>
      <c r="O5" s="12">
        <f t="shared" si="3"/>
        <v>0.29785013524139664</v>
      </c>
      <c r="P5" s="14">
        <f t="shared" si="4"/>
        <v>0.43596301338025822</v>
      </c>
      <c r="Q5" s="14">
        <f t="shared" si="5"/>
        <v>0.12985164249555672</v>
      </c>
      <c r="S5" s="15"/>
    </row>
    <row r="6" spans="1:25" ht="14.25" customHeight="1">
      <c r="A6" s="9">
        <v>10202</v>
      </c>
      <c r="B6" s="9" t="s">
        <v>19</v>
      </c>
      <c r="C6" s="10">
        <v>11385</v>
      </c>
      <c r="D6" s="10">
        <v>6374.00017619133</v>
      </c>
      <c r="E6" s="11">
        <v>14097</v>
      </c>
      <c r="F6" s="12">
        <f t="shared" si="0"/>
        <v>0.80761864226431157</v>
      </c>
      <c r="G6" s="12">
        <f t="shared" si="1"/>
        <v>0.55985947968303296</v>
      </c>
      <c r="H6" s="12">
        <f t="shared" si="2"/>
        <v>0.45215295284041501</v>
      </c>
      <c r="I6" s="13"/>
      <c r="J6" s="9">
        <v>5</v>
      </c>
      <c r="K6" s="9" t="s">
        <v>20</v>
      </c>
      <c r="L6" s="10">
        <v>384227</v>
      </c>
      <c r="M6" s="10">
        <v>183162.67152050138</v>
      </c>
      <c r="N6" s="10">
        <v>813480</v>
      </c>
      <c r="O6" s="12">
        <f t="shared" si="3"/>
        <v>0.47232507252790479</v>
      </c>
      <c r="P6" s="14">
        <f t="shared" si="4"/>
        <v>0.47670432197763657</v>
      </c>
      <c r="Q6" s="14">
        <f t="shared" si="5"/>
        <v>0.22515940345245286</v>
      </c>
      <c r="S6" s="15"/>
    </row>
    <row r="7" spans="1:25" ht="14.25" customHeight="1">
      <c r="A7" s="9">
        <v>10301</v>
      </c>
      <c r="B7" s="9" t="s">
        <v>21</v>
      </c>
      <c r="C7" s="10">
        <v>6652</v>
      </c>
      <c r="D7" s="10">
        <v>3381.6667564809322</v>
      </c>
      <c r="E7" s="11">
        <v>10968</v>
      </c>
      <c r="F7" s="12">
        <f t="shared" si="0"/>
        <v>0.60649161196207146</v>
      </c>
      <c r="G7" s="12">
        <f t="shared" si="1"/>
        <v>0.50836842400495075</v>
      </c>
      <c r="H7" s="12">
        <f t="shared" si="2"/>
        <v>0.30832118494538041</v>
      </c>
      <c r="I7" s="13"/>
      <c r="J7" s="9">
        <v>6</v>
      </c>
      <c r="K7" s="9" t="s">
        <v>22</v>
      </c>
      <c r="L7" s="10">
        <v>86543</v>
      </c>
      <c r="M7" s="10">
        <v>36702.556495964527</v>
      </c>
      <c r="N7" s="10">
        <v>463310</v>
      </c>
      <c r="O7" s="12">
        <f t="shared" si="3"/>
        <v>0.18679286007208995</v>
      </c>
      <c r="P7" s="14">
        <f t="shared" si="4"/>
        <v>0.42409618913100455</v>
      </c>
      <c r="Q7" s="14">
        <f t="shared" si="5"/>
        <v>7.9218140113454322E-2</v>
      </c>
      <c r="S7" s="15"/>
    </row>
    <row r="8" spans="1:25" ht="14.25" customHeight="1">
      <c r="A8" s="9">
        <v>10302</v>
      </c>
      <c r="B8" s="9" t="s">
        <v>23</v>
      </c>
      <c r="C8" s="10">
        <v>9286</v>
      </c>
      <c r="D8" s="10">
        <v>5381.6668085455894</v>
      </c>
      <c r="E8" s="11">
        <v>11837</v>
      </c>
      <c r="F8" s="12">
        <f t="shared" si="0"/>
        <v>0.78448931317056692</v>
      </c>
      <c r="G8" s="12">
        <f t="shared" si="1"/>
        <v>0.57954628564996657</v>
      </c>
      <c r="H8" s="12">
        <f t="shared" si="2"/>
        <v>0.45464786758009545</v>
      </c>
      <c r="I8" s="13"/>
      <c r="J8" s="9">
        <v>7</v>
      </c>
      <c r="K8" s="9" t="s">
        <v>24</v>
      </c>
      <c r="L8" s="10">
        <v>602994</v>
      </c>
      <c r="M8" s="10">
        <v>244699.78400120139</v>
      </c>
      <c r="N8" s="10">
        <v>2583169</v>
      </c>
      <c r="O8" s="12">
        <f t="shared" si="3"/>
        <v>0.2334318815377546</v>
      </c>
      <c r="P8" s="14">
        <f t="shared" si="4"/>
        <v>0.40580799145796043</v>
      </c>
      <c r="Q8" s="14">
        <f t="shared" si="5"/>
        <v>9.4728522989088751E-2</v>
      </c>
      <c r="S8" s="15"/>
    </row>
    <row r="9" spans="1:25" ht="14.25" customHeight="1">
      <c r="A9" s="9">
        <v>10303</v>
      </c>
      <c r="B9" s="9" t="s">
        <v>25</v>
      </c>
      <c r="C9" s="10">
        <v>5285</v>
      </c>
      <c r="D9" s="10">
        <v>2706.1111893951893</v>
      </c>
      <c r="E9" s="11">
        <v>7938</v>
      </c>
      <c r="F9" s="12">
        <f t="shared" si="0"/>
        <v>0.66578483245149911</v>
      </c>
      <c r="G9" s="12">
        <f t="shared" si="1"/>
        <v>0.51203617585528649</v>
      </c>
      <c r="H9" s="12">
        <f t="shared" si="2"/>
        <v>0.34090591955091826</v>
      </c>
      <c r="I9" s="13"/>
      <c r="J9" s="9">
        <v>8</v>
      </c>
      <c r="K9" s="9" t="s">
        <v>26</v>
      </c>
      <c r="L9" s="10">
        <v>209316</v>
      </c>
      <c r="M9" s="10">
        <v>93426.002376258373</v>
      </c>
      <c r="N9" s="10">
        <v>408402</v>
      </c>
      <c r="O9" s="12">
        <f t="shared" si="3"/>
        <v>0.51252442446413093</v>
      </c>
      <c r="P9" s="14">
        <f t="shared" si="4"/>
        <v>0.44633951717144593</v>
      </c>
      <c r="Q9" s="14">
        <f t="shared" si="5"/>
        <v>0.22875990415389341</v>
      </c>
      <c r="S9" s="15"/>
    </row>
    <row r="10" spans="1:25" ht="14.25" customHeight="1">
      <c r="A10" s="9">
        <v>10304</v>
      </c>
      <c r="B10" s="9" t="s">
        <v>27</v>
      </c>
      <c r="C10" s="10">
        <v>4566</v>
      </c>
      <c r="D10" s="10">
        <v>2321.7778415679932</v>
      </c>
      <c r="E10" s="11">
        <v>7603</v>
      </c>
      <c r="F10" s="12">
        <f t="shared" si="0"/>
        <v>0.60055241352097855</v>
      </c>
      <c r="G10" s="12">
        <f t="shared" si="1"/>
        <v>0.50849273796933714</v>
      </c>
      <c r="H10" s="12">
        <f t="shared" si="2"/>
        <v>0.30537654104537593</v>
      </c>
      <c r="I10" s="13"/>
      <c r="J10" s="9">
        <v>9</v>
      </c>
      <c r="K10" s="9" t="s">
        <v>28</v>
      </c>
      <c r="L10" s="10">
        <v>53313</v>
      </c>
      <c r="M10" s="10">
        <v>24705.556202322245</v>
      </c>
      <c r="N10" s="10">
        <v>104134</v>
      </c>
      <c r="O10" s="12">
        <f t="shared" si="3"/>
        <v>0.51196535233449214</v>
      </c>
      <c r="P10" s="14">
        <f t="shared" si="4"/>
        <v>0.46340585227472181</v>
      </c>
      <c r="Q10" s="14">
        <f t="shared" si="5"/>
        <v>0.23724774043369357</v>
      </c>
      <c r="S10" s="15"/>
    </row>
    <row r="11" spans="1:25" ht="14.25" customHeight="1">
      <c r="A11" s="9">
        <v>10401</v>
      </c>
      <c r="B11" s="9" t="s">
        <v>29</v>
      </c>
      <c r="C11" s="10">
        <v>6078</v>
      </c>
      <c r="D11" s="10">
        <v>3146.8889787197113</v>
      </c>
      <c r="E11" s="11">
        <v>10099</v>
      </c>
      <c r="F11" s="12">
        <f t="shared" si="0"/>
        <v>0.60184176651153576</v>
      </c>
      <c r="G11" s="12">
        <f t="shared" si="1"/>
        <v>0.51775073687392426</v>
      </c>
      <c r="H11" s="12">
        <f t="shared" si="2"/>
        <v>0.31160401809285193</v>
      </c>
      <c r="I11" s="13"/>
      <c r="J11" s="9">
        <v>10</v>
      </c>
      <c r="K11" s="9" t="s">
        <v>30</v>
      </c>
      <c r="L11" s="16">
        <v>26787</v>
      </c>
      <c r="M11" s="16">
        <v>11187.778066724539</v>
      </c>
      <c r="N11" s="16">
        <v>138970</v>
      </c>
      <c r="O11" s="12">
        <f t="shared" si="3"/>
        <v>0.19275383176225083</v>
      </c>
      <c r="P11" s="14">
        <f t="shared" si="4"/>
        <v>0.41765700028836894</v>
      </c>
      <c r="Q11" s="14">
        <f t="shared" si="5"/>
        <v>8.0504987167910616E-2</v>
      </c>
      <c r="S11" s="15"/>
    </row>
    <row r="12" spans="1:25" ht="14.25" customHeight="1">
      <c r="A12" s="9">
        <v>10402</v>
      </c>
      <c r="B12" s="9" t="s">
        <v>31</v>
      </c>
      <c r="C12" s="10">
        <v>5435</v>
      </c>
      <c r="D12" s="10">
        <v>2638.4445174634457</v>
      </c>
      <c r="E12" s="11">
        <v>8326</v>
      </c>
      <c r="F12" s="12">
        <f t="shared" si="0"/>
        <v>0.65277444150852748</v>
      </c>
      <c r="G12" s="12">
        <f t="shared" si="1"/>
        <v>0.48545437303835248</v>
      </c>
      <c r="H12" s="12">
        <f t="shared" si="2"/>
        <v>0.31689220723798289</v>
      </c>
      <c r="I12" s="13"/>
      <c r="J12" s="9">
        <v>11</v>
      </c>
      <c r="K12" s="9" t="s">
        <v>32</v>
      </c>
      <c r="L12" s="16">
        <v>2961373</v>
      </c>
      <c r="M12" s="16">
        <v>1310112.1447733343</v>
      </c>
      <c r="N12" s="16">
        <v>9827089</v>
      </c>
      <c r="O12" s="12">
        <f t="shared" si="3"/>
        <v>0.30134793731897613</v>
      </c>
      <c r="P12" s="14">
        <f t="shared" si="4"/>
        <v>0.44240024636320191</v>
      </c>
      <c r="Q12" s="14">
        <f t="shared" si="5"/>
        <v>0.13331640171095777</v>
      </c>
      <c r="S12" s="15"/>
    </row>
    <row r="13" spans="1:25" ht="14.25" customHeight="1">
      <c r="A13" s="9">
        <v>10403</v>
      </c>
      <c r="B13" s="9" t="s">
        <v>33</v>
      </c>
      <c r="C13" s="10">
        <v>4974</v>
      </c>
      <c r="D13" s="10">
        <v>2681.2223006188869</v>
      </c>
      <c r="E13" s="11">
        <v>7170</v>
      </c>
      <c r="F13" s="12">
        <f t="shared" si="0"/>
        <v>0.69372384937238496</v>
      </c>
      <c r="G13" s="12">
        <f t="shared" si="1"/>
        <v>0.53904750716101468</v>
      </c>
      <c r="H13" s="12">
        <f t="shared" si="2"/>
        <v>0.37395011166232733</v>
      </c>
      <c r="I13" s="13"/>
      <c r="J13" s="17"/>
      <c r="K13" s="17"/>
      <c r="L13" s="17"/>
      <c r="M13" s="17"/>
      <c r="N13" s="17"/>
      <c r="O13" s="15"/>
      <c r="P13" s="18"/>
      <c r="Q13" s="18"/>
      <c r="S13" s="15"/>
    </row>
    <row r="14" spans="1:25" ht="14.25" customHeight="1">
      <c r="A14" s="9">
        <v>10404</v>
      </c>
      <c r="B14" s="9" t="s">
        <v>34</v>
      </c>
      <c r="C14" s="10">
        <v>2793</v>
      </c>
      <c r="D14" s="10">
        <v>1341.6667020618916</v>
      </c>
      <c r="E14" s="11">
        <v>4834</v>
      </c>
      <c r="F14" s="12">
        <f t="shared" si="0"/>
        <v>0.57778237484484896</v>
      </c>
      <c r="G14" s="12">
        <f t="shared" si="1"/>
        <v>0.48036759830357734</v>
      </c>
      <c r="H14" s="12">
        <f t="shared" si="2"/>
        <v>0.27754793174635733</v>
      </c>
      <c r="I14" s="13"/>
      <c r="J14" s="17"/>
      <c r="K14" s="17"/>
      <c r="L14" s="17"/>
      <c r="M14" s="17"/>
      <c r="N14" s="17"/>
      <c r="O14" s="19"/>
      <c r="P14" s="20"/>
      <c r="Q14" s="20"/>
      <c r="S14" s="15"/>
    </row>
    <row r="15" spans="1:25" ht="14.25" customHeight="1">
      <c r="A15" s="9">
        <v>10405</v>
      </c>
      <c r="B15" s="9" t="s">
        <v>35</v>
      </c>
      <c r="C15" s="10">
        <v>2937</v>
      </c>
      <c r="D15" s="10">
        <v>1459.8889292776585</v>
      </c>
      <c r="E15" s="11">
        <v>4308</v>
      </c>
      <c r="F15" s="12">
        <f t="shared" si="0"/>
        <v>0.68175487465181062</v>
      </c>
      <c r="G15" s="12">
        <f t="shared" si="1"/>
        <v>0.49706807261752078</v>
      </c>
      <c r="H15" s="12">
        <f t="shared" si="2"/>
        <v>0.33887858154077499</v>
      </c>
      <c r="I15" s="13"/>
      <c r="J15" s="17"/>
      <c r="K15" s="17"/>
      <c r="L15" s="17"/>
      <c r="M15" s="17"/>
      <c r="N15" s="17"/>
      <c r="O15" s="19"/>
      <c r="P15" s="20"/>
      <c r="Q15" s="20"/>
      <c r="S15" s="15"/>
    </row>
    <row r="16" spans="1:25" ht="14.25" customHeight="1">
      <c r="A16" s="9">
        <v>10501</v>
      </c>
      <c r="B16" s="9" t="s">
        <v>36</v>
      </c>
      <c r="C16" s="10">
        <v>10129</v>
      </c>
      <c r="D16" s="10">
        <v>4941.3334693908691</v>
      </c>
      <c r="E16" s="11">
        <v>23316</v>
      </c>
      <c r="F16" s="12">
        <f t="shared" si="0"/>
        <v>0.43442271401612625</v>
      </c>
      <c r="G16" s="12">
        <f t="shared" si="1"/>
        <v>0.48784020825262803</v>
      </c>
      <c r="H16" s="12">
        <f t="shared" si="2"/>
        <v>0.21192886727529889</v>
      </c>
      <c r="I16" s="13"/>
      <c r="J16" s="87" t="s">
        <v>37</v>
      </c>
      <c r="K16" s="88"/>
      <c r="L16" s="17"/>
      <c r="M16" s="17"/>
      <c r="N16" s="17"/>
      <c r="O16" s="19"/>
      <c r="P16" s="20"/>
      <c r="Q16" s="20"/>
      <c r="S16" s="15"/>
    </row>
    <row r="17" spans="1:19" ht="14.25" customHeight="1">
      <c r="A17" s="9">
        <v>10502</v>
      </c>
      <c r="B17" s="9" t="s">
        <v>38</v>
      </c>
      <c r="C17" s="10">
        <v>5503</v>
      </c>
      <c r="D17" s="10">
        <v>2779.2222979664803</v>
      </c>
      <c r="E17" s="11">
        <v>8032</v>
      </c>
      <c r="F17" s="12">
        <f t="shared" si="0"/>
        <v>0.6851344621513944</v>
      </c>
      <c r="G17" s="12">
        <f t="shared" si="1"/>
        <v>0.50503766999209165</v>
      </c>
      <c r="H17" s="12">
        <f t="shared" si="2"/>
        <v>0.34601871239622511</v>
      </c>
      <c r="I17" s="13"/>
      <c r="J17" s="9" t="s">
        <v>39</v>
      </c>
      <c r="K17" s="9">
        <v>1.4999999999999999E-2</v>
      </c>
      <c r="L17" s="17"/>
      <c r="M17" s="17"/>
      <c r="N17" s="17"/>
      <c r="O17" s="19"/>
      <c r="P17" s="20"/>
      <c r="Q17" s="20"/>
      <c r="S17" s="15"/>
    </row>
    <row r="18" spans="1:19" ht="14.25" customHeight="1">
      <c r="A18" s="9">
        <v>10601</v>
      </c>
      <c r="B18" s="9" t="s">
        <v>40</v>
      </c>
      <c r="C18" s="10">
        <v>11482</v>
      </c>
      <c r="D18" s="10">
        <v>5840.0001606047153</v>
      </c>
      <c r="E18" s="11">
        <v>16713</v>
      </c>
      <c r="F18" s="12">
        <f t="shared" si="0"/>
        <v>0.68701011188894867</v>
      </c>
      <c r="G18" s="12">
        <f t="shared" si="1"/>
        <v>0.50862220524339974</v>
      </c>
      <c r="H18" s="12">
        <f t="shared" si="2"/>
        <v>0.34942859813347188</v>
      </c>
      <c r="I18" s="13"/>
      <c r="J18" s="9" t="s">
        <v>41</v>
      </c>
      <c r="K18" s="21">
        <f>K19-K21</f>
        <v>0.12871826887934817</v>
      </c>
      <c r="L18" s="17"/>
      <c r="M18" s="17"/>
      <c r="N18" s="17"/>
      <c r="O18" s="19"/>
      <c r="P18" s="20"/>
      <c r="Q18" s="20"/>
      <c r="S18" s="15"/>
    </row>
    <row r="19" spans="1:19" ht="14.25" customHeight="1">
      <c r="A19" s="9">
        <v>10602</v>
      </c>
      <c r="B19" s="9" t="s">
        <v>42</v>
      </c>
      <c r="C19" s="10">
        <v>6261</v>
      </c>
      <c r="D19" s="10">
        <v>3141.6667561233044</v>
      </c>
      <c r="E19" s="11">
        <v>9883</v>
      </c>
      <c r="F19" s="12">
        <f t="shared" si="0"/>
        <v>0.63351209147020138</v>
      </c>
      <c r="G19" s="12">
        <f t="shared" si="1"/>
        <v>0.50178354194590391</v>
      </c>
      <c r="H19" s="12">
        <f t="shared" si="2"/>
        <v>0.31788594112347512</v>
      </c>
      <c r="I19" s="13"/>
      <c r="J19" s="9" t="s">
        <v>43</v>
      </c>
      <c r="K19" s="21">
        <f>AVERAGE(H2:H344)</f>
        <v>0.23423912708525949</v>
      </c>
      <c r="L19" s="17"/>
      <c r="M19" s="17"/>
      <c r="N19" s="17"/>
      <c r="O19" s="19"/>
      <c r="P19" s="20"/>
      <c r="Q19" s="20"/>
      <c r="S19" s="15"/>
    </row>
    <row r="20" spans="1:19" ht="14.25" customHeight="1">
      <c r="A20" s="9">
        <v>10701</v>
      </c>
      <c r="B20" s="9" t="s">
        <v>44</v>
      </c>
      <c r="C20" s="10">
        <v>6222</v>
      </c>
      <c r="D20" s="10">
        <v>2970.4445235729218</v>
      </c>
      <c r="E20" s="11">
        <v>15012</v>
      </c>
      <c r="F20" s="12">
        <f t="shared" si="0"/>
        <v>0.41446842525979216</v>
      </c>
      <c r="G20" s="12">
        <f t="shared" si="1"/>
        <v>0.47740992021422723</v>
      </c>
      <c r="H20" s="12">
        <f t="shared" si="2"/>
        <v>0.19787133783459379</v>
      </c>
      <c r="I20" s="13"/>
      <c r="J20" s="17"/>
      <c r="K20" s="17"/>
      <c r="L20" s="17"/>
      <c r="M20" s="17"/>
      <c r="N20" s="17"/>
      <c r="O20" s="19"/>
      <c r="P20" s="20"/>
      <c r="Q20" s="20"/>
      <c r="S20" s="15"/>
    </row>
    <row r="21" spans="1:19" ht="14.25" customHeight="1">
      <c r="A21" s="9">
        <v>10702</v>
      </c>
      <c r="B21" s="9" t="s">
        <v>45</v>
      </c>
      <c r="C21" s="10">
        <v>23306</v>
      </c>
      <c r="D21" s="10">
        <v>12746.000344783068</v>
      </c>
      <c r="E21" s="11">
        <v>32213</v>
      </c>
      <c r="F21" s="12">
        <f t="shared" si="0"/>
        <v>0.72349672492471984</v>
      </c>
      <c r="G21" s="12">
        <f t="shared" si="1"/>
        <v>0.54689780935308796</v>
      </c>
      <c r="H21" s="12">
        <f t="shared" si="2"/>
        <v>0.39567877393546297</v>
      </c>
      <c r="I21" s="13"/>
      <c r="J21" s="22" t="s">
        <v>46</v>
      </c>
      <c r="K21" s="17">
        <f>STDEV(H2:H344)</f>
        <v>0.10552085820591131</v>
      </c>
      <c r="L21" s="17"/>
      <c r="M21" s="17"/>
      <c r="N21" s="17"/>
      <c r="O21" s="19"/>
      <c r="P21" s="20"/>
      <c r="Q21" s="20"/>
      <c r="S21" s="15"/>
    </row>
    <row r="22" spans="1:19" ht="14.25" customHeight="1">
      <c r="A22" s="9">
        <v>10703</v>
      </c>
      <c r="B22" s="9" t="s">
        <v>47</v>
      </c>
      <c r="C22" s="10">
        <v>10136</v>
      </c>
      <c r="D22" s="10">
        <v>5942.111258238554</v>
      </c>
      <c r="E22" s="11">
        <v>12855</v>
      </c>
      <c r="F22" s="12">
        <f t="shared" si="0"/>
        <v>0.78848697005056401</v>
      </c>
      <c r="G22" s="12">
        <f t="shared" si="1"/>
        <v>0.58623828514587151</v>
      </c>
      <c r="H22" s="12">
        <f t="shared" si="2"/>
        <v>0.4622412491823068</v>
      </c>
      <c r="I22" s="13"/>
      <c r="K22" s="17"/>
      <c r="L22" s="17"/>
      <c r="M22" s="17"/>
      <c r="N22" s="17"/>
      <c r="O22" s="19"/>
      <c r="P22" s="20"/>
      <c r="Q22" s="20"/>
      <c r="S22" s="15"/>
    </row>
    <row r="23" spans="1:19" ht="14.25" customHeight="1">
      <c r="A23" s="9">
        <v>10704</v>
      </c>
      <c r="B23" s="9" t="s">
        <v>48</v>
      </c>
      <c r="C23" s="10">
        <v>11579</v>
      </c>
      <c r="D23" s="10">
        <v>6340.0001684427261</v>
      </c>
      <c r="E23" s="11">
        <v>15685</v>
      </c>
      <c r="F23" s="12">
        <f t="shared" si="0"/>
        <v>0.73822123047497612</v>
      </c>
      <c r="G23" s="12">
        <f t="shared" si="1"/>
        <v>0.54754298026105241</v>
      </c>
      <c r="H23" s="12">
        <f t="shared" si="2"/>
        <v>0.4042078526262497</v>
      </c>
      <c r="I23" s="13"/>
      <c r="K23" s="17"/>
      <c r="L23" s="17"/>
      <c r="M23" s="17"/>
      <c r="N23" s="17"/>
      <c r="O23" s="19"/>
      <c r="P23" s="20"/>
      <c r="Q23" s="20"/>
      <c r="S23" s="15"/>
    </row>
    <row r="24" spans="1:19" ht="14.25" customHeight="1">
      <c r="A24" s="9">
        <v>10801</v>
      </c>
      <c r="B24" s="9" t="s">
        <v>49</v>
      </c>
      <c r="C24" s="10">
        <v>5859</v>
      </c>
      <c r="D24" s="10">
        <v>2907.8889682590961</v>
      </c>
      <c r="E24" s="11">
        <v>10907</v>
      </c>
      <c r="F24" s="12">
        <f t="shared" si="0"/>
        <v>0.53717795910882915</v>
      </c>
      <c r="G24" s="12">
        <f t="shared" si="1"/>
        <v>0.4963114811843482</v>
      </c>
      <c r="H24" s="12">
        <f t="shared" si="2"/>
        <v>0.26660758854488825</v>
      </c>
      <c r="I24" s="13"/>
      <c r="J24" s="17"/>
      <c r="K24" s="17"/>
      <c r="L24" s="17"/>
      <c r="M24" s="17"/>
      <c r="N24" s="17"/>
      <c r="O24" s="19"/>
      <c r="P24" s="20"/>
      <c r="Q24" s="20"/>
      <c r="S24" s="15"/>
    </row>
    <row r="25" spans="1:19" ht="14.25" customHeight="1">
      <c r="A25" s="9">
        <v>10901</v>
      </c>
      <c r="B25" s="9" t="s">
        <v>50</v>
      </c>
      <c r="C25" s="10">
        <v>2049</v>
      </c>
      <c r="D25" s="10">
        <v>991.44447132945061</v>
      </c>
      <c r="E25" s="11">
        <v>3373</v>
      </c>
      <c r="F25" s="12">
        <f t="shared" si="0"/>
        <v>0.60747109398161869</v>
      </c>
      <c r="G25" s="12">
        <f t="shared" si="1"/>
        <v>0.48386748234721844</v>
      </c>
      <c r="H25" s="12">
        <f t="shared" si="2"/>
        <v>0.29393550884359637</v>
      </c>
      <c r="I25" s="13"/>
      <c r="J25" s="17"/>
      <c r="K25" s="17"/>
      <c r="L25" s="17"/>
      <c r="M25" s="17"/>
      <c r="N25" s="17"/>
      <c r="O25" s="19"/>
      <c r="P25" s="20"/>
      <c r="Q25" s="20"/>
      <c r="S25" s="15"/>
    </row>
    <row r="26" spans="1:19" ht="14.25" customHeight="1">
      <c r="A26" s="9">
        <v>10902</v>
      </c>
      <c r="B26" s="9" t="s">
        <v>51</v>
      </c>
      <c r="C26" s="10">
        <v>11694</v>
      </c>
      <c r="D26" s="10">
        <v>6252.2223869264126</v>
      </c>
      <c r="E26" s="11">
        <v>17544</v>
      </c>
      <c r="F26" s="12">
        <f t="shared" si="0"/>
        <v>0.66655266757865939</v>
      </c>
      <c r="G26" s="12">
        <f t="shared" si="1"/>
        <v>0.53465216238467694</v>
      </c>
      <c r="H26" s="12">
        <f t="shared" si="2"/>
        <v>0.35637382506420501</v>
      </c>
      <c r="I26" s="13"/>
      <c r="J26" s="17"/>
      <c r="K26" s="17"/>
      <c r="L26" s="17"/>
      <c r="M26" s="17"/>
      <c r="N26" s="17"/>
      <c r="O26" s="19"/>
      <c r="P26" s="20"/>
      <c r="Q26" s="20"/>
      <c r="S26" s="15"/>
    </row>
    <row r="27" spans="1:19" ht="14.25" customHeight="1">
      <c r="A27" s="9">
        <v>10903</v>
      </c>
      <c r="B27" s="9" t="s">
        <v>52</v>
      </c>
      <c r="C27" s="10">
        <v>1908</v>
      </c>
      <c r="D27" s="10">
        <v>878.88891243934631</v>
      </c>
      <c r="E27" s="11">
        <v>3937</v>
      </c>
      <c r="F27" s="12">
        <f t="shared" si="0"/>
        <v>0.48463296926593852</v>
      </c>
      <c r="G27" s="12">
        <f t="shared" si="1"/>
        <v>0.4606336019074142</v>
      </c>
      <c r="H27" s="12">
        <f t="shared" si="2"/>
        <v>0.22323823023605444</v>
      </c>
      <c r="I27" s="13"/>
      <c r="J27" s="17"/>
      <c r="K27" s="17"/>
      <c r="L27" s="17"/>
      <c r="M27" s="17"/>
      <c r="N27" s="17"/>
      <c r="O27" s="19"/>
      <c r="P27" s="20"/>
      <c r="Q27" s="20"/>
      <c r="S27" s="15"/>
    </row>
    <row r="28" spans="1:19" ht="14.25" customHeight="1">
      <c r="A28" s="9">
        <v>11001</v>
      </c>
      <c r="B28" s="9" t="s">
        <v>53</v>
      </c>
      <c r="C28" s="10">
        <v>4993</v>
      </c>
      <c r="D28" s="10">
        <v>2435.3334011137486</v>
      </c>
      <c r="E28" s="11">
        <v>9345</v>
      </c>
      <c r="F28" s="12">
        <f t="shared" si="0"/>
        <v>0.53429641519529159</v>
      </c>
      <c r="G28" s="12">
        <f t="shared" si="1"/>
        <v>0.48774952956413953</v>
      </c>
      <c r="H28" s="12">
        <f t="shared" si="2"/>
        <v>0.26060282515930966</v>
      </c>
      <c r="I28" s="13"/>
      <c r="J28" s="17"/>
      <c r="K28" s="17"/>
      <c r="L28" s="17"/>
      <c r="M28" s="17"/>
      <c r="N28" s="17"/>
      <c r="O28" s="19"/>
      <c r="P28" s="20"/>
      <c r="Q28" s="20"/>
      <c r="S28" s="15"/>
    </row>
    <row r="29" spans="1:19" ht="14.25" customHeight="1">
      <c r="A29" s="9">
        <v>11002</v>
      </c>
      <c r="B29" s="9" t="s">
        <v>54</v>
      </c>
      <c r="C29" s="10">
        <v>1559</v>
      </c>
      <c r="D29" s="10">
        <v>724.55557349324226</v>
      </c>
      <c r="E29" s="11">
        <v>2429</v>
      </c>
      <c r="F29" s="12">
        <f t="shared" si="0"/>
        <v>0.64182791272128448</v>
      </c>
      <c r="G29" s="12">
        <f t="shared" si="1"/>
        <v>0.46475662186866085</v>
      </c>
      <c r="H29" s="12">
        <f t="shared" si="2"/>
        <v>0.29829377253735789</v>
      </c>
      <c r="I29" s="13"/>
      <c r="J29" s="17"/>
      <c r="K29" s="17"/>
      <c r="L29" s="17"/>
      <c r="M29" s="17"/>
      <c r="N29" s="17"/>
      <c r="O29" s="19"/>
      <c r="P29" s="20"/>
      <c r="Q29" s="20"/>
      <c r="S29" s="15"/>
    </row>
    <row r="30" spans="1:19" ht="14.25" customHeight="1">
      <c r="A30" s="9">
        <v>11003</v>
      </c>
      <c r="B30" s="9" t="s">
        <v>55</v>
      </c>
      <c r="C30" s="10">
        <v>3312</v>
      </c>
      <c r="D30" s="10">
        <v>1542.222264289856</v>
      </c>
      <c r="E30" s="11">
        <v>6743</v>
      </c>
      <c r="F30" s="12">
        <f t="shared" si="0"/>
        <v>0.49117603440605073</v>
      </c>
      <c r="G30" s="12">
        <f t="shared" si="1"/>
        <v>0.46564681892809662</v>
      </c>
      <c r="H30" s="12">
        <f t="shared" si="2"/>
        <v>0.22871455795489487</v>
      </c>
      <c r="I30" s="13"/>
      <c r="J30" s="17"/>
      <c r="K30" s="17"/>
      <c r="L30" s="17"/>
      <c r="M30" s="17"/>
      <c r="N30" s="17"/>
      <c r="O30" s="19"/>
      <c r="P30" s="20"/>
      <c r="Q30" s="20"/>
      <c r="S30" s="15"/>
    </row>
    <row r="31" spans="1:19" ht="14.25" customHeight="1">
      <c r="A31" s="9">
        <v>20101</v>
      </c>
      <c r="B31" s="9" t="s">
        <v>56</v>
      </c>
      <c r="C31" s="10">
        <v>33790</v>
      </c>
      <c r="D31" s="10">
        <v>13181.778110057116</v>
      </c>
      <c r="E31" s="11">
        <v>748188</v>
      </c>
      <c r="F31" s="12">
        <f t="shared" si="0"/>
        <v>4.5162445802391912E-2</v>
      </c>
      <c r="G31" s="12">
        <f t="shared" si="1"/>
        <v>0.39010885202891732</v>
      </c>
      <c r="H31" s="12">
        <f t="shared" si="2"/>
        <v>1.7618269886789304E-2</v>
      </c>
      <c r="I31" s="13"/>
      <c r="J31" s="17"/>
      <c r="K31" s="17"/>
      <c r="L31" s="17"/>
      <c r="M31" s="17"/>
      <c r="N31" s="17"/>
      <c r="O31" s="19"/>
      <c r="P31" s="20"/>
      <c r="Q31" s="20"/>
      <c r="S31" s="15"/>
    </row>
    <row r="32" spans="1:19" ht="14.25" customHeight="1">
      <c r="A32" s="9">
        <v>20102</v>
      </c>
      <c r="B32" s="9" t="s">
        <v>57</v>
      </c>
      <c r="C32" s="10">
        <v>8491</v>
      </c>
      <c r="D32" s="10">
        <v>3668.5556473433971</v>
      </c>
      <c r="E32" s="11">
        <v>16486</v>
      </c>
      <c r="F32" s="12">
        <f t="shared" si="0"/>
        <v>0.51504306684459544</v>
      </c>
      <c r="G32" s="12">
        <f t="shared" si="1"/>
        <v>0.43205224912771134</v>
      </c>
      <c r="H32" s="12">
        <f t="shared" si="2"/>
        <v>0.22252551542784163</v>
      </c>
      <c r="I32" s="13"/>
      <c r="J32" s="17"/>
      <c r="K32" s="17"/>
      <c r="L32" s="17"/>
      <c r="M32" s="17"/>
      <c r="N32" s="17"/>
      <c r="O32" s="19"/>
      <c r="P32" s="20"/>
      <c r="Q32" s="20"/>
      <c r="S32" s="15"/>
    </row>
    <row r="33" spans="1:19" ht="14.25" customHeight="1">
      <c r="A33" s="9">
        <v>20103</v>
      </c>
      <c r="B33" s="9" t="s">
        <v>58</v>
      </c>
      <c r="C33" s="10">
        <v>6150</v>
      </c>
      <c r="D33" s="10">
        <v>2636.000067293644</v>
      </c>
      <c r="E33" s="11">
        <v>15745</v>
      </c>
      <c r="F33" s="12">
        <f t="shared" si="0"/>
        <v>0.39060019053667833</v>
      </c>
      <c r="G33" s="12">
        <f t="shared" si="1"/>
        <v>0.42861789712091769</v>
      </c>
      <c r="H33" s="12">
        <f t="shared" si="2"/>
        <v>0.16741823228286085</v>
      </c>
      <c r="I33" s="13"/>
      <c r="J33" s="17"/>
      <c r="K33" s="17"/>
      <c r="L33" s="17"/>
      <c r="M33" s="17"/>
      <c r="N33" s="17"/>
      <c r="O33" s="19"/>
      <c r="P33" s="20"/>
      <c r="Q33" s="20"/>
      <c r="S33" s="15"/>
    </row>
    <row r="34" spans="1:19" ht="14.25" customHeight="1">
      <c r="A34" s="9">
        <v>20104</v>
      </c>
      <c r="B34" s="9" t="s">
        <v>59</v>
      </c>
      <c r="C34" s="10">
        <v>10483</v>
      </c>
      <c r="D34" s="10">
        <v>4340.8889955580235</v>
      </c>
      <c r="E34" s="11">
        <v>22242</v>
      </c>
      <c r="F34" s="12">
        <f t="shared" si="0"/>
        <v>0.47131552917903069</v>
      </c>
      <c r="G34" s="12">
        <f t="shared" si="1"/>
        <v>0.41408842846112975</v>
      </c>
      <c r="H34" s="12">
        <f t="shared" si="2"/>
        <v>0.19516630678707056</v>
      </c>
      <c r="I34" s="13"/>
      <c r="J34" s="17"/>
      <c r="K34" s="17"/>
      <c r="L34" s="17"/>
      <c r="M34" s="17"/>
      <c r="N34" s="17"/>
      <c r="O34" s="19"/>
      <c r="P34" s="20"/>
      <c r="Q34" s="20"/>
      <c r="S34" s="15"/>
    </row>
    <row r="35" spans="1:19" ht="14.25" customHeight="1">
      <c r="A35" s="9">
        <v>20105</v>
      </c>
      <c r="B35" s="9" t="s">
        <v>60</v>
      </c>
      <c r="C35" s="10">
        <v>113988</v>
      </c>
      <c r="D35" s="10">
        <v>44739.667785257101</v>
      </c>
      <c r="E35" s="11">
        <v>839685</v>
      </c>
      <c r="F35" s="12">
        <f t="shared" si="0"/>
        <v>0.13575090658997124</v>
      </c>
      <c r="G35" s="12">
        <f t="shared" si="1"/>
        <v>0.39249454140135015</v>
      </c>
      <c r="H35" s="12">
        <f t="shared" si="2"/>
        <v>5.3281489826848286E-2</v>
      </c>
      <c r="I35" s="13"/>
      <c r="J35" s="17"/>
      <c r="K35" s="17"/>
      <c r="L35" s="17"/>
      <c r="M35" s="17"/>
      <c r="N35" s="17"/>
      <c r="O35" s="19"/>
      <c r="P35" s="20"/>
      <c r="Q35" s="20"/>
      <c r="S35" s="15"/>
    </row>
    <row r="36" spans="1:19" ht="14.25" customHeight="1">
      <c r="A36" s="9">
        <v>20201</v>
      </c>
      <c r="B36" s="9" t="s">
        <v>61</v>
      </c>
      <c r="C36" s="10">
        <v>17506</v>
      </c>
      <c r="D36" s="10">
        <v>7391.8890745937824</v>
      </c>
      <c r="E36" s="11">
        <v>45667</v>
      </c>
      <c r="F36" s="12">
        <f t="shared" si="0"/>
        <v>0.38334026758928769</v>
      </c>
      <c r="G36" s="12">
        <f t="shared" si="1"/>
        <v>0.42224889035723651</v>
      </c>
      <c r="H36" s="12">
        <f t="shared" si="2"/>
        <v>0.16186500261882283</v>
      </c>
      <c r="I36" s="13"/>
      <c r="J36" s="17"/>
      <c r="K36" s="17"/>
      <c r="L36" s="17"/>
      <c r="M36" s="17"/>
      <c r="N36" s="17"/>
      <c r="O36" s="19"/>
      <c r="P36" s="20"/>
      <c r="Q36" s="20"/>
      <c r="S36" s="15"/>
    </row>
    <row r="37" spans="1:19" ht="14.25" customHeight="1">
      <c r="A37" s="9">
        <v>20202</v>
      </c>
      <c r="B37" s="9" t="s">
        <v>62</v>
      </c>
      <c r="C37" s="10">
        <v>7201</v>
      </c>
      <c r="D37" s="10">
        <v>3049.1111864447594</v>
      </c>
      <c r="E37" s="11">
        <v>13083</v>
      </c>
      <c r="F37" s="12">
        <f t="shared" si="0"/>
        <v>0.55040892761599025</v>
      </c>
      <c r="G37" s="12">
        <f t="shared" si="1"/>
        <v>0.42342885522076923</v>
      </c>
      <c r="H37" s="12">
        <f t="shared" si="2"/>
        <v>0.23305902212372998</v>
      </c>
      <c r="I37" s="13"/>
      <c r="J37" s="17"/>
      <c r="K37" s="17"/>
      <c r="L37" s="17"/>
      <c r="M37" s="17"/>
      <c r="N37" s="17"/>
      <c r="O37" s="19"/>
      <c r="P37" s="20"/>
      <c r="Q37" s="20"/>
      <c r="S37" s="15"/>
    </row>
    <row r="38" spans="1:19" ht="14.25" customHeight="1">
      <c r="A38" s="9">
        <v>20203</v>
      </c>
      <c r="B38" s="9" t="s">
        <v>63</v>
      </c>
      <c r="C38" s="10">
        <v>3376</v>
      </c>
      <c r="D38" s="10">
        <v>1427.0000345110893</v>
      </c>
      <c r="E38" s="11">
        <v>7899</v>
      </c>
      <c r="F38" s="12">
        <f t="shared" si="0"/>
        <v>0.42739587289530323</v>
      </c>
      <c r="G38" s="12">
        <f t="shared" si="1"/>
        <v>0.42268958368219472</v>
      </c>
      <c r="H38" s="12">
        <f t="shared" si="2"/>
        <v>0.18065578358160395</v>
      </c>
      <c r="I38" s="13"/>
      <c r="J38" s="17"/>
      <c r="K38" s="17"/>
      <c r="L38" s="17"/>
      <c r="M38" s="17"/>
      <c r="N38" s="17"/>
      <c r="O38" s="19"/>
      <c r="P38" s="20"/>
      <c r="Q38" s="20"/>
      <c r="S38" s="15"/>
    </row>
    <row r="39" spans="1:19" ht="14.25" customHeight="1">
      <c r="A39" s="9">
        <v>20204</v>
      </c>
      <c r="B39" s="9" t="s">
        <v>64</v>
      </c>
      <c r="C39" s="10">
        <v>3237</v>
      </c>
      <c r="D39" s="10">
        <v>1326.3333650529385</v>
      </c>
      <c r="E39" s="11">
        <v>8522</v>
      </c>
      <c r="F39" s="12">
        <f t="shared" si="0"/>
        <v>0.37984041304858013</v>
      </c>
      <c r="G39" s="12">
        <f t="shared" si="1"/>
        <v>0.40974154002253271</v>
      </c>
      <c r="H39" s="12">
        <f t="shared" si="2"/>
        <v>0.15563639580532015</v>
      </c>
      <c r="I39" s="13"/>
      <c r="J39" s="17"/>
      <c r="K39" s="17"/>
      <c r="L39" s="17"/>
      <c r="M39" s="17"/>
      <c r="N39" s="17"/>
      <c r="O39" s="19"/>
      <c r="P39" s="20"/>
      <c r="Q39" s="20"/>
      <c r="S39" s="15"/>
    </row>
    <row r="40" spans="1:19" ht="14.25" customHeight="1">
      <c r="A40" s="9">
        <v>20205</v>
      </c>
      <c r="B40" s="9" t="s">
        <v>65</v>
      </c>
      <c r="C40" s="10">
        <v>808</v>
      </c>
      <c r="D40" s="10">
        <v>315.4444517493248</v>
      </c>
      <c r="E40" s="11">
        <v>3881</v>
      </c>
      <c r="F40" s="12">
        <f t="shared" si="0"/>
        <v>0.20819376449368721</v>
      </c>
      <c r="G40" s="12">
        <f t="shared" si="1"/>
        <v>0.39040154919470893</v>
      </c>
      <c r="H40" s="12">
        <f t="shared" si="2"/>
        <v>8.127916819101387E-2</v>
      </c>
      <c r="I40" s="13"/>
      <c r="J40" s="17"/>
      <c r="K40" s="17"/>
      <c r="L40" s="17"/>
      <c r="M40" s="17"/>
      <c r="N40" s="17"/>
      <c r="O40" s="19"/>
      <c r="P40" s="20"/>
      <c r="Q40" s="20"/>
      <c r="S40" s="15"/>
    </row>
    <row r="41" spans="1:19" ht="14.25" customHeight="1">
      <c r="A41" s="9">
        <v>20206</v>
      </c>
      <c r="B41" s="9" t="s">
        <v>66</v>
      </c>
      <c r="C41" s="10">
        <v>1808</v>
      </c>
      <c r="D41" s="10">
        <v>723.88890689611435</v>
      </c>
      <c r="E41" s="11">
        <v>4860</v>
      </c>
      <c r="F41" s="12">
        <f t="shared" si="0"/>
        <v>0.37201646090534979</v>
      </c>
      <c r="G41" s="12">
        <f t="shared" si="1"/>
        <v>0.40038103257528451</v>
      </c>
      <c r="H41" s="12">
        <f t="shared" si="2"/>
        <v>0.14894833475228691</v>
      </c>
      <c r="I41" s="13"/>
      <c r="J41" s="17"/>
      <c r="K41" s="17"/>
      <c r="L41" s="17"/>
      <c r="M41" s="17"/>
      <c r="N41" s="17"/>
      <c r="O41" s="19"/>
      <c r="P41" s="20"/>
      <c r="Q41" s="20"/>
      <c r="S41" s="15"/>
    </row>
    <row r="42" spans="1:19" ht="14.25" customHeight="1">
      <c r="A42" s="9">
        <v>20301</v>
      </c>
      <c r="B42" s="9" t="s">
        <v>67</v>
      </c>
      <c r="C42" s="10">
        <v>6585</v>
      </c>
      <c r="D42" s="10">
        <v>3047.0000764429569</v>
      </c>
      <c r="E42" s="11">
        <v>10349</v>
      </c>
      <c r="F42" s="12">
        <f t="shared" si="0"/>
        <v>0.63629336167745676</v>
      </c>
      <c r="G42" s="12">
        <f t="shared" si="1"/>
        <v>0.46271831077341791</v>
      </c>
      <c r="H42" s="12">
        <f t="shared" si="2"/>
        <v>0.29442458947173222</v>
      </c>
      <c r="I42" s="13"/>
      <c r="J42" s="17"/>
      <c r="K42" s="17"/>
      <c r="L42" s="17"/>
      <c r="M42" s="17"/>
      <c r="N42" s="17"/>
      <c r="O42" s="19"/>
      <c r="P42" s="20"/>
      <c r="Q42" s="20"/>
      <c r="S42" s="15"/>
    </row>
    <row r="43" spans="1:19" ht="14.25" customHeight="1">
      <c r="A43" s="9">
        <v>20302</v>
      </c>
      <c r="B43" s="9" t="s">
        <v>68</v>
      </c>
      <c r="C43" s="10">
        <v>10351</v>
      </c>
      <c r="D43" s="10">
        <v>4664.0001156926155</v>
      </c>
      <c r="E43" s="11">
        <v>14629</v>
      </c>
      <c r="F43" s="12">
        <f t="shared" si="0"/>
        <v>0.70756716111832663</v>
      </c>
      <c r="G43" s="12">
        <f t="shared" si="1"/>
        <v>0.4505844957678114</v>
      </c>
      <c r="H43" s="12">
        <f t="shared" si="2"/>
        <v>0.31881879251436296</v>
      </c>
      <c r="I43" s="13"/>
      <c r="J43" s="17"/>
      <c r="K43" s="17"/>
      <c r="L43" s="17"/>
      <c r="M43" s="17"/>
      <c r="N43" s="17"/>
      <c r="O43" s="19"/>
      <c r="P43" s="20"/>
      <c r="Q43" s="20"/>
      <c r="S43" s="15"/>
    </row>
    <row r="44" spans="1:19" ht="14.25" customHeight="1">
      <c r="A44" s="9">
        <v>20303</v>
      </c>
      <c r="B44" s="9" t="s">
        <v>69</v>
      </c>
      <c r="C44" s="10">
        <v>7839</v>
      </c>
      <c r="D44" s="10">
        <v>3516.2223071753979</v>
      </c>
      <c r="E44" s="11">
        <v>9804</v>
      </c>
      <c r="F44" s="12">
        <f t="shared" si="0"/>
        <v>0.79957160342717259</v>
      </c>
      <c r="G44" s="12">
        <f t="shared" si="1"/>
        <v>0.44855495690463043</v>
      </c>
      <c r="H44" s="12">
        <f t="shared" si="2"/>
        <v>0.35865180611744163</v>
      </c>
      <c r="I44" s="13"/>
      <c r="J44" s="17"/>
      <c r="K44" s="17"/>
      <c r="L44" s="17"/>
      <c r="M44" s="17"/>
      <c r="N44" s="17"/>
      <c r="O44" s="19"/>
      <c r="P44" s="20"/>
      <c r="Q44" s="20"/>
      <c r="S44" s="15"/>
    </row>
    <row r="45" spans="1:19" ht="14.25" customHeight="1">
      <c r="A45" s="9">
        <v>20304</v>
      </c>
      <c r="B45" s="9" t="s">
        <v>70</v>
      </c>
      <c r="C45" s="10">
        <v>2416</v>
      </c>
      <c r="D45" s="10">
        <v>1083.5555820465088</v>
      </c>
      <c r="E45" s="11">
        <v>3846</v>
      </c>
      <c r="F45" s="12">
        <f t="shared" si="0"/>
        <v>0.62818512740509624</v>
      </c>
      <c r="G45" s="12">
        <f t="shared" si="1"/>
        <v>0.44849154886030995</v>
      </c>
      <c r="H45" s="12">
        <f t="shared" si="2"/>
        <v>0.28173572076092274</v>
      </c>
      <c r="I45" s="13"/>
      <c r="J45" s="17"/>
      <c r="K45" s="17"/>
      <c r="L45" s="17"/>
      <c r="M45" s="17"/>
      <c r="N45" s="17"/>
      <c r="O45" s="19"/>
      <c r="P45" s="20"/>
      <c r="Q45" s="20"/>
      <c r="S45" s="15"/>
    </row>
    <row r="46" spans="1:19" ht="14.25" customHeight="1">
      <c r="A46" s="9">
        <v>20305</v>
      </c>
      <c r="B46" s="9" t="s">
        <v>71</v>
      </c>
      <c r="C46" s="10">
        <v>2087</v>
      </c>
      <c r="D46" s="10">
        <v>948.11113518476486</v>
      </c>
      <c r="E46" s="11">
        <v>3019</v>
      </c>
      <c r="F46" s="12">
        <f t="shared" si="0"/>
        <v>0.69128850612785686</v>
      </c>
      <c r="G46" s="12">
        <f t="shared" si="1"/>
        <v>0.45429378782212021</v>
      </c>
      <c r="H46" s="12">
        <f t="shared" si="2"/>
        <v>0.31404807392671907</v>
      </c>
      <c r="I46" s="13"/>
      <c r="J46" s="17"/>
      <c r="K46" s="17"/>
      <c r="L46" s="17"/>
      <c r="M46" s="17"/>
      <c r="N46" s="17"/>
      <c r="O46" s="19"/>
      <c r="P46" s="20"/>
      <c r="Q46" s="20"/>
      <c r="S46" s="15"/>
    </row>
    <row r="47" spans="1:19" ht="14.25" customHeight="1">
      <c r="A47" s="9">
        <v>20306</v>
      </c>
      <c r="B47" s="9" t="s">
        <v>72</v>
      </c>
      <c r="C47" s="10">
        <v>3327</v>
      </c>
      <c r="D47" s="10">
        <v>1448.1111474633217</v>
      </c>
      <c r="E47" s="11">
        <v>5001</v>
      </c>
      <c r="F47" s="12">
        <f t="shared" si="0"/>
        <v>0.66526694661067787</v>
      </c>
      <c r="G47" s="12">
        <f t="shared" si="1"/>
        <v>0.43526033888287397</v>
      </c>
      <c r="H47" s="12">
        <f t="shared" si="2"/>
        <v>0.28956431662933846</v>
      </c>
      <c r="I47" s="13"/>
      <c r="J47" s="17"/>
      <c r="K47" s="17"/>
      <c r="L47" s="17"/>
      <c r="M47" s="17"/>
      <c r="N47" s="17"/>
      <c r="O47" s="19"/>
      <c r="P47" s="20"/>
      <c r="Q47" s="20"/>
      <c r="S47" s="15"/>
    </row>
    <row r="48" spans="1:19" ht="14.25" customHeight="1">
      <c r="A48" s="9">
        <v>20307</v>
      </c>
      <c r="B48" s="9" t="s">
        <v>73</v>
      </c>
      <c r="C48" s="10">
        <v>386</v>
      </c>
      <c r="D48" s="10">
        <v>157.11111509799957</v>
      </c>
      <c r="E48" s="11">
        <v>600</v>
      </c>
      <c r="F48" s="12">
        <f t="shared" si="0"/>
        <v>0.64333333333333331</v>
      </c>
      <c r="G48" s="12">
        <f t="shared" si="1"/>
        <v>0.40702361424352224</v>
      </c>
      <c r="H48" s="12">
        <f t="shared" si="2"/>
        <v>0.26185185849666598</v>
      </c>
      <c r="I48" s="13"/>
      <c r="J48" s="17"/>
      <c r="K48" s="17"/>
      <c r="L48" s="17"/>
      <c r="M48" s="17"/>
      <c r="N48" s="17"/>
      <c r="O48" s="19"/>
      <c r="P48" s="20"/>
      <c r="Q48" s="20"/>
      <c r="S48" s="15"/>
    </row>
    <row r="49" spans="1:19" ht="14.25" customHeight="1">
      <c r="A49" s="9">
        <v>20308</v>
      </c>
      <c r="B49" s="9" t="s">
        <v>74</v>
      </c>
      <c r="C49" s="10">
        <v>6521</v>
      </c>
      <c r="D49" s="10">
        <v>3140.1111898422241</v>
      </c>
      <c r="E49" s="11">
        <v>7242</v>
      </c>
      <c r="F49" s="12">
        <f t="shared" si="0"/>
        <v>0.90044186688760008</v>
      </c>
      <c r="G49" s="12">
        <f t="shared" si="1"/>
        <v>0.4815382901153541</v>
      </c>
      <c r="H49" s="12">
        <f t="shared" si="2"/>
        <v>0.43359723692933222</v>
      </c>
      <c r="I49" s="13"/>
      <c r="J49" s="17"/>
      <c r="K49" s="17"/>
      <c r="L49" s="17"/>
      <c r="M49" s="17"/>
      <c r="N49" s="17"/>
      <c r="O49" s="19"/>
      <c r="P49" s="20"/>
      <c r="Q49" s="20"/>
      <c r="S49" s="15"/>
    </row>
    <row r="50" spans="1:19" ht="14.25" customHeight="1">
      <c r="A50" s="9">
        <v>20401</v>
      </c>
      <c r="B50" s="9" t="s">
        <v>75</v>
      </c>
      <c r="C50" s="10">
        <v>7311</v>
      </c>
      <c r="D50" s="10">
        <v>3213.0000801980495</v>
      </c>
      <c r="E50" s="11">
        <v>11235</v>
      </c>
      <c r="F50" s="12">
        <f t="shared" si="0"/>
        <v>0.65073431241655544</v>
      </c>
      <c r="G50" s="12">
        <f t="shared" si="1"/>
        <v>0.43947477502366977</v>
      </c>
      <c r="H50" s="12">
        <f t="shared" si="2"/>
        <v>0.28598131554944817</v>
      </c>
      <c r="I50" s="13"/>
      <c r="J50" s="17"/>
      <c r="K50" s="17"/>
      <c r="L50" s="17"/>
      <c r="M50" s="17"/>
      <c r="N50" s="17"/>
      <c r="O50" s="19"/>
      <c r="P50" s="20"/>
      <c r="Q50" s="20"/>
      <c r="S50" s="15"/>
    </row>
    <row r="51" spans="1:19" ht="14.25" customHeight="1">
      <c r="A51" s="9">
        <v>20402</v>
      </c>
      <c r="B51" s="9" t="s">
        <v>76</v>
      </c>
      <c r="C51" s="10">
        <v>9603</v>
      </c>
      <c r="D51" s="10">
        <v>4164.8889943361282</v>
      </c>
      <c r="E51" s="11">
        <v>15569</v>
      </c>
      <c r="F51" s="12">
        <f t="shared" si="0"/>
        <v>0.61680262059220248</v>
      </c>
      <c r="G51" s="12">
        <f t="shared" si="1"/>
        <v>0.43370707011726839</v>
      </c>
      <c r="H51" s="12">
        <f t="shared" si="2"/>
        <v>0.26751165741769722</v>
      </c>
      <c r="I51" s="13"/>
      <c r="J51" s="17"/>
      <c r="K51" s="17"/>
      <c r="L51" s="17"/>
      <c r="M51" s="17"/>
      <c r="N51" s="17"/>
      <c r="O51" s="19"/>
      <c r="P51" s="20"/>
      <c r="Q51" s="20"/>
      <c r="S51" s="15"/>
    </row>
    <row r="52" spans="1:19" ht="14.25" customHeight="1">
      <c r="A52" s="9">
        <v>20403</v>
      </c>
      <c r="B52" s="9" t="s">
        <v>77</v>
      </c>
      <c r="C52" s="10">
        <v>8782</v>
      </c>
      <c r="D52" s="10">
        <v>4016.3334385454655</v>
      </c>
      <c r="E52" s="11">
        <v>14335</v>
      </c>
      <c r="F52" s="12">
        <f t="shared" si="0"/>
        <v>0.61262643878618761</v>
      </c>
      <c r="G52" s="12">
        <f t="shared" si="1"/>
        <v>0.45733698913066106</v>
      </c>
      <c r="H52" s="12">
        <f t="shared" si="2"/>
        <v>0.28017673097631429</v>
      </c>
      <c r="I52" s="13"/>
      <c r="J52" s="17"/>
      <c r="K52" s="17"/>
      <c r="L52" s="17"/>
      <c r="M52" s="17"/>
      <c r="N52" s="17"/>
      <c r="O52" s="19"/>
      <c r="P52" s="20"/>
      <c r="Q52" s="20"/>
      <c r="S52" s="15"/>
    </row>
    <row r="53" spans="1:19" ht="14.25" customHeight="1">
      <c r="A53" s="9">
        <v>20404</v>
      </c>
      <c r="B53" s="9" t="s">
        <v>78</v>
      </c>
      <c r="C53" s="10">
        <v>3704</v>
      </c>
      <c r="D53" s="10">
        <v>1643.8889303207397</v>
      </c>
      <c r="E53" s="11">
        <v>5336</v>
      </c>
      <c r="F53" s="12">
        <f t="shared" si="0"/>
        <v>0.69415292353823088</v>
      </c>
      <c r="G53" s="12">
        <f t="shared" si="1"/>
        <v>0.44381450602611766</v>
      </c>
      <c r="H53" s="12">
        <f t="shared" si="2"/>
        <v>0.30807513686670535</v>
      </c>
      <c r="I53" s="13"/>
      <c r="J53" s="17"/>
      <c r="K53" s="17"/>
      <c r="L53" s="17"/>
      <c r="M53" s="17"/>
      <c r="N53" s="17"/>
      <c r="O53" s="19"/>
      <c r="P53" s="20"/>
      <c r="Q53" s="20"/>
      <c r="S53" s="15"/>
    </row>
    <row r="54" spans="1:19" ht="14.25" customHeight="1">
      <c r="A54" s="9">
        <v>20405</v>
      </c>
      <c r="B54" s="9" t="s">
        <v>79</v>
      </c>
      <c r="C54" s="10">
        <v>3746</v>
      </c>
      <c r="D54" s="10">
        <v>1562.4444821476936</v>
      </c>
      <c r="E54" s="11">
        <v>7148</v>
      </c>
      <c r="F54" s="12">
        <f t="shared" si="0"/>
        <v>0.52406267487409064</v>
      </c>
      <c r="G54" s="12">
        <f t="shared" si="1"/>
        <v>0.41709676512218197</v>
      </c>
      <c r="H54" s="12">
        <f t="shared" si="2"/>
        <v>0.218584846411261</v>
      </c>
      <c r="I54" s="13"/>
      <c r="J54" s="17"/>
      <c r="K54" s="17"/>
      <c r="L54" s="17"/>
      <c r="M54" s="17"/>
      <c r="N54" s="17"/>
      <c r="O54" s="19"/>
      <c r="P54" s="20"/>
      <c r="Q54" s="20"/>
      <c r="S54" s="15"/>
    </row>
    <row r="55" spans="1:19" ht="14.25" customHeight="1">
      <c r="A55" s="9">
        <v>20501</v>
      </c>
      <c r="B55" s="9" t="s">
        <v>80</v>
      </c>
      <c r="C55" s="10">
        <v>6063</v>
      </c>
      <c r="D55" s="10">
        <v>2669.4445134997368</v>
      </c>
      <c r="E55" s="11">
        <v>11446</v>
      </c>
      <c r="F55" s="12">
        <f t="shared" si="0"/>
        <v>0.52970470033199368</v>
      </c>
      <c r="G55" s="12">
        <f t="shared" si="1"/>
        <v>0.44028443237666781</v>
      </c>
      <c r="H55" s="12">
        <f t="shared" si="2"/>
        <v>0.23322073331292476</v>
      </c>
      <c r="I55" s="13"/>
      <c r="J55" s="17"/>
      <c r="K55" s="17"/>
      <c r="L55" s="17"/>
      <c r="M55" s="17"/>
      <c r="N55" s="17"/>
      <c r="O55" s="19"/>
      <c r="P55" s="20"/>
      <c r="Q55" s="20"/>
      <c r="S55" s="15"/>
    </row>
    <row r="56" spans="1:19" ht="14.25" customHeight="1">
      <c r="A56" s="9">
        <v>20502</v>
      </c>
      <c r="B56" s="9" t="s">
        <v>81</v>
      </c>
      <c r="C56" s="10">
        <v>5488</v>
      </c>
      <c r="D56" s="10">
        <v>2501.6667314767838</v>
      </c>
      <c r="E56" s="11">
        <v>8251</v>
      </c>
      <c r="F56" s="12">
        <f t="shared" si="0"/>
        <v>0.6651314992122167</v>
      </c>
      <c r="G56" s="12">
        <f t="shared" si="1"/>
        <v>0.45584306331574048</v>
      </c>
      <c r="H56" s="12">
        <f t="shared" si="2"/>
        <v>0.30319558010868791</v>
      </c>
      <c r="I56" s="13"/>
      <c r="J56" s="17"/>
      <c r="K56" s="17"/>
      <c r="L56" s="17"/>
      <c r="M56" s="17"/>
      <c r="N56" s="17"/>
      <c r="O56" s="19"/>
      <c r="P56" s="20"/>
      <c r="Q56" s="20"/>
      <c r="S56" s="15"/>
    </row>
    <row r="57" spans="1:19" ht="14.25" customHeight="1">
      <c r="A57" s="9">
        <v>20503</v>
      </c>
      <c r="B57" s="9" t="s">
        <v>82</v>
      </c>
      <c r="C57" s="10">
        <v>3599</v>
      </c>
      <c r="D57" s="10">
        <v>1628.6667089760303</v>
      </c>
      <c r="E57" s="11">
        <v>5436</v>
      </c>
      <c r="F57" s="12">
        <f t="shared" si="0"/>
        <v>0.66206769683590871</v>
      </c>
      <c r="G57" s="12">
        <f t="shared" si="1"/>
        <v>0.45253312280523211</v>
      </c>
      <c r="H57" s="12">
        <f t="shared" si="2"/>
        <v>0.29960756235762148</v>
      </c>
      <c r="I57" s="13"/>
      <c r="J57" s="17"/>
      <c r="K57" s="17"/>
      <c r="L57" s="17"/>
      <c r="M57" s="17"/>
      <c r="N57" s="17"/>
      <c r="O57" s="19"/>
      <c r="P57" s="20"/>
      <c r="Q57" s="20"/>
      <c r="S57" s="15"/>
    </row>
    <row r="58" spans="1:19" ht="14.25" customHeight="1">
      <c r="A58" s="9">
        <v>20601</v>
      </c>
      <c r="B58" s="9" t="s">
        <v>83</v>
      </c>
      <c r="C58" s="10">
        <v>12250</v>
      </c>
      <c r="D58" s="10">
        <v>5424.4445828199387</v>
      </c>
      <c r="E58" s="11">
        <v>23345</v>
      </c>
      <c r="F58" s="12">
        <f t="shared" si="0"/>
        <v>0.52473763118440775</v>
      </c>
      <c r="G58" s="12">
        <f t="shared" si="1"/>
        <v>0.44281180267917869</v>
      </c>
      <c r="H58" s="12">
        <f t="shared" si="2"/>
        <v>0.23236001639836962</v>
      </c>
      <c r="I58" s="13"/>
      <c r="J58" s="17"/>
      <c r="K58" s="17"/>
      <c r="L58" s="17"/>
      <c r="M58" s="17"/>
      <c r="N58" s="17"/>
      <c r="O58" s="19"/>
      <c r="P58" s="20"/>
      <c r="Q58" s="20"/>
      <c r="S58" s="15"/>
    </row>
    <row r="59" spans="1:19" ht="14.25" customHeight="1">
      <c r="A59" s="9">
        <v>20602</v>
      </c>
      <c r="B59" s="9" t="s">
        <v>84</v>
      </c>
      <c r="C59" s="10">
        <v>6250</v>
      </c>
      <c r="D59" s="10">
        <v>2863.8889623880386</v>
      </c>
      <c r="E59" s="11">
        <v>14422</v>
      </c>
      <c r="F59" s="12">
        <f t="shared" si="0"/>
        <v>0.43336569130495078</v>
      </c>
      <c r="G59" s="12">
        <f t="shared" si="1"/>
        <v>0.45822223398208617</v>
      </c>
      <c r="H59" s="12">
        <f t="shared" si="2"/>
        <v>0.19857779520094568</v>
      </c>
      <c r="I59" s="13"/>
      <c r="J59" s="17"/>
      <c r="K59" s="17"/>
      <c r="L59" s="17"/>
      <c r="M59" s="17"/>
      <c r="N59" s="17"/>
      <c r="O59" s="19"/>
      <c r="P59" s="20"/>
      <c r="Q59" s="20"/>
      <c r="S59" s="15"/>
    </row>
    <row r="60" spans="1:19" ht="14.25" customHeight="1">
      <c r="A60" s="9">
        <v>20603</v>
      </c>
      <c r="B60" s="9" t="s">
        <v>85</v>
      </c>
      <c r="C60" s="10">
        <v>4478</v>
      </c>
      <c r="D60" s="10">
        <v>2007.1111617088318</v>
      </c>
      <c r="E60" s="11">
        <v>7903</v>
      </c>
      <c r="F60" s="12">
        <f t="shared" si="0"/>
        <v>0.56662027078324684</v>
      </c>
      <c r="G60" s="12">
        <f t="shared" si="1"/>
        <v>0.44821598072997582</v>
      </c>
      <c r="H60" s="12">
        <f t="shared" si="2"/>
        <v>0.25396826037059744</v>
      </c>
      <c r="I60" s="13"/>
      <c r="J60" s="17"/>
      <c r="K60" s="17"/>
      <c r="L60" s="17"/>
      <c r="M60" s="17"/>
      <c r="N60" s="17"/>
      <c r="O60" s="19"/>
      <c r="P60" s="20"/>
      <c r="Q60" s="20"/>
      <c r="S60" s="15"/>
    </row>
    <row r="61" spans="1:19" ht="14.25" customHeight="1">
      <c r="A61" s="9">
        <v>20604</v>
      </c>
      <c r="B61" s="9" t="s">
        <v>86</v>
      </c>
      <c r="C61" s="10">
        <v>1487</v>
      </c>
      <c r="D61" s="10">
        <v>649.11112731695175</v>
      </c>
      <c r="E61" s="11">
        <v>2624</v>
      </c>
      <c r="F61" s="12">
        <f t="shared" si="0"/>
        <v>0.56669207317073167</v>
      </c>
      <c r="G61" s="12">
        <f t="shared" si="1"/>
        <v>0.4365239591909561</v>
      </c>
      <c r="H61" s="12">
        <f t="shared" si="2"/>
        <v>0.24737466742261879</v>
      </c>
      <c r="I61" s="13"/>
      <c r="J61" s="17"/>
      <c r="K61" s="17"/>
      <c r="L61" s="17"/>
      <c r="M61" s="17"/>
      <c r="N61" s="17"/>
      <c r="O61" s="19"/>
      <c r="P61" s="20"/>
      <c r="Q61" s="20"/>
      <c r="S61" s="15"/>
    </row>
    <row r="62" spans="1:19" ht="14.25" customHeight="1">
      <c r="A62" s="9">
        <v>20605</v>
      </c>
      <c r="B62" s="9" t="s">
        <v>87</v>
      </c>
      <c r="C62" s="10">
        <v>1788</v>
      </c>
      <c r="D62" s="10">
        <v>732.00001820921898</v>
      </c>
      <c r="E62" s="11">
        <v>3679</v>
      </c>
      <c r="F62" s="12">
        <f t="shared" si="0"/>
        <v>0.48600163087795595</v>
      </c>
      <c r="G62" s="12">
        <f t="shared" si="1"/>
        <v>0.40939598333848937</v>
      </c>
      <c r="H62" s="12">
        <f t="shared" si="2"/>
        <v>0.1989671155773903</v>
      </c>
      <c r="I62" s="13"/>
      <c r="J62" s="17"/>
      <c r="K62" s="17"/>
      <c r="L62" s="17"/>
      <c r="M62" s="17"/>
      <c r="N62" s="17"/>
      <c r="O62" s="19"/>
      <c r="P62" s="20"/>
      <c r="Q62" s="20"/>
      <c r="S62" s="15"/>
    </row>
    <row r="63" spans="1:19" ht="14.25" customHeight="1">
      <c r="A63" s="9">
        <v>20606</v>
      </c>
      <c r="B63" s="9" t="s">
        <v>88</v>
      </c>
      <c r="C63" s="10">
        <v>2876</v>
      </c>
      <c r="D63" s="10">
        <v>1150.0000282824039</v>
      </c>
      <c r="E63" s="11">
        <v>9784</v>
      </c>
      <c r="F63" s="12">
        <f t="shared" si="0"/>
        <v>0.29394930498773508</v>
      </c>
      <c r="G63" s="12">
        <f t="shared" si="1"/>
        <v>0.39986092777552296</v>
      </c>
      <c r="H63" s="12">
        <f t="shared" si="2"/>
        <v>0.11753884181136591</v>
      </c>
      <c r="I63" s="13"/>
      <c r="J63" s="17"/>
      <c r="K63" s="17"/>
      <c r="L63" s="17"/>
      <c r="M63" s="17"/>
      <c r="N63" s="17"/>
      <c r="O63" s="19"/>
      <c r="P63" s="20"/>
      <c r="Q63" s="20"/>
      <c r="S63" s="15"/>
    </row>
    <row r="64" spans="1:19" ht="14.25" customHeight="1">
      <c r="A64" s="9">
        <v>20607</v>
      </c>
      <c r="B64" s="9" t="s">
        <v>89</v>
      </c>
      <c r="C64" s="10">
        <v>3799</v>
      </c>
      <c r="D64" s="10">
        <v>1508.7778138816357</v>
      </c>
      <c r="E64" s="11">
        <v>13144</v>
      </c>
      <c r="F64" s="12">
        <f t="shared" si="0"/>
        <v>0.28902921485088251</v>
      </c>
      <c r="G64" s="12">
        <f t="shared" si="1"/>
        <v>0.39715130662849057</v>
      </c>
      <c r="H64" s="12">
        <f t="shared" si="2"/>
        <v>0.11478833033183472</v>
      </c>
      <c r="I64" s="13"/>
      <c r="J64" s="17"/>
      <c r="K64" s="17"/>
      <c r="L64" s="17"/>
      <c r="M64" s="17"/>
      <c r="N64" s="17"/>
      <c r="O64" s="19"/>
      <c r="P64" s="20"/>
      <c r="Q64" s="20"/>
      <c r="S64" s="15"/>
    </row>
    <row r="65" spans="1:19" ht="14.25" customHeight="1">
      <c r="A65" s="9">
        <v>20608</v>
      </c>
      <c r="B65" s="9" t="s">
        <v>90</v>
      </c>
      <c r="C65" s="10">
        <v>5236</v>
      </c>
      <c r="D65" s="10">
        <v>2433.6667272746563</v>
      </c>
      <c r="E65" s="11">
        <v>9050</v>
      </c>
      <c r="F65" s="12">
        <f t="shared" si="0"/>
        <v>0.57856353591160226</v>
      </c>
      <c r="G65" s="12">
        <f t="shared" si="1"/>
        <v>0.46479502048790228</v>
      </c>
      <c r="H65" s="12">
        <f t="shared" si="2"/>
        <v>0.26891345052758636</v>
      </c>
      <c r="I65" s="13"/>
      <c r="J65" s="17"/>
      <c r="K65" s="17"/>
      <c r="L65" s="17"/>
      <c r="M65" s="17"/>
      <c r="N65" s="17"/>
      <c r="O65" s="19"/>
      <c r="P65" s="20"/>
      <c r="Q65" s="20"/>
      <c r="S65" s="15"/>
    </row>
    <row r="66" spans="1:19" ht="14.25" customHeight="1">
      <c r="A66" s="9">
        <v>20701</v>
      </c>
      <c r="B66" s="9" t="s">
        <v>91</v>
      </c>
      <c r="C66" s="10">
        <v>10021</v>
      </c>
      <c r="D66" s="10">
        <v>4952.222354054451</v>
      </c>
      <c r="E66" s="11">
        <v>18505</v>
      </c>
      <c r="F66" s="12">
        <f t="shared" si="0"/>
        <v>0.54152931640097268</v>
      </c>
      <c r="G66" s="12">
        <f t="shared" si="1"/>
        <v>0.49418444806450962</v>
      </c>
      <c r="H66" s="12">
        <f t="shared" si="2"/>
        <v>0.2676153663363659</v>
      </c>
      <c r="I66" s="13"/>
      <c r="J66" s="17"/>
      <c r="K66" s="17"/>
      <c r="L66" s="17"/>
      <c r="M66" s="17"/>
      <c r="N66" s="17"/>
      <c r="O66" s="19"/>
      <c r="P66" s="20"/>
      <c r="Q66" s="20"/>
      <c r="S66" s="15"/>
    </row>
    <row r="67" spans="1:19" ht="14.25" customHeight="1">
      <c r="A67" s="9">
        <v>20702</v>
      </c>
      <c r="B67" s="9" t="s">
        <v>92</v>
      </c>
      <c r="C67" s="10">
        <v>4294</v>
      </c>
      <c r="D67" s="10">
        <v>1998.8889411389828</v>
      </c>
      <c r="E67" s="11">
        <v>5992</v>
      </c>
      <c r="F67" s="12">
        <f t="shared" si="0"/>
        <v>0.71662216288384517</v>
      </c>
      <c r="G67" s="12">
        <f t="shared" si="1"/>
        <v>0.46550743855123028</v>
      </c>
      <c r="H67" s="12">
        <f t="shared" si="2"/>
        <v>0.33359294745310131</v>
      </c>
      <c r="I67" s="13"/>
      <c r="J67" s="17"/>
      <c r="K67" s="17"/>
      <c r="L67" s="17"/>
      <c r="M67" s="17"/>
      <c r="N67" s="17"/>
      <c r="O67" s="19"/>
      <c r="P67" s="20"/>
      <c r="Q67" s="20"/>
      <c r="S67" s="15"/>
    </row>
    <row r="68" spans="1:19" ht="14.25" customHeight="1">
      <c r="A68" s="9">
        <v>20801</v>
      </c>
      <c r="B68" s="9" t="s">
        <v>93</v>
      </c>
      <c r="C68" s="10">
        <v>24036</v>
      </c>
      <c r="D68" s="10">
        <v>10004.111355185509</v>
      </c>
      <c r="E68" s="11">
        <v>78758</v>
      </c>
      <c r="F68" s="12">
        <f t="shared" si="0"/>
        <v>0.30518804438914143</v>
      </c>
      <c r="G68" s="12">
        <f t="shared" si="1"/>
        <v>0.41621365265374893</v>
      </c>
      <c r="H68" s="12">
        <f t="shared" si="2"/>
        <v>0.12702343070145902</v>
      </c>
      <c r="I68" s="13"/>
      <c r="J68" s="17"/>
      <c r="K68" s="17"/>
      <c r="L68" s="17"/>
      <c r="M68" s="17"/>
      <c r="N68" s="17"/>
      <c r="O68" s="19"/>
      <c r="P68" s="20"/>
      <c r="Q68" s="20"/>
      <c r="S68" s="15"/>
    </row>
    <row r="69" spans="1:19" ht="14.25" customHeight="1">
      <c r="A69" s="9">
        <v>20802</v>
      </c>
      <c r="B69" s="9" t="s">
        <v>94</v>
      </c>
      <c r="C69" s="10">
        <v>2607</v>
      </c>
      <c r="D69" s="10">
        <v>1052.2222476303577</v>
      </c>
      <c r="E69" s="11">
        <v>7004</v>
      </c>
      <c r="F69" s="12">
        <f t="shared" si="0"/>
        <v>0.37221587664191891</v>
      </c>
      <c r="G69" s="12">
        <f t="shared" si="1"/>
        <v>0.40361421082867577</v>
      </c>
      <c r="H69" s="12">
        <f t="shared" si="2"/>
        <v>0.15023161730873183</v>
      </c>
      <c r="I69" s="13"/>
      <c r="J69" s="17"/>
      <c r="K69" s="17"/>
      <c r="L69" s="17"/>
      <c r="M69" s="17"/>
      <c r="N69" s="17"/>
      <c r="O69" s="19"/>
      <c r="P69" s="20"/>
      <c r="Q69" s="20"/>
      <c r="S69" s="15"/>
    </row>
    <row r="70" spans="1:19" ht="14.25" customHeight="1">
      <c r="A70" s="9">
        <v>20803</v>
      </c>
      <c r="B70" s="9" t="s">
        <v>95</v>
      </c>
      <c r="C70" s="10">
        <v>5715</v>
      </c>
      <c r="D70" s="10">
        <v>2481.0000609457493</v>
      </c>
      <c r="E70" s="11">
        <v>12091</v>
      </c>
      <c r="F70" s="12">
        <f t="shared" si="0"/>
        <v>0.47266561905549581</v>
      </c>
      <c r="G70" s="12">
        <f t="shared" si="1"/>
        <v>0.43412074557230956</v>
      </c>
      <c r="H70" s="12">
        <f t="shared" si="2"/>
        <v>0.20519395095076909</v>
      </c>
      <c r="I70" s="13"/>
      <c r="J70" s="17"/>
      <c r="K70" s="17"/>
      <c r="L70" s="17"/>
      <c r="M70" s="17"/>
      <c r="N70" s="17"/>
      <c r="O70" s="19"/>
      <c r="P70" s="20"/>
      <c r="Q70" s="20"/>
      <c r="S70" s="15"/>
    </row>
    <row r="71" spans="1:19" ht="14.25" customHeight="1">
      <c r="A71" s="9">
        <v>20804</v>
      </c>
      <c r="B71" s="9" t="s">
        <v>96</v>
      </c>
      <c r="C71" s="10">
        <v>1746</v>
      </c>
      <c r="D71" s="10">
        <v>678.33334943652153</v>
      </c>
      <c r="E71" s="11">
        <v>6753</v>
      </c>
      <c r="F71" s="12">
        <f t="shared" si="0"/>
        <v>0.25855175477565528</v>
      </c>
      <c r="G71" s="12">
        <f t="shared" si="1"/>
        <v>0.38850707298769849</v>
      </c>
      <c r="H71" s="12">
        <f t="shared" si="2"/>
        <v>0.10044918546372303</v>
      </c>
      <c r="I71" s="13"/>
      <c r="J71" s="17"/>
      <c r="K71" s="17"/>
      <c r="L71" s="17"/>
      <c r="M71" s="17"/>
      <c r="N71" s="17"/>
      <c r="O71" s="19"/>
      <c r="P71" s="20"/>
      <c r="Q71" s="20"/>
      <c r="S71" s="15"/>
    </row>
    <row r="72" spans="1:19" ht="14.25" customHeight="1">
      <c r="A72" s="9">
        <v>20805</v>
      </c>
      <c r="B72" s="9" t="s">
        <v>97</v>
      </c>
      <c r="C72" s="10">
        <v>4104</v>
      </c>
      <c r="D72" s="10">
        <v>1761.0000444054604</v>
      </c>
      <c r="E72" s="11">
        <v>6081</v>
      </c>
      <c r="F72" s="12">
        <f t="shared" si="0"/>
        <v>0.6748889985199803</v>
      </c>
      <c r="G72" s="12">
        <f t="shared" si="1"/>
        <v>0.42909357807150594</v>
      </c>
      <c r="H72" s="12">
        <f t="shared" si="2"/>
        <v>0.28959053517603361</v>
      </c>
      <c r="I72" s="13"/>
      <c r="J72" s="17"/>
      <c r="K72" s="17"/>
      <c r="L72" s="17"/>
      <c r="M72" s="17"/>
      <c r="N72" s="17"/>
      <c r="O72" s="19"/>
      <c r="P72" s="20"/>
      <c r="Q72" s="20"/>
      <c r="S72" s="15"/>
    </row>
    <row r="73" spans="1:19" ht="14.25" customHeight="1">
      <c r="A73" s="9">
        <v>20806</v>
      </c>
      <c r="B73" s="9" t="s">
        <v>98</v>
      </c>
      <c r="C73" s="10">
        <v>6887</v>
      </c>
      <c r="D73" s="10">
        <v>2905.6667361557484</v>
      </c>
      <c r="E73" s="11">
        <v>14970</v>
      </c>
      <c r="F73" s="12">
        <f t="shared" si="0"/>
        <v>0.46005344021376088</v>
      </c>
      <c r="G73" s="12">
        <f t="shared" si="1"/>
        <v>0.42190601657554061</v>
      </c>
      <c r="H73" s="12">
        <f t="shared" si="2"/>
        <v>0.19409931437246147</v>
      </c>
      <c r="I73" s="13"/>
      <c r="J73" s="17"/>
      <c r="K73" s="17"/>
      <c r="L73" s="17"/>
      <c r="M73" s="17"/>
      <c r="N73" s="17"/>
      <c r="O73" s="19"/>
      <c r="P73" s="20"/>
      <c r="Q73" s="20"/>
      <c r="S73" s="15"/>
    </row>
    <row r="74" spans="1:19" ht="14.25" customHeight="1">
      <c r="A74" s="9">
        <v>20807</v>
      </c>
      <c r="B74" s="9" t="s">
        <v>99</v>
      </c>
      <c r="C74" s="10">
        <v>2699</v>
      </c>
      <c r="D74" s="10">
        <v>1110.3333606421947</v>
      </c>
      <c r="E74" s="11">
        <v>6567</v>
      </c>
      <c r="F74" s="12">
        <f t="shared" si="0"/>
        <v>0.41099436576823511</v>
      </c>
      <c r="G74" s="12">
        <f t="shared" si="1"/>
        <v>0.41138694355027594</v>
      </c>
      <c r="H74" s="12">
        <f t="shared" si="2"/>
        <v>0.16907771594977841</v>
      </c>
      <c r="I74" s="13"/>
      <c r="J74" s="17"/>
      <c r="K74" s="17"/>
      <c r="L74" s="17"/>
      <c r="M74" s="17"/>
      <c r="N74" s="17"/>
      <c r="O74" s="19"/>
      <c r="P74" s="20"/>
      <c r="Q74" s="20"/>
      <c r="S74" s="15"/>
    </row>
    <row r="75" spans="1:19" ht="14.25" customHeight="1">
      <c r="A75" s="9">
        <v>20901</v>
      </c>
      <c r="B75" s="9" t="s">
        <v>100</v>
      </c>
      <c r="C75" s="10">
        <v>4579</v>
      </c>
      <c r="D75" s="10">
        <v>1949.0000480115414</v>
      </c>
      <c r="E75" s="11">
        <v>11050</v>
      </c>
      <c r="F75" s="12">
        <f t="shared" si="0"/>
        <v>0.41438914027149321</v>
      </c>
      <c r="G75" s="12">
        <f t="shared" si="1"/>
        <v>0.42563879624624185</v>
      </c>
      <c r="H75" s="12">
        <f t="shared" si="2"/>
        <v>0.17638009484267342</v>
      </c>
      <c r="I75" s="13"/>
      <c r="J75" s="17"/>
      <c r="K75" s="17"/>
      <c r="L75" s="17"/>
      <c r="M75" s="17"/>
      <c r="N75" s="17"/>
      <c r="O75" s="19"/>
      <c r="P75" s="20"/>
      <c r="Q75" s="20"/>
      <c r="S75" s="15"/>
    </row>
    <row r="76" spans="1:19" ht="14.25" customHeight="1">
      <c r="A76" s="9">
        <v>20902</v>
      </c>
      <c r="B76" s="9" t="s">
        <v>101</v>
      </c>
      <c r="C76" s="10">
        <v>8321</v>
      </c>
      <c r="D76" s="10">
        <v>3682.3334257900715</v>
      </c>
      <c r="E76" s="11">
        <v>12395</v>
      </c>
      <c r="F76" s="12">
        <f t="shared" si="0"/>
        <v>0.6713190802743042</v>
      </c>
      <c r="G76" s="12">
        <f t="shared" si="1"/>
        <v>0.44253496283981147</v>
      </c>
      <c r="H76" s="12">
        <f t="shared" si="2"/>
        <v>0.29708216424284561</v>
      </c>
      <c r="I76" s="13"/>
      <c r="J76" s="17"/>
      <c r="K76" s="17"/>
      <c r="L76" s="17"/>
      <c r="M76" s="17"/>
      <c r="N76" s="17"/>
      <c r="O76" s="19"/>
      <c r="P76" s="20"/>
      <c r="Q76" s="20"/>
      <c r="S76" s="15"/>
    </row>
    <row r="77" spans="1:19" ht="14.25" customHeight="1">
      <c r="A77" s="9">
        <v>20903</v>
      </c>
      <c r="B77" s="9" t="s">
        <v>102</v>
      </c>
      <c r="C77" s="10">
        <v>4241</v>
      </c>
      <c r="D77" s="10">
        <v>1802.4444893300533</v>
      </c>
      <c r="E77" s="11">
        <v>7218</v>
      </c>
      <c r="F77" s="12">
        <f t="shared" si="0"/>
        <v>0.58755888057633698</v>
      </c>
      <c r="G77" s="12">
        <f t="shared" si="1"/>
        <v>0.42500459545627289</v>
      </c>
      <c r="H77" s="12">
        <f t="shared" si="2"/>
        <v>0.24971522434608664</v>
      </c>
      <c r="I77" s="13"/>
      <c r="J77" s="17"/>
      <c r="K77" s="17"/>
      <c r="L77" s="17"/>
      <c r="M77" s="17"/>
      <c r="N77" s="17"/>
      <c r="O77" s="19"/>
      <c r="P77" s="20"/>
      <c r="Q77" s="20"/>
      <c r="S77" s="15"/>
    </row>
    <row r="78" spans="1:19" ht="14.25" customHeight="1">
      <c r="A78" s="9">
        <v>20904</v>
      </c>
      <c r="B78" s="9" t="s">
        <v>103</v>
      </c>
      <c r="C78" s="10">
        <v>2670</v>
      </c>
      <c r="D78" s="10">
        <v>1129.4444734454155</v>
      </c>
      <c r="E78" s="11">
        <v>5006</v>
      </c>
      <c r="F78" s="12">
        <f t="shared" si="0"/>
        <v>0.53335996803835395</v>
      </c>
      <c r="G78" s="12">
        <f t="shared" si="1"/>
        <v>0.42301291140277736</v>
      </c>
      <c r="H78" s="12">
        <f t="shared" si="2"/>
        <v>0.22561815290559639</v>
      </c>
      <c r="I78" s="13"/>
      <c r="J78" s="17"/>
      <c r="K78" s="17"/>
      <c r="L78" s="17"/>
      <c r="M78" s="17"/>
      <c r="N78" s="17"/>
      <c r="O78" s="19"/>
      <c r="P78" s="20"/>
      <c r="Q78" s="20"/>
      <c r="S78" s="15"/>
    </row>
    <row r="79" spans="1:19" ht="14.25" customHeight="1">
      <c r="A79" s="9">
        <v>20905</v>
      </c>
      <c r="B79" s="9" t="s">
        <v>104</v>
      </c>
      <c r="C79" s="10">
        <v>5026</v>
      </c>
      <c r="D79" s="10">
        <v>2148.2222772538662</v>
      </c>
      <c r="E79" s="11">
        <v>11241</v>
      </c>
      <c r="F79" s="12">
        <f t="shared" si="0"/>
        <v>0.44711324615247755</v>
      </c>
      <c r="G79" s="12">
        <f t="shared" si="1"/>
        <v>0.42742186176957148</v>
      </c>
      <c r="H79" s="12">
        <f t="shared" si="2"/>
        <v>0.19110597609232866</v>
      </c>
      <c r="I79" s="13"/>
      <c r="J79" s="17"/>
      <c r="K79" s="17"/>
      <c r="L79" s="17"/>
      <c r="M79" s="17"/>
      <c r="N79" s="17"/>
      <c r="O79" s="19"/>
      <c r="P79" s="20"/>
      <c r="Q79" s="20"/>
      <c r="S79" s="15"/>
    </row>
    <row r="80" spans="1:19" ht="14.25" customHeight="1">
      <c r="A80" s="9">
        <v>21001</v>
      </c>
      <c r="B80" s="9" t="s">
        <v>105</v>
      </c>
      <c r="C80" s="10">
        <v>11256</v>
      </c>
      <c r="D80" s="10">
        <v>5545.4445909261703</v>
      </c>
      <c r="E80" s="11">
        <v>14629</v>
      </c>
      <c r="F80" s="12">
        <f t="shared" si="0"/>
        <v>0.76943058308838608</v>
      </c>
      <c r="G80" s="12">
        <f t="shared" si="1"/>
        <v>0.49266565306735699</v>
      </c>
      <c r="H80" s="12">
        <f t="shared" si="2"/>
        <v>0.379072020707237</v>
      </c>
      <c r="I80" s="13"/>
      <c r="J80" s="17"/>
      <c r="K80" s="17"/>
      <c r="L80" s="17"/>
      <c r="M80" s="17"/>
      <c r="N80" s="17"/>
      <c r="O80" s="19"/>
      <c r="P80" s="20"/>
      <c r="Q80" s="20"/>
      <c r="S80" s="15"/>
    </row>
    <row r="81" spans="1:19" ht="14.25" customHeight="1">
      <c r="A81" s="9">
        <v>21002</v>
      </c>
      <c r="B81" s="9" t="s">
        <v>106</v>
      </c>
      <c r="C81" s="10">
        <v>3395</v>
      </c>
      <c r="D81" s="10">
        <v>1477.5555927157402</v>
      </c>
      <c r="E81" s="11">
        <v>8070</v>
      </c>
      <c r="F81" s="12">
        <f t="shared" si="0"/>
        <v>0.42069392812887235</v>
      </c>
      <c r="G81" s="12">
        <f t="shared" si="1"/>
        <v>0.43521519667621211</v>
      </c>
      <c r="H81" s="12">
        <f t="shared" si="2"/>
        <v>0.18309239067109542</v>
      </c>
      <c r="I81" s="13"/>
      <c r="J81" s="17"/>
      <c r="K81" s="17"/>
      <c r="L81" s="17"/>
      <c r="M81" s="17"/>
      <c r="N81" s="17"/>
      <c r="O81" s="19"/>
      <c r="P81" s="20"/>
      <c r="Q81" s="20"/>
      <c r="S81" s="15"/>
    </row>
    <row r="82" spans="1:19" ht="14.25" customHeight="1">
      <c r="A82" s="9">
        <v>21003</v>
      </c>
      <c r="B82" s="9" t="s">
        <v>107</v>
      </c>
      <c r="C82" s="10">
        <v>3244</v>
      </c>
      <c r="D82" s="10">
        <v>1386.6667015254498</v>
      </c>
      <c r="E82" s="11">
        <v>10224</v>
      </c>
      <c r="F82" s="12">
        <f t="shared" si="0"/>
        <v>0.31729264475743352</v>
      </c>
      <c r="G82" s="12">
        <f t="shared" si="1"/>
        <v>0.4274558266108045</v>
      </c>
      <c r="H82" s="12">
        <f t="shared" si="2"/>
        <v>0.13562858974231709</v>
      </c>
      <c r="I82" s="13"/>
      <c r="J82" s="17"/>
      <c r="K82" s="17"/>
      <c r="L82" s="17"/>
      <c r="M82" s="17"/>
      <c r="N82" s="17"/>
      <c r="O82" s="19"/>
      <c r="P82" s="20"/>
      <c r="Q82" s="20"/>
      <c r="S82" s="15"/>
    </row>
    <row r="83" spans="1:19" ht="14.25" customHeight="1">
      <c r="A83" s="9">
        <v>21004</v>
      </c>
      <c r="B83" s="9" t="s">
        <v>108</v>
      </c>
      <c r="C83" s="10">
        <v>9346</v>
      </c>
      <c r="D83" s="10">
        <v>4083.8889931738377</v>
      </c>
      <c r="E83" s="11">
        <v>19302</v>
      </c>
      <c r="F83" s="12">
        <f t="shared" si="0"/>
        <v>0.48419852864988083</v>
      </c>
      <c r="G83" s="12">
        <f t="shared" si="1"/>
        <v>0.43696650900640249</v>
      </c>
      <c r="H83" s="12">
        <f t="shared" si="2"/>
        <v>0.21157854073017499</v>
      </c>
      <c r="I83" s="13"/>
      <c r="J83" s="17"/>
      <c r="K83" s="17"/>
      <c r="L83" s="17"/>
      <c r="M83" s="17"/>
      <c r="N83" s="17"/>
      <c r="O83" s="19"/>
      <c r="P83" s="20"/>
      <c r="Q83" s="20"/>
      <c r="S83" s="15"/>
    </row>
    <row r="84" spans="1:19" ht="14.25" customHeight="1">
      <c r="A84" s="9">
        <v>21005</v>
      </c>
      <c r="B84" s="9" t="s">
        <v>109</v>
      </c>
      <c r="C84" s="10">
        <v>5422</v>
      </c>
      <c r="D84" s="10">
        <v>2595.888957709074</v>
      </c>
      <c r="E84" s="11">
        <v>7757</v>
      </c>
      <c r="F84" s="12">
        <f t="shared" si="0"/>
        <v>0.69898156503803022</v>
      </c>
      <c r="G84" s="12">
        <f t="shared" si="1"/>
        <v>0.47876963439857506</v>
      </c>
      <c r="H84" s="12">
        <f t="shared" si="2"/>
        <v>0.33465114834460152</v>
      </c>
      <c r="I84" s="13"/>
      <c r="J84" s="17"/>
      <c r="K84" s="17"/>
      <c r="L84" s="17"/>
      <c r="M84" s="17"/>
      <c r="N84" s="17"/>
      <c r="O84" s="19"/>
      <c r="P84" s="20"/>
      <c r="Q84" s="20"/>
      <c r="S84" s="15"/>
    </row>
    <row r="85" spans="1:19" ht="14.25" customHeight="1">
      <c r="A85" s="9">
        <v>21006</v>
      </c>
      <c r="B85" s="9" t="s">
        <v>110</v>
      </c>
      <c r="C85" s="10">
        <v>2526</v>
      </c>
      <c r="D85" s="10">
        <v>1175.0000301003456</v>
      </c>
      <c r="E85" s="11">
        <v>5459</v>
      </c>
      <c r="F85" s="12">
        <f t="shared" si="0"/>
        <v>0.46272211027660742</v>
      </c>
      <c r="G85" s="12">
        <f t="shared" si="1"/>
        <v>0.46516232387187079</v>
      </c>
      <c r="H85" s="12">
        <f t="shared" si="2"/>
        <v>0.21524089212316277</v>
      </c>
      <c r="I85" s="13"/>
      <c r="J85" s="17"/>
      <c r="K85" s="17"/>
      <c r="L85" s="17"/>
      <c r="M85" s="17"/>
      <c r="N85" s="17"/>
      <c r="O85" s="19"/>
      <c r="P85" s="20"/>
      <c r="Q85" s="20"/>
      <c r="S85" s="15"/>
    </row>
    <row r="86" spans="1:19" ht="14.25" customHeight="1">
      <c r="A86" s="9">
        <v>21101</v>
      </c>
      <c r="B86" s="9" t="s">
        <v>111</v>
      </c>
      <c r="C86" s="10">
        <v>4864</v>
      </c>
      <c r="D86" s="10">
        <v>1996.000048995018</v>
      </c>
      <c r="E86" s="11">
        <v>17456</v>
      </c>
      <c r="F86" s="12">
        <f t="shared" si="0"/>
        <v>0.27864344637946836</v>
      </c>
      <c r="G86" s="12">
        <f t="shared" si="1"/>
        <v>0.41036185217825205</v>
      </c>
      <c r="H86" s="12">
        <f t="shared" si="2"/>
        <v>0.1143446407536101</v>
      </c>
      <c r="I86" s="13"/>
      <c r="J86" s="17"/>
      <c r="K86" s="17"/>
      <c r="L86" s="17"/>
      <c r="M86" s="17"/>
      <c r="N86" s="17"/>
      <c r="O86" s="19"/>
      <c r="P86" s="20"/>
      <c r="Q86" s="20"/>
      <c r="S86" s="15"/>
    </row>
    <row r="87" spans="1:19" ht="14.25" customHeight="1">
      <c r="A87" s="9">
        <v>21102</v>
      </c>
      <c r="B87" s="9" t="s">
        <v>112</v>
      </c>
      <c r="C87" s="10">
        <v>6794</v>
      </c>
      <c r="D87" s="10">
        <v>3000.0000730156898</v>
      </c>
      <c r="E87" s="11">
        <v>16725</v>
      </c>
      <c r="F87" s="12">
        <f t="shared" si="0"/>
        <v>0.40621823617339314</v>
      </c>
      <c r="G87" s="12">
        <f t="shared" si="1"/>
        <v>0.44156609847154693</v>
      </c>
      <c r="H87" s="12">
        <f t="shared" si="2"/>
        <v>0.17937220167507861</v>
      </c>
      <c r="I87" s="13"/>
      <c r="J87" s="17"/>
      <c r="K87" s="17"/>
      <c r="L87" s="17"/>
      <c r="M87" s="17"/>
      <c r="N87" s="17"/>
      <c r="O87" s="19"/>
      <c r="P87" s="20"/>
      <c r="Q87" s="20"/>
      <c r="S87" s="15"/>
    </row>
    <row r="88" spans="1:19" ht="14.25" customHeight="1">
      <c r="A88" s="9">
        <v>21103</v>
      </c>
      <c r="B88" s="9" t="s">
        <v>113</v>
      </c>
      <c r="C88" s="10">
        <v>1554</v>
      </c>
      <c r="D88" s="10">
        <v>673.44446060061455</v>
      </c>
      <c r="E88" s="11">
        <v>6196</v>
      </c>
      <c r="F88" s="12">
        <f t="shared" si="0"/>
        <v>0.25080697224015491</v>
      </c>
      <c r="G88" s="12">
        <f t="shared" si="1"/>
        <v>0.43336194375843923</v>
      </c>
      <c r="H88" s="12">
        <f t="shared" si="2"/>
        <v>0.10869019699816244</v>
      </c>
      <c r="I88" s="13"/>
      <c r="J88" s="17"/>
      <c r="K88" s="17"/>
      <c r="L88" s="17"/>
      <c r="M88" s="17"/>
      <c r="N88" s="17"/>
      <c r="O88" s="19"/>
      <c r="P88" s="20"/>
      <c r="Q88" s="20"/>
      <c r="S88" s="15"/>
    </row>
    <row r="89" spans="1:19" ht="14.25" customHeight="1">
      <c r="A89" s="9">
        <v>21104</v>
      </c>
      <c r="B89" s="9" t="s">
        <v>114</v>
      </c>
      <c r="C89" s="10">
        <v>11016</v>
      </c>
      <c r="D89" s="10">
        <v>4982.666781693697</v>
      </c>
      <c r="E89" s="11">
        <v>24009</v>
      </c>
      <c r="F89" s="12">
        <f t="shared" si="0"/>
        <v>0.45882793952267897</v>
      </c>
      <c r="G89" s="12">
        <f t="shared" si="1"/>
        <v>0.45231179935491078</v>
      </c>
      <c r="H89" s="12">
        <f t="shared" si="2"/>
        <v>0.2075332909198091</v>
      </c>
      <c r="I89" s="13"/>
      <c r="J89" s="17"/>
      <c r="K89" s="17"/>
      <c r="L89" s="17"/>
      <c r="M89" s="17"/>
      <c r="N89" s="17"/>
      <c r="O89" s="19"/>
      <c r="P89" s="20"/>
      <c r="Q89" s="20"/>
      <c r="S89" s="15"/>
    </row>
    <row r="90" spans="1:19" ht="14.25" customHeight="1">
      <c r="A90" s="9">
        <v>21105</v>
      </c>
      <c r="B90" s="9" t="s">
        <v>115</v>
      </c>
      <c r="C90" s="10">
        <v>30666</v>
      </c>
      <c r="D90" s="10">
        <v>14995.778160691261</v>
      </c>
      <c r="E90" s="11">
        <v>39583</v>
      </c>
      <c r="F90" s="12">
        <f t="shared" si="0"/>
        <v>0.77472652401283382</v>
      </c>
      <c r="G90" s="12">
        <f t="shared" si="1"/>
        <v>0.48900339661811976</v>
      </c>
      <c r="H90" s="12">
        <f t="shared" si="2"/>
        <v>0.37884390169242504</v>
      </c>
      <c r="I90" s="13"/>
      <c r="J90" s="17"/>
      <c r="K90" s="17"/>
      <c r="L90" s="17"/>
      <c r="M90" s="17"/>
      <c r="N90" s="17"/>
      <c r="O90" s="19"/>
      <c r="P90" s="20"/>
      <c r="Q90" s="20"/>
      <c r="S90" s="15"/>
    </row>
    <row r="91" spans="1:19" ht="14.25" customHeight="1">
      <c r="A91" s="9">
        <v>21201</v>
      </c>
      <c r="B91" s="9" t="s">
        <v>116</v>
      </c>
      <c r="C91" s="10">
        <v>15518</v>
      </c>
      <c r="D91" s="10">
        <v>6844.8890622258186</v>
      </c>
      <c r="E91" s="11">
        <v>29868</v>
      </c>
      <c r="F91" s="12">
        <f t="shared" si="0"/>
        <v>0.51955269854024377</v>
      </c>
      <c r="G91" s="12">
        <f t="shared" si="1"/>
        <v>0.44109350832747896</v>
      </c>
      <c r="H91" s="12">
        <f t="shared" si="2"/>
        <v>0.22917132256012518</v>
      </c>
      <c r="I91" s="13"/>
      <c r="J91" s="17"/>
      <c r="K91" s="17"/>
      <c r="L91" s="17"/>
      <c r="M91" s="17"/>
      <c r="N91" s="17"/>
      <c r="O91" s="19"/>
      <c r="P91" s="20"/>
      <c r="Q91" s="20"/>
      <c r="S91" s="15"/>
    </row>
    <row r="92" spans="1:19" ht="14.25" customHeight="1">
      <c r="A92" s="9">
        <v>21202</v>
      </c>
      <c r="B92" s="9" t="s">
        <v>117</v>
      </c>
      <c r="C92" s="10">
        <v>12721</v>
      </c>
      <c r="D92" s="10">
        <v>5430.2223549187183</v>
      </c>
      <c r="E92" s="11">
        <v>24433</v>
      </c>
      <c r="F92" s="12">
        <f t="shared" si="0"/>
        <v>0.52064830352392255</v>
      </c>
      <c r="G92" s="12">
        <f t="shared" si="1"/>
        <v>0.42687071416702449</v>
      </c>
      <c r="H92" s="12">
        <f t="shared" si="2"/>
        <v>0.22224951315510655</v>
      </c>
      <c r="I92" s="13"/>
      <c r="J92" s="17"/>
      <c r="K92" s="17"/>
      <c r="L92" s="17"/>
      <c r="M92" s="17"/>
      <c r="N92" s="17"/>
      <c r="O92" s="19"/>
      <c r="P92" s="20"/>
      <c r="Q92" s="20"/>
      <c r="S92" s="15"/>
    </row>
    <row r="93" spans="1:19" ht="14.25" customHeight="1">
      <c r="A93" s="9">
        <v>21203</v>
      </c>
      <c r="B93" s="9" t="s">
        <v>118</v>
      </c>
      <c r="C93" s="10">
        <v>6884</v>
      </c>
      <c r="D93" s="10">
        <v>2995.1111871302128</v>
      </c>
      <c r="E93" s="11">
        <v>17366</v>
      </c>
      <c r="F93" s="12">
        <f t="shared" si="0"/>
        <v>0.39640677185304618</v>
      </c>
      <c r="G93" s="12">
        <f t="shared" si="1"/>
        <v>0.43508297314500477</v>
      </c>
      <c r="H93" s="12">
        <f t="shared" si="2"/>
        <v>0.17246983687263692</v>
      </c>
      <c r="I93" s="13"/>
      <c r="J93" s="17"/>
      <c r="K93" s="17"/>
      <c r="L93" s="17"/>
      <c r="M93" s="17"/>
      <c r="N93" s="17"/>
      <c r="O93" s="19"/>
      <c r="P93" s="20"/>
      <c r="Q93" s="20"/>
      <c r="S93" s="15"/>
    </row>
    <row r="94" spans="1:19" ht="14.25" customHeight="1">
      <c r="A94" s="9">
        <v>21204</v>
      </c>
      <c r="B94" s="9" t="s">
        <v>119</v>
      </c>
      <c r="C94" s="10">
        <v>2847</v>
      </c>
      <c r="D94" s="10">
        <v>1139.8889166712761</v>
      </c>
      <c r="E94" s="11">
        <v>6457</v>
      </c>
      <c r="F94" s="12">
        <f t="shared" si="0"/>
        <v>0.44091683444323987</v>
      </c>
      <c r="G94" s="12">
        <f t="shared" si="1"/>
        <v>0.4003824786340977</v>
      </c>
      <c r="H94" s="12">
        <f t="shared" si="2"/>
        <v>0.17653537504588449</v>
      </c>
      <c r="I94" s="13"/>
      <c r="J94" s="17"/>
      <c r="K94" s="17"/>
      <c r="L94" s="17"/>
      <c r="M94" s="17"/>
      <c r="N94" s="17"/>
      <c r="O94" s="19"/>
      <c r="P94" s="20"/>
      <c r="Q94" s="20"/>
      <c r="S94" s="15"/>
    </row>
    <row r="95" spans="1:19" ht="14.25" customHeight="1">
      <c r="A95" s="9">
        <v>21301</v>
      </c>
      <c r="B95" s="9" t="s">
        <v>120</v>
      </c>
      <c r="C95" s="10">
        <v>16749</v>
      </c>
      <c r="D95" s="10">
        <v>7286.5557392537594</v>
      </c>
      <c r="E95" s="11">
        <v>31159</v>
      </c>
      <c r="F95" s="12">
        <f t="shared" si="0"/>
        <v>0.5375332969607497</v>
      </c>
      <c r="G95" s="12">
        <f t="shared" si="1"/>
        <v>0.43504422587938141</v>
      </c>
      <c r="H95" s="12">
        <f t="shared" si="2"/>
        <v>0.23385075706068098</v>
      </c>
      <c r="I95" s="13"/>
      <c r="J95" s="17"/>
      <c r="K95" s="17"/>
      <c r="L95" s="17"/>
      <c r="M95" s="17"/>
      <c r="N95" s="17"/>
      <c r="O95" s="19"/>
      <c r="P95" s="20"/>
      <c r="Q95" s="20"/>
      <c r="S95" s="15"/>
    </row>
    <row r="96" spans="1:19" ht="14.25" customHeight="1">
      <c r="A96" s="9">
        <v>21302</v>
      </c>
      <c r="B96" s="9" t="s">
        <v>121</v>
      </c>
      <c r="C96" s="10">
        <v>4974</v>
      </c>
      <c r="D96" s="10">
        <v>2209.2222766876221</v>
      </c>
      <c r="E96" s="11">
        <v>8868</v>
      </c>
      <c r="F96" s="12">
        <f t="shared" si="0"/>
        <v>0.560893098782138</v>
      </c>
      <c r="G96" s="12">
        <f t="shared" si="1"/>
        <v>0.44415405643096545</v>
      </c>
      <c r="H96" s="12">
        <f t="shared" si="2"/>
        <v>0.2491229450482208</v>
      </c>
      <c r="I96" s="13"/>
      <c r="J96" s="17"/>
      <c r="K96" s="17"/>
      <c r="L96" s="17"/>
      <c r="M96" s="17"/>
      <c r="N96" s="17"/>
      <c r="O96" s="19"/>
      <c r="P96" s="20"/>
      <c r="Q96" s="20"/>
      <c r="S96" s="15"/>
    </row>
    <row r="97" spans="1:19" ht="14.25" customHeight="1">
      <c r="A97" s="9">
        <v>21303</v>
      </c>
      <c r="B97" s="9" t="s">
        <v>122</v>
      </c>
      <c r="C97" s="10">
        <v>4698</v>
      </c>
      <c r="D97" s="10">
        <v>2112.3333847522736</v>
      </c>
      <c r="E97" s="11">
        <v>7768</v>
      </c>
      <c r="F97" s="12">
        <f t="shared" si="0"/>
        <v>0.60478887744593202</v>
      </c>
      <c r="G97" s="12">
        <f t="shared" si="1"/>
        <v>0.4496239644002285</v>
      </c>
      <c r="H97" s="12">
        <f t="shared" si="2"/>
        <v>0.27192757270240392</v>
      </c>
      <c r="I97" s="13"/>
      <c r="J97" s="17"/>
      <c r="K97" s="17"/>
      <c r="L97" s="17"/>
      <c r="M97" s="17"/>
      <c r="N97" s="17"/>
      <c r="O97" s="19"/>
      <c r="P97" s="20"/>
      <c r="Q97" s="20"/>
      <c r="S97" s="15"/>
    </row>
    <row r="98" spans="1:19" ht="14.25" customHeight="1">
      <c r="A98" s="9">
        <v>21304</v>
      </c>
      <c r="B98" s="9" t="s">
        <v>123</v>
      </c>
      <c r="C98" s="10">
        <v>6021</v>
      </c>
      <c r="D98" s="10">
        <v>2584.1111747324467</v>
      </c>
      <c r="E98" s="11">
        <v>12344</v>
      </c>
      <c r="F98" s="12">
        <f t="shared" si="0"/>
        <v>0.48776733635774466</v>
      </c>
      <c r="G98" s="12">
        <f t="shared" si="1"/>
        <v>0.42918305509590543</v>
      </c>
      <c r="H98" s="12">
        <f t="shared" si="2"/>
        <v>0.20934147559400895</v>
      </c>
      <c r="I98" s="13"/>
      <c r="J98" s="17"/>
      <c r="K98" s="17"/>
      <c r="L98" s="17"/>
      <c r="M98" s="17"/>
      <c r="N98" s="17"/>
      <c r="O98" s="19"/>
      <c r="P98" s="20"/>
      <c r="Q98" s="20"/>
      <c r="S98" s="15"/>
    </row>
    <row r="99" spans="1:19" ht="14.25" customHeight="1">
      <c r="A99" s="9">
        <v>21305</v>
      </c>
      <c r="B99" s="9" t="s">
        <v>124</v>
      </c>
      <c r="C99" s="10">
        <v>7579</v>
      </c>
      <c r="D99" s="10">
        <v>3194.6667457222939</v>
      </c>
      <c r="E99" s="11">
        <v>22315</v>
      </c>
      <c r="F99" s="12">
        <f t="shared" si="0"/>
        <v>0.33963701546045261</v>
      </c>
      <c r="G99" s="12">
        <f t="shared" si="1"/>
        <v>0.42151560175779046</v>
      </c>
      <c r="H99" s="12">
        <f t="shared" si="2"/>
        <v>0.14316230095103266</v>
      </c>
      <c r="I99" s="13"/>
      <c r="J99" s="17"/>
      <c r="K99" s="17"/>
      <c r="L99" s="17"/>
      <c r="M99" s="17"/>
      <c r="N99" s="17"/>
      <c r="O99" s="19"/>
      <c r="P99" s="20"/>
      <c r="Q99" s="20"/>
      <c r="S99" s="15"/>
    </row>
    <row r="100" spans="1:19" ht="14.25" customHeight="1">
      <c r="A100" s="9">
        <v>21306</v>
      </c>
      <c r="B100" s="9" t="s">
        <v>125</v>
      </c>
      <c r="C100" s="10">
        <v>4967</v>
      </c>
      <c r="D100" s="10">
        <v>2159.5556083619595</v>
      </c>
      <c r="E100" s="11">
        <v>9862</v>
      </c>
      <c r="F100" s="12">
        <f t="shared" si="0"/>
        <v>0.50365037517744882</v>
      </c>
      <c r="G100" s="12">
        <f t="shared" si="1"/>
        <v>0.43478067412159443</v>
      </c>
      <c r="H100" s="12">
        <f t="shared" si="2"/>
        <v>0.21897744964124516</v>
      </c>
      <c r="I100" s="13"/>
      <c r="J100" s="17"/>
      <c r="K100" s="17"/>
      <c r="L100" s="17"/>
      <c r="M100" s="17"/>
      <c r="N100" s="17"/>
      <c r="O100" s="19"/>
      <c r="P100" s="20"/>
      <c r="Q100" s="20"/>
      <c r="S100" s="15"/>
    </row>
    <row r="101" spans="1:19" ht="14.25" customHeight="1">
      <c r="A101" s="9">
        <v>21307</v>
      </c>
      <c r="B101" s="9" t="s">
        <v>126</v>
      </c>
      <c r="C101" s="10">
        <v>1965</v>
      </c>
      <c r="D101" s="10">
        <v>793.88890746235847</v>
      </c>
      <c r="E101" s="11">
        <v>4979</v>
      </c>
      <c r="F101" s="12">
        <f t="shared" si="0"/>
        <v>0.39465756175938943</v>
      </c>
      <c r="G101" s="12">
        <f t="shared" si="1"/>
        <v>0.40401471117677273</v>
      </c>
      <c r="H101" s="12">
        <f t="shared" si="2"/>
        <v>0.15944746082794906</v>
      </c>
      <c r="I101" s="13"/>
      <c r="J101" s="17"/>
      <c r="K101" s="17"/>
      <c r="L101" s="17"/>
      <c r="M101" s="17"/>
      <c r="N101" s="17"/>
      <c r="O101" s="19"/>
      <c r="P101" s="20"/>
      <c r="Q101" s="20"/>
      <c r="S101" s="15"/>
    </row>
    <row r="102" spans="1:19" ht="14.25" customHeight="1">
      <c r="A102" s="9">
        <v>21401</v>
      </c>
      <c r="B102" s="9" t="s">
        <v>127</v>
      </c>
      <c r="C102" s="10">
        <v>6636</v>
      </c>
      <c r="D102" s="10">
        <v>2866.222291469574</v>
      </c>
      <c r="E102" s="11">
        <v>18727</v>
      </c>
      <c r="F102" s="12">
        <f t="shared" si="0"/>
        <v>0.35435467506808349</v>
      </c>
      <c r="G102" s="12">
        <f t="shared" si="1"/>
        <v>0.43192017653248554</v>
      </c>
      <c r="H102" s="12">
        <f t="shared" si="2"/>
        <v>0.15305293381051818</v>
      </c>
      <c r="I102" s="13"/>
      <c r="J102" s="17"/>
      <c r="K102" s="17"/>
      <c r="L102" s="17"/>
      <c r="M102" s="17"/>
      <c r="N102" s="17"/>
      <c r="O102" s="19"/>
      <c r="P102" s="20"/>
      <c r="Q102" s="20"/>
      <c r="S102" s="15"/>
    </row>
    <row r="103" spans="1:19" ht="14.25" customHeight="1">
      <c r="A103" s="9">
        <v>21402</v>
      </c>
      <c r="B103" s="9" t="s">
        <v>128</v>
      </c>
      <c r="C103" s="10">
        <v>3583</v>
      </c>
      <c r="D103" s="10">
        <v>1449.0000386536121</v>
      </c>
      <c r="E103" s="11">
        <v>16768</v>
      </c>
      <c r="F103" s="12">
        <f t="shared" si="0"/>
        <v>0.21368082061068702</v>
      </c>
      <c r="G103" s="12">
        <f t="shared" si="1"/>
        <v>0.40440972331945635</v>
      </c>
      <c r="H103" s="12">
        <f t="shared" si="2"/>
        <v>8.6414601541842329E-2</v>
      </c>
      <c r="I103" s="13"/>
      <c r="J103" s="17"/>
      <c r="K103" s="17"/>
      <c r="L103" s="17"/>
      <c r="M103" s="17"/>
      <c r="N103" s="17"/>
      <c r="O103" s="19"/>
      <c r="P103" s="20"/>
      <c r="Q103" s="20"/>
      <c r="S103" s="15"/>
    </row>
    <row r="104" spans="1:19" ht="14.25" customHeight="1">
      <c r="A104" s="9">
        <v>21501</v>
      </c>
      <c r="B104" s="9" t="s">
        <v>129</v>
      </c>
      <c r="C104" s="10">
        <v>5038</v>
      </c>
      <c r="D104" s="10">
        <v>2340.7778393030167</v>
      </c>
      <c r="E104" s="11">
        <v>8338</v>
      </c>
      <c r="F104" s="12">
        <f t="shared" si="0"/>
        <v>0.60422163588390498</v>
      </c>
      <c r="G104" s="12">
        <f t="shared" si="1"/>
        <v>0.46462442225149198</v>
      </c>
      <c r="H104" s="12">
        <f t="shared" si="2"/>
        <v>0.28073612848441071</v>
      </c>
      <c r="I104" s="13"/>
      <c r="J104" s="17"/>
      <c r="K104" s="17"/>
      <c r="L104" s="17"/>
      <c r="M104" s="17"/>
      <c r="N104" s="17"/>
      <c r="O104" s="19"/>
      <c r="P104" s="20"/>
      <c r="Q104" s="20"/>
      <c r="S104" s="15"/>
    </row>
    <row r="105" spans="1:19" ht="14.25" customHeight="1">
      <c r="A105" s="9">
        <v>21502</v>
      </c>
      <c r="B105" s="9" t="s">
        <v>130</v>
      </c>
      <c r="C105" s="10">
        <v>3092</v>
      </c>
      <c r="D105" s="10">
        <v>1405.7778135538101</v>
      </c>
      <c r="E105" s="11">
        <v>8214</v>
      </c>
      <c r="F105" s="12">
        <f t="shared" si="0"/>
        <v>0.37643048453859262</v>
      </c>
      <c r="G105" s="12">
        <f t="shared" si="1"/>
        <v>0.45465000438350911</v>
      </c>
      <c r="H105" s="12">
        <f t="shared" si="2"/>
        <v>0.1711441214455576</v>
      </c>
      <c r="I105" s="13"/>
      <c r="J105" s="17"/>
      <c r="K105" s="17"/>
      <c r="L105" s="17"/>
      <c r="M105" s="17"/>
      <c r="N105" s="17"/>
      <c r="O105" s="19"/>
      <c r="P105" s="20"/>
      <c r="Q105" s="20"/>
      <c r="S105" s="15"/>
    </row>
    <row r="106" spans="1:19" ht="14.25" customHeight="1">
      <c r="A106" s="9">
        <v>21601</v>
      </c>
      <c r="B106" s="9" t="s">
        <v>131</v>
      </c>
      <c r="C106" s="10">
        <v>9339</v>
      </c>
      <c r="D106" s="10">
        <v>4279.4445573985577</v>
      </c>
      <c r="E106" s="11">
        <v>12927</v>
      </c>
      <c r="F106" s="12">
        <f t="shared" si="0"/>
        <v>0.72244140171733584</v>
      </c>
      <c r="G106" s="12">
        <f t="shared" si="1"/>
        <v>0.45823370354412224</v>
      </c>
      <c r="H106" s="12">
        <f t="shared" si="2"/>
        <v>0.33104699910254182</v>
      </c>
      <c r="I106" s="13"/>
      <c r="J106" s="17"/>
      <c r="K106" s="17"/>
      <c r="L106" s="17"/>
      <c r="M106" s="17"/>
      <c r="N106" s="17"/>
      <c r="O106" s="19"/>
      <c r="P106" s="20"/>
      <c r="Q106" s="20"/>
      <c r="S106" s="15"/>
    </row>
    <row r="107" spans="1:19" ht="14.25" customHeight="1">
      <c r="A107" s="9">
        <v>21602</v>
      </c>
      <c r="B107" s="9" t="s">
        <v>132</v>
      </c>
      <c r="C107" s="10">
        <v>2317</v>
      </c>
      <c r="D107" s="10">
        <v>1098.1111409664154</v>
      </c>
      <c r="E107" s="11">
        <v>3264</v>
      </c>
      <c r="F107" s="12">
        <f t="shared" si="0"/>
        <v>0.70986519607843135</v>
      </c>
      <c r="G107" s="12">
        <f t="shared" si="1"/>
        <v>0.47393661673129711</v>
      </c>
      <c r="H107" s="12">
        <f t="shared" si="2"/>
        <v>0.3364311093647106</v>
      </c>
      <c r="I107" s="13"/>
      <c r="J107" s="17"/>
      <c r="K107" s="17"/>
      <c r="L107" s="17"/>
      <c r="M107" s="17"/>
      <c r="N107" s="17"/>
      <c r="O107" s="19"/>
      <c r="P107" s="20"/>
      <c r="Q107" s="20"/>
      <c r="S107" s="15"/>
    </row>
    <row r="108" spans="1:19" ht="14.25" customHeight="1">
      <c r="A108" s="9">
        <v>21701</v>
      </c>
      <c r="B108" s="9" t="s">
        <v>133</v>
      </c>
      <c r="C108" s="10">
        <v>4676</v>
      </c>
      <c r="D108" s="10">
        <v>1906.0000471770763</v>
      </c>
      <c r="E108" s="11">
        <v>14487</v>
      </c>
      <c r="F108" s="12">
        <f t="shared" si="0"/>
        <v>0.32277214053979431</v>
      </c>
      <c r="G108" s="12">
        <f t="shared" si="1"/>
        <v>0.40761335482828837</v>
      </c>
      <c r="H108" s="12">
        <f t="shared" si="2"/>
        <v>0.13156623505053333</v>
      </c>
      <c r="I108" s="13"/>
      <c r="J108" s="17"/>
      <c r="K108" s="17"/>
      <c r="L108" s="17"/>
      <c r="M108" s="17"/>
      <c r="N108" s="17"/>
      <c r="O108" s="19"/>
      <c r="P108" s="20"/>
      <c r="Q108" s="20"/>
      <c r="S108" s="15"/>
    </row>
    <row r="109" spans="1:19" ht="14.25" customHeight="1">
      <c r="A109" s="9">
        <v>21702</v>
      </c>
      <c r="B109" s="9" t="s">
        <v>134</v>
      </c>
      <c r="C109" s="10">
        <v>2656</v>
      </c>
      <c r="D109" s="10">
        <v>1124.5555831491947</v>
      </c>
      <c r="E109" s="11">
        <v>5943</v>
      </c>
      <c r="F109" s="12">
        <f t="shared" si="0"/>
        <v>0.44691233383812889</v>
      </c>
      <c r="G109" s="12">
        <f t="shared" si="1"/>
        <v>0.42340195148689558</v>
      </c>
      <c r="H109" s="12">
        <f t="shared" si="2"/>
        <v>0.18922355429062673</v>
      </c>
      <c r="I109" s="13"/>
      <c r="J109" s="17"/>
      <c r="K109" s="17"/>
      <c r="L109" s="17"/>
      <c r="M109" s="17"/>
      <c r="N109" s="17"/>
      <c r="O109" s="19"/>
      <c r="P109" s="20"/>
      <c r="Q109" s="20"/>
      <c r="S109" s="15"/>
    </row>
    <row r="110" spans="1:19" ht="14.25" customHeight="1">
      <c r="A110" s="9">
        <v>21703</v>
      </c>
      <c r="B110" s="9" t="s">
        <v>135</v>
      </c>
      <c r="C110" s="10">
        <v>3726</v>
      </c>
      <c r="D110" s="10">
        <v>1705.3333775699139</v>
      </c>
      <c r="E110" s="11">
        <v>6245</v>
      </c>
      <c r="F110" s="12">
        <f t="shared" si="0"/>
        <v>0.59663730984787833</v>
      </c>
      <c r="G110" s="12">
        <f t="shared" si="1"/>
        <v>0.45768474975037948</v>
      </c>
      <c r="H110" s="12">
        <f t="shared" si="2"/>
        <v>0.27307179784946584</v>
      </c>
      <c r="I110" s="13"/>
      <c r="J110" s="17"/>
      <c r="K110" s="17"/>
      <c r="L110" s="17"/>
      <c r="M110" s="17"/>
      <c r="N110" s="17"/>
      <c r="O110" s="19"/>
      <c r="P110" s="20"/>
      <c r="Q110" s="20"/>
      <c r="S110" s="15"/>
    </row>
    <row r="111" spans="1:19" ht="14.25" customHeight="1">
      <c r="A111" s="9">
        <v>21801</v>
      </c>
      <c r="B111" s="9" t="s">
        <v>136</v>
      </c>
      <c r="C111" s="10">
        <v>6104</v>
      </c>
      <c r="D111" s="10">
        <v>2765.0000655055046</v>
      </c>
      <c r="E111" s="11">
        <v>8809</v>
      </c>
      <c r="F111" s="12">
        <f t="shared" si="0"/>
        <v>0.69292768759223522</v>
      </c>
      <c r="G111" s="12">
        <f t="shared" si="1"/>
        <v>0.45298166210771701</v>
      </c>
      <c r="H111" s="12">
        <f t="shared" si="2"/>
        <v>0.31388353564598759</v>
      </c>
      <c r="I111" s="13"/>
      <c r="J111" s="17"/>
      <c r="K111" s="17"/>
      <c r="L111" s="17"/>
      <c r="M111" s="17"/>
      <c r="N111" s="17"/>
      <c r="O111" s="19"/>
      <c r="P111" s="20"/>
      <c r="Q111" s="20"/>
      <c r="S111" s="15"/>
    </row>
    <row r="112" spans="1:19" ht="14.25" customHeight="1">
      <c r="A112" s="9">
        <v>21802</v>
      </c>
      <c r="B112" s="9" t="s">
        <v>137</v>
      </c>
      <c r="C112" s="10">
        <v>3630</v>
      </c>
      <c r="D112" s="10">
        <v>1552.8889265060425</v>
      </c>
      <c r="E112" s="11">
        <v>6986</v>
      </c>
      <c r="F112" s="12">
        <f t="shared" si="0"/>
        <v>0.51961064987117089</v>
      </c>
      <c r="G112" s="12">
        <f t="shared" si="1"/>
        <v>0.4277930927013891</v>
      </c>
      <c r="H112" s="12">
        <f t="shared" si="2"/>
        <v>0.22228584690896686</v>
      </c>
      <c r="I112" s="13"/>
      <c r="J112" s="17"/>
      <c r="K112" s="17"/>
      <c r="L112" s="17"/>
      <c r="M112" s="17"/>
      <c r="N112" s="17"/>
      <c r="O112" s="19"/>
      <c r="P112" s="20"/>
      <c r="Q112" s="20"/>
      <c r="S112" s="15"/>
    </row>
    <row r="113" spans="1:19" ht="14.25" customHeight="1">
      <c r="A113" s="9">
        <v>21803</v>
      </c>
      <c r="B113" s="9" t="s">
        <v>138</v>
      </c>
      <c r="C113" s="10">
        <v>1565</v>
      </c>
      <c r="D113" s="10">
        <v>696.00001719594002</v>
      </c>
      <c r="E113" s="11">
        <v>2000</v>
      </c>
      <c r="F113" s="12">
        <f t="shared" si="0"/>
        <v>0.78249999999999997</v>
      </c>
      <c r="G113" s="12">
        <f t="shared" si="1"/>
        <v>0.44472844549261342</v>
      </c>
      <c r="H113" s="12">
        <f t="shared" si="2"/>
        <v>0.34800000859796998</v>
      </c>
      <c r="I113" s="13"/>
      <c r="J113" s="17"/>
      <c r="K113" s="17"/>
      <c r="L113" s="17"/>
      <c r="M113" s="17"/>
      <c r="N113" s="17"/>
      <c r="O113" s="19"/>
      <c r="P113" s="20"/>
      <c r="Q113" s="20"/>
      <c r="S113" s="15"/>
    </row>
    <row r="114" spans="1:19" ht="14.25" customHeight="1">
      <c r="A114" s="9">
        <v>21901</v>
      </c>
      <c r="B114" s="9" t="s">
        <v>139</v>
      </c>
      <c r="C114" s="10">
        <v>2408</v>
      </c>
      <c r="D114" s="10">
        <v>1000.0000243186951</v>
      </c>
      <c r="E114" s="11">
        <v>4549</v>
      </c>
      <c r="F114" s="12">
        <f t="shared" si="0"/>
        <v>0.52934710925478123</v>
      </c>
      <c r="G114" s="12">
        <f t="shared" si="1"/>
        <v>0.41528240212570394</v>
      </c>
      <c r="H114" s="12">
        <f t="shared" si="2"/>
        <v>0.21982853908962299</v>
      </c>
      <c r="I114" s="13"/>
      <c r="J114" s="17"/>
      <c r="K114" s="17"/>
      <c r="L114" s="17"/>
      <c r="M114" s="17"/>
      <c r="N114" s="17"/>
      <c r="O114" s="19"/>
      <c r="P114" s="20"/>
      <c r="Q114" s="20"/>
      <c r="S114" s="15"/>
    </row>
    <row r="115" spans="1:19" ht="14.25" customHeight="1">
      <c r="A115" s="9">
        <v>21902</v>
      </c>
      <c r="B115" s="9" t="s">
        <v>140</v>
      </c>
      <c r="C115" s="10">
        <v>1549</v>
      </c>
      <c r="D115" s="10">
        <v>654.66668266057968</v>
      </c>
      <c r="E115" s="11">
        <v>2860</v>
      </c>
      <c r="F115" s="12">
        <f t="shared" si="0"/>
        <v>0.54160839160839158</v>
      </c>
      <c r="G115" s="12">
        <f t="shared" si="1"/>
        <v>0.42263827156912825</v>
      </c>
      <c r="H115" s="12">
        <f t="shared" si="2"/>
        <v>0.22890443449670617</v>
      </c>
      <c r="I115" s="13"/>
      <c r="J115" s="17"/>
      <c r="K115" s="17"/>
      <c r="L115" s="17"/>
      <c r="M115" s="17"/>
      <c r="N115" s="17"/>
      <c r="O115" s="19"/>
      <c r="P115" s="20"/>
      <c r="Q115" s="20"/>
      <c r="S115" s="15"/>
    </row>
    <row r="116" spans="1:19" ht="14.25" customHeight="1">
      <c r="A116" s="9">
        <v>22001</v>
      </c>
      <c r="B116" s="9" t="s">
        <v>141</v>
      </c>
      <c r="C116" s="10">
        <v>23026</v>
      </c>
      <c r="D116" s="10">
        <v>10144.333586364985</v>
      </c>
      <c r="E116" s="11">
        <v>49189</v>
      </c>
      <c r="F116" s="12">
        <f t="shared" si="0"/>
        <v>0.46811278944479456</v>
      </c>
      <c r="G116" s="12">
        <f t="shared" si="1"/>
        <v>0.44055995771584228</v>
      </c>
      <c r="H116" s="12">
        <f t="shared" si="2"/>
        <v>0.20623175072404368</v>
      </c>
      <c r="I116" s="13"/>
      <c r="J116" s="17"/>
      <c r="K116" s="17"/>
      <c r="L116" s="17"/>
      <c r="M116" s="17"/>
      <c r="N116" s="17"/>
      <c r="O116" s="19"/>
      <c r="P116" s="20"/>
      <c r="Q116" s="20"/>
      <c r="S116" s="15"/>
    </row>
    <row r="117" spans="1:19" ht="14.25" customHeight="1">
      <c r="A117" s="9">
        <v>22002</v>
      </c>
      <c r="B117" s="9" t="s">
        <v>142</v>
      </c>
      <c r="C117" s="10">
        <v>6847</v>
      </c>
      <c r="D117" s="10">
        <v>3224.1111935675144</v>
      </c>
      <c r="E117" s="11">
        <v>10881</v>
      </c>
      <c r="F117" s="12">
        <f t="shared" si="0"/>
        <v>0.62926201635879053</v>
      </c>
      <c r="G117" s="12">
        <f t="shared" si="1"/>
        <v>0.47087939149518249</v>
      </c>
      <c r="H117" s="12">
        <f t="shared" si="2"/>
        <v>0.29630651535405883</v>
      </c>
      <c r="I117" s="13"/>
      <c r="J117" s="17"/>
      <c r="K117" s="17"/>
      <c r="L117" s="17"/>
      <c r="M117" s="17"/>
      <c r="N117" s="17"/>
      <c r="O117" s="19"/>
      <c r="P117" s="20"/>
      <c r="Q117" s="20"/>
      <c r="S117" s="15"/>
    </row>
    <row r="118" spans="1:19" ht="14.25" customHeight="1">
      <c r="A118" s="9">
        <v>30101</v>
      </c>
      <c r="B118" s="9" t="s">
        <v>16</v>
      </c>
      <c r="C118" s="10">
        <v>136327</v>
      </c>
      <c r="D118" s="10">
        <v>54430.001367360353</v>
      </c>
      <c r="E118" s="11">
        <v>621184</v>
      </c>
      <c r="F118" s="12">
        <f t="shared" si="0"/>
        <v>0.21946315423449414</v>
      </c>
      <c r="G118" s="12">
        <f t="shared" si="1"/>
        <v>0.39926061137823288</v>
      </c>
      <c r="H118" s="12">
        <f t="shared" si="2"/>
        <v>8.7622993134659544E-2</v>
      </c>
      <c r="I118" s="13"/>
      <c r="J118" s="17"/>
      <c r="K118" s="17"/>
      <c r="L118" s="17"/>
      <c r="M118" s="17"/>
      <c r="N118" s="17"/>
      <c r="O118" s="19"/>
      <c r="P118" s="20"/>
      <c r="Q118" s="20"/>
      <c r="S118" s="15"/>
    </row>
    <row r="119" spans="1:19" ht="14.25" customHeight="1">
      <c r="A119" s="9">
        <v>30201</v>
      </c>
      <c r="B119" s="9" t="s">
        <v>143</v>
      </c>
      <c r="C119" s="10">
        <v>11231</v>
      </c>
      <c r="D119" s="10">
        <v>5563.6668169498444</v>
      </c>
      <c r="E119" s="11">
        <v>23052</v>
      </c>
      <c r="F119" s="12">
        <f t="shared" si="0"/>
        <v>0.48720284574006595</v>
      </c>
      <c r="G119" s="12">
        <f t="shared" si="1"/>
        <v>0.49538481141036811</v>
      </c>
      <c r="H119" s="12">
        <f t="shared" si="2"/>
        <v>0.24135288985553724</v>
      </c>
      <c r="I119" s="13"/>
      <c r="J119" s="17"/>
      <c r="K119" s="17"/>
      <c r="L119" s="17"/>
      <c r="M119" s="17"/>
      <c r="N119" s="17"/>
      <c r="O119" s="19"/>
      <c r="P119" s="20"/>
      <c r="Q119" s="20"/>
      <c r="S119" s="15"/>
    </row>
    <row r="120" spans="1:19" ht="14.25" customHeight="1">
      <c r="A120" s="9">
        <v>30202</v>
      </c>
      <c r="B120" s="9" t="s">
        <v>144</v>
      </c>
      <c r="C120" s="10">
        <v>3537</v>
      </c>
      <c r="D120" s="10">
        <v>1654.3333768546581</v>
      </c>
      <c r="E120" s="11">
        <v>6794</v>
      </c>
      <c r="F120" s="12">
        <f t="shared" si="0"/>
        <v>0.52060641742714164</v>
      </c>
      <c r="G120" s="12">
        <f t="shared" si="1"/>
        <v>0.46772218740589711</v>
      </c>
      <c r="H120" s="12">
        <f t="shared" si="2"/>
        <v>0.24349917233657023</v>
      </c>
      <c r="I120" s="13"/>
      <c r="J120" s="17"/>
      <c r="K120" s="17"/>
      <c r="L120" s="17"/>
      <c r="M120" s="17"/>
      <c r="N120" s="17"/>
      <c r="O120" s="19"/>
      <c r="P120" s="20"/>
      <c r="Q120" s="20"/>
      <c r="S120" s="15"/>
    </row>
    <row r="121" spans="1:19" ht="14.25" customHeight="1">
      <c r="A121" s="9">
        <v>30203</v>
      </c>
      <c r="B121" s="9" t="s">
        <v>145</v>
      </c>
      <c r="C121" s="10">
        <v>2196</v>
      </c>
      <c r="D121" s="10">
        <v>1058.0000295937061</v>
      </c>
      <c r="E121" s="11">
        <v>5587</v>
      </c>
      <c r="F121" s="12">
        <f t="shared" si="0"/>
        <v>0.39305530696259172</v>
      </c>
      <c r="G121" s="12">
        <f t="shared" si="1"/>
        <v>0.48178507722846364</v>
      </c>
      <c r="H121" s="12">
        <f t="shared" si="2"/>
        <v>0.18936818142002973</v>
      </c>
      <c r="I121" s="13"/>
      <c r="J121" s="17"/>
      <c r="K121" s="17"/>
      <c r="L121" s="17"/>
      <c r="M121" s="17"/>
      <c r="N121" s="17"/>
      <c r="O121" s="19"/>
      <c r="P121" s="20"/>
      <c r="Q121" s="20"/>
      <c r="S121" s="15"/>
    </row>
    <row r="122" spans="1:19" ht="14.25" customHeight="1">
      <c r="A122" s="9">
        <v>30301</v>
      </c>
      <c r="B122" s="9" t="s">
        <v>146</v>
      </c>
      <c r="C122" s="10">
        <v>16200</v>
      </c>
      <c r="D122" s="10">
        <v>8050.222438544035</v>
      </c>
      <c r="E122" s="11">
        <v>23392</v>
      </c>
      <c r="F122" s="12">
        <f t="shared" si="0"/>
        <v>0.69254445964432287</v>
      </c>
      <c r="G122" s="12">
        <f t="shared" si="1"/>
        <v>0.49692731102123672</v>
      </c>
      <c r="H122" s="12">
        <f t="shared" si="2"/>
        <v>0.34414425609370874</v>
      </c>
      <c r="I122" s="13"/>
      <c r="J122" s="17"/>
      <c r="K122" s="17"/>
      <c r="L122" s="17"/>
      <c r="M122" s="17"/>
      <c r="N122" s="17"/>
      <c r="O122" s="19"/>
      <c r="P122" s="20"/>
      <c r="Q122" s="20"/>
      <c r="S122" s="15"/>
    </row>
    <row r="123" spans="1:19" ht="14.25" customHeight="1">
      <c r="A123" s="9">
        <v>30302</v>
      </c>
      <c r="B123" s="9" t="s">
        <v>147</v>
      </c>
      <c r="C123" s="10">
        <v>9506</v>
      </c>
      <c r="D123" s="10">
        <v>4905.2223527431488</v>
      </c>
      <c r="E123" s="11">
        <v>12721</v>
      </c>
      <c r="F123" s="12">
        <f t="shared" si="0"/>
        <v>0.74726829651756932</v>
      </c>
      <c r="G123" s="12">
        <f t="shared" si="1"/>
        <v>0.51601329189387213</v>
      </c>
      <c r="H123" s="12">
        <f t="shared" si="2"/>
        <v>0.3856003736139571</v>
      </c>
      <c r="I123" s="13"/>
      <c r="J123" s="17"/>
      <c r="K123" s="17"/>
      <c r="L123" s="17"/>
      <c r="M123" s="17"/>
      <c r="N123" s="17"/>
      <c r="O123" s="19"/>
      <c r="P123" s="20"/>
      <c r="Q123" s="20"/>
      <c r="S123" s="15"/>
    </row>
    <row r="124" spans="1:19" ht="14.25" customHeight="1">
      <c r="A124" s="9">
        <v>30303</v>
      </c>
      <c r="B124" s="9" t="s">
        <v>148</v>
      </c>
      <c r="C124" s="10">
        <v>14737</v>
      </c>
      <c r="D124" s="10">
        <v>7436.6668672561646</v>
      </c>
      <c r="E124" s="11">
        <v>17556</v>
      </c>
      <c r="F124" s="12">
        <f t="shared" si="0"/>
        <v>0.83942811574390519</v>
      </c>
      <c r="G124" s="12">
        <f t="shared" si="1"/>
        <v>0.50462555928996167</v>
      </c>
      <c r="H124" s="12">
        <f t="shared" si="2"/>
        <v>0.42359688239098681</v>
      </c>
      <c r="I124" s="13"/>
      <c r="J124" s="17"/>
      <c r="K124" s="17"/>
      <c r="L124" s="17"/>
      <c r="M124" s="17"/>
      <c r="N124" s="17"/>
      <c r="O124" s="19"/>
      <c r="P124" s="20"/>
      <c r="Q124" s="20"/>
      <c r="S124" s="15"/>
    </row>
    <row r="125" spans="1:19" ht="14.25" customHeight="1">
      <c r="A125" s="9">
        <v>30401</v>
      </c>
      <c r="B125" s="9" t="s">
        <v>149</v>
      </c>
      <c r="C125" s="10">
        <v>2949</v>
      </c>
      <c r="D125" s="10">
        <v>1379.2222594022751</v>
      </c>
      <c r="E125" s="11">
        <v>7812</v>
      </c>
      <c r="F125" s="12">
        <f t="shared" si="0"/>
        <v>0.37749615975422429</v>
      </c>
      <c r="G125" s="12">
        <f t="shared" si="1"/>
        <v>0.46769150878340965</v>
      </c>
      <c r="H125" s="12">
        <f t="shared" si="2"/>
        <v>0.17655174851539621</v>
      </c>
      <c r="I125" s="13"/>
      <c r="J125" s="17"/>
      <c r="K125" s="17"/>
      <c r="L125" s="17"/>
      <c r="M125" s="17"/>
      <c r="N125" s="17"/>
      <c r="O125" s="19"/>
      <c r="P125" s="20"/>
      <c r="Q125" s="20"/>
      <c r="S125" s="15"/>
    </row>
    <row r="126" spans="1:19" ht="14.25" customHeight="1">
      <c r="A126" s="9">
        <v>30402</v>
      </c>
      <c r="B126" s="9" t="s">
        <v>150</v>
      </c>
      <c r="C126" s="10">
        <v>5041</v>
      </c>
      <c r="D126" s="10">
        <v>2469.4445123076439</v>
      </c>
      <c r="E126" s="11">
        <v>7161</v>
      </c>
      <c r="F126" s="12">
        <f t="shared" si="0"/>
        <v>0.70395196201647814</v>
      </c>
      <c r="G126" s="12">
        <f t="shared" si="1"/>
        <v>0.48987195245142706</v>
      </c>
      <c r="H126" s="12">
        <f t="shared" si="2"/>
        <v>0.34484632206502497</v>
      </c>
      <c r="I126" s="13"/>
      <c r="J126" s="17"/>
      <c r="K126" s="17"/>
      <c r="L126" s="17"/>
      <c r="M126" s="17"/>
      <c r="N126" s="17"/>
      <c r="O126" s="19"/>
      <c r="P126" s="20"/>
      <c r="Q126" s="20"/>
      <c r="S126" s="15"/>
    </row>
    <row r="127" spans="1:19" ht="14.25" customHeight="1">
      <c r="A127" s="9">
        <v>30403</v>
      </c>
      <c r="B127" s="9" t="s">
        <v>151</v>
      </c>
      <c r="C127" s="10">
        <v>6817</v>
      </c>
      <c r="D127" s="10">
        <v>3024.4445231854916</v>
      </c>
      <c r="E127" s="11">
        <v>17143</v>
      </c>
      <c r="F127" s="12">
        <f t="shared" si="0"/>
        <v>0.39765501954150384</v>
      </c>
      <c r="G127" s="12">
        <f t="shared" si="1"/>
        <v>0.44366209816422059</v>
      </c>
      <c r="H127" s="12">
        <f t="shared" si="2"/>
        <v>0.17642446031531772</v>
      </c>
      <c r="I127" s="13"/>
      <c r="J127" s="17"/>
      <c r="K127" s="17"/>
      <c r="L127" s="17"/>
      <c r="M127" s="17"/>
      <c r="N127" s="17"/>
      <c r="O127" s="19"/>
      <c r="P127" s="20"/>
      <c r="Q127" s="20"/>
      <c r="S127" s="15"/>
    </row>
    <row r="128" spans="1:19" ht="14.25" customHeight="1">
      <c r="A128" s="9">
        <v>30404</v>
      </c>
      <c r="B128" s="9" t="s">
        <v>152</v>
      </c>
      <c r="C128" s="10">
        <v>2704</v>
      </c>
      <c r="D128" s="10">
        <v>1265.8889214396477</v>
      </c>
      <c r="E128" s="11">
        <v>4323</v>
      </c>
      <c r="F128" s="12">
        <f t="shared" si="0"/>
        <v>0.62549155678926671</v>
      </c>
      <c r="G128" s="12">
        <f t="shared" si="1"/>
        <v>0.46815418692294664</v>
      </c>
      <c r="H128" s="12">
        <f t="shared" si="2"/>
        <v>0.29282649119584725</v>
      </c>
      <c r="I128" s="13"/>
      <c r="J128" s="17"/>
      <c r="K128" s="17"/>
      <c r="L128" s="17"/>
      <c r="M128" s="17"/>
      <c r="N128" s="17"/>
      <c r="O128" s="19"/>
      <c r="P128" s="20"/>
      <c r="Q128" s="20"/>
      <c r="S128" s="15"/>
    </row>
    <row r="129" spans="1:19" ht="14.25" customHeight="1">
      <c r="A129" s="9">
        <v>30501</v>
      </c>
      <c r="B129" s="9" t="s">
        <v>153</v>
      </c>
      <c r="C129" s="10">
        <v>2634</v>
      </c>
      <c r="D129" s="10">
        <v>1148.44447478652</v>
      </c>
      <c r="E129" s="11">
        <v>9404</v>
      </c>
      <c r="F129" s="12">
        <f t="shared" si="0"/>
        <v>0.28009357720119099</v>
      </c>
      <c r="G129" s="12">
        <f t="shared" si="1"/>
        <v>0.43600777326747153</v>
      </c>
      <c r="H129" s="12">
        <f t="shared" si="2"/>
        <v>0.12212297690201192</v>
      </c>
      <c r="I129" s="13"/>
      <c r="J129" s="17"/>
      <c r="K129" s="17"/>
      <c r="L129" s="17"/>
      <c r="M129" s="17"/>
      <c r="N129" s="17"/>
      <c r="O129" s="19"/>
      <c r="P129" s="20"/>
      <c r="Q129" s="20"/>
      <c r="S129" s="15"/>
    </row>
    <row r="130" spans="1:19" ht="14.25" customHeight="1">
      <c r="A130" s="9">
        <v>30502</v>
      </c>
      <c r="B130" s="9" t="s">
        <v>154</v>
      </c>
      <c r="C130" s="10">
        <v>4741</v>
      </c>
      <c r="D130" s="10">
        <v>2108.555610537529</v>
      </c>
      <c r="E130" s="11">
        <v>8907</v>
      </c>
      <c r="F130" s="12">
        <f t="shared" si="0"/>
        <v>0.53227798360839784</v>
      </c>
      <c r="G130" s="12">
        <f t="shared" si="1"/>
        <v>0.44474912687988377</v>
      </c>
      <c r="H130" s="12">
        <f t="shared" si="2"/>
        <v>0.23673016846722003</v>
      </c>
      <c r="I130" s="13"/>
      <c r="J130" s="17"/>
      <c r="K130" s="17"/>
      <c r="L130" s="17"/>
      <c r="M130" s="17"/>
      <c r="N130" s="17"/>
      <c r="O130" s="19"/>
      <c r="P130" s="20"/>
      <c r="Q130" s="20"/>
      <c r="S130" s="15"/>
    </row>
    <row r="131" spans="1:19" ht="14.25" customHeight="1">
      <c r="A131" s="9">
        <v>30601</v>
      </c>
      <c r="B131" s="9" t="s">
        <v>155</v>
      </c>
      <c r="C131" s="10">
        <v>8464</v>
      </c>
      <c r="D131" s="10">
        <v>4346.3334520459175</v>
      </c>
      <c r="E131" s="11">
        <v>10486</v>
      </c>
      <c r="F131" s="12">
        <f t="shared" si="0"/>
        <v>0.80717146671752815</v>
      </c>
      <c r="G131" s="12">
        <f t="shared" si="1"/>
        <v>0.51350820558198462</v>
      </c>
      <c r="H131" s="12">
        <f t="shared" si="2"/>
        <v>0.41448917147109648</v>
      </c>
      <c r="I131" s="13"/>
      <c r="J131" s="17"/>
      <c r="K131" s="17"/>
      <c r="L131" s="17"/>
      <c r="M131" s="17"/>
      <c r="N131" s="17"/>
      <c r="O131" s="19"/>
      <c r="P131" s="20"/>
      <c r="Q131" s="20"/>
      <c r="S131" s="15"/>
    </row>
    <row r="132" spans="1:19" ht="14.25" customHeight="1">
      <c r="A132" s="9">
        <v>30602</v>
      </c>
      <c r="B132" s="9" t="s">
        <v>156</v>
      </c>
      <c r="C132" s="10">
        <v>7105</v>
      </c>
      <c r="D132" s="10">
        <v>3173.5556367635727</v>
      </c>
      <c r="E132" s="11">
        <v>10111</v>
      </c>
      <c r="F132" s="12">
        <f t="shared" si="0"/>
        <v>0.7027000296706557</v>
      </c>
      <c r="G132" s="12">
        <f t="shared" si="1"/>
        <v>0.4466651142524381</v>
      </c>
      <c r="H132" s="12">
        <f t="shared" si="2"/>
        <v>0.31387158903803508</v>
      </c>
      <c r="I132" s="13"/>
      <c r="J132" s="17"/>
      <c r="K132" s="17"/>
      <c r="L132" s="17"/>
      <c r="M132" s="17"/>
      <c r="N132" s="17"/>
      <c r="O132" s="19"/>
      <c r="P132" s="20"/>
      <c r="Q132" s="20"/>
      <c r="S132" s="15"/>
    </row>
    <row r="133" spans="1:19" ht="14.25" customHeight="1">
      <c r="A133" s="9">
        <v>30701</v>
      </c>
      <c r="B133" s="9" t="s">
        <v>157</v>
      </c>
      <c r="C133" s="10">
        <v>6591</v>
      </c>
      <c r="D133" s="10">
        <v>2990.222297668457</v>
      </c>
      <c r="E133" s="11">
        <v>19181</v>
      </c>
      <c r="F133" s="12">
        <f t="shared" si="0"/>
        <v>0.34362129190344609</v>
      </c>
      <c r="G133" s="12">
        <f t="shared" si="1"/>
        <v>0.45368264264428115</v>
      </c>
      <c r="H133" s="12">
        <f t="shared" si="2"/>
        <v>0.15589501577959736</v>
      </c>
      <c r="I133" s="13"/>
      <c r="J133" s="17"/>
      <c r="K133" s="17"/>
      <c r="L133" s="17"/>
      <c r="M133" s="17"/>
      <c r="N133" s="17"/>
      <c r="O133" s="19"/>
      <c r="P133" s="20"/>
      <c r="Q133" s="20"/>
      <c r="S133" s="15"/>
    </row>
    <row r="134" spans="1:19" ht="14.25" customHeight="1">
      <c r="A134" s="9">
        <v>30702</v>
      </c>
      <c r="B134" s="9" t="s">
        <v>158</v>
      </c>
      <c r="C134" s="10">
        <v>2110</v>
      </c>
      <c r="D134" s="10">
        <v>926.88891246914864</v>
      </c>
      <c r="E134" s="11">
        <v>6368</v>
      </c>
      <c r="F134" s="12">
        <f t="shared" si="0"/>
        <v>0.33134422110552764</v>
      </c>
      <c r="G134" s="12">
        <f t="shared" si="1"/>
        <v>0.43928384477210836</v>
      </c>
      <c r="H134" s="12">
        <f t="shared" si="2"/>
        <v>0.14555416339025576</v>
      </c>
      <c r="I134" s="13"/>
      <c r="J134" s="17"/>
      <c r="K134" s="17"/>
      <c r="L134" s="17"/>
      <c r="M134" s="17"/>
      <c r="N134" s="17"/>
      <c r="O134" s="19"/>
      <c r="P134" s="20"/>
      <c r="Q134" s="20"/>
      <c r="S134" s="15"/>
    </row>
    <row r="135" spans="1:19" ht="14.25" customHeight="1">
      <c r="A135" s="9">
        <v>30703</v>
      </c>
      <c r="B135" s="9" t="s">
        <v>159</v>
      </c>
      <c r="C135" s="10">
        <v>2136</v>
      </c>
      <c r="D135" s="10">
        <v>1010.2222499549389</v>
      </c>
      <c r="E135" s="11">
        <v>3717</v>
      </c>
      <c r="F135" s="12">
        <f t="shared" si="0"/>
        <v>0.57465698143664246</v>
      </c>
      <c r="G135" s="12">
        <f t="shared" si="1"/>
        <v>0.47295049155193769</v>
      </c>
      <c r="H135" s="12">
        <f t="shared" si="2"/>
        <v>0.27178430184421276</v>
      </c>
      <c r="I135" s="13"/>
      <c r="J135" s="17"/>
      <c r="K135" s="17"/>
      <c r="L135" s="17"/>
      <c r="M135" s="17"/>
      <c r="N135" s="17"/>
      <c r="O135" s="19"/>
      <c r="P135" s="20"/>
      <c r="Q135" s="20"/>
      <c r="S135" s="15"/>
    </row>
    <row r="136" spans="1:19" ht="14.25" customHeight="1">
      <c r="A136" s="9">
        <v>30801</v>
      </c>
      <c r="B136" s="9" t="s">
        <v>160</v>
      </c>
      <c r="C136" s="10">
        <v>3361</v>
      </c>
      <c r="D136" s="10">
        <v>1280.8889215290546</v>
      </c>
      <c r="E136" s="11">
        <v>21768</v>
      </c>
      <c r="F136" s="12">
        <f t="shared" si="0"/>
        <v>0.15440095553105476</v>
      </c>
      <c r="G136" s="12">
        <f t="shared" si="1"/>
        <v>0.38110351726541347</v>
      </c>
      <c r="H136" s="12">
        <f t="shared" si="2"/>
        <v>5.8842747222025669E-2</v>
      </c>
      <c r="I136" s="13"/>
      <c r="J136" s="17"/>
      <c r="K136" s="17"/>
      <c r="L136" s="17"/>
      <c r="M136" s="17"/>
      <c r="N136" s="17"/>
      <c r="O136" s="19"/>
      <c r="P136" s="20"/>
      <c r="Q136" s="20"/>
      <c r="S136" s="15"/>
    </row>
    <row r="137" spans="1:19" ht="14.25" customHeight="1">
      <c r="A137" s="9">
        <v>30802</v>
      </c>
      <c r="B137" s="9" t="s">
        <v>161</v>
      </c>
      <c r="C137" s="10">
        <v>1987</v>
      </c>
      <c r="D137" s="10">
        <v>822.77779838442802</v>
      </c>
      <c r="E137" s="11">
        <v>7034</v>
      </c>
      <c r="F137" s="12">
        <f t="shared" si="0"/>
        <v>0.28248507250497584</v>
      </c>
      <c r="G137" s="12">
        <f t="shared" si="1"/>
        <v>0.41408042193479017</v>
      </c>
      <c r="H137" s="12">
        <f t="shared" si="2"/>
        <v>0.11697153801314018</v>
      </c>
      <c r="I137" s="13"/>
      <c r="J137" s="17"/>
      <c r="K137" s="17"/>
      <c r="L137" s="17"/>
      <c r="M137" s="17"/>
      <c r="N137" s="17"/>
      <c r="O137" s="19"/>
      <c r="P137" s="20"/>
      <c r="Q137" s="20"/>
      <c r="S137" s="15"/>
    </row>
    <row r="138" spans="1:19" ht="14.25" customHeight="1">
      <c r="A138" s="9">
        <v>30803</v>
      </c>
      <c r="B138" s="9" t="s">
        <v>162</v>
      </c>
      <c r="C138" s="10">
        <v>1227</v>
      </c>
      <c r="D138" s="10">
        <v>480.66667857766151</v>
      </c>
      <c r="E138" s="11">
        <v>5130</v>
      </c>
      <c r="F138" s="12">
        <f t="shared" si="0"/>
        <v>0.23918128654970761</v>
      </c>
      <c r="G138" s="12">
        <f t="shared" si="1"/>
        <v>0.39174138433387246</v>
      </c>
      <c r="H138" s="12">
        <f t="shared" si="2"/>
        <v>9.3697208299739085E-2</v>
      </c>
      <c r="I138" s="13"/>
      <c r="J138" s="17"/>
      <c r="K138" s="17"/>
      <c r="L138" s="17"/>
      <c r="M138" s="17"/>
      <c r="N138" s="17"/>
      <c r="O138" s="19"/>
      <c r="P138" s="20"/>
      <c r="Q138" s="20"/>
      <c r="S138" s="15"/>
    </row>
    <row r="139" spans="1:19" ht="14.25" customHeight="1">
      <c r="A139" s="9">
        <v>30901</v>
      </c>
      <c r="B139" s="9" t="s">
        <v>163</v>
      </c>
      <c r="C139" s="10">
        <v>21689</v>
      </c>
      <c r="D139" s="10">
        <v>8645.1113337576389</v>
      </c>
      <c r="E139" s="11">
        <v>134859</v>
      </c>
      <c r="F139" s="12">
        <f t="shared" si="0"/>
        <v>0.16082723437071311</v>
      </c>
      <c r="G139" s="12">
        <f t="shared" si="1"/>
        <v>0.39859427976198253</v>
      </c>
      <c r="H139" s="12">
        <f t="shared" si="2"/>
        <v>6.4104815650105951E-2</v>
      </c>
      <c r="I139" s="13"/>
      <c r="J139" s="17"/>
      <c r="K139" s="17"/>
      <c r="L139" s="17"/>
      <c r="M139" s="17"/>
      <c r="N139" s="17"/>
      <c r="O139" s="19"/>
      <c r="P139" s="20"/>
      <c r="Q139" s="20"/>
      <c r="S139" s="15"/>
    </row>
    <row r="140" spans="1:19" ht="14.25" customHeight="1">
      <c r="A140" s="9">
        <v>30902</v>
      </c>
      <c r="B140" s="9" t="s">
        <v>164</v>
      </c>
      <c r="C140" s="10">
        <v>11065</v>
      </c>
      <c r="D140" s="10">
        <v>4961.7779063284397</v>
      </c>
      <c r="E140" s="11">
        <v>40929</v>
      </c>
      <c r="F140" s="12">
        <f t="shared" si="0"/>
        <v>0.27034620928925701</v>
      </c>
      <c r="G140" s="12">
        <f t="shared" si="1"/>
        <v>0.44842095854753183</v>
      </c>
      <c r="H140" s="12">
        <f t="shared" si="2"/>
        <v>0.12122890630918029</v>
      </c>
      <c r="I140" s="13"/>
      <c r="J140" s="17"/>
      <c r="K140" s="17"/>
      <c r="L140" s="17"/>
      <c r="M140" s="17"/>
      <c r="N140" s="17"/>
      <c r="O140" s="19"/>
      <c r="P140" s="20"/>
      <c r="Q140" s="20"/>
      <c r="S140" s="15"/>
    </row>
    <row r="141" spans="1:19" ht="14.25" customHeight="1">
      <c r="A141" s="9">
        <v>30903</v>
      </c>
      <c r="B141" s="9" t="s">
        <v>165</v>
      </c>
      <c r="C141" s="10">
        <v>12908</v>
      </c>
      <c r="D141" s="10">
        <v>5263.2223581373692</v>
      </c>
      <c r="E141" s="11">
        <v>52820</v>
      </c>
      <c r="F141" s="12">
        <f t="shared" si="0"/>
        <v>0.24437712987504734</v>
      </c>
      <c r="G141" s="12">
        <f t="shared" si="1"/>
        <v>0.40774886567534624</v>
      </c>
      <c r="H141" s="12">
        <f t="shared" si="2"/>
        <v>9.9644497503547313E-2</v>
      </c>
      <c r="I141" s="13"/>
      <c r="J141" s="17"/>
      <c r="K141" s="17"/>
      <c r="L141" s="17"/>
      <c r="M141" s="17"/>
      <c r="N141" s="17"/>
      <c r="O141" s="19"/>
      <c r="P141" s="20"/>
      <c r="Q141" s="20"/>
      <c r="S141" s="15"/>
    </row>
    <row r="142" spans="1:19" ht="14.25" customHeight="1">
      <c r="A142" s="9">
        <v>30904</v>
      </c>
      <c r="B142" s="9" t="s">
        <v>166</v>
      </c>
      <c r="C142" s="10">
        <v>13762</v>
      </c>
      <c r="D142" s="10">
        <v>5612.6668087542057</v>
      </c>
      <c r="E142" s="11">
        <v>51404</v>
      </c>
      <c r="F142" s="12">
        <f t="shared" si="0"/>
        <v>0.26772235623686874</v>
      </c>
      <c r="G142" s="12">
        <f t="shared" si="1"/>
        <v>0.40783801836609546</v>
      </c>
      <c r="H142" s="12">
        <f t="shared" si="2"/>
        <v>0.10918735523994642</v>
      </c>
      <c r="I142" s="13"/>
      <c r="J142" s="17"/>
      <c r="K142" s="17"/>
      <c r="L142" s="17"/>
      <c r="M142" s="17"/>
      <c r="N142" s="17"/>
      <c r="O142" s="19"/>
      <c r="P142" s="20"/>
      <c r="Q142" s="20"/>
      <c r="S142" s="15"/>
    </row>
    <row r="143" spans="1:19" ht="14.25" customHeight="1">
      <c r="A143" s="9">
        <v>30905</v>
      </c>
      <c r="B143" s="9" t="s">
        <v>167</v>
      </c>
      <c r="C143" s="10">
        <v>5378</v>
      </c>
      <c r="D143" s="10">
        <v>2002.2222715914249</v>
      </c>
      <c r="E143" s="11">
        <v>51319</v>
      </c>
      <c r="F143" s="12">
        <f t="shared" si="0"/>
        <v>0.10479549484596348</v>
      </c>
      <c r="G143" s="12">
        <f t="shared" si="1"/>
        <v>0.37229867452425158</v>
      </c>
      <c r="H143" s="12">
        <f t="shared" si="2"/>
        <v>3.9015223827265244E-2</v>
      </c>
      <c r="I143" s="13"/>
      <c r="J143" s="17"/>
      <c r="K143" s="17"/>
      <c r="L143" s="17"/>
      <c r="M143" s="17"/>
      <c r="N143" s="17"/>
      <c r="O143" s="19"/>
      <c r="P143" s="20"/>
      <c r="Q143" s="20"/>
      <c r="S143" s="15"/>
    </row>
    <row r="144" spans="1:19" ht="14.25" customHeight="1">
      <c r="A144" s="9">
        <v>31001</v>
      </c>
      <c r="B144" s="9" t="s">
        <v>168</v>
      </c>
      <c r="C144" s="10">
        <v>39722</v>
      </c>
      <c r="D144" s="10">
        <v>16217.222635567188</v>
      </c>
      <c r="E144" s="11">
        <v>169736</v>
      </c>
      <c r="F144" s="12">
        <f t="shared" si="0"/>
        <v>0.23402224631191967</v>
      </c>
      <c r="G144" s="12">
        <f t="shared" si="1"/>
        <v>0.40826802868856521</v>
      </c>
      <c r="H144" s="12">
        <f t="shared" si="2"/>
        <v>9.5543801171037293E-2</v>
      </c>
      <c r="I144" s="13"/>
      <c r="J144" s="17"/>
      <c r="K144" s="17"/>
      <c r="L144" s="17"/>
      <c r="M144" s="17"/>
      <c r="N144" s="17"/>
      <c r="O144" s="19"/>
      <c r="P144" s="20"/>
      <c r="Q144" s="20"/>
      <c r="S144" s="15"/>
    </row>
    <row r="145" spans="1:19" ht="14.25" customHeight="1">
      <c r="A145" s="9">
        <v>31002</v>
      </c>
      <c r="B145" s="9" t="s">
        <v>169</v>
      </c>
      <c r="C145" s="10">
        <v>7826</v>
      </c>
      <c r="D145" s="10">
        <v>3544.3334226608276</v>
      </c>
      <c r="E145" s="11">
        <v>18733</v>
      </c>
      <c r="F145" s="12">
        <f t="shared" si="0"/>
        <v>0.41776544066620402</v>
      </c>
      <c r="G145" s="12">
        <f t="shared" si="1"/>
        <v>0.45289208058533448</v>
      </c>
      <c r="H145" s="12">
        <f t="shared" si="2"/>
        <v>0.18920265961996624</v>
      </c>
      <c r="I145" s="13"/>
      <c r="J145" s="17"/>
      <c r="K145" s="17"/>
      <c r="L145" s="17"/>
      <c r="M145" s="17"/>
      <c r="N145" s="17"/>
      <c r="O145" s="19"/>
      <c r="P145" s="20"/>
      <c r="Q145" s="20"/>
      <c r="S145" s="15"/>
    </row>
    <row r="146" spans="1:19" ht="14.25" customHeight="1">
      <c r="A146" s="9">
        <v>31003</v>
      </c>
      <c r="B146" s="9" t="s">
        <v>170</v>
      </c>
      <c r="C146" s="10">
        <v>40884</v>
      </c>
      <c r="D146" s="10">
        <v>18416.111571162939</v>
      </c>
      <c r="E146" s="11">
        <v>69205</v>
      </c>
      <c r="F146" s="12">
        <f t="shared" si="0"/>
        <v>0.59076656310960196</v>
      </c>
      <c r="G146" s="12">
        <f t="shared" si="1"/>
        <v>0.45044789089039572</v>
      </c>
      <c r="H146" s="12">
        <f t="shared" si="2"/>
        <v>0.26610955236128808</v>
      </c>
      <c r="I146" s="13"/>
      <c r="J146" s="17"/>
      <c r="K146" s="17"/>
      <c r="L146" s="17"/>
      <c r="M146" s="17"/>
      <c r="N146" s="17"/>
      <c r="O146" s="19"/>
      <c r="P146" s="20"/>
      <c r="Q146" s="20"/>
      <c r="S146" s="15"/>
    </row>
    <row r="147" spans="1:19" ht="14.25" customHeight="1">
      <c r="A147" s="9">
        <v>31101</v>
      </c>
      <c r="B147" s="9" t="s">
        <v>171</v>
      </c>
      <c r="C147" s="10">
        <v>19681</v>
      </c>
      <c r="D147" s="10">
        <v>9963.8891572952271</v>
      </c>
      <c r="E147" s="11">
        <v>24401</v>
      </c>
      <c r="F147" s="12">
        <f t="shared" si="0"/>
        <v>0.80656530470062704</v>
      </c>
      <c r="G147" s="12">
        <f t="shared" si="1"/>
        <v>0.50626945568290371</v>
      </c>
      <c r="H147" s="12">
        <f t="shared" si="2"/>
        <v>0.40833937778350182</v>
      </c>
      <c r="I147" s="13"/>
      <c r="J147" s="17"/>
      <c r="K147" s="17"/>
      <c r="L147" s="17"/>
      <c r="M147" s="17"/>
      <c r="N147" s="17"/>
      <c r="O147" s="19"/>
      <c r="P147" s="20"/>
      <c r="Q147" s="20"/>
      <c r="S147" s="15"/>
    </row>
    <row r="148" spans="1:19" ht="14.25" customHeight="1">
      <c r="A148" s="9">
        <v>31201</v>
      </c>
      <c r="B148" s="9" t="s">
        <v>172</v>
      </c>
      <c r="C148" s="10">
        <v>10333</v>
      </c>
      <c r="D148" s="10">
        <v>5243.4445834159851</v>
      </c>
      <c r="E148" s="11">
        <v>14524</v>
      </c>
      <c r="F148" s="12">
        <f t="shared" si="0"/>
        <v>0.71144312861470671</v>
      </c>
      <c r="G148" s="12">
        <f t="shared" si="1"/>
        <v>0.50744649021736044</v>
      </c>
      <c r="H148" s="12">
        <f t="shared" si="2"/>
        <v>0.36101931860479108</v>
      </c>
      <c r="I148" s="13"/>
      <c r="J148" s="17"/>
      <c r="K148" s="17"/>
      <c r="L148" s="17"/>
      <c r="M148" s="17"/>
      <c r="N148" s="17"/>
      <c r="O148" s="19"/>
      <c r="P148" s="20"/>
      <c r="Q148" s="20"/>
      <c r="S148" s="15"/>
    </row>
    <row r="149" spans="1:19" ht="14.25" customHeight="1">
      <c r="A149" s="9">
        <v>31202</v>
      </c>
      <c r="B149" s="9" t="s">
        <v>173</v>
      </c>
      <c r="C149" s="10">
        <v>7177</v>
      </c>
      <c r="D149" s="10">
        <v>3651.3334329724312</v>
      </c>
      <c r="E149" s="11">
        <v>10072</v>
      </c>
      <c r="F149" s="12">
        <f t="shared" si="0"/>
        <v>0.71256949960285942</v>
      </c>
      <c r="G149" s="12">
        <f t="shared" si="1"/>
        <v>0.5087548325167105</v>
      </c>
      <c r="H149" s="12">
        <f t="shared" si="2"/>
        <v>0.36252317642696896</v>
      </c>
      <c r="I149" s="13"/>
      <c r="J149" s="17"/>
      <c r="K149" s="17"/>
      <c r="L149" s="17"/>
      <c r="M149" s="17"/>
      <c r="N149" s="17"/>
      <c r="O149" s="19"/>
      <c r="P149" s="20"/>
      <c r="Q149" s="20"/>
      <c r="S149" s="15"/>
    </row>
    <row r="150" spans="1:19" ht="14.25" customHeight="1">
      <c r="A150" s="9">
        <v>31203</v>
      </c>
      <c r="B150" s="9" t="s">
        <v>174</v>
      </c>
      <c r="C150" s="10">
        <v>5443</v>
      </c>
      <c r="D150" s="10">
        <v>2426.6667278409004</v>
      </c>
      <c r="E150" s="11">
        <v>10538</v>
      </c>
      <c r="F150" s="12">
        <f t="shared" si="0"/>
        <v>0.51651167204403114</v>
      </c>
      <c r="G150" s="12">
        <f t="shared" si="1"/>
        <v>0.44583257906318213</v>
      </c>
      <c r="H150" s="12">
        <f t="shared" si="2"/>
        <v>0.23027773086362691</v>
      </c>
      <c r="I150" s="13"/>
      <c r="J150" s="17"/>
      <c r="K150" s="17"/>
      <c r="L150" s="17"/>
      <c r="M150" s="17"/>
      <c r="N150" s="17"/>
      <c r="O150" s="19"/>
      <c r="P150" s="20"/>
      <c r="Q150" s="20"/>
      <c r="S150" s="15"/>
    </row>
    <row r="151" spans="1:19" ht="14.25" customHeight="1">
      <c r="A151" s="9">
        <v>31204</v>
      </c>
      <c r="B151" s="9" t="s">
        <v>175</v>
      </c>
      <c r="C151" s="10">
        <v>10998</v>
      </c>
      <c r="D151" s="10">
        <v>5041.333465129137</v>
      </c>
      <c r="E151" s="11">
        <v>20691</v>
      </c>
      <c r="F151" s="12">
        <f t="shared" si="0"/>
        <v>0.53153545019573722</v>
      </c>
      <c r="G151" s="12">
        <f t="shared" si="1"/>
        <v>0.45838638526360587</v>
      </c>
      <c r="H151" s="12">
        <f t="shared" si="2"/>
        <v>0.2436486136546874</v>
      </c>
      <c r="I151" s="13"/>
      <c r="J151" s="17"/>
      <c r="K151" s="17"/>
      <c r="L151" s="17"/>
      <c r="M151" s="17"/>
      <c r="N151" s="17"/>
      <c r="O151" s="19"/>
      <c r="P151" s="20"/>
      <c r="Q151" s="20"/>
      <c r="S151" s="15"/>
    </row>
    <row r="152" spans="1:19" ht="14.25" customHeight="1">
      <c r="A152" s="9">
        <v>31205</v>
      </c>
      <c r="B152" s="9" t="s">
        <v>176</v>
      </c>
      <c r="C152" s="10">
        <v>22345</v>
      </c>
      <c r="D152" s="10">
        <v>10017.889139473438</v>
      </c>
      <c r="E152" s="11">
        <v>45607</v>
      </c>
      <c r="F152" s="12">
        <f t="shared" si="0"/>
        <v>0.48994671870546186</v>
      </c>
      <c r="G152" s="12">
        <f t="shared" si="1"/>
        <v>0.4483279990813801</v>
      </c>
      <c r="H152" s="12">
        <f t="shared" si="2"/>
        <v>0.21965683205370751</v>
      </c>
      <c r="I152" s="13"/>
      <c r="J152" s="17"/>
      <c r="K152" s="17"/>
      <c r="L152" s="17"/>
      <c r="M152" s="17"/>
      <c r="N152" s="17"/>
      <c r="O152" s="19"/>
      <c r="P152" s="20"/>
      <c r="Q152" s="20"/>
      <c r="S152" s="15"/>
    </row>
    <row r="153" spans="1:19" ht="14.25" customHeight="1">
      <c r="A153" s="9">
        <v>31206</v>
      </c>
      <c r="B153" s="9" t="s">
        <v>177</v>
      </c>
      <c r="C153" s="10">
        <v>15079</v>
      </c>
      <c r="D153" s="10">
        <v>6643.5557159483433</v>
      </c>
      <c r="E153" s="11">
        <v>29584</v>
      </c>
      <c r="F153" s="12">
        <f t="shared" si="0"/>
        <v>0.50970118983234181</v>
      </c>
      <c r="G153" s="12">
        <f t="shared" si="1"/>
        <v>0.4405833089693178</v>
      </c>
      <c r="H153" s="12">
        <f t="shared" si="2"/>
        <v>0.22456583680193157</v>
      </c>
      <c r="I153" s="13"/>
      <c r="J153" s="17"/>
      <c r="K153" s="17"/>
      <c r="L153" s="17"/>
      <c r="M153" s="17"/>
      <c r="N153" s="17"/>
      <c r="O153" s="19"/>
      <c r="P153" s="20"/>
      <c r="Q153" s="20"/>
      <c r="S153" s="15"/>
    </row>
    <row r="154" spans="1:19" ht="14.25" customHeight="1">
      <c r="A154" s="9">
        <v>31301</v>
      </c>
      <c r="B154" s="9" t="s">
        <v>178</v>
      </c>
      <c r="C154" s="10">
        <v>10767</v>
      </c>
      <c r="D154" s="10">
        <v>5302.0001401007175</v>
      </c>
      <c r="E154" s="11">
        <v>19566</v>
      </c>
      <c r="F154" s="12">
        <f t="shared" si="0"/>
        <v>0.55029132168046613</v>
      </c>
      <c r="G154" s="12">
        <f t="shared" si="1"/>
        <v>0.4924305879168494</v>
      </c>
      <c r="H154" s="12">
        <f t="shared" si="2"/>
        <v>0.27098027906065203</v>
      </c>
      <c r="I154" s="13"/>
      <c r="J154" s="17"/>
      <c r="K154" s="17"/>
      <c r="L154" s="17"/>
      <c r="M154" s="17"/>
      <c r="N154" s="17"/>
      <c r="O154" s="19"/>
      <c r="P154" s="20"/>
      <c r="Q154" s="20"/>
      <c r="S154" s="15"/>
    </row>
    <row r="155" spans="1:19" ht="14.25" customHeight="1">
      <c r="A155" s="9">
        <v>31302</v>
      </c>
      <c r="B155" s="9" t="s">
        <v>179</v>
      </c>
      <c r="C155" s="10">
        <v>4545</v>
      </c>
      <c r="D155" s="10">
        <v>2496.1111797392368</v>
      </c>
      <c r="E155" s="11">
        <v>5416</v>
      </c>
      <c r="F155" s="12">
        <f t="shared" si="0"/>
        <v>0.83918020679468242</v>
      </c>
      <c r="G155" s="12">
        <f t="shared" si="1"/>
        <v>0.54919937948058017</v>
      </c>
      <c r="H155" s="12">
        <f t="shared" si="2"/>
        <v>0.46087724884402453</v>
      </c>
      <c r="I155" s="13"/>
      <c r="J155" s="17"/>
      <c r="K155" s="17"/>
      <c r="L155" s="17"/>
      <c r="M155" s="17"/>
      <c r="N155" s="17"/>
      <c r="O155" s="19"/>
      <c r="P155" s="20"/>
      <c r="Q155" s="20"/>
      <c r="S155" s="15"/>
    </row>
    <row r="156" spans="1:19" ht="14.25" customHeight="1">
      <c r="A156" s="9">
        <v>31303</v>
      </c>
      <c r="B156" s="9" t="s">
        <v>180</v>
      </c>
      <c r="C156" s="10">
        <v>3068</v>
      </c>
      <c r="D156" s="10">
        <v>1635.7778209149837</v>
      </c>
      <c r="E156" s="11">
        <v>3418</v>
      </c>
      <c r="F156" s="12">
        <f t="shared" si="0"/>
        <v>0.89760093622001169</v>
      </c>
      <c r="G156" s="12">
        <f t="shared" si="1"/>
        <v>0.53317399638689167</v>
      </c>
      <c r="H156" s="12">
        <f t="shared" si="2"/>
        <v>0.47857747832503911</v>
      </c>
      <c r="I156" s="13"/>
      <c r="J156" s="17"/>
      <c r="K156" s="17"/>
      <c r="L156" s="17"/>
      <c r="M156" s="17"/>
      <c r="N156" s="17"/>
      <c r="O156" s="19"/>
      <c r="P156" s="20"/>
      <c r="Q156" s="20"/>
      <c r="S156" s="15"/>
    </row>
    <row r="157" spans="1:19" ht="14.25" customHeight="1">
      <c r="A157" s="9">
        <v>31304</v>
      </c>
      <c r="B157" s="9" t="s">
        <v>181</v>
      </c>
      <c r="C157" s="10">
        <v>6625</v>
      </c>
      <c r="D157" s="10">
        <v>3953.8889941573143</v>
      </c>
      <c r="E157" s="11">
        <v>7021</v>
      </c>
      <c r="F157" s="12">
        <f t="shared" si="0"/>
        <v>0.94359777809428858</v>
      </c>
      <c r="G157" s="12">
        <f t="shared" si="1"/>
        <v>0.59681343308034929</v>
      </c>
      <c r="H157" s="12">
        <f t="shared" si="2"/>
        <v>0.56315182939144193</v>
      </c>
      <c r="I157" s="13"/>
      <c r="J157" s="17"/>
      <c r="K157" s="17"/>
      <c r="L157" s="17"/>
      <c r="M157" s="17"/>
      <c r="N157" s="17"/>
      <c r="O157" s="19"/>
      <c r="P157" s="20"/>
      <c r="Q157" s="20"/>
      <c r="S157" s="15"/>
    </row>
    <row r="158" spans="1:19" ht="14.25" customHeight="1">
      <c r="A158" s="9">
        <v>31401</v>
      </c>
      <c r="B158" s="9" t="s">
        <v>182</v>
      </c>
      <c r="C158" s="10">
        <v>4381</v>
      </c>
      <c r="D158" s="10">
        <v>1696.111153781414</v>
      </c>
      <c r="E158" s="11">
        <v>28684</v>
      </c>
      <c r="F158" s="12">
        <f t="shared" si="0"/>
        <v>0.15273323106958583</v>
      </c>
      <c r="G158" s="12">
        <f t="shared" si="1"/>
        <v>0.38715159867185894</v>
      </c>
      <c r="H158" s="12">
        <f t="shared" si="2"/>
        <v>5.9130914578908594E-2</v>
      </c>
      <c r="I158" s="13"/>
      <c r="J158" s="17"/>
      <c r="K158" s="17"/>
      <c r="L158" s="17"/>
      <c r="M158" s="17"/>
      <c r="N158" s="17"/>
      <c r="O158" s="19"/>
      <c r="P158" s="20"/>
      <c r="Q158" s="20"/>
      <c r="S158" s="15"/>
    </row>
    <row r="159" spans="1:19" ht="14.25" customHeight="1">
      <c r="A159" s="9">
        <v>31402</v>
      </c>
      <c r="B159" s="9" t="s">
        <v>183</v>
      </c>
      <c r="C159" s="10">
        <v>2389</v>
      </c>
      <c r="D159" s="10">
        <v>938.55557888746262</v>
      </c>
      <c r="E159" s="11">
        <v>8123</v>
      </c>
      <c r="F159" s="12">
        <f t="shared" si="0"/>
        <v>0.29410316385571833</v>
      </c>
      <c r="G159" s="12">
        <f t="shared" si="1"/>
        <v>0.3928654578850827</v>
      </c>
      <c r="H159" s="12">
        <f t="shared" si="2"/>
        <v>0.11554297413362828</v>
      </c>
      <c r="I159" s="13"/>
      <c r="J159" s="17"/>
      <c r="K159" s="17"/>
      <c r="L159" s="17"/>
      <c r="M159" s="17"/>
      <c r="N159" s="17"/>
      <c r="O159" s="19"/>
      <c r="P159" s="20"/>
      <c r="Q159" s="20"/>
      <c r="S159" s="15"/>
    </row>
    <row r="160" spans="1:19" ht="14.25" customHeight="1">
      <c r="A160" s="9">
        <v>31403</v>
      </c>
      <c r="B160" s="9" t="s">
        <v>184</v>
      </c>
      <c r="C160" s="10">
        <v>3129</v>
      </c>
      <c r="D160" s="10">
        <v>1245.555586129427</v>
      </c>
      <c r="E160" s="11">
        <v>13386</v>
      </c>
      <c r="F160" s="12">
        <f t="shared" si="0"/>
        <v>0.23375168086060064</v>
      </c>
      <c r="G160" s="12">
        <f t="shared" si="1"/>
        <v>0.39806826018837549</v>
      </c>
      <c r="H160" s="12">
        <f t="shared" si="2"/>
        <v>9.3049124916287682E-2</v>
      </c>
      <c r="I160" s="13"/>
      <c r="J160" s="17"/>
      <c r="K160" s="17"/>
      <c r="L160" s="17"/>
      <c r="M160" s="17"/>
      <c r="N160" s="17"/>
      <c r="O160" s="19"/>
      <c r="P160" s="20"/>
      <c r="Q160" s="20"/>
      <c r="S160" s="15"/>
    </row>
    <row r="161" spans="1:19" ht="14.25" customHeight="1">
      <c r="A161" s="9">
        <v>31404</v>
      </c>
      <c r="B161" s="9" t="s">
        <v>185</v>
      </c>
      <c r="C161" s="10">
        <v>625</v>
      </c>
      <c r="D161" s="10">
        <v>252.4444514811039</v>
      </c>
      <c r="E161" s="11">
        <v>1296</v>
      </c>
      <c r="F161" s="12">
        <f t="shared" si="0"/>
        <v>0.48225308641975306</v>
      </c>
      <c r="G161" s="12">
        <f t="shared" si="1"/>
        <v>0.40391112236976623</v>
      </c>
      <c r="H161" s="12">
        <f t="shared" si="2"/>
        <v>0.19478738540208632</v>
      </c>
      <c r="I161" s="13"/>
      <c r="J161" s="17"/>
      <c r="K161" s="17"/>
      <c r="L161" s="17"/>
      <c r="M161" s="17"/>
      <c r="N161" s="17"/>
      <c r="O161" s="19"/>
      <c r="P161" s="20"/>
      <c r="Q161" s="20"/>
      <c r="S161" s="15"/>
    </row>
    <row r="162" spans="1:19" ht="14.25" customHeight="1">
      <c r="A162" s="9">
        <v>31405</v>
      </c>
      <c r="B162" s="9" t="s">
        <v>186</v>
      </c>
      <c r="C162" s="10">
        <v>1453</v>
      </c>
      <c r="D162" s="10">
        <v>641.11112624406815</v>
      </c>
      <c r="E162" s="11">
        <v>2758</v>
      </c>
      <c r="F162" s="12">
        <f t="shared" si="0"/>
        <v>0.52683103698332123</v>
      </c>
      <c r="G162" s="12">
        <f t="shared" si="1"/>
        <v>0.44123270904615841</v>
      </c>
      <c r="H162" s="12">
        <f t="shared" si="2"/>
        <v>0.2324550856577477</v>
      </c>
      <c r="I162" s="13"/>
      <c r="J162" s="17"/>
      <c r="K162" s="17"/>
      <c r="L162" s="17"/>
      <c r="M162" s="17"/>
      <c r="N162" s="17"/>
      <c r="O162" s="19"/>
      <c r="P162" s="20"/>
      <c r="Q162" s="20"/>
      <c r="S162" s="15"/>
    </row>
    <row r="163" spans="1:19" ht="14.25" customHeight="1">
      <c r="A163" s="9">
        <v>31501</v>
      </c>
      <c r="B163" s="9" t="s">
        <v>187</v>
      </c>
      <c r="C163" s="10">
        <v>5355</v>
      </c>
      <c r="D163" s="10">
        <v>2472.3334003984928</v>
      </c>
      <c r="E163" s="11">
        <v>7171</v>
      </c>
      <c r="F163" s="12">
        <f t="shared" si="0"/>
        <v>0.74675777436898616</v>
      </c>
      <c r="G163" s="12">
        <f t="shared" si="1"/>
        <v>0.46168690950485392</v>
      </c>
      <c r="H163" s="12">
        <f t="shared" si="2"/>
        <v>0.34476828899714024</v>
      </c>
      <c r="I163" s="13"/>
      <c r="J163" s="17"/>
      <c r="K163" s="17"/>
      <c r="L163" s="17"/>
      <c r="M163" s="17"/>
      <c r="N163" s="17"/>
      <c r="O163" s="19"/>
      <c r="P163" s="20"/>
      <c r="Q163" s="20"/>
      <c r="S163" s="15"/>
    </row>
    <row r="164" spans="1:19" ht="14.25" customHeight="1">
      <c r="A164" s="9">
        <v>31601</v>
      </c>
      <c r="B164" s="9" t="s">
        <v>188</v>
      </c>
      <c r="C164" s="10">
        <v>9077</v>
      </c>
      <c r="D164" s="10">
        <v>3939.5556552112103</v>
      </c>
      <c r="E164" s="11">
        <v>21085</v>
      </c>
      <c r="F164" s="12">
        <f t="shared" si="0"/>
        <v>0.43049561299502015</v>
      </c>
      <c r="G164" s="12">
        <f t="shared" si="1"/>
        <v>0.43401516527610556</v>
      </c>
      <c r="H164" s="12">
        <f t="shared" si="2"/>
        <v>0.18684162462467205</v>
      </c>
      <c r="I164" s="13"/>
      <c r="J164" s="17"/>
      <c r="K164" s="17"/>
      <c r="L164" s="17"/>
      <c r="M164" s="17"/>
      <c r="N164" s="17"/>
      <c r="O164" s="19"/>
      <c r="P164" s="20"/>
      <c r="Q164" s="20"/>
      <c r="S164" s="15"/>
    </row>
    <row r="165" spans="1:19" ht="14.25" customHeight="1">
      <c r="A165" s="9">
        <v>31602</v>
      </c>
      <c r="B165" s="9" t="s">
        <v>189</v>
      </c>
      <c r="C165" s="10">
        <v>8928</v>
      </c>
      <c r="D165" s="10">
        <v>3824.777872979641</v>
      </c>
      <c r="E165" s="11">
        <v>20303</v>
      </c>
      <c r="F165" s="12">
        <f t="shared" si="0"/>
        <v>0.43973796975816382</v>
      </c>
      <c r="G165" s="12">
        <f t="shared" si="1"/>
        <v>0.42840253953625013</v>
      </c>
      <c r="H165" s="12">
        <f t="shared" si="2"/>
        <v>0.18838486297491214</v>
      </c>
      <c r="I165" s="13"/>
      <c r="J165" s="17"/>
      <c r="K165" s="17"/>
      <c r="L165" s="17"/>
      <c r="M165" s="17"/>
      <c r="N165" s="17"/>
      <c r="O165" s="19"/>
      <c r="P165" s="20"/>
      <c r="Q165" s="20"/>
      <c r="S165" s="15"/>
    </row>
    <row r="166" spans="1:19" ht="14.25" customHeight="1">
      <c r="A166" s="9">
        <v>40101</v>
      </c>
      <c r="B166" s="9" t="s">
        <v>18</v>
      </c>
      <c r="C166" s="10">
        <v>30008</v>
      </c>
      <c r="D166" s="10">
        <v>12065.111412078142</v>
      </c>
      <c r="E166" s="11">
        <v>260331</v>
      </c>
      <c r="F166" s="12">
        <f t="shared" si="0"/>
        <v>0.11526863877141025</v>
      </c>
      <c r="G166" s="12">
        <f t="shared" si="1"/>
        <v>0.40206316355898902</v>
      </c>
      <c r="H166" s="12">
        <f t="shared" si="2"/>
        <v>4.6345273563571543E-2</v>
      </c>
      <c r="I166" s="13"/>
      <c r="J166" s="17"/>
      <c r="K166" s="17"/>
      <c r="L166" s="17"/>
      <c r="M166" s="17"/>
      <c r="N166" s="17"/>
      <c r="O166" s="19"/>
      <c r="P166" s="20"/>
      <c r="Q166" s="20"/>
      <c r="S166" s="15"/>
    </row>
    <row r="167" spans="1:19" ht="14.25" customHeight="1">
      <c r="A167" s="9">
        <v>40102</v>
      </c>
      <c r="B167" s="9" t="s">
        <v>190</v>
      </c>
      <c r="C167" s="10">
        <v>11771</v>
      </c>
      <c r="D167" s="10">
        <v>5237.6668036282063</v>
      </c>
      <c r="E167" s="11">
        <v>22929</v>
      </c>
      <c r="F167" s="12">
        <f t="shared" si="0"/>
        <v>0.51336735138907064</v>
      </c>
      <c r="G167" s="12">
        <f t="shared" si="1"/>
        <v>0.44496362277021545</v>
      </c>
      <c r="H167" s="12">
        <f t="shared" si="2"/>
        <v>0.22842979648603107</v>
      </c>
      <c r="I167" s="13"/>
      <c r="J167" s="17"/>
      <c r="K167" s="17"/>
      <c r="L167" s="17"/>
      <c r="M167" s="17"/>
      <c r="N167" s="17"/>
      <c r="O167" s="19"/>
      <c r="P167" s="20"/>
      <c r="Q167" s="20"/>
      <c r="S167" s="15"/>
    </row>
    <row r="168" spans="1:19" ht="14.25" customHeight="1">
      <c r="A168" s="9">
        <v>40103</v>
      </c>
      <c r="B168" s="9" t="s">
        <v>191</v>
      </c>
      <c r="C168" s="10">
        <v>7889</v>
      </c>
      <c r="D168" s="10">
        <v>3855.5556459128857</v>
      </c>
      <c r="E168" s="11">
        <v>8699</v>
      </c>
      <c r="F168" s="12">
        <f t="shared" si="0"/>
        <v>0.90688584894815494</v>
      </c>
      <c r="G168" s="12">
        <f t="shared" si="1"/>
        <v>0.48872552236188183</v>
      </c>
      <c r="H168" s="12">
        <f t="shared" si="2"/>
        <v>0.44321826024978567</v>
      </c>
      <c r="I168" s="13"/>
      <c r="J168" s="17"/>
      <c r="K168" s="17"/>
      <c r="L168" s="17"/>
      <c r="M168" s="17"/>
      <c r="N168" s="17"/>
      <c r="O168" s="19"/>
      <c r="P168" s="20"/>
      <c r="Q168" s="20"/>
      <c r="S168" s="15"/>
    </row>
    <row r="169" spans="1:19" ht="14.25" customHeight="1">
      <c r="A169" s="9">
        <v>40104</v>
      </c>
      <c r="B169" s="9" t="s">
        <v>192</v>
      </c>
      <c r="C169" s="10">
        <v>6412</v>
      </c>
      <c r="D169" s="10">
        <v>2797.6667385995388</v>
      </c>
      <c r="E169" s="11">
        <v>12775</v>
      </c>
      <c r="F169" s="12">
        <f t="shared" si="0"/>
        <v>0.50191780821917809</v>
      </c>
      <c r="G169" s="12">
        <f t="shared" si="1"/>
        <v>0.43631733290697733</v>
      </c>
      <c r="H169" s="12">
        <f t="shared" si="2"/>
        <v>0.21899543942070754</v>
      </c>
      <c r="I169" s="13"/>
      <c r="J169" s="17"/>
      <c r="K169" s="17"/>
      <c r="L169" s="17"/>
      <c r="M169" s="17"/>
      <c r="N169" s="17"/>
      <c r="O169" s="19"/>
      <c r="P169" s="20"/>
      <c r="Q169" s="20"/>
      <c r="S169" s="15"/>
    </row>
    <row r="170" spans="1:19" ht="14.25" customHeight="1">
      <c r="A170" s="9">
        <v>40201</v>
      </c>
      <c r="B170" s="9" t="s">
        <v>193</v>
      </c>
      <c r="C170" s="10">
        <v>13302</v>
      </c>
      <c r="D170" s="10">
        <v>5837.6668128967285</v>
      </c>
      <c r="E170" s="11">
        <v>28084</v>
      </c>
      <c r="F170" s="12">
        <f t="shared" si="0"/>
        <v>0.47365047714000852</v>
      </c>
      <c r="G170" s="12">
        <f t="shared" si="1"/>
        <v>0.43885632332707325</v>
      </c>
      <c r="H170" s="12">
        <f t="shared" si="2"/>
        <v>0.20786450693977809</v>
      </c>
      <c r="I170" s="13"/>
      <c r="J170" s="17"/>
      <c r="K170" s="17"/>
      <c r="L170" s="17"/>
      <c r="M170" s="17"/>
      <c r="N170" s="17"/>
      <c r="O170" s="19"/>
      <c r="P170" s="20"/>
      <c r="Q170" s="20"/>
      <c r="S170" s="15"/>
    </row>
    <row r="171" spans="1:19" ht="14.25" customHeight="1">
      <c r="A171" s="9">
        <v>40202</v>
      </c>
      <c r="B171" s="9" t="s">
        <v>194</v>
      </c>
      <c r="C171" s="10">
        <v>1972</v>
      </c>
      <c r="D171" s="10">
        <v>861.77779799699783</v>
      </c>
      <c r="E171" s="11">
        <v>3979</v>
      </c>
      <c r="F171" s="12">
        <f t="shared" si="0"/>
        <v>0.49560191002764514</v>
      </c>
      <c r="G171" s="12">
        <f t="shared" si="1"/>
        <v>0.43700699695588124</v>
      </c>
      <c r="H171" s="12">
        <f t="shared" si="2"/>
        <v>0.21658150238678006</v>
      </c>
      <c r="I171" s="13"/>
      <c r="J171" s="17"/>
      <c r="K171" s="17"/>
      <c r="L171" s="17"/>
      <c r="M171" s="17"/>
      <c r="N171" s="17"/>
      <c r="O171" s="19"/>
      <c r="P171" s="20"/>
      <c r="Q171" s="20"/>
      <c r="S171" s="15"/>
    </row>
    <row r="172" spans="1:19" ht="14.25" customHeight="1">
      <c r="A172" s="9">
        <v>40301</v>
      </c>
      <c r="B172" s="9" t="s">
        <v>195</v>
      </c>
      <c r="C172" s="10">
        <v>6426</v>
      </c>
      <c r="D172" s="10">
        <v>3021.6667433381081</v>
      </c>
      <c r="E172" s="11">
        <v>8988</v>
      </c>
      <c r="F172" s="12">
        <f t="shared" si="0"/>
        <v>0.71495327102803741</v>
      </c>
      <c r="G172" s="12">
        <f t="shared" si="1"/>
        <v>0.4702251390193134</v>
      </c>
      <c r="H172" s="12">
        <f t="shared" si="2"/>
        <v>0.33618900126147172</v>
      </c>
      <c r="I172" s="13"/>
      <c r="J172" s="17"/>
      <c r="K172" s="17"/>
      <c r="L172" s="17"/>
      <c r="M172" s="17"/>
      <c r="N172" s="17"/>
      <c r="O172" s="19"/>
      <c r="P172" s="20"/>
      <c r="Q172" s="20"/>
      <c r="S172" s="15"/>
    </row>
    <row r="173" spans="1:19" ht="14.25" customHeight="1">
      <c r="A173" s="9">
        <v>40302</v>
      </c>
      <c r="B173" s="9" t="s">
        <v>196</v>
      </c>
      <c r="C173" s="10">
        <v>1292</v>
      </c>
      <c r="D173" s="10">
        <v>601.88890352845192</v>
      </c>
      <c r="E173" s="11">
        <v>1844</v>
      </c>
      <c r="F173" s="12">
        <f t="shared" si="0"/>
        <v>0.70065075921908893</v>
      </c>
      <c r="G173" s="12">
        <f t="shared" si="1"/>
        <v>0.46585828446474609</v>
      </c>
      <c r="H173" s="12">
        <f t="shared" si="2"/>
        <v>0.32640396069872663</v>
      </c>
      <c r="I173" s="13"/>
      <c r="J173" s="17"/>
      <c r="K173" s="17"/>
      <c r="L173" s="17"/>
      <c r="M173" s="17"/>
      <c r="N173" s="17"/>
      <c r="O173" s="19"/>
      <c r="P173" s="20"/>
      <c r="Q173" s="20"/>
      <c r="S173" s="15"/>
    </row>
    <row r="174" spans="1:19" ht="14.25" customHeight="1">
      <c r="A174" s="9">
        <v>40401</v>
      </c>
      <c r="B174" s="9" t="s">
        <v>197</v>
      </c>
      <c r="C174" s="10">
        <v>1808</v>
      </c>
      <c r="D174" s="10">
        <v>775.33335247635841</v>
      </c>
      <c r="E174" s="11">
        <v>3916</v>
      </c>
      <c r="F174" s="12">
        <f t="shared" si="0"/>
        <v>0.46169560776302349</v>
      </c>
      <c r="G174" s="12">
        <f t="shared" si="1"/>
        <v>0.42883481884754338</v>
      </c>
      <c r="H174" s="12">
        <f t="shared" si="2"/>
        <v>0.19799115231776263</v>
      </c>
      <c r="I174" s="13"/>
      <c r="J174" s="17"/>
      <c r="K174" s="17"/>
      <c r="L174" s="17"/>
      <c r="M174" s="17"/>
      <c r="N174" s="17"/>
      <c r="O174" s="19"/>
      <c r="P174" s="20"/>
      <c r="Q174" s="20"/>
      <c r="S174" s="15"/>
    </row>
    <row r="175" spans="1:19" ht="14.25" customHeight="1">
      <c r="A175" s="9">
        <v>40402</v>
      </c>
      <c r="B175" s="9" t="s">
        <v>198</v>
      </c>
      <c r="C175" s="10">
        <v>2830</v>
      </c>
      <c r="D175" s="10">
        <v>1247.6666974425316</v>
      </c>
      <c r="E175" s="11">
        <v>5139</v>
      </c>
      <c r="F175" s="12">
        <f t="shared" si="0"/>
        <v>0.55069079587468384</v>
      </c>
      <c r="G175" s="12">
        <f t="shared" si="1"/>
        <v>0.44087162453799705</v>
      </c>
      <c r="H175" s="12">
        <f t="shared" si="2"/>
        <v>0.24278394579539439</v>
      </c>
      <c r="I175" s="13"/>
      <c r="J175" s="17"/>
      <c r="K175" s="17"/>
      <c r="L175" s="17"/>
      <c r="M175" s="17"/>
      <c r="N175" s="17"/>
      <c r="O175" s="19"/>
      <c r="P175" s="20"/>
      <c r="Q175" s="20"/>
      <c r="S175" s="15"/>
    </row>
    <row r="176" spans="1:19" ht="14.25" customHeight="1">
      <c r="A176" s="9">
        <v>40501</v>
      </c>
      <c r="B176" s="9" t="s">
        <v>199</v>
      </c>
      <c r="C176" s="10">
        <v>48</v>
      </c>
      <c r="D176" s="10">
        <v>17.333333760499954</v>
      </c>
      <c r="E176" s="11">
        <v>667</v>
      </c>
      <c r="F176" s="12">
        <f t="shared" si="0"/>
        <v>7.1964017991004492E-2</v>
      </c>
      <c r="G176" s="12">
        <f t="shared" si="1"/>
        <v>0.36111112001041573</v>
      </c>
      <c r="H176" s="12">
        <f t="shared" si="2"/>
        <v>2.5987007137181339E-2</v>
      </c>
      <c r="I176" s="13"/>
      <c r="J176" s="17"/>
      <c r="K176" s="17"/>
      <c r="L176" s="17"/>
      <c r="M176" s="17"/>
      <c r="N176" s="17"/>
      <c r="O176" s="19"/>
      <c r="P176" s="20"/>
      <c r="Q176" s="20"/>
      <c r="S176" s="15"/>
    </row>
    <row r="177" spans="1:19" ht="14.25" customHeight="1">
      <c r="A177" s="9">
        <v>40502</v>
      </c>
      <c r="B177" s="9" t="s">
        <v>200</v>
      </c>
      <c r="C177" s="10">
        <v>2928</v>
      </c>
      <c r="D177" s="10">
        <v>1334.4444772303104</v>
      </c>
      <c r="E177" s="11">
        <v>4199</v>
      </c>
      <c r="F177" s="12">
        <f t="shared" si="0"/>
        <v>0.69730888306739702</v>
      </c>
      <c r="G177" s="12">
        <f t="shared" si="1"/>
        <v>0.45575289522893114</v>
      </c>
      <c r="H177" s="12">
        <f t="shared" si="2"/>
        <v>0.31780054232681837</v>
      </c>
      <c r="I177" s="13"/>
      <c r="J177" s="17"/>
      <c r="K177" s="17"/>
      <c r="L177" s="17"/>
      <c r="M177" s="17"/>
      <c r="N177" s="17"/>
      <c r="O177" s="19"/>
      <c r="P177" s="20"/>
      <c r="Q177" s="20"/>
      <c r="S177" s="15"/>
    </row>
    <row r="178" spans="1:19" ht="14.25" customHeight="1">
      <c r="A178" s="9">
        <v>40503</v>
      </c>
      <c r="B178" s="9" t="s">
        <v>201</v>
      </c>
      <c r="C178" s="10">
        <v>1234</v>
      </c>
      <c r="D178" s="10">
        <v>557.44445875287056</v>
      </c>
      <c r="E178" s="11">
        <v>1953</v>
      </c>
      <c r="F178" s="12">
        <f t="shared" si="0"/>
        <v>0.63184843830005122</v>
      </c>
      <c r="G178" s="12">
        <f t="shared" si="1"/>
        <v>0.4517378109828773</v>
      </c>
      <c r="H178" s="12">
        <f t="shared" si="2"/>
        <v>0.28542983039061476</v>
      </c>
      <c r="I178" s="13"/>
      <c r="J178" s="17"/>
      <c r="K178" s="17"/>
      <c r="L178" s="17"/>
      <c r="M178" s="17"/>
      <c r="N178" s="17"/>
      <c r="O178" s="19"/>
      <c r="P178" s="20"/>
      <c r="Q178" s="20"/>
      <c r="S178" s="15"/>
    </row>
    <row r="179" spans="1:19" ht="14.25" customHeight="1">
      <c r="A179" s="9">
        <v>40504</v>
      </c>
      <c r="B179" s="9" t="s">
        <v>202</v>
      </c>
      <c r="C179" s="10">
        <v>312</v>
      </c>
      <c r="D179" s="10">
        <v>130.55555874109268</v>
      </c>
      <c r="E179" s="11">
        <v>513</v>
      </c>
      <c r="F179" s="12">
        <f t="shared" si="0"/>
        <v>0.60818713450292394</v>
      </c>
      <c r="G179" s="12">
        <f t="shared" si="1"/>
        <v>0.41844730365734834</v>
      </c>
      <c r="H179" s="12">
        <f t="shared" si="2"/>
        <v>0.25449426655183754</v>
      </c>
      <c r="I179" s="13"/>
      <c r="J179" s="17"/>
      <c r="K179" s="17"/>
      <c r="L179" s="17"/>
      <c r="M179" s="17"/>
      <c r="N179" s="17"/>
      <c r="O179" s="19"/>
      <c r="P179" s="20"/>
      <c r="Q179" s="20"/>
      <c r="S179" s="15"/>
    </row>
    <row r="180" spans="1:19" ht="14.25" customHeight="1">
      <c r="A180" s="9">
        <v>40505</v>
      </c>
      <c r="B180" s="9" t="s">
        <v>203</v>
      </c>
      <c r="C180" s="10">
        <v>954</v>
      </c>
      <c r="D180" s="10">
        <v>399.88889938592911</v>
      </c>
      <c r="E180" s="11">
        <v>2688</v>
      </c>
      <c r="F180" s="12">
        <f t="shared" si="0"/>
        <v>0.3549107142857143</v>
      </c>
      <c r="G180" s="12">
        <f t="shared" si="1"/>
        <v>0.41917075407330096</v>
      </c>
      <c r="H180" s="12">
        <f t="shared" si="2"/>
        <v>0.14876819173583672</v>
      </c>
      <c r="I180" s="13"/>
      <c r="J180" s="17"/>
      <c r="K180" s="17"/>
      <c r="L180" s="17"/>
      <c r="M180" s="17"/>
      <c r="N180" s="17"/>
      <c r="O180" s="19"/>
      <c r="P180" s="20"/>
      <c r="Q180" s="20"/>
      <c r="S180" s="15"/>
    </row>
    <row r="181" spans="1:19" ht="14.25" customHeight="1">
      <c r="A181" s="9">
        <v>40601</v>
      </c>
      <c r="B181" s="9" t="s">
        <v>204</v>
      </c>
      <c r="C181" s="10">
        <v>2634</v>
      </c>
      <c r="D181" s="10">
        <v>1095.222247838974</v>
      </c>
      <c r="E181" s="11">
        <v>7225</v>
      </c>
      <c r="F181" s="12">
        <f t="shared" si="0"/>
        <v>0.36456747404844292</v>
      </c>
      <c r="G181" s="12">
        <f t="shared" si="1"/>
        <v>0.41580191641570768</v>
      </c>
      <c r="H181" s="12">
        <f t="shared" si="2"/>
        <v>0.15158785437217634</v>
      </c>
      <c r="I181" s="13"/>
      <c r="J181" s="17"/>
      <c r="K181" s="17"/>
      <c r="L181" s="17"/>
      <c r="M181" s="17"/>
      <c r="N181" s="17"/>
      <c r="O181" s="19"/>
      <c r="P181" s="20"/>
      <c r="Q181" s="20"/>
      <c r="S181" s="15"/>
    </row>
    <row r="182" spans="1:19" ht="14.25" customHeight="1">
      <c r="A182" s="9">
        <v>40602</v>
      </c>
      <c r="B182" s="9" t="s">
        <v>205</v>
      </c>
      <c r="C182" s="10">
        <v>2080</v>
      </c>
      <c r="D182" s="10">
        <v>870.00002118945122</v>
      </c>
      <c r="E182" s="11">
        <v>5933</v>
      </c>
      <c r="F182" s="12">
        <f t="shared" si="0"/>
        <v>0.35058149334232258</v>
      </c>
      <c r="G182" s="12">
        <f t="shared" si="1"/>
        <v>0.41826924095646695</v>
      </c>
      <c r="H182" s="12">
        <f t="shared" si="2"/>
        <v>0.14663745511367793</v>
      </c>
      <c r="I182" s="13"/>
      <c r="J182" s="17"/>
      <c r="K182" s="17"/>
      <c r="L182" s="17"/>
      <c r="M182" s="17"/>
      <c r="N182" s="17"/>
      <c r="O182" s="19"/>
      <c r="P182" s="20"/>
      <c r="Q182" s="20"/>
      <c r="S182" s="15"/>
    </row>
    <row r="183" spans="1:19" ht="14.25" customHeight="1">
      <c r="A183" s="9">
        <v>40603</v>
      </c>
      <c r="B183" s="9" t="s">
        <v>206</v>
      </c>
      <c r="C183" s="10">
        <v>933</v>
      </c>
      <c r="D183" s="10">
        <v>386.6666761636734</v>
      </c>
      <c r="E183" s="11">
        <v>3229</v>
      </c>
      <c r="F183" s="12">
        <f t="shared" si="0"/>
        <v>0.28894394549396096</v>
      </c>
      <c r="G183" s="12">
        <f t="shared" si="1"/>
        <v>0.41443373650983217</v>
      </c>
      <c r="H183" s="12">
        <f t="shared" si="2"/>
        <v>0.11974811897295552</v>
      </c>
      <c r="I183" s="13"/>
      <c r="J183" s="17"/>
      <c r="K183" s="17"/>
      <c r="L183" s="17"/>
      <c r="M183" s="17"/>
      <c r="N183" s="17"/>
      <c r="O183" s="19"/>
      <c r="P183" s="20"/>
      <c r="Q183" s="20"/>
      <c r="S183" s="15"/>
    </row>
    <row r="184" spans="1:19" ht="14.25" customHeight="1">
      <c r="A184" s="9">
        <v>40701</v>
      </c>
      <c r="B184" s="9" t="s">
        <v>207</v>
      </c>
      <c r="C184" s="10">
        <v>4491</v>
      </c>
      <c r="D184" s="10">
        <v>1798.5556001365185</v>
      </c>
      <c r="E184" s="11">
        <v>24170</v>
      </c>
      <c r="F184" s="12">
        <f t="shared" si="0"/>
        <v>0.18580885395117916</v>
      </c>
      <c r="G184" s="12">
        <f t="shared" si="1"/>
        <v>0.40047998221699366</v>
      </c>
      <c r="H184" s="12">
        <f t="shared" si="2"/>
        <v>7.4412726526128195E-2</v>
      </c>
      <c r="I184" s="13"/>
      <c r="J184" s="17"/>
      <c r="K184" s="17"/>
      <c r="L184" s="17"/>
      <c r="M184" s="17"/>
      <c r="N184" s="17"/>
      <c r="O184" s="19"/>
      <c r="P184" s="20"/>
      <c r="Q184" s="20"/>
      <c r="S184" s="15"/>
    </row>
    <row r="185" spans="1:19" ht="14.25" customHeight="1">
      <c r="A185" s="9">
        <v>40702</v>
      </c>
      <c r="B185" s="9" t="s">
        <v>208</v>
      </c>
      <c r="C185" s="10">
        <v>1138</v>
      </c>
      <c r="D185" s="10">
        <v>466.44445571303368</v>
      </c>
      <c r="E185" s="11">
        <v>4740</v>
      </c>
      <c r="F185" s="12">
        <f t="shared" si="0"/>
        <v>0.240084388185654</v>
      </c>
      <c r="G185" s="12">
        <f t="shared" si="1"/>
        <v>0.40988089254220883</v>
      </c>
      <c r="H185" s="12">
        <f t="shared" si="2"/>
        <v>9.8406003314986001E-2</v>
      </c>
      <c r="I185" s="13"/>
      <c r="J185" s="17"/>
      <c r="K185" s="17"/>
      <c r="L185" s="17"/>
      <c r="M185" s="17"/>
      <c r="N185" s="17"/>
      <c r="O185" s="19"/>
      <c r="P185" s="20"/>
      <c r="Q185" s="20"/>
      <c r="S185" s="15"/>
    </row>
    <row r="186" spans="1:19" ht="14.25" customHeight="1">
      <c r="A186" s="9">
        <v>40801</v>
      </c>
      <c r="B186" s="9" t="s">
        <v>209</v>
      </c>
      <c r="C186" s="10">
        <v>6447</v>
      </c>
      <c r="D186" s="10">
        <v>2717.3334000408649</v>
      </c>
      <c r="E186" s="11">
        <v>11717</v>
      </c>
      <c r="F186" s="12">
        <f t="shared" si="0"/>
        <v>0.5502261671076214</v>
      </c>
      <c r="G186" s="12">
        <f t="shared" si="1"/>
        <v>0.42148804095561732</v>
      </c>
      <c r="H186" s="12">
        <f t="shared" si="2"/>
        <v>0.23191374925670946</v>
      </c>
      <c r="I186" s="13"/>
      <c r="J186" s="17"/>
      <c r="K186" s="17"/>
      <c r="L186" s="17"/>
      <c r="M186" s="17"/>
      <c r="N186" s="17"/>
      <c r="O186" s="19"/>
      <c r="P186" s="20"/>
      <c r="Q186" s="20"/>
      <c r="S186" s="15"/>
    </row>
    <row r="187" spans="1:19" ht="14.25" customHeight="1">
      <c r="A187" s="9">
        <v>40802</v>
      </c>
      <c r="B187" s="9" t="s">
        <v>210</v>
      </c>
      <c r="C187" s="10">
        <v>1729</v>
      </c>
      <c r="D187" s="10">
        <v>757.00001859664917</v>
      </c>
      <c r="E187" s="11">
        <v>2932</v>
      </c>
      <c r="F187" s="12">
        <f t="shared" si="0"/>
        <v>0.589699863574352</v>
      </c>
      <c r="G187" s="12">
        <f t="shared" si="1"/>
        <v>0.43782534331790002</v>
      </c>
      <c r="H187" s="12">
        <f t="shared" si="2"/>
        <v>0.25818554522395948</v>
      </c>
      <c r="I187" s="13"/>
      <c r="J187" s="17"/>
      <c r="K187" s="17"/>
      <c r="L187" s="17"/>
      <c r="M187" s="17"/>
      <c r="N187" s="17"/>
      <c r="O187" s="19"/>
      <c r="P187" s="20"/>
      <c r="Q187" s="20"/>
      <c r="S187" s="15"/>
    </row>
    <row r="188" spans="1:19" ht="14.25" customHeight="1">
      <c r="A188" s="9">
        <v>40901</v>
      </c>
      <c r="B188" s="9" t="s">
        <v>211</v>
      </c>
      <c r="C188" s="10">
        <v>3601</v>
      </c>
      <c r="D188" s="10">
        <v>1520.6667042970657</v>
      </c>
      <c r="E188" s="11">
        <v>7804</v>
      </c>
      <c r="F188" s="12">
        <f t="shared" si="0"/>
        <v>0.46143003587903642</v>
      </c>
      <c r="G188" s="12">
        <f t="shared" si="1"/>
        <v>0.42229011505055974</v>
      </c>
      <c r="H188" s="12">
        <f t="shared" si="2"/>
        <v>0.1948573429391422</v>
      </c>
      <c r="I188" s="13"/>
      <c r="J188" s="17"/>
      <c r="K188" s="17"/>
      <c r="L188" s="17"/>
      <c r="M188" s="17"/>
      <c r="N188" s="17"/>
      <c r="O188" s="19"/>
      <c r="P188" s="20"/>
      <c r="Q188" s="20"/>
      <c r="S188" s="15"/>
    </row>
    <row r="189" spans="1:19" ht="14.25" customHeight="1">
      <c r="A189" s="9">
        <v>40902</v>
      </c>
      <c r="B189" s="9" t="s">
        <v>212</v>
      </c>
      <c r="C189" s="10">
        <v>467</v>
      </c>
      <c r="D189" s="10">
        <v>198.88889434933662</v>
      </c>
      <c r="E189" s="11">
        <v>874</v>
      </c>
      <c r="F189" s="12">
        <f t="shared" si="0"/>
        <v>0.53432494279176201</v>
      </c>
      <c r="G189" s="12">
        <f t="shared" si="1"/>
        <v>0.42588628340329043</v>
      </c>
      <c r="H189" s="12">
        <f t="shared" si="2"/>
        <v>0.22756166401525932</v>
      </c>
      <c r="I189" s="13"/>
      <c r="J189" s="17"/>
      <c r="K189" s="17"/>
      <c r="L189" s="17"/>
      <c r="M189" s="17"/>
      <c r="N189" s="17"/>
      <c r="O189" s="19"/>
      <c r="P189" s="20"/>
      <c r="Q189" s="20"/>
      <c r="S189" s="15"/>
    </row>
    <row r="190" spans="1:19" ht="14.25" customHeight="1">
      <c r="A190" s="9">
        <v>40903</v>
      </c>
      <c r="B190" s="9" t="s">
        <v>213</v>
      </c>
      <c r="C190" s="10">
        <v>1036</v>
      </c>
      <c r="D190" s="10">
        <v>452.33334499597549</v>
      </c>
      <c r="E190" s="11">
        <v>1980</v>
      </c>
      <c r="F190" s="12">
        <f t="shared" si="0"/>
        <v>0.52323232323232327</v>
      </c>
      <c r="G190" s="12">
        <f t="shared" si="1"/>
        <v>0.4366151978725632</v>
      </c>
      <c r="H190" s="12">
        <f t="shared" si="2"/>
        <v>0.22845118434140177</v>
      </c>
      <c r="I190" s="13"/>
      <c r="J190" s="17"/>
      <c r="K190" s="17"/>
      <c r="L190" s="17"/>
      <c r="M190" s="17"/>
      <c r="N190" s="17"/>
      <c r="O190" s="19"/>
      <c r="P190" s="20"/>
      <c r="Q190" s="20"/>
      <c r="S190" s="15"/>
    </row>
    <row r="191" spans="1:19" ht="14.25" customHeight="1">
      <c r="A191" s="9">
        <v>41001</v>
      </c>
      <c r="B191" s="9" t="s">
        <v>214</v>
      </c>
      <c r="C191" s="10">
        <v>7507</v>
      </c>
      <c r="D191" s="10">
        <v>3467.6667456924915</v>
      </c>
      <c r="E191" s="11">
        <v>10027</v>
      </c>
      <c r="F191" s="12">
        <f t="shared" si="0"/>
        <v>0.74867856786675979</v>
      </c>
      <c r="G191" s="12">
        <f t="shared" si="1"/>
        <v>0.46192443661815524</v>
      </c>
      <c r="H191" s="12">
        <f t="shared" si="2"/>
        <v>0.34583292566994034</v>
      </c>
      <c r="I191" s="13"/>
      <c r="J191" s="17"/>
      <c r="K191" s="17"/>
      <c r="L191" s="17"/>
      <c r="M191" s="17"/>
      <c r="N191" s="17"/>
      <c r="O191" s="19"/>
      <c r="P191" s="20"/>
      <c r="Q191" s="20"/>
      <c r="S191" s="15"/>
    </row>
    <row r="192" spans="1:19" ht="14.25" customHeight="1">
      <c r="A192" s="9">
        <v>41101</v>
      </c>
      <c r="B192" s="9" t="s">
        <v>215</v>
      </c>
      <c r="C192" s="10">
        <v>2086</v>
      </c>
      <c r="D192" s="10">
        <v>881.88891091942787</v>
      </c>
      <c r="E192" s="11">
        <v>5228</v>
      </c>
      <c r="F192" s="12">
        <f t="shared" si="0"/>
        <v>0.39900535577658758</v>
      </c>
      <c r="G192" s="12">
        <f t="shared" si="1"/>
        <v>0.42276553735351285</v>
      </c>
      <c r="H192" s="12">
        <f t="shared" si="2"/>
        <v>0.16868571364181861</v>
      </c>
      <c r="I192" s="13"/>
      <c r="J192" s="17"/>
      <c r="K192" s="17"/>
      <c r="L192" s="17"/>
      <c r="M192" s="17"/>
      <c r="N192" s="17"/>
      <c r="O192" s="19"/>
      <c r="P192" s="20"/>
      <c r="Q192" s="20"/>
      <c r="S192" s="15"/>
    </row>
    <row r="193" spans="1:19" ht="14.25" customHeight="1">
      <c r="A193" s="9">
        <v>41201</v>
      </c>
      <c r="B193" s="9" t="s">
        <v>216</v>
      </c>
      <c r="C193" s="10">
        <v>3648</v>
      </c>
      <c r="D193" s="10">
        <v>1626.5555934906006</v>
      </c>
      <c r="E193" s="11">
        <v>5185</v>
      </c>
      <c r="F193" s="12">
        <f t="shared" si="0"/>
        <v>0.70356798457087755</v>
      </c>
      <c r="G193" s="12">
        <f t="shared" si="1"/>
        <v>0.44587598505773041</v>
      </c>
      <c r="H193" s="12">
        <f t="shared" si="2"/>
        <v>0.31370406817562208</v>
      </c>
      <c r="I193" s="13"/>
      <c r="J193" s="17"/>
      <c r="K193" s="17"/>
      <c r="L193" s="17"/>
      <c r="M193" s="17"/>
      <c r="N193" s="17"/>
      <c r="O193" s="19"/>
      <c r="P193" s="20"/>
      <c r="Q193" s="20"/>
      <c r="S193" s="15"/>
    </row>
    <row r="194" spans="1:19" ht="14.25" customHeight="1">
      <c r="A194" s="9">
        <v>41202</v>
      </c>
      <c r="B194" s="9" t="s">
        <v>217</v>
      </c>
      <c r="C194" s="10">
        <v>1234</v>
      </c>
      <c r="D194" s="10">
        <v>513.77778965234756</v>
      </c>
      <c r="E194" s="11">
        <v>1993</v>
      </c>
      <c r="F194" s="12">
        <f t="shared" si="0"/>
        <v>0.61916708479678872</v>
      </c>
      <c r="G194" s="12">
        <f t="shared" si="1"/>
        <v>0.41635153132281</v>
      </c>
      <c r="H194" s="12">
        <f t="shared" si="2"/>
        <v>0.25779116389982315</v>
      </c>
      <c r="I194" s="13"/>
      <c r="J194" s="17"/>
      <c r="K194" s="17"/>
      <c r="L194" s="17"/>
      <c r="M194" s="17"/>
      <c r="N194" s="17"/>
      <c r="O194" s="19"/>
      <c r="P194" s="20"/>
      <c r="Q194" s="20"/>
      <c r="S194" s="15"/>
    </row>
    <row r="195" spans="1:19" ht="14.25" customHeight="1">
      <c r="A195" s="9">
        <v>41301</v>
      </c>
      <c r="B195" s="9" t="s">
        <v>172</v>
      </c>
      <c r="C195" s="10">
        <v>3938</v>
      </c>
      <c r="D195" s="10">
        <v>1792.5555973649025</v>
      </c>
      <c r="E195" s="11">
        <v>5494</v>
      </c>
      <c r="F195" s="12">
        <f t="shared" si="0"/>
        <v>0.71678194393884243</v>
      </c>
      <c r="G195" s="12">
        <f t="shared" si="1"/>
        <v>0.45519441273867511</v>
      </c>
      <c r="H195" s="12">
        <f t="shared" si="2"/>
        <v>0.32627513603292735</v>
      </c>
      <c r="I195" s="13"/>
      <c r="J195" s="17"/>
      <c r="K195" s="17"/>
      <c r="L195" s="17"/>
      <c r="M195" s="17"/>
      <c r="N195" s="17"/>
      <c r="O195" s="19"/>
      <c r="P195" s="20"/>
      <c r="Q195" s="20"/>
      <c r="S195" s="15"/>
    </row>
    <row r="196" spans="1:19" ht="14.25" customHeight="1">
      <c r="A196" s="9">
        <v>41401</v>
      </c>
      <c r="B196" s="9" t="s">
        <v>218</v>
      </c>
      <c r="C196" s="10">
        <v>6936</v>
      </c>
      <c r="D196" s="10">
        <v>3216.000079870224</v>
      </c>
      <c r="E196" s="11">
        <v>13092</v>
      </c>
      <c r="F196" s="12">
        <f t="shared" si="0"/>
        <v>0.52978918423464716</v>
      </c>
      <c r="G196" s="12">
        <f t="shared" si="1"/>
        <v>0.46366783158451902</v>
      </c>
      <c r="H196" s="12">
        <f t="shared" si="2"/>
        <v>0.24564620225101011</v>
      </c>
      <c r="I196" s="13"/>
      <c r="J196" s="17"/>
      <c r="K196" s="17"/>
      <c r="L196" s="17"/>
      <c r="M196" s="17"/>
      <c r="N196" s="17"/>
      <c r="O196" s="19"/>
      <c r="P196" s="20"/>
      <c r="Q196" s="20"/>
      <c r="S196" s="15"/>
    </row>
    <row r="197" spans="1:19" ht="14.25" customHeight="1">
      <c r="A197" s="9">
        <v>41501</v>
      </c>
      <c r="B197" s="9" t="s">
        <v>219</v>
      </c>
      <c r="C197" s="10">
        <v>348</v>
      </c>
      <c r="D197" s="10">
        <v>155.44444838166237</v>
      </c>
      <c r="E197" s="11">
        <v>507</v>
      </c>
      <c r="F197" s="12">
        <f t="shared" si="0"/>
        <v>0.68639053254437865</v>
      </c>
      <c r="G197" s="12">
        <f t="shared" si="1"/>
        <v>0.44667944937259302</v>
      </c>
      <c r="H197" s="12">
        <f t="shared" si="2"/>
        <v>0.30659654513148393</v>
      </c>
      <c r="I197" s="13"/>
      <c r="J197" s="17"/>
      <c r="K197" s="17"/>
      <c r="L197" s="17"/>
      <c r="M197" s="17"/>
      <c r="N197" s="17"/>
      <c r="O197" s="19"/>
      <c r="P197" s="20"/>
      <c r="Q197" s="20"/>
      <c r="S197" s="15"/>
    </row>
    <row r="198" spans="1:19" ht="14.25" customHeight="1">
      <c r="A198" s="9">
        <v>41502</v>
      </c>
      <c r="B198" s="9" t="s">
        <v>220</v>
      </c>
      <c r="C198" s="10">
        <v>470</v>
      </c>
      <c r="D198" s="10">
        <v>218.33333855867386</v>
      </c>
      <c r="E198" s="11">
        <v>661</v>
      </c>
      <c r="F198" s="12">
        <f t="shared" si="0"/>
        <v>0.71104387291981841</v>
      </c>
      <c r="G198" s="12">
        <f t="shared" si="1"/>
        <v>0.46453901820994437</v>
      </c>
      <c r="H198" s="12">
        <f t="shared" si="2"/>
        <v>0.33030762263036889</v>
      </c>
      <c r="I198" s="13"/>
      <c r="J198" s="17"/>
      <c r="K198" s="17"/>
      <c r="L198" s="17"/>
      <c r="M198" s="17"/>
      <c r="N198" s="17"/>
      <c r="O198" s="19"/>
      <c r="P198" s="20"/>
      <c r="Q198" s="20"/>
      <c r="S198" s="15"/>
    </row>
    <row r="199" spans="1:19" ht="14.25" customHeight="1">
      <c r="A199" s="9">
        <v>41503</v>
      </c>
      <c r="B199" s="9" t="s">
        <v>221</v>
      </c>
      <c r="C199" s="10">
        <v>639</v>
      </c>
      <c r="D199" s="10">
        <v>298.88889661431313</v>
      </c>
      <c r="E199" s="11">
        <v>840</v>
      </c>
      <c r="F199" s="12">
        <f t="shared" si="0"/>
        <v>0.76071428571428568</v>
      </c>
      <c r="G199" s="12">
        <f t="shared" si="1"/>
        <v>0.46774475213507533</v>
      </c>
      <c r="H199" s="12">
        <f t="shared" si="2"/>
        <v>0.35582011501703942</v>
      </c>
      <c r="I199" s="13"/>
      <c r="J199" s="17"/>
      <c r="K199" s="17"/>
      <c r="L199" s="17"/>
      <c r="M199" s="17"/>
      <c r="N199" s="17"/>
      <c r="O199" s="19"/>
      <c r="P199" s="20"/>
      <c r="Q199" s="20"/>
      <c r="S199" s="15"/>
    </row>
    <row r="200" spans="1:19" ht="14.25" customHeight="1">
      <c r="A200" s="9">
        <v>41601</v>
      </c>
      <c r="B200" s="9" t="s">
        <v>222</v>
      </c>
      <c r="C200" s="10">
        <v>4147</v>
      </c>
      <c r="D200" s="10">
        <v>1905.7778214216232</v>
      </c>
      <c r="E200" s="11">
        <v>5463</v>
      </c>
      <c r="F200" s="12">
        <f t="shared" si="0"/>
        <v>0.75910671792055651</v>
      </c>
      <c r="G200" s="12">
        <f t="shared" si="1"/>
        <v>0.45955578042479461</v>
      </c>
      <c r="H200" s="12">
        <f t="shared" si="2"/>
        <v>0.34885188017968577</v>
      </c>
      <c r="I200" s="13"/>
      <c r="J200" s="17"/>
      <c r="K200" s="17"/>
      <c r="L200" s="17"/>
      <c r="M200" s="17"/>
      <c r="N200" s="17"/>
      <c r="O200" s="19"/>
      <c r="P200" s="20"/>
      <c r="Q200" s="20"/>
      <c r="S200" s="15"/>
    </row>
    <row r="201" spans="1:19" ht="14.25" customHeight="1">
      <c r="A201" s="9">
        <v>50101</v>
      </c>
      <c r="B201" s="9" t="s">
        <v>20</v>
      </c>
      <c r="C201" s="10">
        <v>23400</v>
      </c>
      <c r="D201" s="10">
        <v>9638.2224695682526</v>
      </c>
      <c r="E201" s="11">
        <v>187903</v>
      </c>
      <c r="F201" s="12">
        <f t="shared" si="0"/>
        <v>0.12453233849379733</v>
      </c>
      <c r="G201" s="12">
        <f t="shared" si="1"/>
        <v>0.4118898491268484</v>
      </c>
      <c r="H201" s="12">
        <f t="shared" si="2"/>
        <v>5.1293606113623796E-2</v>
      </c>
      <c r="I201" s="13"/>
      <c r="J201" s="17"/>
      <c r="K201" s="17"/>
      <c r="L201" s="17"/>
      <c r="M201" s="17"/>
      <c r="N201" s="17"/>
      <c r="O201" s="19"/>
      <c r="P201" s="20"/>
      <c r="Q201" s="20"/>
      <c r="S201" s="15"/>
    </row>
    <row r="202" spans="1:19" ht="14.25" customHeight="1">
      <c r="A202" s="9">
        <v>50102</v>
      </c>
      <c r="B202" s="9" t="s">
        <v>223</v>
      </c>
      <c r="C202" s="10">
        <v>23361</v>
      </c>
      <c r="D202" s="10">
        <v>12529.444784760475</v>
      </c>
      <c r="E202" s="11">
        <v>27094</v>
      </c>
      <c r="F202" s="12">
        <f t="shared" si="0"/>
        <v>0.86222041780467995</v>
      </c>
      <c r="G202" s="12">
        <f t="shared" si="1"/>
        <v>0.53634025875435454</v>
      </c>
      <c r="H202" s="12">
        <f t="shared" si="2"/>
        <v>0.46244352198864974</v>
      </c>
      <c r="I202" s="13"/>
      <c r="J202" s="17"/>
      <c r="K202" s="17"/>
      <c r="L202" s="17"/>
      <c r="M202" s="17"/>
      <c r="N202" s="17"/>
      <c r="O202" s="19"/>
      <c r="P202" s="20"/>
      <c r="Q202" s="20"/>
      <c r="S202" s="15"/>
    </row>
    <row r="203" spans="1:19" ht="14.25" customHeight="1">
      <c r="A203" s="9">
        <v>50103</v>
      </c>
      <c r="B203" s="9" t="s">
        <v>224</v>
      </c>
      <c r="C203" s="10">
        <v>3192</v>
      </c>
      <c r="D203" s="10">
        <v>1324.000032544136</v>
      </c>
      <c r="E203" s="11">
        <v>8801</v>
      </c>
      <c r="F203" s="12">
        <f t="shared" si="0"/>
        <v>0.36268605840245427</v>
      </c>
      <c r="G203" s="12">
        <f t="shared" si="1"/>
        <v>0.41478697761407773</v>
      </c>
      <c r="H203" s="12">
        <f t="shared" si="2"/>
        <v>0.1504374539875169</v>
      </c>
      <c r="I203" s="13"/>
      <c r="J203" s="17"/>
      <c r="K203" s="17"/>
      <c r="L203" s="17"/>
      <c r="M203" s="17"/>
      <c r="N203" s="17"/>
      <c r="O203" s="19"/>
      <c r="P203" s="20"/>
      <c r="Q203" s="20"/>
      <c r="S203" s="15"/>
    </row>
    <row r="204" spans="1:19" ht="14.25" customHeight="1">
      <c r="A204" s="9">
        <v>50104</v>
      </c>
      <c r="B204" s="9" t="s">
        <v>225</v>
      </c>
      <c r="C204" s="10">
        <v>1736</v>
      </c>
      <c r="D204" s="10">
        <v>777.00002026557922</v>
      </c>
      <c r="E204" s="11">
        <v>2754</v>
      </c>
      <c r="F204" s="12">
        <f t="shared" si="0"/>
        <v>0.63035584604212058</v>
      </c>
      <c r="G204" s="12">
        <f t="shared" si="1"/>
        <v>0.44758065683501108</v>
      </c>
      <c r="H204" s="12">
        <f t="shared" si="2"/>
        <v>0.28213508361132145</v>
      </c>
      <c r="I204" s="13"/>
      <c r="J204" s="17"/>
      <c r="K204" s="17"/>
      <c r="L204" s="17"/>
      <c r="M204" s="17"/>
      <c r="N204" s="17"/>
      <c r="O204" s="19"/>
      <c r="P204" s="20"/>
      <c r="Q204" s="20"/>
      <c r="S204" s="15"/>
    </row>
    <row r="205" spans="1:19" ht="14.25" customHeight="1">
      <c r="A205" s="9">
        <v>50201</v>
      </c>
      <c r="B205" s="9" t="s">
        <v>226</v>
      </c>
      <c r="C205" s="10">
        <v>10574</v>
      </c>
      <c r="D205" s="10">
        <v>4598.8890045881271</v>
      </c>
      <c r="E205" s="11">
        <v>21549</v>
      </c>
      <c r="F205" s="12">
        <f t="shared" si="0"/>
        <v>0.49069562392686433</v>
      </c>
      <c r="G205" s="12">
        <f t="shared" si="1"/>
        <v>0.43492424858976048</v>
      </c>
      <c r="H205" s="12">
        <f t="shared" si="2"/>
        <v>0.21341542552267517</v>
      </c>
      <c r="I205" s="13"/>
      <c r="J205" s="17"/>
      <c r="K205" s="17"/>
      <c r="L205" s="17"/>
      <c r="M205" s="17"/>
      <c r="N205" s="17"/>
      <c r="O205" s="19"/>
      <c r="P205" s="20"/>
      <c r="Q205" s="20"/>
      <c r="S205" s="15"/>
    </row>
    <row r="206" spans="1:19" ht="14.25" customHeight="1">
      <c r="A206" s="9">
        <v>50202</v>
      </c>
      <c r="B206" s="9" t="s">
        <v>227</v>
      </c>
      <c r="C206" s="10">
        <v>9019</v>
      </c>
      <c r="D206" s="10">
        <v>3932.5556543171406</v>
      </c>
      <c r="E206" s="11">
        <v>15943</v>
      </c>
      <c r="F206" s="12">
        <f t="shared" si="0"/>
        <v>0.56570281628300823</v>
      </c>
      <c r="G206" s="12">
        <f t="shared" si="1"/>
        <v>0.43603012022587212</v>
      </c>
      <c r="H206" s="12">
        <f t="shared" si="2"/>
        <v>0.24666346699599453</v>
      </c>
      <c r="I206" s="13"/>
      <c r="J206" s="17"/>
      <c r="K206" s="17"/>
      <c r="L206" s="17"/>
      <c r="M206" s="17"/>
      <c r="N206" s="17"/>
      <c r="O206" s="19"/>
      <c r="P206" s="20"/>
      <c r="Q206" s="20"/>
      <c r="S206" s="15"/>
    </row>
    <row r="207" spans="1:19" ht="14.25" customHeight="1">
      <c r="A207" s="9">
        <v>50203</v>
      </c>
      <c r="B207" s="9" t="s">
        <v>228</v>
      </c>
      <c r="C207" s="10">
        <v>11265</v>
      </c>
      <c r="D207" s="10">
        <v>4675.7778978943825</v>
      </c>
      <c r="E207" s="11">
        <v>40375</v>
      </c>
      <c r="F207" s="12">
        <f t="shared" si="0"/>
        <v>0.27900928792569657</v>
      </c>
      <c r="G207" s="12">
        <f t="shared" si="1"/>
        <v>0.41507127367016267</v>
      </c>
      <c r="H207" s="12">
        <f t="shared" si="2"/>
        <v>0.11580874050512402</v>
      </c>
      <c r="I207" s="13"/>
      <c r="J207" s="17"/>
      <c r="K207" s="17"/>
      <c r="L207" s="17"/>
      <c r="M207" s="17"/>
      <c r="N207" s="17"/>
      <c r="O207" s="19"/>
      <c r="P207" s="20"/>
      <c r="Q207" s="20"/>
      <c r="S207" s="15"/>
    </row>
    <row r="208" spans="1:19" ht="14.25" customHeight="1">
      <c r="A208" s="9">
        <v>50204</v>
      </c>
      <c r="B208" s="9" t="s">
        <v>229</v>
      </c>
      <c r="C208" s="10">
        <v>5737</v>
      </c>
      <c r="D208" s="10">
        <v>2749.3334059715271</v>
      </c>
      <c r="E208" s="11">
        <v>7911</v>
      </c>
      <c r="F208" s="12">
        <f t="shared" si="0"/>
        <v>0.72519276956137024</v>
      </c>
      <c r="G208" s="12">
        <f t="shared" si="1"/>
        <v>0.47922841310293307</v>
      </c>
      <c r="H208" s="12">
        <f t="shared" si="2"/>
        <v>0.34753298015061651</v>
      </c>
      <c r="I208" s="13"/>
      <c r="J208" s="17"/>
      <c r="K208" s="17"/>
      <c r="L208" s="17"/>
      <c r="M208" s="17"/>
      <c r="N208" s="17"/>
      <c r="O208" s="19"/>
      <c r="P208" s="20"/>
      <c r="Q208" s="20"/>
      <c r="S208" s="15"/>
    </row>
    <row r="209" spans="1:19" ht="14.25" customHeight="1">
      <c r="A209" s="9">
        <v>50301</v>
      </c>
      <c r="B209" s="9" t="s">
        <v>230</v>
      </c>
      <c r="C209" s="10">
        <v>20338</v>
      </c>
      <c r="D209" s="10">
        <v>9672.111364364624</v>
      </c>
      <c r="E209" s="11">
        <v>33643</v>
      </c>
      <c r="F209" s="12">
        <f t="shared" si="0"/>
        <v>0.60452397229735755</v>
      </c>
      <c r="G209" s="12">
        <f t="shared" si="1"/>
        <v>0.47556846122355317</v>
      </c>
      <c r="H209" s="12">
        <f t="shared" si="2"/>
        <v>0.28749253527820423</v>
      </c>
      <c r="I209" s="13"/>
      <c r="J209" s="17"/>
      <c r="K209" s="17"/>
      <c r="L209" s="17"/>
      <c r="M209" s="17"/>
      <c r="N209" s="17"/>
      <c r="O209" s="19"/>
      <c r="P209" s="20"/>
      <c r="Q209" s="20"/>
      <c r="S209" s="15"/>
    </row>
    <row r="210" spans="1:19" ht="14.25" customHeight="1">
      <c r="A210" s="9">
        <v>50302</v>
      </c>
      <c r="B210" s="9" t="s">
        <v>231</v>
      </c>
      <c r="C210" s="10">
        <v>5477</v>
      </c>
      <c r="D210" s="10">
        <v>2422.6667283773422</v>
      </c>
      <c r="E210" s="11">
        <v>9807</v>
      </c>
      <c r="F210" s="12">
        <f t="shared" si="0"/>
        <v>0.55847863770775974</v>
      </c>
      <c r="G210" s="12">
        <f t="shared" si="1"/>
        <v>0.44233462267251089</v>
      </c>
      <c r="H210" s="12">
        <f t="shared" si="2"/>
        <v>0.24703443748111981</v>
      </c>
      <c r="I210" s="13"/>
      <c r="J210" s="17"/>
      <c r="K210" s="17"/>
      <c r="L210" s="17"/>
      <c r="M210" s="17"/>
      <c r="N210" s="17"/>
      <c r="O210" s="19"/>
      <c r="P210" s="20"/>
      <c r="Q210" s="20"/>
      <c r="S210" s="15"/>
    </row>
    <row r="211" spans="1:19" ht="14.25" customHeight="1">
      <c r="A211" s="9">
        <v>50303</v>
      </c>
      <c r="B211" s="9" t="s">
        <v>232</v>
      </c>
      <c r="C211" s="10">
        <v>10763</v>
      </c>
      <c r="D211" s="10">
        <v>5644.0001557767391</v>
      </c>
      <c r="E211" s="11">
        <v>11695</v>
      </c>
      <c r="F211" s="12">
        <f t="shared" si="0"/>
        <v>0.92030782385634891</v>
      </c>
      <c r="G211" s="12">
        <f t="shared" si="1"/>
        <v>0.52438912531605864</v>
      </c>
      <c r="H211" s="12">
        <f t="shared" si="2"/>
        <v>0.48259941477355617</v>
      </c>
      <c r="I211" s="13"/>
      <c r="J211" s="17"/>
      <c r="K211" s="17"/>
      <c r="L211" s="17"/>
      <c r="M211" s="17"/>
      <c r="N211" s="17"/>
      <c r="O211" s="19"/>
      <c r="P211" s="20"/>
      <c r="Q211" s="20"/>
      <c r="S211" s="15"/>
    </row>
    <row r="212" spans="1:19" ht="14.25" customHeight="1">
      <c r="A212" s="9">
        <v>50401</v>
      </c>
      <c r="B212" s="9" t="s">
        <v>233</v>
      </c>
      <c r="C212" s="10">
        <v>11183</v>
      </c>
      <c r="D212" s="10">
        <v>5816.0001626312733</v>
      </c>
      <c r="E212" s="11">
        <v>15069</v>
      </c>
      <c r="F212" s="12">
        <f t="shared" si="0"/>
        <v>0.74211958325038163</v>
      </c>
      <c r="G212" s="12">
        <f t="shared" si="1"/>
        <v>0.52007512855506333</v>
      </c>
      <c r="H212" s="12">
        <f t="shared" si="2"/>
        <v>0.38595793766217223</v>
      </c>
      <c r="I212" s="13"/>
      <c r="J212" s="17"/>
      <c r="K212" s="17"/>
      <c r="L212" s="17"/>
      <c r="M212" s="17"/>
      <c r="N212" s="17"/>
      <c r="O212" s="19"/>
      <c r="P212" s="20"/>
      <c r="Q212" s="20"/>
      <c r="S212" s="15"/>
    </row>
    <row r="213" spans="1:19" ht="14.25" customHeight="1">
      <c r="A213" s="9">
        <v>50402</v>
      </c>
      <c r="B213" s="9" t="s">
        <v>234</v>
      </c>
      <c r="C213" s="10">
        <v>17131</v>
      </c>
      <c r="D213" s="10">
        <v>9027.2224656939507</v>
      </c>
      <c r="E213" s="11">
        <v>21041</v>
      </c>
      <c r="F213" s="12">
        <f t="shared" si="0"/>
        <v>0.8141723302124424</v>
      </c>
      <c r="G213" s="12">
        <f t="shared" si="1"/>
        <v>0.52695245261187029</v>
      </c>
      <c r="H213" s="12">
        <f t="shared" si="2"/>
        <v>0.42903010625416804</v>
      </c>
      <c r="I213" s="13"/>
      <c r="J213" s="17"/>
      <c r="K213" s="17"/>
      <c r="L213" s="17"/>
      <c r="M213" s="17"/>
      <c r="N213" s="17"/>
      <c r="O213" s="19"/>
      <c r="P213" s="20"/>
      <c r="Q213" s="20"/>
      <c r="S213" s="15"/>
    </row>
    <row r="214" spans="1:19" ht="14.25" customHeight="1">
      <c r="A214" s="9">
        <v>50403</v>
      </c>
      <c r="B214" s="9" t="s">
        <v>235</v>
      </c>
      <c r="C214" s="10">
        <v>19776</v>
      </c>
      <c r="D214" s="10">
        <v>9328.2224700152874</v>
      </c>
      <c r="E214" s="11">
        <v>26173</v>
      </c>
      <c r="F214" s="12">
        <f t="shared" si="0"/>
        <v>0.75558781950865395</v>
      </c>
      <c r="G214" s="12">
        <f t="shared" si="1"/>
        <v>0.47169409739154972</v>
      </c>
      <c r="H214" s="12">
        <f t="shared" si="2"/>
        <v>0.35640631452318372</v>
      </c>
      <c r="I214" s="13"/>
      <c r="J214" s="17"/>
      <c r="K214" s="17"/>
      <c r="L214" s="17"/>
      <c r="M214" s="17"/>
      <c r="N214" s="17"/>
      <c r="O214" s="19"/>
      <c r="P214" s="20"/>
      <c r="Q214" s="20"/>
      <c r="S214" s="15"/>
    </row>
    <row r="215" spans="1:19" ht="14.25" customHeight="1">
      <c r="A215" s="9">
        <v>50404</v>
      </c>
      <c r="B215" s="9" t="s">
        <v>236</v>
      </c>
      <c r="C215" s="10">
        <v>13653</v>
      </c>
      <c r="D215" s="10">
        <v>7336.8890892267227</v>
      </c>
      <c r="E215" s="11">
        <v>16023</v>
      </c>
      <c r="F215" s="12">
        <f t="shared" si="0"/>
        <v>0.85208762404044192</v>
      </c>
      <c r="G215" s="12">
        <f t="shared" si="1"/>
        <v>0.53738292604019067</v>
      </c>
      <c r="H215" s="12">
        <f t="shared" si="2"/>
        <v>0.45789734064948656</v>
      </c>
      <c r="I215" s="13"/>
      <c r="J215" s="17"/>
      <c r="K215" s="17"/>
      <c r="L215" s="17"/>
      <c r="M215" s="17"/>
      <c r="N215" s="17"/>
      <c r="O215" s="19"/>
      <c r="P215" s="20"/>
      <c r="Q215" s="20"/>
      <c r="S215" s="15"/>
    </row>
    <row r="216" spans="1:19" ht="14.25" customHeight="1">
      <c r="A216" s="9">
        <v>50405</v>
      </c>
      <c r="B216" s="9" t="s">
        <v>237</v>
      </c>
      <c r="C216" s="10">
        <v>16177</v>
      </c>
      <c r="D216" s="10">
        <v>7877.6668823361397</v>
      </c>
      <c r="E216" s="11">
        <v>19833</v>
      </c>
      <c r="F216" s="12">
        <f t="shared" si="0"/>
        <v>0.81566076740785565</v>
      </c>
      <c r="G216" s="12">
        <f t="shared" si="1"/>
        <v>0.4869671065300204</v>
      </c>
      <c r="H216" s="12">
        <f t="shared" si="2"/>
        <v>0.39719996381465944</v>
      </c>
      <c r="I216" s="13"/>
      <c r="J216" s="17"/>
      <c r="K216" s="17"/>
      <c r="L216" s="17"/>
      <c r="M216" s="17"/>
      <c r="N216" s="17"/>
      <c r="O216" s="19"/>
      <c r="P216" s="20"/>
      <c r="Q216" s="20"/>
      <c r="S216" s="15"/>
    </row>
    <row r="217" spans="1:19" ht="14.25" customHeight="1">
      <c r="A217" s="9">
        <v>50501</v>
      </c>
      <c r="B217" s="9" t="s">
        <v>238</v>
      </c>
      <c r="C217" s="10">
        <v>26984</v>
      </c>
      <c r="D217" s="10">
        <v>14782.778192937374</v>
      </c>
      <c r="E217" s="11">
        <v>29813</v>
      </c>
      <c r="F217" s="12">
        <f t="shared" si="0"/>
        <v>0.90510850971052892</v>
      </c>
      <c r="G217" s="12">
        <f t="shared" si="1"/>
        <v>0.5478349463733091</v>
      </c>
      <c r="H217" s="12">
        <f t="shared" si="2"/>
        <v>0.49585007187929331</v>
      </c>
      <c r="I217" s="13"/>
      <c r="J217" s="17"/>
      <c r="K217" s="17"/>
      <c r="L217" s="17"/>
      <c r="M217" s="17"/>
      <c r="N217" s="17"/>
      <c r="O217" s="19"/>
      <c r="P217" s="20"/>
      <c r="Q217" s="20"/>
      <c r="S217" s="15"/>
    </row>
    <row r="218" spans="1:19" ht="14.25" customHeight="1">
      <c r="A218" s="9">
        <v>50502</v>
      </c>
      <c r="B218" s="9" t="s">
        <v>239</v>
      </c>
      <c r="C218" s="10">
        <v>8319</v>
      </c>
      <c r="D218" s="10">
        <v>4314.2223409712315</v>
      </c>
      <c r="E218" s="11">
        <v>10717</v>
      </c>
      <c r="F218" s="12">
        <f t="shared" si="0"/>
        <v>0.77624335168423997</v>
      </c>
      <c r="G218" s="12">
        <f t="shared" si="1"/>
        <v>0.5185986706300314</v>
      </c>
      <c r="H218" s="12">
        <f t="shared" si="2"/>
        <v>0.40255877026884679</v>
      </c>
      <c r="I218" s="13"/>
      <c r="J218" s="17"/>
      <c r="K218" s="17"/>
      <c r="L218" s="17"/>
      <c r="M218" s="17"/>
      <c r="N218" s="17"/>
      <c r="O218" s="19"/>
      <c r="P218" s="20"/>
      <c r="Q218" s="20"/>
      <c r="S218" s="15"/>
    </row>
    <row r="219" spans="1:19" ht="14.25" customHeight="1">
      <c r="A219" s="9">
        <v>50601</v>
      </c>
      <c r="B219" s="9" t="s">
        <v>240</v>
      </c>
      <c r="C219" s="10">
        <v>18556</v>
      </c>
      <c r="D219" s="10">
        <v>8169.000209569931</v>
      </c>
      <c r="E219" s="11">
        <v>31446</v>
      </c>
      <c r="F219" s="12">
        <f t="shared" si="0"/>
        <v>0.5900909495643325</v>
      </c>
      <c r="G219" s="12">
        <f t="shared" si="1"/>
        <v>0.44023497572590703</v>
      </c>
      <c r="H219" s="12">
        <f t="shared" si="2"/>
        <v>0.25977867485753137</v>
      </c>
      <c r="I219" s="13"/>
      <c r="J219" s="17"/>
      <c r="K219" s="17"/>
      <c r="L219" s="17"/>
      <c r="M219" s="17"/>
      <c r="N219" s="17"/>
      <c r="O219" s="19"/>
      <c r="P219" s="20"/>
      <c r="Q219" s="20"/>
      <c r="S219" s="15"/>
    </row>
    <row r="220" spans="1:19" ht="14.25" customHeight="1">
      <c r="A220" s="9">
        <v>50602</v>
      </c>
      <c r="B220" s="9" t="s">
        <v>241</v>
      </c>
      <c r="C220" s="10">
        <v>5343</v>
      </c>
      <c r="D220" s="10">
        <v>2299.0000615715981</v>
      </c>
      <c r="E220" s="11">
        <v>10480</v>
      </c>
      <c r="F220" s="12">
        <f t="shared" si="0"/>
        <v>0.50982824427480911</v>
      </c>
      <c r="G220" s="12">
        <f t="shared" si="1"/>
        <v>0.43028262428815234</v>
      </c>
      <c r="H220" s="12">
        <f t="shared" si="2"/>
        <v>0.21937023488278604</v>
      </c>
      <c r="I220" s="13"/>
      <c r="J220" s="17"/>
      <c r="K220" s="17"/>
      <c r="L220" s="17"/>
      <c r="M220" s="17"/>
      <c r="N220" s="17"/>
      <c r="O220" s="19"/>
      <c r="P220" s="20"/>
      <c r="Q220" s="20"/>
      <c r="S220" s="15"/>
    </row>
    <row r="221" spans="1:19" ht="14.25" customHeight="1">
      <c r="A221" s="9">
        <v>50701</v>
      </c>
      <c r="B221" s="9" t="s">
        <v>242</v>
      </c>
      <c r="C221" s="10">
        <v>14258</v>
      </c>
      <c r="D221" s="10">
        <v>6908.5557391345501</v>
      </c>
      <c r="E221" s="11">
        <v>19367</v>
      </c>
      <c r="F221" s="12">
        <f t="shared" si="0"/>
        <v>0.73620075385965822</v>
      </c>
      <c r="G221" s="12">
        <f t="shared" si="1"/>
        <v>0.48453890721942416</v>
      </c>
      <c r="H221" s="12">
        <f t="shared" si="2"/>
        <v>0.35671790876927506</v>
      </c>
      <c r="I221" s="13"/>
      <c r="J221" s="17"/>
      <c r="K221" s="17"/>
      <c r="L221" s="17"/>
      <c r="M221" s="17"/>
      <c r="N221" s="17"/>
      <c r="O221" s="19"/>
      <c r="P221" s="20"/>
      <c r="Q221" s="20"/>
      <c r="S221" s="15"/>
    </row>
    <row r="222" spans="1:19" ht="14.25" customHeight="1">
      <c r="A222" s="9">
        <v>50702</v>
      </c>
      <c r="B222" s="9" t="s">
        <v>243</v>
      </c>
      <c r="C222" s="10">
        <v>6284</v>
      </c>
      <c r="D222" s="10">
        <v>2769.4445163309574</v>
      </c>
      <c r="E222" s="11">
        <v>8645</v>
      </c>
      <c r="F222" s="12">
        <f t="shared" si="0"/>
        <v>0.72689415847310579</v>
      </c>
      <c r="G222" s="12">
        <f t="shared" si="1"/>
        <v>0.44071364040912753</v>
      </c>
      <c r="H222" s="12">
        <f t="shared" si="2"/>
        <v>0.3203521707728117</v>
      </c>
      <c r="I222" s="13"/>
      <c r="J222" s="17"/>
      <c r="K222" s="17"/>
      <c r="L222" s="17"/>
      <c r="M222" s="17"/>
      <c r="N222" s="17"/>
      <c r="O222" s="19"/>
      <c r="P222" s="20"/>
      <c r="Q222" s="20"/>
      <c r="S222" s="15"/>
    </row>
    <row r="223" spans="1:19" ht="14.25" customHeight="1">
      <c r="A223" s="9">
        <v>50801</v>
      </c>
      <c r="B223" s="9" t="s">
        <v>244</v>
      </c>
      <c r="C223" s="10">
        <v>13251</v>
      </c>
      <c r="D223" s="10">
        <v>5801.444595605135</v>
      </c>
      <c r="E223" s="11">
        <v>43719</v>
      </c>
      <c r="F223" s="12">
        <f t="shared" si="0"/>
        <v>0.30309476429012555</v>
      </c>
      <c r="G223" s="12">
        <f t="shared" si="1"/>
        <v>0.43781183273753943</v>
      </c>
      <c r="H223" s="12">
        <f t="shared" si="2"/>
        <v>0.13269847424701239</v>
      </c>
      <c r="I223" s="13"/>
      <c r="J223" s="17"/>
      <c r="K223" s="17"/>
      <c r="L223" s="17"/>
      <c r="M223" s="17"/>
      <c r="N223" s="17"/>
      <c r="O223" s="19"/>
      <c r="P223" s="20"/>
      <c r="Q223" s="20"/>
      <c r="S223" s="15"/>
    </row>
    <row r="224" spans="1:19" ht="14.25" customHeight="1">
      <c r="A224" s="9">
        <v>50802</v>
      </c>
      <c r="B224" s="9" t="s">
        <v>245</v>
      </c>
      <c r="C224" s="10">
        <v>2264</v>
      </c>
      <c r="D224" s="10">
        <v>909.88891220092773</v>
      </c>
      <c r="E224" s="11">
        <v>10930</v>
      </c>
      <c r="F224" s="12">
        <f t="shared" si="0"/>
        <v>0.2071363220494053</v>
      </c>
      <c r="G224" s="12">
        <f t="shared" si="1"/>
        <v>0.40189439584846631</v>
      </c>
      <c r="H224" s="12">
        <f t="shared" si="2"/>
        <v>8.3246927008319094E-2</v>
      </c>
      <c r="I224" s="13"/>
      <c r="J224" s="17"/>
      <c r="K224" s="17"/>
      <c r="L224" s="17"/>
      <c r="M224" s="17"/>
      <c r="N224" s="17"/>
      <c r="O224" s="19"/>
      <c r="P224" s="20"/>
      <c r="Q224" s="20"/>
      <c r="S224" s="15"/>
    </row>
    <row r="225" spans="1:19" ht="14.25" customHeight="1">
      <c r="A225" s="9">
        <v>50901</v>
      </c>
      <c r="B225" s="9" t="s">
        <v>246</v>
      </c>
      <c r="C225" s="10">
        <v>5378</v>
      </c>
      <c r="D225" s="10">
        <v>2401.7778399586678</v>
      </c>
      <c r="E225" s="11">
        <v>11118</v>
      </c>
      <c r="F225" s="12">
        <f t="shared" si="0"/>
        <v>0.48372009354200396</v>
      </c>
      <c r="G225" s="12">
        <f t="shared" si="1"/>
        <v>0.44659312754902708</v>
      </c>
      <c r="H225" s="12">
        <f t="shared" si="2"/>
        <v>0.21602606943323149</v>
      </c>
      <c r="I225" s="13"/>
      <c r="J225" s="17"/>
      <c r="K225" s="17"/>
      <c r="L225" s="17"/>
      <c r="M225" s="17"/>
      <c r="N225" s="17"/>
      <c r="O225" s="19"/>
      <c r="P225" s="20"/>
      <c r="Q225" s="20"/>
      <c r="S225" s="15"/>
    </row>
    <row r="226" spans="1:19" ht="14.25" customHeight="1">
      <c r="A226" s="9">
        <v>50902</v>
      </c>
      <c r="B226" s="9" t="s">
        <v>247</v>
      </c>
      <c r="C226" s="10">
        <v>441</v>
      </c>
      <c r="D226" s="10">
        <v>181.88889318704605</v>
      </c>
      <c r="E226" s="11">
        <v>995</v>
      </c>
      <c r="F226" s="12">
        <f t="shared" si="0"/>
        <v>0.44321608040201005</v>
      </c>
      <c r="G226" s="12">
        <f t="shared" si="1"/>
        <v>0.41244646981189581</v>
      </c>
      <c r="H226" s="12">
        <f t="shared" si="2"/>
        <v>0.18280290772567442</v>
      </c>
      <c r="I226" s="13"/>
      <c r="J226" s="17"/>
      <c r="K226" s="17"/>
      <c r="L226" s="17"/>
      <c r="M226" s="17"/>
      <c r="N226" s="17"/>
      <c r="O226" s="19"/>
      <c r="P226" s="20"/>
      <c r="Q226" s="20"/>
      <c r="S226" s="15"/>
    </row>
    <row r="227" spans="1:19" ht="14.25" customHeight="1">
      <c r="A227" s="9">
        <v>51001</v>
      </c>
      <c r="B227" s="9" t="s">
        <v>248</v>
      </c>
      <c r="C227" s="10">
        <v>1840</v>
      </c>
      <c r="D227" s="10">
        <v>825.5555754005909</v>
      </c>
      <c r="E227" s="11">
        <v>2958</v>
      </c>
      <c r="F227" s="12">
        <f t="shared" si="0"/>
        <v>0.6220419202163624</v>
      </c>
      <c r="G227" s="12">
        <f t="shared" si="1"/>
        <v>0.44867150836988634</v>
      </c>
      <c r="H227" s="12">
        <f t="shared" si="2"/>
        <v>0.2790924866127758</v>
      </c>
      <c r="I227" s="13"/>
      <c r="J227" s="17"/>
      <c r="K227" s="17"/>
      <c r="L227" s="17"/>
      <c r="M227" s="17"/>
      <c r="N227" s="17"/>
      <c r="O227" s="19"/>
      <c r="P227" s="20"/>
      <c r="Q227" s="20"/>
      <c r="S227" s="15"/>
    </row>
    <row r="228" spans="1:19" ht="14.25" customHeight="1">
      <c r="A228" s="9">
        <v>51002</v>
      </c>
      <c r="B228" s="9" t="s">
        <v>249</v>
      </c>
      <c r="C228" s="10">
        <v>852</v>
      </c>
      <c r="D228" s="10">
        <v>416.77778992056847</v>
      </c>
      <c r="E228" s="11">
        <v>1178</v>
      </c>
      <c r="F228" s="12">
        <f t="shared" si="0"/>
        <v>0.72325976230899836</v>
      </c>
      <c r="G228" s="12">
        <f t="shared" si="1"/>
        <v>0.48917580976592545</v>
      </c>
      <c r="H228" s="12">
        <f t="shared" si="2"/>
        <v>0.35380117989861504</v>
      </c>
      <c r="I228" s="13"/>
      <c r="J228" s="17"/>
      <c r="K228" s="17"/>
      <c r="L228" s="17"/>
      <c r="M228" s="17"/>
      <c r="N228" s="17"/>
      <c r="O228" s="19"/>
      <c r="P228" s="20"/>
      <c r="Q228" s="20"/>
      <c r="S228" s="15"/>
    </row>
    <row r="229" spans="1:19" ht="14.25" customHeight="1">
      <c r="A229" s="9">
        <v>51003</v>
      </c>
      <c r="B229" s="9" t="s">
        <v>250</v>
      </c>
      <c r="C229" s="10">
        <v>1276</v>
      </c>
      <c r="D229" s="10">
        <v>557.22223654389381</v>
      </c>
      <c r="E229" s="11">
        <v>2239</v>
      </c>
      <c r="F229" s="12">
        <f t="shared" si="0"/>
        <v>0.56989727556945069</v>
      </c>
      <c r="G229" s="12">
        <f t="shared" si="1"/>
        <v>0.43669454274599828</v>
      </c>
      <c r="H229" s="12">
        <f t="shared" si="2"/>
        <v>0.24887103016699144</v>
      </c>
      <c r="I229" s="13"/>
      <c r="J229" s="17"/>
      <c r="K229" s="17"/>
      <c r="L229" s="17"/>
      <c r="M229" s="17"/>
      <c r="N229" s="17"/>
      <c r="O229" s="19"/>
      <c r="P229" s="20"/>
      <c r="Q229" s="20"/>
      <c r="S229" s="15"/>
    </row>
    <row r="230" spans="1:19" ht="14.25" customHeight="1">
      <c r="A230" s="9">
        <v>51101</v>
      </c>
      <c r="B230" s="9" t="s">
        <v>251</v>
      </c>
      <c r="C230" s="10">
        <v>11132</v>
      </c>
      <c r="D230" s="10">
        <v>4895.2223473191261</v>
      </c>
      <c r="E230" s="11">
        <v>21770</v>
      </c>
      <c r="F230" s="12">
        <f t="shared" si="0"/>
        <v>0.51134588883785026</v>
      </c>
      <c r="G230" s="12">
        <f t="shared" si="1"/>
        <v>0.43974329386625277</v>
      </c>
      <c r="H230" s="12">
        <f t="shared" si="2"/>
        <v>0.22486092546252301</v>
      </c>
      <c r="I230" s="13"/>
      <c r="J230" s="17"/>
      <c r="K230" s="17"/>
      <c r="L230" s="17"/>
      <c r="M230" s="17"/>
      <c r="N230" s="17"/>
      <c r="O230" s="19"/>
      <c r="P230" s="20"/>
      <c r="Q230" s="20"/>
      <c r="S230" s="15"/>
    </row>
    <row r="231" spans="1:19" ht="14.25" customHeight="1">
      <c r="A231" s="9">
        <v>51102</v>
      </c>
      <c r="B231" s="9" t="s">
        <v>252</v>
      </c>
      <c r="C231" s="10">
        <v>5547</v>
      </c>
      <c r="D231" s="10">
        <v>2376.3333916068077</v>
      </c>
      <c r="E231" s="11">
        <v>11762</v>
      </c>
      <c r="F231" s="12">
        <f t="shared" si="0"/>
        <v>0.4716034687978235</v>
      </c>
      <c r="G231" s="12">
        <f t="shared" si="1"/>
        <v>0.42839974609821663</v>
      </c>
      <c r="H231" s="12">
        <f t="shared" si="2"/>
        <v>0.2020348062920258</v>
      </c>
      <c r="I231" s="13"/>
      <c r="J231" s="17"/>
      <c r="K231" s="17"/>
      <c r="L231" s="17"/>
      <c r="M231" s="17"/>
      <c r="N231" s="17"/>
      <c r="O231" s="19"/>
      <c r="P231" s="20"/>
      <c r="Q231" s="20"/>
      <c r="S231" s="15"/>
    </row>
    <row r="232" spans="1:19" ht="14.25" customHeight="1">
      <c r="A232" s="9">
        <v>51103</v>
      </c>
      <c r="B232" s="9" t="s">
        <v>253</v>
      </c>
      <c r="C232" s="10">
        <v>13726</v>
      </c>
      <c r="D232" s="10">
        <v>7452.111310094595</v>
      </c>
      <c r="E232" s="11">
        <v>15682</v>
      </c>
      <c r="F232" s="12">
        <f t="shared" si="0"/>
        <v>0.87527101135059304</v>
      </c>
      <c r="G232" s="12">
        <f t="shared" si="1"/>
        <v>0.54291937273019053</v>
      </c>
      <c r="H232" s="12">
        <f t="shared" si="2"/>
        <v>0.47520158845138344</v>
      </c>
      <c r="I232" s="13"/>
      <c r="J232" s="17"/>
      <c r="K232" s="17"/>
      <c r="L232" s="17"/>
      <c r="M232" s="17"/>
      <c r="N232" s="17"/>
      <c r="O232" s="19"/>
      <c r="P232" s="20"/>
      <c r="Q232" s="20"/>
      <c r="S232" s="15"/>
    </row>
    <row r="233" spans="1:19" ht="14.25" customHeight="1">
      <c r="A233" s="9">
        <v>51201</v>
      </c>
      <c r="B233" s="9" t="s">
        <v>254</v>
      </c>
      <c r="C233" s="10">
        <v>10850</v>
      </c>
      <c r="D233" s="10">
        <v>4826.3334592282772</v>
      </c>
      <c r="E233" s="11">
        <v>28653</v>
      </c>
      <c r="F233" s="12">
        <f t="shared" si="0"/>
        <v>0.37866890028967298</v>
      </c>
      <c r="G233" s="12">
        <f t="shared" si="1"/>
        <v>0.44482336029753705</v>
      </c>
      <c r="H233" s="12">
        <f t="shared" si="2"/>
        <v>0.16844077266702534</v>
      </c>
      <c r="I233" s="13"/>
      <c r="J233" s="17"/>
      <c r="K233" s="17"/>
      <c r="L233" s="17"/>
      <c r="M233" s="17"/>
      <c r="N233" s="17"/>
      <c r="O233" s="19"/>
      <c r="P233" s="20"/>
      <c r="Q233" s="20"/>
      <c r="S233" s="15"/>
    </row>
    <row r="234" spans="1:19" ht="14.25" customHeight="1">
      <c r="A234" s="9">
        <v>51202</v>
      </c>
      <c r="B234" s="9" t="s">
        <v>255</v>
      </c>
      <c r="C234" s="10">
        <v>5988</v>
      </c>
      <c r="D234" s="10">
        <v>2667.0000660717487</v>
      </c>
      <c r="E234" s="11">
        <v>8728</v>
      </c>
      <c r="F234" s="12">
        <f t="shared" si="0"/>
        <v>0.68606782768102659</v>
      </c>
      <c r="G234" s="12">
        <f t="shared" si="1"/>
        <v>0.44539079259715242</v>
      </c>
      <c r="H234" s="12">
        <f t="shared" si="2"/>
        <v>0.30556829354625903</v>
      </c>
      <c r="I234" s="13"/>
      <c r="J234" s="17"/>
      <c r="K234" s="17"/>
      <c r="L234" s="17"/>
      <c r="M234" s="17"/>
      <c r="N234" s="17"/>
      <c r="O234" s="19"/>
      <c r="P234" s="20"/>
      <c r="Q234" s="20"/>
      <c r="S234" s="15"/>
    </row>
    <row r="235" spans="1:19" ht="14.25" customHeight="1">
      <c r="A235" s="9">
        <v>51203</v>
      </c>
      <c r="B235" s="9" t="s">
        <v>256</v>
      </c>
      <c r="C235" s="10">
        <v>3032</v>
      </c>
      <c r="D235" s="10">
        <v>1407.8889243602753</v>
      </c>
      <c r="E235" s="11">
        <v>10687</v>
      </c>
      <c r="F235" s="12">
        <f t="shared" si="0"/>
        <v>0.28370917937681295</v>
      </c>
      <c r="G235" s="12">
        <f t="shared" si="1"/>
        <v>0.46434331278373198</v>
      </c>
      <c r="H235" s="12">
        <f t="shared" si="2"/>
        <v>0.13173846021898339</v>
      </c>
      <c r="I235" s="13"/>
      <c r="J235" s="17"/>
      <c r="K235" s="17"/>
      <c r="L235" s="17"/>
      <c r="M235" s="17"/>
      <c r="N235" s="17"/>
      <c r="O235" s="19"/>
      <c r="P235" s="20"/>
      <c r="Q235" s="20"/>
      <c r="S235" s="15"/>
    </row>
    <row r="236" spans="1:19" ht="14.25" customHeight="1">
      <c r="A236" s="9">
        <v>51204</v>
      </c>
      <c r="B236" s="9" t="s">
        <v>257</v>
      </c>
      <c r="C236" s="10">
        <v>3905</v>
      </c>
      <c r="D236" s="10">
        <v>1827.777824640274</v>
      </c>
      <c r="E236" s="11">
        <v>5875</v>
      </c>
      <c r="F236" s="12">
        <f t="shared" si="0"/>
        <v>0.66468085106382979</v>
      </c>
      <c r="G236" s="12">
        <f t="shared" si="1"/>
        <v>0.4680609025967411</v>
      </c>
      <c r="H236" s="12">
        <f t="shared" si="2"/>
        <v>0.31111111908770622</v>
      </c>
      <c r="I236" s="13"/>
      <c r="J236" s="17"/>
      <c r="K236" s="17"/>
      <c r="L236" s="17"/>
      <c r="M236" s="17"/>
      <c r="N236" s="17"/>
      <c r="O236" s="19"/>
      <c r="P236" s="20"/>
      <c r="Q236" s="20"/>
      <c r="S236" s="15"/>
    </row>
    <row r="237" spans="1:19" ht="14.25" customHeight="1">
      <c r="A237" s="9">
        <v>51301</v>
      </c>
      <c r="B237" s="9" t="s">
        <v>258</v>
      </c>
      <c r="C237" s="10">
        <v>3073</v>
      </c>
      <c r="D237" s="10">
        <v>1543.4444871246815</v>
      </c>
      <c r="E237" s="11">
        <v>4114</v>
      </c>
      <c r="F237" s="12">
        <f t="shared" si="0"/>
        <v>0.74696159455517741</v>
      </c>
      <c r="G237" s="12">
        <f t="shared" si="1"/>
        <v>0.50225983961102549</v>
      </c>
      <c r="H237" s="12">
        <f t="shared" si="2"/>
        <v>0.37516881067687924</v>
      </c>
      <c r="I237" s="13"/>
      <c r="J237" s="17"/>
      <c r="K237" s="17"/>
      <c r="L237" s="17"/>
      <c r="M237" s="17"/>
      <c r="N237" s="17"/>
      <c r="O237" s="19"/>
      <c r="P237" s="20"/>
      <c r="Q237" s="20"/>
      <c r="S237" s="15"/>
    </row>
    <row r="238" spans="1:19" ht="14.25" customHeight="1">
      <c r="A238" s="9">
        <v>51302</v>
      </c>
      <c r="B238" s="9" t="s">
        <v>259</v>
      </c>
      <c r="C238" s="10">
        <v>4205</v>
      </c>
      <c r="D238" s="10">
        <v>1992.6667191684246</v>
      </c>
      <c r="E238" s="11">
        <v>6099</v>
      </c>
      <c r="F238" s="12">
        <f t="shared" si="0"/>
        <v>0.68945728808001316</v>
      </c>
      <c r="G238" s="12">
        <f t="shared" si="1"/>
        <v>0.47388031371425082</v>
      </c>
      <c r="H238" s="12">
        <f t="shared" si="2"/>
        <v>0.32672023596793326</v>
      </c>
      <c r="I238" s="13"/>
      <c r="J238" s="17"/>
      <c r="K238" s="17"/>
      <c r="L238" s="17"/>
      <c r="M238" s="17"/>
      <c r="N238" s="17"/>
      <c r="O238" s="19"/>
      <c r="P238" s="20"/>
      <c r="Q238" s="20"/>
      <c r="S238" s="15"/>
    </row>
    <row r="239" spans="1:19" ht="14.25" customHeight="1">
      <c r="A239" s="9">
        <v>51401</v>
      </c>
      <c r="B239" s="9" t="s">
        <v>260</v>
      </c>
      <c r="C239" s="10">
        <v>2241</v>
      </c>
      <c r="D239" s="10">
        <v>944.00002345442772</v>
      </c>
      <c r="E239" s="11">
        <v>3985</v>
      </c>
      <c r="F239" s="12">
        <f t="shared" si="0"/>
        <v>0.56235884567126726</v>
      </c>
      <c r="G239" s="12">
        <f t="shared" si="1"/>
        <v>0.4212405280921141</v>
      </c>
      <c r="H239" s="12">
        <f t="shared" si="2"/>
        <v>0.2368883371278363</v>
      </c>
      <c r="I239" s="13"/>
      <c r="J239" s="17"/>
      <c r="K239" s="17"/>
      <c r="L239" s="17"/>
      <c r="M239" s="17"/>
      <c r="N239" s="17"/>
      <c r="O239" s="19"/>
      <c r="P239" s="20"/>
      <c r="Q239" s="20"/>
      <c r="S239" s="15"/>
    </row>
    <row r="240" spans="1:19" ht="14.25" customHeight="1">
      <c r="A240" s="9">
        <v>51402</v>
      </c>
      <c r="B240" s="9" t="s">
        <v>261</v>
      </c>
      <c r="C240" s="10">
        <v>620</v>
      </c>
      <c r="D240" s="10">
        <v>255.11111763119698</v>
      </c>
      <c r="E240" s="11">
        <v>1672</v>
      </c>
      <c r="F240" s="12">
        <f t="shared" si="0"/>
        <v>0.37081339712918659</v>
      </c>
      <c r="G240" s="12">
        <f t="shared" si="1"/>
        <v>0.41146954456644674</v>
      </c>
      <c r="H240" s="12">
        <f t="shared" si="2"/>
        <v>0.15257841963588337</v>
      </c>
      <c r="I240" s="13"/>
      <c r="J240" s="17"/>
      <c r="K240" s="17"/>
      <c r="L240" s="17"/>
      <c r="M240" s="17"/>
      <c r="N240" s="17"/>
      <c r="O240" s="19"/>
      <c r="P240" s="20"/>
      <c r="Q240" s="20"/>
      <c r="S240" s="15"/>
    </row>
    <row r="241" spans="1:19" ht="14.25" customHeight="1">
      <c r="A241" s="9">
        <v>51501</v>
      </c>
      <c r="B241" s="9" t="s">
        <v>262</v>
      </c>
      <c r="C241" s="10">
        <v>11219</v>
      </c>
      <c r="D241" s="10">
        <v>4893.7779032886028</v>
      </c>
      <c r="E241" s="11">
        <v>43586</v>
      </c>
      <c r="F241" s="12">
        <f t="shared" si="0"/>
        <v>0.25739916486945347</v>
      </c>
      <c r="G241" s="12">
        <f t="shared" si="1"/>
        <v>0.4362044659317767</v>
      </c>
      <c r="H241" s="12">
        <f t="shared" si="2"/>
        <v>0.11227866524316529</v>
      </c>
      <c r="I241" s="13"/>
      <c r="J241" s="17"/>
      <c r="K241" s="17"/>
      <c r="L241" s="17"/>
      <c r="M241" s="17"/>
      <c r="N241" s="17"/>
      <c r="O241" s="19"/>
      <c r="P241" s="20"/>
      <c r="Q241" s="20"/>
      <c r="S241" s="15"/>
    </row>
    <row r="242" spans="1:19" ht="14.25" customHeight="1">
      <c r="A242" s="9">
        <v>51601</v>
      </c>
      <c r="B242" s="9" t="s">
        <v>263</v>
      </c>
      <c r="C242" s="10">
        <v>861</v>
      </c>
      <c r="D242" s="10">
        <v>393.44445484876633</v>
      </c>
      <c r="E242" s="11">
        <v>1648</v>
      </c>
      <c r="F242" s="12">
        <f t="shared" si="0"/>
        <v>0.52245145631067957</v>
      </c>
      <c r="G242" s="12">
        <f t="shared" si="1"/>
        <v>0.4569622007535033</v>
      </c>
      <c r="H242" s="12">
        <f t="shared" si="2"/>
        <v>0.23874056726260093</v>
      </c>
      <c r="I242" s="13"/>
      <c r="J242" s="17"/>
      <c r="K242" s="17"/>
      <c r="L242" s="17"/>
      <c r="M242" s="17"/>
      <c r="N242" s="17"/>
      <c r="O242" s="19"/>
      <c r="P242" s="20"/>
      <c r="Q242" s="20"/>
      <c r="S242" s="15"/>
    </row>
    <row r="243" spans="1:19" ht="14.25" customHeight="1">
      <c r="A243" s="9">
        <v>60101</v>
      </c>
      <c r="B243" s="9" t="s">
        <v>22</v>
      </c>
      <c r="C243" s="10">
        <v>22131</v>
      </c>
      <c r="D243" s="10">
        <v>9004.7780011892319</v>
      </c>
      <c r="E243" s="11">
        <v>199048</v>
      </c>
      <c r="F243" s="12">
        <f t="shared" si="0"/>
        <v>0.11118423696796753</v>
      </c>
      <c r="G243" s="12">
        <f t="shared" si="1"/>
        <v>0.40688527410371117</v>
      </c>
      <c r="H243" s="12">
        <f t="shared" si="2"/>
        <v>4.5239228734723448E-2</v>
      </c>
      <c r="I243" s="13"/>
      <c r="J243" s="17"/>
      <c r="K243" s="17"/>
      <c r="L243" s="17"/>
      <c r="M243" s="17"/>
      <c r="N243" s="17"/>
      <c r="O243" s="19"/>
      <c r="P243" s="20"/>
      <c r="Q243" s="20"/>
      <c r="S243" s="15"/>
    </row>
    <row r="244" spans="1:19" ht="14.25" customHeight="1">
      <c r="A244" s="9">
        <v>60201</v>
      </c>
      <c r="B244" s="9" t="s">
        <v>264</v>
      </c>
      <c r="C244" s="10">
        <v>6896</v>
      </c>
      <c r="D244" s="10">
        <v>2987.2222980558872</v>
      </c>
      <c r="E244" s="11">
        <v>18194</v>
      </c>
      <c r="F244" s="12">
        <f t="shared" si="0"/>
        <v>0.37902605254479499</v>
      </c>
      <c r="G244" s="12">
        <f t="shared" si="1"/>
        <v>0.4331818877691252</v>
      </c>
      <c r="H244" s="12">
        <f t="shared" si="2"/>
        <v>0.16418722095503394</v>
      </c>
      <c r="I244" s="13"/>
      <c r="J244" s="17"/>
      <c r="K244" s="17"/>
      <c r="L244" s="17"/>
      <c r="M244" s="17"/>
      <c r="N244" s="17"/>
      <c r="O244" s="19"/>
      <c r="P244" s="20"/>
      <c r="Q244" s="20"/>
      <c r="S244" s="15"/>
    </row>
    <row r="245" spans="1:19" ht="14.25" customHeight="1">
      <c r="A245" s="9">
        <v>60202</v>
      </c>
      <c r="B245" s="9" t="s">
        <v>265</v>
      </c>
      <c r="C245" s="10">
        <v>4390</v>
      </c>
      <c r="D245" s="10">
        <v>1746.7778218388557</v>
      </c>
      <c r="E245" s="11">
        <v>32959</v>
      </c>
      <c r="F245" s="12">
        <f t="shared" si="0"/>
        <v>0.13319578870718166</v>
      </c>
      <c r="G245" s="12">
        <f t="shared" si="1"/>
        <v>0.39789927604529746</v>
      </c>
      <c r="H245" s="12">
        <f t="shared" si="2"/>
        <v>5.2998507898869986E-2</v>
      </c>
      <c r="I245" s="13"/>
      <c r="J245" s="17"/>
      <c r="K245" s="17"/>
      <c r="L245" s="17"/>
      <c r="M245" s="17"/>
      <c r="N245" s="17"/>
      <c r="O245" s="19"/>
      <c r="P245" s="20"/>
      <c r="Q245" s="20"/>
      <c r="S245" s="15"/>
    </row>
    <row r="246" spans="1:19" ht="14.25" customHeight="1">
      <c r="A246" s="9">
        <v>60301</v>
      </c>
      <c r="B246" s="9" t="s">
        <v>266</v>
      </c>
      <c r="C246" s="10">
        <v>15220</v>
      </c>
      <c r="D246" s="10">
        <v>6415.3334983289242</v>
      </c>
      <c r="E246" s="11">
        <v>87869</v>
      </c>
      <c r="F246" s="12">
        <f t="shared" si="0"/>
        <v>0.17321239572545494</v>
      </c>
      <c r="G246" s="12">
        <f t="shared" si="1"/>
        <v>0.42150680015301734</v>
      </c>
      <c r="H246" s="12">
        <f t="shared" si="2"/>
        <v>7.3010202669074695E-2</v>
      </c>
      <c r="I246" s="13"/>
      <c r="J246" s="17"/>
      <c r="K246" s="17"/>
      <c r="L246" s="17"/>
      <c r="M246" s="17"/>
      <c r="N246" s="17"/>
      <c r="O246" s="19"/>
      <c r="P246" s="20"/>
      <c r="Q246" s="20"/>
      <c r="S246" s="15"/>
    </row>
    <row r="247" spans="1:19" ht="14.25" customHeight="1">
      <c r="A247" s="9">
        <v>60302</v>
      </c>
      <c r="B247" s="9" t="s">
        <v>267</v>
      </c>
      <c r="C247" s="10">
        <v>2394</v>
      </c>
      <c r="D247" s="10">
        <v>984.33335959911346</v>
      </c>
      <c r="E247" s="11">
        <v>13311</v>
      </c>
      <c r="F247" s="12">
        <f t="shared" si="0"/>
        <v>0.17985125084516565</v>
      </c>
      <c r="G247" s="12">
        <f t="shared" si="1"/>
        <v>0.41116681687515183</v>
      </c>
      <c r="H247" s="12">
        <f t="shared" si="2"/>
        <v>7.3948866321021225E-2</v>
      </c>
      <c r="I247" s="13"/>
      <c r="J247" s="17"/>
      <c r="K247" s="17"/>
      <c r="L247" s="17"/>
      <c r="M247" s="17"/>
      <c r="N247" s="17"/>
      <c r="O247" s="19"/>
      <c r="P247" s="20"/>
      <c r="Q247" s="20"/>
      <c r="S247" s="15"/>
    </row>
    <row r="248" spans="1:19" ht="14.25" customHeight="1">
      <c r="A248" s="9">
        <v>60303</v>
      </c>
      <c r="B248" s="9" t="s">
        <v>268</v>
      </c>
      <c r="C248" s="10">
        <v>9173</v>
      </c>
      <c r="D248" s="10">
        <v>3788.1112087965012</v>
      </c>
      <c r="E248" s="11">
        <v>37790</v>
      </c>
      <c r="F248" s="12">
        <f t="shared" si="0"/>
        <v>0.24273617359089705</v>
      </c>
      <c r="G248" s="12">
        <f t="shared" si="1"/>
        <v>0.41296317549291411</v>
      </c>
      <c r="H248" s="12">
        <f t="shared" si="2"/>
        <v>0.10024110105309608</v>
      </c>
      <c r="I248" s="13"/>
      <c r="J248" s="17"/>
      <c r="K248" s="17"/>
      <c r="L248" s="17"/>
      <c r="M248" s="17"/>
      <c r="N248" s="17"/>
      <c r="O248" s="19"/>
      <c r="P248" s="20"/>
      <c r="Q248" s="20"/>
      <c r="S248" s="15"/>
    </row>
    <row r="249" spans="1:19" ht="14.25" customHeight="1">
      <c r="A249" s="9">
        <v>60401</v>
      </c>
      <c r="B249" s="9" t="s">
        <v>269</v>
      </c>
      <c r="C249" s="10">
        <v>4856</v>
      </c>
      <c r="D249" s="10">
        <v>2117.777833044529</v>
      </c>
      <c r="E249" s="11">
        <v>14515</v>
      </c>
      <c r="F249" s="12">
        <f t="shared" si="0"/>
        <v>0.33455046503616948</v>
      </c>
      <c r="G249" s="12">
        <f t="shared" si="1"/>
        <v>0.43611569873239886</v>
      </c>
      <c r="H249" s="12">
        <f t="shared" si="2"/>
        <v>0.14590270982049802</v>
      </c>
      <c r="I249" s="13"/>
      <c r="J249" s="17"/>
      <c r="K249" s="17"/>
      <c r="L249" s="17"/>
      <c r="M249" s="17"/>
      <c r="N249" s="17"/>
      <c r="O249" s="19"/>
      <c r="P249" s="20"/>
      <c r="Q249" s="20"/>
      <c r="S249" s="15"/>
    </row>
    <row r="250" spans="1:19" ht="14.25" customHeight="1">
      <c r="A250" s="9">
        <v>60402</v>
      </c>
      <c r="B250" s="9" t="s">
        <v>270</v>
      </c>
      <c r="C250" s="10">
        <v>1952</v>
      </c>
      <c r="D250" s="10">
        <v>854.77780026197433</v>
      </c>
      <c r="E250" s="11">
        <v>5225</v>
      </c>
      <c r="F250" s="12">
        <f t="shared" si="0"/>
        <v>0.37358851674641147</v>
      </c>
      <c r="G250" s="12">
        <f t="shared" si="1"/>
        <v>0.43789846324896226</v>
      </c>
      <c r="H250" s="12">
        <f t="shared" si="2"/>
        <v>0.16359383737071279</v>
      </c>
      <c r="I250" s="13"/>
      <c r="J250" s="17"/>
      <c r="K250" s="17"/>
      <c r="L250" s="17"/>
      <c r="M250" s="17"/>
      <c r="N250" s="17"/>
      <c r="O250" s="19"/>
      <c r="P250" s="20"/>
      <c r="Q250" s="20"/>
      <c r="S250" s="15"/>
    </row>
    <row r="251" spans="1:19" ht="14.25" customHeight="1">
      <c r="A251" s="9">
        <v>60501</v>
      </c>
      <c r="B251" s="9" t="s">
        <v>271</v>
      </c>
      <c r="C251" s="10">
        <v>7013</v>
      </c>
      <c r="D251" s="10">
        <v>3228.0000829398632</v>
      </c>
      <c r="E251" s="11">
        <v>23255</v>
      </c>
      <c r="F251" s="12">
        <f t="shared" si="0"/>
        <v>0.30156955493442272</v>
      </c>
      <c r="G251" s="12">
        <f t="shared" si="1"/>
        <v>0.46028804833022435</v>
      </c>
      <c r="H251" s="12">
        <f t="shared" si="2"/>
        <v>0.13880886187657981</v>
      </c>
      <c r="I251" s="13"/>
      <c r="J251" s="17"/>
      <c r="K251" s="17"/>
      <c r="L251" s="17"/>
      <c r="M251" s="17"/>
      <c r="N251" s="17"/>
      <c r="O251" s="19"/>
      <c r="P251" s="20"/>
      <c r="Q251" s="20"/>
      <c r="S251" s="15"/>
    </row>
    <row r="252" spans="1:19" ht="14.25" customHeight="1">
      <c r="A252" s="9">
        <v>60502</v>
      </c>
      <c r="B252" s="9" t="s">
        <v>272</v>
      </c>
      <c r="C252" s="10">
        <v>3567</v>
      </c>
      <c r="D252" s="10">
        <v>1525.0000399053097</v>
      </c>
      <c r="E252" s="11">
        <v>10947</v>
      </c>
      <c r="F252" s="12">
        <f t="shared" si="0"/>
        <v>0.3258426966292135</v>
      </c>
      <c r="G252" s="12">
        <f t="shared" si="1"/>
        <v>0.42753014855769828</v>
      </c>
      <c r="H252" s="12">
        <f t="shared" si="2"/>
        <v>0.13930757649632866</v>
      </c>
      <c r="I252" s="13"/>
      <c r="J252" s="17"/>
      <c r="K252" s="17"/>
      <c r="L252" s="17"/>
      <c r="M252" s="17"/>
      <c r="N252" s="17"/>
      <c r="O252" s="19"/>
      <c r="P252" s="20"/>
      <c r="Q252" s="20"/>
      <c r="S252" s="15"/>
    </row>
    <row r="253" spans="1:19" ht="14.25" customHeight="1">
      <c r="A253" s="9">
        <v>60601</v>
      </c>
      <c r="B253" s="9" t="s">
        <v>177</v>
      </c>
      <c r="C253" s="10">
        <v>8951</v>
      </c>
      <c r="D253" s="10">
        <v>4050.4445520043373</v>
      </c>
      <c r="E253" s="11">
        <v>20197</v>
      </c>
      <c r="F253" s="12">
        <f t="shared" si="0"/>
        <v>0.44318463138089814</v>
      </c>
      <c r="G253" s="12">
        <f t="shared" si="1"/>
        <v>0.45251307697512427</v>
      </c>
      <c r="H253" s="12">
        <f t="shared" si="2"/>
        <v>0.20054684121425645</v>
      </c>
      <c r="I253" s="13"/>
      <c r="J253" s="17"/>
      <c r="K253" s="17"/>
      <c r="L253" s="17"/>
      <c r="M253" s="17"/>
      <c r="N253" s="17"/>
      <c r="O253" s="19"/>
      <c r="P253" s="20"/>
      <c r="Q253" s="20"/>
      <c r="S253" s="15"/>
    </row>
    <row r="254" spans="1:19" ht="14.25" customHeight="1">
      <c r="A254" s="9">
        <v>70101</v>
      </c>
      <c r="B254" s="9" t="s">
        <v>273</v>
      </c>
      <c r="C254" s="10">
        <v>193929</v>
      </c>
      <c r="D254" s="10">
        <v>72060.112924456596</v>
      </c>
      <c r="E254" s="11">
        <v>1411231</v>
      </c>
      <c r="F254" s="12">
        <f t="shared" si="0"/>
        <v>0.13741832485255781</v>
      </c>
      <c r="G254" s="12">
        <f t="shared" si="1"/>
        <v>0.37157987162547423</v>
      </c>
      <c r="H254" s="12">
        <f t="shared" si="2"/>
        <v>5.1061883507701147E-2</v>
      </c>
      <c r="I254" s="13"/>
      <c r="J254" s="17"/>
      <c r="K254" s="17"/>
      <c r="L254" s="17"/>
      <c r="M254" s="17"/>
      <c r="N254" s="17"/>
      <c r="O254" s="19"/>
      <c r="P254" s="20"/>
      <c r="Q254" s="20"/>
      <c r="S254" s="15"/>
    </row>
    <row r="255" spans="1:19" ht="14.25" customHeight="1">
      <c r="A255" s="9">
        <v>70102</v>
      </c>
      <c r="B255" s="9" t="s">
        <v>274</v>
      </c>
      <c r="C255" s="10">
        <v>14136</v>
      </c>
      <c r="D255" s="10">
        <v>5522.3334720134735</v>
      </c>
      <c r="E255" s="11">
        <v>54647</v>
      </c>
      <c r="F255" s="12">
        <f t="shared" si="0"/>
        <v>0.25867842699507748</v>
      </c>
      <c r="G255" s="12">
        <f t="shared" si="1"/>
        <v>0.39065743293813482</v>
      </c>
      <c r="H255" s="12">
        <f t="shared" si="2"/>
        <v>0.10105465024637168</v>
      </c>
      <c r="I255" s="13"/>
      <c r="J255" s="17"/>
      <c r="K255" s="17"/>
      <c r="L255" s="17"/>
      <c r="M255" s="17"/>
      <c r="N255" s="17"/>
      <c r="O255" s="19"/>
      <c r="P255" s="20"/>
      <c r="Q255" s="20"/>
      <c r="S255" s="15"/>
    </row>
    <row r="256" spans="1:19" ht="14.25" customHeight="1">
      <c r="A256" s="9">
        <v>70103</v>
      </c>
      <c r="B256" s="9" t="s">
        <v>275</v>
      </c>
      <c r="C256" s="10">
        <v>4697</v>
      </c>
      <c r="D256" s="10">
        <v>2014.3333854675293</v>
      </c>
      <c r="E256" s="11">
        <v>15248</v>
      </c>
      <c r="F256" s="12">
        <f t="shared" si="0"/>
        <v>0.30804039874081846</v>
      </c>
      <c r="G256" s="12">
        <f t="shared" si="1"/>
        <v>0.42885530880722361</v>
      </c>
      <c r="H256" s="12">
        <f t="shared" si="2"/>
        <v>0.13210476032709401</v>
      </c>
      <c r="I256" s="13"/>
      <c r="J256" s="17"/>
      <c r="K256" s="17"/>
      <c r="L256" s="17"/>
      <c r="M256" s="17"/>
      <c r="N256" s="17"/>
      <c r="O256" s="19"/>
      <c r="P256" s="20"/>
      <c r="Q256" s="20"/>
      <c r="S256" s="15"/>
    </row>
    <row r="257" spans="1:19" ht="14.25" customHeight="1">
      <c r="A257" s="9">
        <v>70104</v>
      </c>
      <c r="B257" s="9" t="s">
        <v>276</v>
      </c>
      <c r="C257" s="10">
        <v>21328</v>
      </c>
      <c r="D257" s="10">
        <v>8124.5557615458965</v>
      </c>
      <c r="E257" s="11">
        <v>88335</v>
      </c>
      <c r="F257" s="12">
        <f t="shared" ref="F257:F346" si="6">C257/E257</f>
        <v>0.24144450104715007</v>
      </c>
      <c r="G257" s="12">
        <f t="shared" ref="G257:G346" si="7">D257/C257</f>
        <v>0.38093378476865608</v>
      </c>
      <c r="H257" s="12">
        <f t="shared" ref="H257:H346" si="8">F257*G257</f>
        <v>9.1974367595470619E-2</v>
      </c>
      <c r="I257" s="13"/>
      <c r="J257" s="17"/>
      <c r="K257" s="17"/>
      <c r="L257" s="17"/>
      <c r="M257" s="17"/>
      <c r="N257" s="17"/>
      <c r="O257" s="19"/>
      <c r="P257" s="20"/>
      <c r="Q257" s="20"/>
      <c r="S257" s="15"/>
    </row>
    <row r="258" spans="1:19" ht="14.25" customHeight="1">
      <c r="A258" s="9">
        <v>70105</v>
      </c>
      <c r="B258" s="9" t="s">
        <v>277</v>
      </c>
      <c r="C258" s="10">
        <v>14749</v>
      </c>
      <c r="D258" s="10">
        <v>6315.7779434323311</v>
      </c>
      <c r="E258" s="11">
        <v>49071</v>
      </c>
      <c r="F258" s="12">
        <f t="shared" si="6"/>
        <v>0.30056448819058101</v>
      </c>
      <c r="G258" s="12">
        <f t="shared" si="7"/>
        <v>0.42821736683384171</v>
      </c>
      <c r="H258" s="12">
        <f t="shared" si="8"/>
        <v>0.12870693369673192</v>
      </c>
      <c r="I258" s="13"/>
      <c r="J258" s="17"/>
      <c r="K258" s="17"/>
      <c r="L258" s="17"/>
      <c r="M258" s="17"/>
      <c r="N258" s="17"/>
      <c r="O258" s="19"/>
      <c r="P258" s="20"/>
      <c r="Q258" s="20"/>
      <c r="S258" s="15"/>
    </row>
    <row r="259" spans="1:19" ht="14.25" customHeight="1">
      <c r="A259" s="9">
        <v>70201</v>
      </c>
      <c r="B259" s="9" t="s">
        <v>278</v>
      </c>
      <c r="C259" s="10">
        <v>24694</v>
      </c>
      <c r="D259" s="10">
        <v>9783.5558000206947</v>
      </c>
      <c r="E259" s="11">
        <v>95019</v>
      </c>
      <c r="F259" s="12">
        <f t="shared" si="6"/>
        <v>0.25988486513223669</v>
      </c>
      <c r="G259" s="12">
        <f t="shared" si="7"/>
        <v>0.39619161739777659</v>
      </c>
      <c r="H259" s="12">
        <f t="shared" si="8"/>
        <v>0.10296420505394388</v>
      </c>
      <c r="I259" s="13"/>
      <c r="J259" s="17"/>
      <c r="K259" s="17"/>
      <c r="L259" s="17"/>
      <c r="M259" s="17"/>
      <c r="N259" s="17"/>
      <c r="O259" s="19"/>
      <c r="P259" s="20"/>
      <c r="Q259" s="20"/>
      <c r="S259" s="15"/>
    </row>
    <row r="260" spans="1:19" ht="14.25" customHeight="1">
      <c r="A260" s="9">
        <v>70202</v>
      </c>
      <c r="B260" s="9" t="s">
        <v>279</v>
      </c>
      <c r="C260" s="10">
        <v>3284</v>
      </c>
      <c r="D260" s="10">
        <v>1306.22225522995</v>
      </c>
      <c r="E260" s="11">
        <v>12116</v>
      </c>
      <c r="F260" s="12">
        <f t="shared" si="6"/>
        <v>0.27104655001650707</v>
      </c>
      <c r="G260" s="12">
        <f t="shared" si="7"/>
        <v>0.39775342729292018</v>
      </c>
      <c r="H260" s="12">
        <f t="shared" si="8"/>
        <v>0.1078096942249876</v>
      </c>
      <c r="I260" s="13"/>
      <c r="J260" s="17"/>
      <c r="K260" s="17"/>
      <c r="L260" s="17"/>
      <c r="M260" s="17"/>
      <c r="N260" s="17"/>
      <c r="O260" s="19"/>
      <c r="P260" s="20"/>
      <c r="Q260" s="20"/>
      <c r="S260" s="15"/>
    </row>
    <row r="261" spans="1:19" ht="14.25" customHeight="1">
      <c r="A261" s="9">
        <v>70301</v>
      </c>
      <c r="B261" s="9" t="s">
        <v>280</v>
      </c>
      <c r="C261" s="10">
        <v>23445</v>
      </c>
      <c r="D261" s="10">
        <v>10067.44470474124</v>
      </c>
      <c r="E261" s="11">
        <v>51021</v>
      </c>
      <c r="F261" s="12">
        <f t="shared" si="6"/>
        <v>0.45951666960663257</v>
      </c>
      <c r="G261" s="12">
        <f t="shared" si="7"/>
        <v>0.42940689719519043</v>
      </c>
      <c r="H261" s="12">
        <f t="shared" si="8"/>
        <v>0.19731962730525154</v>
      </c>
      <c r="I261" s="13"/>
      <c r="J261" s="17"/>
      <c r="K261" s="17"/>
      <c r="L261" s="17"/>
      <c r="M261" s="17"/>
      <c r="N261" s="17"/>
      <c r="O261" s="19"/>
      <c r="P261" s="20"/>
      <c r="Q261" s="20"/>
      <c r="S261" s="15"/>
    </row>
    <row r="262" spans="1:19" ht="14.25" customHeight="1">
      <c r="A262" s="9">
        <v>70302</v>
      </c>
      <c r="B262" s="9" t="s">
        <v>281</v>
      </c>
      <c r="C262" s="10">
        <v>6516</v>
      </c>
      <c r="D262" s="10">
        <v>2932.7778515815735</v>
      </c>
      <c r="E262" s="11">
        <v>11232</v>
      </c>
      <c r="F262" s="12">
        <f t="shared" si="6"/>
        <v>0.58012820512820518</v>
      </c>
      <c r="G262" s="12">
        <f t="shared" si="7"/>
        <v>0.45008868194928997</v>
      </c>
      <c r="H262" s="12">
        <f t="shared" si="8"/>
        <v>0.26110913920776119</v>
      </c>
      <c r="I262" s="13"/>
      <c r="J262" s="17"/>
      <c r="K262" s="17"/>
      <c r="L262" s="17"/>
      <c r="M262" s="17"/>
      <c r="N262" s="17"/>
      <c r="O262" s="19"/>
      <c r="P262" s="20"/>
      <c r="Q262" s="20"/>
      <c r="S262" s="15"/>
    </row>
    <row r="263" spans="1:19" ht="14.25" customHeight="1">
      <c r="A263" s="9">
        <v>70303</v>
      </c>
      <c r="B263" s="9" t="s">
        <v>282</v>
      </c>
      <c r="C263" s="10">
        <v>3132</v>
      </c>
      <c r="D263" s="10">
        <v>1392.6667056381702</v>
      </c>
      <c r="E263" s="11">
        <v>5620</v>
      </c>
      <c r="F263" s="12">
        <f t="shared" si="6"/>
        <v>0.55729537366548043</v>
      </c>
      <c r="G263" s="12">
        <f t="shared" si="7"/>
        <v>0.44465731342214887</v>
      </c>
      <c r="H263" s="12">
        <f t="shared" si="8"/>
        <v>0.2478054636366851</v>
      </c>
      <c r="I263" s="13"/>
      <c r="J263" s="17"/>
      <c r="K263" s="17"/>
      <c r="L263" s="17"/>
      <c r="M263" s="17"/>
      <c r="N263" s="17"/>
      <c r="O263" s="19"/>
      <c r="P263" s="20"/>
      <c r="Q263" s="20"/>
      <c r="S263" s="15"/>
    </row>
    <row r="264" spans="1:19" ht="14.25" customHeight="1">
      <c r="A264" s="9">
        <v>70401</v>
      </c>
      <c r="B264" s="9" t="s">
        <v>283</v>
      </c>
      <c r="C264" s="10">
        <v>3875</v>
      </c>
      <c r="D264" s="10">
        <v>1691.6667107641697</v>
      </c>
      <c r="E264" s="11">
        <v>12535</v>
      </c>
      <c r="F264" s="12">
        <f t="shared" si="6"/>
        <v>0.30913442361388116</v>
      </c>
      <c r="G264" s="12">
        <f t="shared" si="7"/>
        <v>0.43655915116494703</v>
      </c>
      <c r="H264" s="12">
        <f t="shared" si="8"/>
        <v>0.13495546156874111</v>
      </c>
      <c r="I264" s="13"/>
      <c r="J264" s="17"/>
      <c r="K264" s="17"/>
      <c r="L264" s="17"/>
      <c r="M264" s="17"/>
      <c r="N264" s="17"/>
      <c r="O264" s="19"/>
      <c r="P264" s="20"/>
      <c r="Q264" s="20"/>
      <c r="S264" s="15"/>
    </row>
    <row r="265" spans="1:19" ht="14.25" customHeight="1">
      <c r="A265" s="9">
        <v>70402</v>
      </c>
      <c r="B265" s="9" t="s">
        <v>284</v>
      </c>
      <c r="C265" s="10">
        <v>8307</v>
      </c>
      <c r="D265" s="10">
        <v>3584.0000921785831</v>
      </c>
      <c r="E265" s="11">
        <v>19699</v>
      </c>
      <c r="F265" s="12">
        <f t="shared" si="6"/>
        <v>0.42169653281892483</v>
      </c>
      <c r="G265" s="12">
        <f t="shared" si="7"/>
        <v>0.4314433721173207</v>
      </c>
      <c r="H265" s="12">
        <f t="shared" si="8"/>
        <v>0.18193817412957933</v>
      </c>
      <c r="I265" s="13"/>
      <c r="J265" s="17"/>
      <c r="K265" s="17"/>
      <c r="L265" s="17"/>
      <c r="M265" s="17"/>
      <c r="N265" s="17"/>
      <c r="O265" s="19"/>
      <c r="P265" s="20"/>
      <c r="Q265" s="20"/>
      <c r="S265" s="15"/>
    </row>
    <row r="266" spans="1:19" ht="14.25" customHeight="1">
      <c r="A266" s="9">
        <v>70403</v>
      </c>
      <c r="B266" s="9" t="s">
        <v>285</v>
      </c>
      <c r="C266" s="10">
        <v>23589</v>
      </c>
      <c r="D266" s="10">
        <v>10532.333591341972</v>
      </c>
      <c r="E266" s="11">
        <v>49351</v>
      </c>
      <c r="F266" s="12">
        <f t="shared" si="6"/>
        <v>0.47798423537516971</v>
      </c>
      <c r="G266" s="12">
        <f t="shared" si="7"/>
        <v>0.4464934330129286</v>
      </c>
      <c r="H266" s="12">
        <f t="shared" si="8"/>
        <v>0.21341682217871924</v>
      </c>
      <c r="I266" s="13"/>
      <c r="J266" s="17"/>
      <c r="K266" s="17"/>
      <c r="L266" s="17"/>
      <c r="M266" s="17"/>
      <c r="N266" s="17"/>
      <c r="O266" s="19"/>
      <c r="P266" s="20"/>
      <c r="Q266" s="20"/>
      <c r="S266" s="15"/>
    </row>
    <row r="267" spans="1:19" ht="14.25" customHeight="1">
      <c r="A267" s="9">
        <v>70404</v>
      </c>
      <c r="B267" s="9" t="s">
        <v>286</v>
      </c>
      <c r="C267" s="10">
        <v>3556</v>
      </c>
      <c r="D267" s="10">
        <v>1535.7778176367283</v>
      </c>
      <c r="E267" s="11">
        <v>8187</v>
      </c>
      <c r="F267" s="12">
        <f t="shared" si="6"/>
        <v>0.4343471357029437</v>
      </c>
      <c r="G267" s="12">
        <f t="shared" si="7"/>
        <v>0.43188352576960864</v>
      </c>
      <c r="H267" s="12">
        <f t="shared" si="8"/>
        <v>0.187587372375318</v>
      </c>
      <c r="I267" s="13"/>
      <c r="J267" s="17"/>
      <c r="K267" s="17"/>
      <c r="L267" s="17"/>
      <c r="M267" s="17"/>
      <c r="N267" s="17"/>
      <c r="O267" s="19"/>
      <c r="P267" s="20"/>
      <c r="Q267" s="20"/>
      <c r="S267" s="15"/>
    </row>
    <row r="268" spans="1:19" ht="14.25" customHeight="1">
      <c r="A268" s="9">
        <v>70501</v>
      </c>
      <c r="B268" s="9" t="s">
        <v>287</v>
      </c>
      <c r="C268" s="10">
        <v>7056</v>
      </c>
      <c r="D268" s="10">
        <v>2760.5556220710278</v>
      </c>
      <c r="E268" s="11">
        <v>21872</v>
      </c>
      <c r="F268" s="12">
        <f t="shared" si="6"/>
        <v>0.32260424286759326</v>
      </c>
      <c r="G268" s="12">
        <f t="shared" si="7"/>
        <v>0.3912352072096128</v>
      </c>
      <c r="H268" s="12">
        <f t="shared" si="8"/>
        <v>0.1262141378050031</v>
      </c>
      <c r="I268" s="13"/>
      <c r="J268" s="17"/>
      <c r="K268" s="17"/>
      <c r="L268" s="17"/>
      <c r="M268" s="17"/>
      <c r="N268" s="17"/>
      <c r="O268" s="19"/>
      <c r="P268" s="20"/>
      <c r="Q268" s="20"/>
      <c r="S268" s="15"/>
    </row>
    <row r="269" spans="1:19" ht="14.25" customHeight="1">
      <c r="A269" s="9">
        <v>70502</v>
      </c>
      <c r="B269" s="9" t="s">
        <v>288</v>
      </c>
      <c r="C269" s="10">
        <v>12368</v>
      </c>
      <c r="D269" s="10">
        <v>4823.6667872369289</v>
      </c>
      <c r="E269" s="11">
        <v>36302</v>
      </c>
      <c r="F269" s="12">
        <f t="shared" si="6"/>
        <v>0.34069748223238389</v>
      </c>
      <c r="G269" s="12">
        <f t="shared" si="7"/>
        <v>0.39001186830828988</v>
      </c>
      <c r="H269" s="12">
        <f t="shared" si="8"/>
        <v>0.13287606157338244</v>
      </c>
      <c r="I269" s="13"/>
      <c r="J269" s="17"/>
      <c r="K269" s="17"/>
      <c r="L269" s="17"/>
      <c r="M269" s="17"/>
      <c r="N269" s="17"/>
      <c r="O269" s="19"/>
      <c r="P269" s="20"/>
      <c r="Q269" s="20"/>
      <c r="S269" s="15"/>
    </row>
    <row r="270" spans="1:19" ht="14.25" customHeight="1">
      <c r="A270" s="9">
        <v>70503</v>
      </c>
      <c r="B270" s="9" t="s">
        <v>289</v>
      </c>
      <c r="C270" s="10">
        <v>3285</v>
      </c>
      <c r="D270" s="10">
        <v>1381.3333678543568</v>
      </c>
      <c r="E270" s="11">
        <v>14725</v>
      </c>
      <c r="F270" s="12">
        <f t="shared" si="6"/>
        <v>0.22308998302207131</v>
      </c>
      <c r="G270" s="12">
        <f t="shared" si="7"/>
        <v>0.42049722004698836</v>
      </c>
      <c r="H270" s="12">
        <f t="shared" si="8"/>
        <v>9.380871768111082E-2</v>
      </c>
      <c r="I270" s="13"/>
      <c r="J270" s="17"/>
      <c r="K270" s="17"/>
      <c r="L270" s="17"/>
      <c r="M270" s="17"/>
      <c r="N270" s="17"/>
      <c r="O270" s="19"/>
      <c r="P270" s="20"/>
      <c r="Q270" s="20"/>
      <c r="S270" s="15"/>
    </row>
    <row r="271" spans="1:19" ht="14.25" customHeight="1">
      <c r="A271" s="9">
        <v>70601</v>
      </c>
      <c r="B271" s="9" t="s">
        <v>290</v>
      </c>
      <c r="C271" s="10">
        <v>3894</v>
      </c>
      <c r="D271" s="10">
        <v>1583.2222628593445</v>
      </c>
      <c r="E271" s="11">
        <v>17458</v>
      </c>
      <c r="F271" s="12">
        <f t="shared" si="6"/>
        <v>0.22304960476572344</v>
      </c>
      <c r="G271" s="12">
        <f t="shared" si="7"/>
        <v>0.40657993396490616</v>
      </c>
      <c r="H271" s="12">
        <f t="shared" si="8"/>
        <v>9.0687493576546249E-2</v>
      </c>
      <c r="I271" s="13"/>
      <c r="J271" s="17"/>
      <c r="K271" s="17"/>
      <c r="L271" s="17"/>
      <c r="M271" s="17"/>
      <c r="N271" s="17"/>
      <c r="O271" s="19"/>
      <c r="P271" s="20"/>
      <c r="Q271" s="20"/>
      <c r="S271" s="15"/>
    </row>
    <row r="272" spans="1:19" ht="14.25" customHeight="1">
      <c r="A272" s="9">
        <v>70602</v>
      </c>
      <c r="B272" s="9" t="s">
        <v>291</v>
      </c>
      <c r="C272" s="10">
        <v>9769</v>
      </c>
      <c r="D272" s="10">
        <v>4385.0001137852669</v>
      </c>
      <c r="E272" s="11">
        <v>18987</v>
      </c>
      <c r="F272" s="12">
        <f t="shared" si="6"/>
        <v>0.51450992784536786</v>
      </c>
      <c r="G272" s="12">
        <f t="shared" si="7"/>
        <v>0.4488688825657966</v>
      </c>
      <c r="H272" s="12">
        <f t="shared" si="8"/>
        <v>0.23094749638095891</v>
      </c>
      <c r="I272" s="13"/>
      <c r="J272" s="17"/>
      <c r="K272" s="17"/>
      <c r="L272" s="17"/>
      <c r="M272" s="17"/>
      <c r="N272" s="17"/>
      <c r="O272" s="19"/>
      <c r="P272" s="20"/>
      <c r="Q272" s="20"/>
      <c r="S272" s="15"/>
    </row>
    <row r="273" spans="1:19" ht="14.25" customHeight="1">
      <c r="A273" s="9">
        <v>70603</v>
      </c>
      <c r="B273" s="9" t="s">
        <v>292</v>
      </c>
      <c r="C273" s="10">
        <v>1932</v>
      </c>
      <c r="D273" s="10">
        <v>798.00002041459084</v>
      </c>
      <c r="E273" s="11">
        <v>5989</v>
      </c>
      <c r="F273" s="12">
        <f t="shared" si="6"/>
        <v>0.3225914175989314</v>
      </c>
      <c r="G273" s="12">
        <f t="shared" si="7"/>
        <v>0.41304348882742797</v>
      </c>
      <c r="H273" s="12">
        <f t="shared" si="8"/>
        <v>0.13324428459084836</v>
      </c>
      <c r="I273" s="13"/>
      <c r="J273" s="17"/>
      <c r="K273" s="17"/>
      <c r="L273" s="17"/>
      <c r="M273" s="17"/>
      <c r="N273" s="17"/>
      <c r="O273" s="19"/>
      <c r="P273" s="20"/>
      <c r="Q273" s="20"/>
      <c r="S273" s="15"/>
    </row>
    <row r="274" spans="1:19" ht="14.25" customHeight="1">
      <c r="A274" s="9">
        <v>70701</v>
      </c>
      <c r="B274" s="9" t="s">
        <v>293</v>
      </c>
      <c r="C274" s="10">
        <v>2740</v>
      </c>
      <c r="D274" s="10">
        <v>1273.7778108119965</v>
      </c>
      <c r="E274" s="11">
        <v>5074</v>
      </c>
      <c r="F274" s="12">
        <f t="shared" si="6"/>
        <v>0.54000788332676386</v>
      </c>
      <c r="G274" s="12">
        <f t="shared" si="7"/>
        <v>0.46488241270510822</v>
      </c>
      <c r="H274" s="12">
        <f t="shared" si="8"/>
        <v>0.25104016768072457</v>
      </c>
      <c r="I274" s="13"/>
      <c r="J274" s="17"/>
      <c r="K274" s="17"/>
      <c r="L274" s="17"/>
      <c r="M274" s="17"/>
      <c r="N274" s="17"/>
      <c r="O274" s="19"/>
      <c r="P274" s="20"/>
      <c r="Q274" s="20"/>
      <c r="S274" s="15"/>
    </row>
    <row r="275" spans="1:19" ht="14.25" customHeight="1">
      <c r="A275" s="9">
        <v>70702</v>
      </c>
      <c r="B275" s="9" t="s">
        <v>294</v>
      </c>
      <c r="C275" s="10">
        <v>17343</v>
      </c>
      <c r="D275" s="10">
        <v>7471.1113029718399</v>
      </c>
      <c r="E275" s="11">
        <v>31024</v>
      </c>
      <c r="F275" s="12">
        <f t="shared" si="6"/>
        <v>0.55901882413615267</v>
      </c>
      <c r="G275" s="12">
        <f t="shared" si="7"/>
        <v>0.43078540638712104</v>
      </c>
      <c r="H275" s="12">
        <f t="shared" si="8"/>
        <v>0.24081715133354309</v>
      </c>
      <c r="I275" s="13"/>
      <c r="J275" s="17"/>
      <c r="K275" s="17"/>
      <c r="L275" s="17"/>
      <c r="M275" s="17"/>
      <c r="N275" s="17"/>
      <c r="O275" s="19"/>
      <c r="P275" s="20"/>
      <c r="Q275" s="20"/>
      <c r="S275" s="15"/>
    </row>
    <row r="276" spans="1:19" ht="14.25" customHeight="1">
      <c r="A276" s="9">
        <v>70703</v>
      </c>
      <c r="B276" s="9" t="s">
        <v>295</v>
      </c>
      <c r="C276" s="10">
        <v>9573</v>
      </c>
      <c r="D276" s="10">
        <v>3984.0000994205475</v>
      </c>
      <c r="E276" s="11">
        <v>25036</v>
      </c>
      <c r="F276" s="12">
        <f t="shared" si="6"/>
        <v>0.38236938808116311</v>
      </c>
      <c r="G276" s="12">
        <f t="shared" si="7"/>
        <v>0.41617048985903554</v>
      </c>
      <c r="H276" s="12">
        <f t="shared" si="8"/>
        <v>0.15913085554483733</v>
      </c>
      <c r="I276" s="13"/>
      <c r="J276" s="17"/>
      <c r="K276" s="17"/>
      <c r="L276" s="17"/>
      <c r="M276" s="17"/>
      <c r="N276" s="17"/>
      <c r="O276" s="19"/>
      <c r="P276" s="20"/>
      <c r="Q276" s="20"/>
      <c r="S276" s="15"/>
    </row>
    <row r="277" spans="1:19" ht="14.25" customHeight="1">
      <c r="A277" s="9">
        <v>70704</v>
      </c>
      <c r="B277" s="9" t="s">
        <v>296</v>
      </c>
      <c r="C277" s="10">
        <v>2355</v>
      </c>
      <c r="D277" s="10">
        <v>1144.1111420989037</v>
      </c>
      <c r="E277" s="11">
        <v>4780</v>
      </c>
      <c r="F277" s="12">
        <f t="shared" si="6"/>
        <v>0.49267782426778245</v>
      </c>
      <c r="G277" s="12">
        <f t="shared" si="7"/>
        <v>0.48582214101864274</v>
      </c>
      <c r="H277" s="12">
        <f t="shared" si="8"/>
        <v>0.23935379541818069</v>
      </c>
      <c r="I277" s="13"/>
      <c r="J277" s="17"/>
      <c r="K277" s="17"/>
      <c r="L277" s="17"/>
      <c r="M277" s="17"/>
      <c r="N277" s="17"/>
      <c r="O277" s="19"/>
      <c r="P277" s="20"/>
      <c r="Q277" s="20"/>
      <c r="S277" s="15"/>
    </row>
    <row r="278" spans="1:19" ht="14.25" customHeight="1">
      <c r="A278" s="9">
        <v>70705</v>
      </c>
      <c r="B278" s="9" t="s">
        <v>297</v>
      </c>
      <c r="C278" s="10">
        <v>8323</v>
      </c>
      <c r="D278" s="10">
        <v>4012.2223267555237</v>
      </c>
      <c r="E278" s="11">
        <v>11886</v>
      </c>
      <c r="F278" s="12">
        <f t="shared" si="6"/>
        <v>0.70023557126030622</v>
      </c>
      <c r="G278" s="12">
        <f t="shared" si="7"/>
        <v>0.48206443911516567</v>
      </c>
      <c r="H278" s="12">
        <f t="shared" si="8"/>
        <v>0.33755866790808714</v>
      </c>
      <c r="I278" s="13"/>
      <c r="J278" s="17"/>
      <c r="K278" s="17"/>
      <c r="L278" s="17"/>
      <c r="M278" s="17"/>
      <c r="N278" s="17"/>
      <c r="O278" s="19"/>
      <c r="P278" s="20"/>
      <c r="Q278" s="20"/>
      <c r="S278" s="15"/>
    </row>
    <row r="279" spans="1:19" ht="14.25" customHeight="1">
      <c r="A279" s="9">
        <v>70706</v>
      </c>
      <c r="B279" s="9" t="s">
        <v>298</v>
      </c>
      <c r="C279" s="10">
        <v>5405</v>
      </c>
      <c r="D279" s="10">
        <v>2202.3333906233311</v>
      </c>
      <c r="E279" s="11">
        <v>32942</v>
      </c>
      <c r="F279" s="12">
        <f t="shared" si="6"/>
        <v>0.16407625523647623</v>
      </c>
      <c r="G279" s="12">
        <f t="shared" si="7"/>
        <v>0.40746223693308625</v>
      </c>
      <c r="H279" s="12">
        <f t="shared" si="8"/>
        <v>6.685487798625861E-2</v>
      </c>
      <c r="I279" s="13"/>
      <c r="J279" s="17"/>
      <c r="K279" s="17"/>
      <c r="L279" s="17"/>
      <c r="M279" s="17"/>
      <c r="N279" s="17"/>
      <c r="O279" s="19"/>
      <c r="P279" s="20"/>
      <c r="Q279" s="20"/>
      <c r="S279" s="15"/>
    </row>
    <row r="280" spans="1:19" ht="14.25" customHeight="1">
      <c r="A280" s="9">
        <v>70707</v>
      </c>
      <c r="B280" s="9" t="s">
        <v>299</v>
      </c>
      <c r="C280" s="10">
        <v>2380</v>
      </c>
      <c r="D280" s="10">
        <v>1112.444473028183</v>
      </c>
      <c r="E280" s="11">
        <v>4895</v>
      </c>
      <c r="F280" s="12">
        <f t="shared" si="6"/>
        <v>0.48621041879468846</v>
      </c>
      <c r="G280" s="12">
        <f t="shared" si="7"/>
        <v>0.46741364412948866</v>
      </c>
      <c r="H280" s="12">
        <f t="shared" si="8"/>
        <v>0.22726138366255016</v>
      </c>
      <c r="I280" s="13"/>
      <c r="J280" s="17"/>
      <c r="K280" s="17"/>
      <c r="L280" s="17"/>
      <c r="M280" s="17"/>
      <c r="N280" s="17"/>
      <c r="O280" s="19"/>
      <c r="P280" s="20"/>
      <c r="Q280" s="20"/>
      <c r="S280" s="15"/>
    </row>
    <row r="281" spans="1:19" ht="14.25" customHeight="1">
      <c r="A281" s="9">
        <v>70801</v>
      </c>
      <c r="B281" s="9" t="s">
        <v>300</v>
      </c>
      <c r="C281" s="10">
        <v>5329</v>
      </c>
      <c r="D281" s="10">
        <v>2368.4445065557957</v>
      </c>
      <c r="E281" s="11">
        <v>16796</v>
      </c>
      <c r="F281" s="12">
        <f t="shared" si="6"/>
        <v>0.31727792331507504</v>
      </c>
      <c r="G281" s="12">
        <f t="shared" si="7"/>
        <v>0.44444445609979277</v>
      </c>
      <c r="H281" s="12">
        <f t="shared" si="8"/>
        <v>0.14101241406024029</v>
      </c>
      <c r="I281" s="13"/>
      <c r="J281" s="17"/>
      <c r="K281" s="17"/>
      <c r="L281" s="17"/>
      <c r="M281" s="17"/>
      <c r="N281" s="17"/>
      <c r="O281" s="19"/>
      <c r="P281" s="20"/>
      <c r="Q281" s="20"/>
      <c r="S281" s="15"/>
    </row>
    <row r="282" spans="1:19" ht="14.25" customHeight="1">
      <c r="A282" s="9">
        <v>70802</v>
      </c>
      <c r="B282" s="9" t="s">
        <v>301</v>
      </c>
      <c r="C282" s="10">
        <v>480</v>
      </c>
      <c r="D282" s="10">
        <v>198.33333864808083</v>
      </c>
      <c r="E282" s="11">
        <v>2077</v>
      </c>
      <c r="F282" s="12">
        <f t="shared" si="6"/>
        <v>0.23110255175734232</v>
      </c>
      <c r="G282" s="12">
        <f t="shared" si="7"/>
        <v>0.41319445551683504</v>
      </c>
      <c r="H282" s="12">
        <f t="shared" si="8"/>
        <v>9.5490293041926244E-2</v>
      </c>
      <c r="I282" s="13"/>
      <c r="J282" s="17"/>
      <c r="K282" s="17"/>
      <c r="L282" s="17"/>
      <c r="M282" s="17"/>
      <c r="N282" s="17"/>
      <c r="O282" s="19"/>
      <c r="P282" s="20"/>
      <c r="Q282" s="20"/>
      <c r="S282" s="15"/>
    </row>
    <row r="283" spans="1:19" ht="14.25" customHeight="1">
      <c r="A283" s="9">
        <v>70803</v>
      </c>
      <c r="B283" s="9" t="s">
        <v>302</v>
      </c>
      <c r="C283" s="10">
        <v>1220</v>
      </c>
      <c r="D283" s="10">
        <v>557.66668051481247</v>
      </c>
      <c r="E283" s="11">
        <v>2752</v>
      </c>
      <c r="F283" s="12">
        <f t="shared" si="6"/>
        <v>0.4433139534883721</v>
      </c>
      <c r="G283" s="12">
        <f t="shared" si="7"/>
        <v>0.45710383648755121</v>
      </c>
      <c r="H283" s="12">
        <f t="shared" si="8"/>
        <v>0.20264050890799873</v>
      </c>
      <c r="I283" s="13"/>
      <c r="J283" s="17"/>
      <c r="K283" s="17"/>
      <c r="L283" s="17"/>
      <c r="M283" s="17"/>
      <c r="N283" s="17"/>
      <c r="O283" s="19"/>
      <c r="P283" s="20"/>
      <c r="Q283" s="20"/>
      <c r="S283" s="15"/>
    </row>
    <row r="284" spans="1:19" ht="14.25" customHeight="1">
      <c r="A284" s="9">
        <v>70804</v>
      </c>
      <c r="B284" s="9" t="s">
        <v>303</v>
      </c>
      <c r="C284" s="10">
        <v>1165</v>
      </c>
      <c r="D284" s="10">
        <v>630.11112865805626</v>
      </c>
      <c r="E284" s="11">
        <v>2297</v>
      </c>
      <c r="F284" s="12">
        <f t="shared" si="6"/>
        <v>0.50718328254244671</v>
      </c>
      <c r="G284" s="12">
        <f t="shared" si="7"/>
        <v>0.54086792159489805</v>
      </c>
      <c r="H284" s="12">
        <f t="shared" si="8"/>
        <v>0.27431916789641109</v>
      </c>
      <c r="I284" s="13"/>
      <c r="J284" s="17"/>
      <c r="K284" s="17"/>
      <c r="L284" s="17"/>
      <c r="M284" s="17"/>
      <c r="N284" s="17"/>
      <c r="O284" s="19"/>
      <c r="P284" s="20"/>
      <c r="Q284" s="20"/>
      <c r="S284" s="15"/>
    </row>
    <row r="285" spans="1:19" ht="14.25" customHeight="1">
      <c r="A285" s="9">
        <v>70805</v>
      </c>
      <c r="B285" s="9" t="s">
        <v>304</v>
      </c>
      <c r="C285" s="10">
        <v>1087</v>
      </c>
      <c r="D285" s="10">
        <v>498.55556836724281</v>
      </c>
      <c r="E285" s="11">
        <v>2048</v>
      </c>
      <c r="F285" s="12">
        <f t="shared" si="6"/>
        <v>0.53076171875</v>
      </c>
      <c r="G285" s="12">
        <f t="shared" si="7"/>
        <v>0.45865277678679189</v>
      </c>
      <c r="H285" s="12">
        <f t="shared" si="8"/>
        <v>0.24343533611681778</v>
      </c>
      <c r="I285" s="13"/>
      <c r="J285" s="17"/>
      <c r="K285" s="17"/>
      <c r="L285" s="17"/>
      <c r="M285" s="17"/>
      <c r="N285" s="17"/>
      <c r="O285" s="19"/>
      <c r="P285" s="20"/>
      <c r="Q285" s="20"/>
      <c r="S285" s="15"/>
    </row>
    <row r="286" spans="1:19" ht="14.25" customHeight="1">
      <c r="A286" s="9">
        <v>70901</v>
      </c>
      <c r="B286" s="9" t="s">
        <v>305</v>
      </c>
      <c r="C286" s="10">
        <v>3532</v>
      </c>
      <c r="D286" s="10">
        <v>1606.5555990040302</v>
      </c>
      <c r="E286" s="11">
        <v>10250</v>
      </c>
      <c r="F286" s="12">
        <f t="shared" si="6"/>
        <v>0.34458536585365851</v>
      </c>
      <c r="G286" s="12">
        <f t="shared" si="7"/>
        <v>0.45485719111099382</v>
      </c>
      <c r="H286" s="12">
        <f t="shared" si="8"/>
        <v>0.15673713161014927</v>
      </c>
      <c r="I286" s="13"/>
      <c r="J286" s="17"/>
      <c r="K286" s="17"/>
      <c r="L286" s="17"/>
      <c r="M286" s="17"/>
      <c r="N286" s="17"/>
      <c r="O286" s="19"/>
      <c r="P286" s="20"/>
      <c r="Q286" s="20"/>
      <c r="S286" s="15"/>
    </row>
    <row r="287" spans="1:19" ht="14.25" customHeight="1">
      <c r="A287" s="9">
        <v>70902</v>
      </c>
      <c r="B287" s="9" t="s">
        <v>306</v>
      </c>
      <c r="C287" s="10">
        <v>3060</v>
      </c>
      <c r="D287" s="10">
        <v>1360.8889266848564</v>
      </c>
      <c r="E287" s="11">
        <v>9097</v>
      </c>
      <c r="F287" s="12">
        <f t="shared" si="6"/>
        <v>0.33637462899857096</v>
      </c>
      <c r="G287" s="12">
        <f t="shared" si="7"/>
        <v>0.44473494336106417</v>
      </c>
      <c r="H287" s="12">
        <f t="shared" si="8"/>
        <v>0.14959755157577842</v>
      </c>
      <c r="I287" s="13"/>
      <c r="J287" s="17"/>
      <c r="K287" s="17"/>
      <c r="L287" s="17"/>
      <c r="M287" s="17"/>
      <c r="N287" s="17"/>
      <c r="O287" s="19"/>
      <c r="P287" s="20"/>
      <c r="Q287" s="20"/>
      <c r="S287" s="15"/>
    </row>
    <row r="288" spans="1:19" ht="14.25" customHeight="1">
      <c r="A288" s="9">
        <v>70903</v>
      </c>
      <c r="B288" s="9" t="s">
        <v>307</v>
      </c>
      <c r="C288" s="10">
        <v>2664</v>
      </c>
      <c r="D288" s="10">
        <v>1109.4444727301598</v>
      </c>
      <c r="E288" s="11">
        <v>10026</v>
      </c>
      <c r="F288" s="12">
        <f t="shared" si="6"/>
        <v>0.26570915619389585</v>
      </c>
      <c r="G288" s="12">
        <f t="shared" si="7"/>
        <v>0.41645813540921911</v>
      </c>
      <c r="H288" s="12">
        <f t="shared" si="8"/>
        <v>0.11065673974966683</v>
      </c>
      <c r="I288" s="13"/>
      <c r="J288" s="17"/>
      <c r="K288" s="17"/>
      <c r="L288" s="17"/>
      <c r="M288" s="17"/>
      <c r="N288" s="17"/>
      <c r="O288" s="19"/>
      <c r="P288" s="20"/>
      <c r="Q288" s="20"/>
      <c r="S288" s="15"/>
    </row>
    <row r="289" spans="1:19" ht="14.25" customHeight="1">
      <c r="A289" s="9">
        <v>70904</v>
      </c>
      <c r="B289" s="9" t="s">
        <v>308</v>
      </c>
      <c r="C289" s="10">
        <v>880</v>
      </c>
      <c r="D289" s="10">
        <v>397.3333438038826</v>
      </c>
      <c r="E289" s="11">
        <v>2918</v>
      </c>
      <c r="F289" s="12">
        <f t="shared" si="6"/>
        <v>0.3015764222069911</v>
      </c>
      <c r="G289" s="12">
        <f t="shared" si="7"/>
        <v>0.45151516341350295</v>
      </c>
      <c r="H289" s="12">
        <f t="shared" si="8"/>
        <v>0.13616632755444916</v>
      </c>
      <c r="I289" s="13"/>
      <c r="J289" s="17"/>
      <c r="K289" s="17"/>
      <c r="L289" s="17"/>
      <c r="M289" s="17"/>
      <c r="N289" s="17"/>
      <c r="O289" s="19"/>
      <c r="P289" s="20"/>
      <c r="Q289" s="20"/>
      <c r="S289" s="15"/>
    </row>
    <row r="290" spans="1:19" ht="14.25" customHeight="1">
      <c r="A290" s="9">
        <v>71001</v>
      </c>
      <c r="B290" s="9" t="s">
        <v>309</v>
      </c>
      <c r="C290" s="10">
        <v>22454</v>
      </c>
      <c r="D290" s="10">
        <v>8971.4446711242199</v>
      </c>
      <c r="E290" s="11">
        <v>106954</v>
      </c>
      <c r="F290" s="12">
        <f t="shared" si="6"/>
        <v>0.20994072217962861</v>
      </c>
      <c r="G290" s="12">
        <f t="shared" si="7"/>
        <v>0.39954772740376859</v>
      </c>
      <c r="H290" s="12">
        <f t="shared" si="8"/>
        <v>8.3881338436376573E-2</v>
      </c>
      <c r="I290" s="13"/>
      <c r="J290" s="17"/>
      <c r="K290" s="17"/>
      <c r="L290" s="17"/>
      <c r="M290" s="17"/>
      <c r="N290" s="17"/>
      <c r="O290" s="19"/>
      <c r="P290" s="20"/>
      <c r="Q290" s="20"/>
      <c r="S290" s="15"/>
    </row>
    <row r="291" spans="1:19" ht="14.25" customHeight="1">
      <c r="A291" s="9">
        <v>71002</v>
      </c>
      <c r="B291" s="9" t="s">
        <v>310</v>
      </c>
      <c r="C291" s="10">
        <v>4676</v>
      </c>
      <c r="D291" s="10">
        <v>1931.8889394700527</v>
      </c>
      <c r="E291" s="11">
        <v>13906</v>
      </c>
      <c r="F291" s="12">
        <f t="shared" si="6"/>
        <v>0.33625773047605351</v>
      </c>
      <c r="G291" s="12">
        <f t="shared" si="7"/>
        <v>0.41314990151198733</v>
      </c>
      <c r="H291" s="12">
        <f t="shared" si="8"/>
        <v>0.13892484822882589</v>
      </c>
      <c r="I291" s="13"/>
      <c r="J291" s="17"/>
      <c r="K291" s="17"/>
      <c r="L291" s="17"/>
      <c r="M291" s="17"/>
      <c r="N291" s="17"/>
      <c r="O291" s="19"/>
      <c r="P291" s="20"/>
      <c r="Q291" s="20"/>
      <c r="S291" s="15"/>
    </row>
    <row r="292" spans="1:19" ht="14.25" customHeight="1">
      <c r="A292" s="9">
        <v>71003</v>
      </c>
      <c r="B292" s="9" t="s">
        <v>311</v>
      </c>
      <c r="C292" s="10">
        <v>8477</v>
      </c>
      <c r="D292" s="10">
        <v>3417.4445309638977</v>
      </c>
      <c r="E292" s="11">
        <v>22893</v>
      </c>
      <c r="F292" s="12">
        <f t="shared" si="6"/>
        <v>0.37028786091818461</v>
      </c>
      <c r="G292" s="12">
        <f t="shared" si="7"/>
        <v>0.40314315571120651</v>
      </c>
      <c r="H292" s="12">
        <f t="shared" si="8"/>
        <v>0.14927901677210928</v>
      </c>
      <c r="I292" s="13"/>
      <c r="J292" s="17"/>
      <c r="K292" s="17"/>
      <c r="L292" s="17"/>
      <c r="M292" s="17"/>
      <c r="N292" s="17"/>
      <c r="O292" s="19"/>
      <c r="P292" s="20"/>
      <c r="Q292" s="20"/>
      <c r="S292" s="15"/>
    </row>
    <row r="293" spans="1:19" ht="14.25" customHeight="1">
      <c r="A293" s="9">
        <v>71004</v>
      </c>
      <c r="B293" s="9" t="s">
        <v>312</v>
      </c>
      <c r="C293" s="10">
        <v>4593</v>
      </c>
      <c r="D293" s="10">
        <v>1830.3333798348904</v>
      </c>
      <c r="E293" s="11">
        <v>13800</v>
      </c>
      <c r="F293" s="12">
        <f t="shared" si="6"/>
        <v>0.33282608695652172</v>
      </c>
      <c r="G293" s="12">
        <f t="shared" si="7"/>
        <v>0.39850498145762908</v>
      </c>
      <c r="H293" s="12">
        <f t="shared" si="8"/>
        <v>0.13263285361122393</v>
      </c>
      <c r="I293" s="13"/>
      <c r="J293" s="17"/>
      <c r="K293" s="17"/>
      <c r="L293" s="17"/>
      <c r="M293" s="17"/>
      <c r="N293" s="17"/>
      <c r="O293" s="19"/>
      <c r="P293" s="20"/>
      <c r="Q293" s="20"/>
      <c r="S293" s="15"/>
    </row>
    <row r="294" spans="1:19" ht="14.25" customHeight="1">
      <c r="A294" s="9">
        <v>71005</v>
      </c>
      <c r="B294" s="9" t="s">
        <v>238</v>
      </c>
      <c r="C294" s="10">
        <v>4680</v>
      </c>
      <c r="D294" s="10">
        <v>1844.2222692668438</v>
      </c>
      <c r="E294" s="11">
        <v>16015</v>
      </c>
      <c r="F294" s="12">
        <f t="shared" si="6"/>
        <v>0.29222603808929126</v>
      </c>
      <c r="G294" s="12">
        <f t="shared" si="7"/>
        <v>0.3940645874501803</v>
      </c>
      <c r="H294" s="12">
        <f t="shared" si="8"/>
        <v>0.11515593314185724</v>
      </c>
      <c r="I294" s="13"/>
      <c r="J294" s="17"/>
      <c r="K294" s="17"/>
      <c r="L294" s="17"/>
      <c r="M294" s="17"/>
      <c r="N294" s="17"/>
      <c r="O294" s="19"/>
      <c r="P294" s="20"/>
      <c r="Q294" s="20"/>
      <c r="S294" s="15"/>
    </row>
    <row r="295" spans="1:19" ht="14.25" customHeight="1">
      <c r="A295" s="9">
        <v>71101</v>
      </c>
      <c r="B295" s="9" t="s">
        <v>313</v>
      </c>
      <c r="C295" s="10">
        <v>9938</v>
      </c>
      <c r="D295" s="10">
        <v>4462.4445603191853</v>
      </c>
      <c r="E295" s="11">
        <v>18455</v>
      </c>
      <c r="F295" s="12">
        <f t="shared" si="6"/>
        <v>0.53849905174749391</v>
      </c>
      <c r="G295" s="12">
        <f t="shared" si="7"/>
        <v>0.44902843231225448</v>
      </c>
      <c r="H295" s="12">
        <f t="shared" si="8"/>
        <v>0.24180138500781279</v>
      </c>
      <c r="I295" s="13"/>
      <c r="J295" s="17"/>
      <c r="K295" s="17"/>
      <c r="L295" s="17"/>
      <c r="M295" s="17"/>
      <c r="N295" s="17"/>
      <c r="O295" s="19"/>
      <c r="P295" s="20"/>
      <c r="Q295" s="20"/>
      <c r="S295" s="15"/>
    </row>
    <row r="296" spans="1:19" ht="14.25" customHeight="1">
      <c r="A296" s="9">
        <v>71102</v>
      </c>
      <c r="B296" s="9" t="s">
        <v>314</v>
      </c>
      <c r="C296" s="10">
        <v>6715</v>
      </c>
      <c r="D296" s="10">
        <v>3087.2223030924797</v>
      </c>
      <c r="E296" s="11">
        <v>13350</v>
      </c>
      <c r="F296" s="12">
        <f t="shared" si="6"/>
        <v>0.50299625468164799</v>
      </c>
      <c r="G296" s="12">
        <f t="shared" si="7"/>
        <v>0.45975015682687709</v>
      </c>
      <c r="H296" s="12">
        <f t="shared" si="8"/>
        <v>0.23125260697321948</v>
      </c>
      <c r="I296" s="13"/>
      <c r="J296" s="17"/>
      <c r="K296" s="17"/>
      <c r="L296" s="17"/>
      <c r="M296" s="17"/>
      <c r="N296" s="17"/>
      <c r="O296" s="19"/>
      <c r="P296" s="20"/>
      <c r="Q296" s="20"/>
      <c r="S296" s="15"/>
    </row>
    <row r="297" spans="1:19" ht="14.25" customHeight="1">
      <c r="A297" s="9">
        <v>71103</v>
      </c>
      <c r="B297" s="9" t="s">
        <v>315</v>
      </c>
      <c r="C297" s="10">
        <v>18776</v>
      </c>
      <c r="D297" s="10">
        <v>7562.1112968921661</v>
      </c>
      <c r="E297" s="11">
        <v>46370</v>
      </c>
      <c r="F297" s="12">
        <f t="shared" si="6"/>
        <v>0.40491697218028899</v>
      </c>
      <c r="G297" s="12">
        <f t="shared" si="7"/>
        <v>0.40275411679229689</v>
      </c>
      <c r="H297" s="12">
        <f t="shared" si="8"/>
        <v>0.16308197750468334</v>
      </c>
      <c r="I297" s="13"/>
      <c r="J297" s="17"/>
      <c r="K297" s="17"/>
      <c r="L297" s="17"/>
      <c r="M297" s="17"/>
      <c r="N297" s="17"/>
      <c r="O297" s="19"/>
      <c r="P297" s="20"/>
      <c r="Q297" s="20"/>
      <c r="S297" s="15"/>
    </row>
    <row r="298" spans="1:19" ht="14.25" customHeight="1">
      <c r="A298" s="9">
        <v>71104</v>
      </c>
      <c r="B298" s="9" t="s">
        <v>316</v>
      </c>
      <c r="C298" s="10">
        <v>2299</v>
      </c>
      <c r="D298" s="10">
        <v>981.77780374884605</v>
      </c>
      <c r="E298" s="11">
        <v>6464</v>
      </c>
      <c r="F298" s="12">
        <f t="shared" si="6"/>
        <v>0.35566212871287128</v>
      </c>
      <c r="G298" s="12">
        <f t="shared" si="7"/>
        <v>0.42704558666761466</v>
      </c>
      <c r="H298" s="12">
        <f t="shared" si="8"/>
        <v>0.1518839424116408</v>
      </c>
      <c r="I298" s="13"/>
      <c r="J298" s="17"/>
      <c r="K298" s="17"/>
      <c r="L298" s="17"/>
      <c r="M298" s="17"/>
      <c r="N298" s="17"/>
      <c r="O298" s="19"/>
      <c r="P298" s="20"/>
      <c r="Q298" s="20"/>
      <c r="S298" s="15"/>
    </row>
    <row r="299" spans="1:19" ht="14.25" customHeight="1">
      <c r="A299" s="9">
        <v>71105</v>
      </c>
      <c r="B299" s="9" t="s">
        <v>317</v>
      </c>
      <c r="C299" s="10">
        <v>2949</v>
      </c>
      <c r="D299" s="10">
        <v>1292.8889203071594</v>
      </c>
      <c r="E299" s="11">
        <v>6949</v>
      </c>
      <c r="F299" s="12">
        <f t="shared" si="6"/>
        <v>0.42437760828896243</v>
      </c>
      <c r="G299" s="12">
        <f t="shared" si="7"/>
        <v>0.43841604622148506</v>
      </c>
      <c r="H299" s="12">
        <f t="shared" si="8"/>
        <v>0.18605395313097703</v>
      </c>
      <c r="I299" s="13"/>
      <c r="J299" s="17"/>
      <c r="K299" s="17"/>
      <c r="L299" s="17"/>
      <c r="M299" s="17"/>
      <c r="N299" s="17"/>
      <c r="O299" s="19"/>
      <c r="P299" s="20"/>
      <c r="Q299" s="20"/>
      <c r="S299" s="15"/>
    </row>
    <row r="300" spans="1:19" ht="14.25" customHeight="1">
      <c r="A300" s="9">
        <v>71106</v>
      </c>
      <c r="B300" s="9" t="s">
        <v>318</v>
      </c>
      <c r="C300" s="10">
        <v>6476</v>
      </c>
      <c r="D300" s="10">
        <v>2503.1111744046211</v>
      </c>
      <c r="E300" s="11">
        <v>21361</v>
      </c>
      <c r="F300" s="12">
        <f t="shared" si="6"/>
        <v>0.30316932727868545</v>
      </c>
      <c r="G300" s="12">
        <f t="shared" si="7"/>
        <v>0.38652118196488899</v>
      </c>
      <c r="H300" s="12">
        <f t="shared" si="8"/>
        <v>0.11718136671525776</v>
      </c>
      <c r="I300" s="13"/>
      <c r="J300" s="17"/>
      <c r="K300" s="17"/>
      <c r="L300" s="17"/>
      <c r="M300" s="17"/>
      <c r="N300" s="17"/>
      <c r="O300" s="19"/>
      <c r="P300" s="20"/>
      <c r="Q300" s="20"/>
      <c r="S300" s="15"/>
    </row>
    <row r="301" spans="1:19" ht="14.25" customHeight="1">
      <c r="A301" s="9">
        <v>71201</v>
      </c>
      <c r="B301" s="9" t="s">
        <v>319</v>
      </c>
      <c r="C301" s="10">
        <v>7509</v>
      </c>
      <c r="D301" s="10">
        <v>3345.1112009584904</v>
      </c>
      <c r="E301" s="11">
        <v>14080</v>
      </c>
      <c r="F301" s="12">
        <f t="shared" si="6"/>
        <v>0.53330965909090911</v>
      </c>
      <c r="G301" s="12">
        <f t="shared" si="7"/>
        <v>0.44548025049387274</v>
      </c>
      <c r="H301" s="12">
        <f t="shared" si="8"/>
        <v>0.23757892052262006</v>
      </c>
      <c r="I301" s="13"/>
      <c r="J301" s="17"/>
      <c r="K301" s="17"/>
      <c r="L301" s="17"/>
      <c r="M301" s="17"/>
      <c r="N301" s="17"/>
      <c r="O301" s="19"/>
      <c r="P301" s="20"/>
      <c r="Q301" s="20"/>
      <c r="S301" s="15"/>
    </row>
    <row r="302" spans="1:19" ht="14.25" customHeight="1">
      <c r="A302" s="9">
        <v>71301</v>
      </c>
      <c r="B302" s="9" t="s">
        <v>320</v>
      </c>
      <c r="C302" s="10">
        <v>5449</v>
      </c>
      <c r="D302" s="10">
        <v>2487.222286850214</v>
      </c>
      <c r="E302" s="11">
        <v>15748</v>
      </c>
      <c r="F302" s="12">
        <f t="shared" si="6"/>
        <v>0.34601219202438405</v>
      </c>
      <c r="G302" s="12">
        <f t="shared" si="7"/>
        <v>0.45645481498444007</v>
      </c>
      <c r="H302" s="12">
        <f t="shared" si="8"/>
        <v>0.15793893109285076</v>
      </c>
      <c r="I302" s="13"/>
      <c r="J302" s="17"/>
      <c r="K302" s="17"/>
      <c r="L302" s="17"/>
      <c r="M302" s="17"/>
      <c r="N302" s="17"/>
      <c r="O302" s="19"/>
      <c r="P302" s="20"/>
      <c r="Q302" s="20"/>
      <c r="S302" s="15"/>
    </row>
    <row r="303" spans="1:19" ht="14.25" customHeight="1">
      <c r="A303" s="9">
        <v>71302</v>
      </c>
      <c r="B303" s="9" t="s">
        <v>321</v>
      </c>
      <c r="C303" s="10">
        <v>2683</v>
      </c>
      <c r="D303" s="10">
        <v>1123.3333637416363</v>
      </c>
      <c r="E303" s="11">
        <v>7125</v>
      </c>
      <c r="F303" s="12">
        <f t="shared" si="6"/>
        <v>0.37656140350877193</v>
      </c>
      <c r="G303" s="12">
        <f t="shared" si="7"/>
        <v>0.41868556233381898</v>
      </c>
      <c r="H303" s="12">
        <f t="shared" si="8"/>
        <v>0.15766082298128228</v>
      </c>
      <c r="I303" s="13"/>
      <c r="J303" s="17"/>
      <c r="K303" s="17"/>
      <c r="L303" s="17"/>
      <c r="M303" s="17"/>
      <c r="N303" s="17"/>
      <c r="O303" s="19"/>
      <c r="P303" s="20"/>
      <c r="Q303" s="20"/>
      <c r="S303" s="15"/>
    </row>
    <row r="304" spans="1:19" ht="14.25" customHeight="1">
      <c r="A304" s="9">
        <v>71401</v>
      </c>
      <c r="B304" s="9" t="s">
        <v>322</v>
      </c>
      <c r="C304" s="10">
        <v>4290</v>
      </c>
      <c r="D304" s="10">
        <v>1718.4444870054722</v>
      </c>
      <c r="E304" s="11">
        <v>18513</v>
      </c>
      <c r="F304" s="12">
        <f t="shared" si="6"/>
        <v>0.23172905525846701</v>
      </c>
      <c r="G304" s="12">
        <f t="shared" si="7"/>
        <v>0.40056981049078605</v>
      </c>
      <c r="H304" s="12">
        <f t="shared" si="8"/>
        <v>9.2823663750093016E-2</v>
      </c>
      <c r="I304" s="13"/>
      <c r="J304" s="17"/>
      <c r="K304" s="17"/>
      <c r="L304" s="17"/>
      <c r="M304" s="17"/>
      <c r="N304" s="17"/>
      <c r="O304" s="19"/>
      <c r="P304" s="20"/>
      <c r="Q304" s="20"/>
      <c r="S304" s="15"/>
    </row>
    <row r="305" spans="1:19" ht="14.25" customHeight="1">
      <c r="A305" s="9">
        <v>71402</v>
      </c>
      <c r="B305" s="9" t="s">
        <v>323</v>
      </c>
      <c r="C305" s="10">
        <v>4254</v>
      </c>
      <c r="D305" s="10">
        <v>1643.1111500263214</v>
      </c>
      <c r="E305" s="11">
        <v>15696</v>
      </c>
      <c r="F305" s="12">
        <f t="shared" si="6"/>
        <v>0.27102446483180426</v>
      </c>
      <c r="G305" s="12">
        <f t="shared" si="7"/>
        <v>0.38625085802217241</v>
      </c>
      <c r="H305" s="12">
        <f t="shared" si="8"/>
        <v>0.10468343208628449</v>
      </c>
      <c r="I305" s="13"/>
      <c r="J305" s="17"/>
      <c r="K305" s="17"/>
      <c r="L305" s="17"/>
      <c r="M305" s="17"/>
      <c r="N305" s="17"/>
      <c r="O305" s="19"/>
      <c r="P305" s="20"/>
      <c r="Q305" s="20"/>
      <c r="S305" s="15"/>
    </row>
    <row r="306" spans="1:19" ht="14.25" customHeight="1">
      <c r="A306" s="9">
        <v>71403</v>
      </c>
      <c r="B306" s="9" t="s">
        <v>324</v>
      </c>
      <c r="C306" s="10">
        <v>2836</v>
      </c>
      <c r="D306" s="10">
        <v>1234.3333643376827</v>
      </c>
      <c r="E306" s="11">
        <v>6065</v>
      </c>
      <c r="F306" s="12">
        <f t="shared" si="6"/>
        <v>0.46760098928277</v>
      </c>
      <c r="G306" s="12">
        <f t="shared" si="7"/>
        <v>0.43523743453373864</v>
      </c>
      <c r="H306" s="12">
        <f t="shared" si="8"/>
        <v>0.20351745496087104</v>
      </c>
      <c r="I306" s="13"/>
      <c r="J306" s="17"/>
      <c r="K306" s="17"/>
      <c r="L306" s="17"/>
      <c r="M306" s="17"/>
      <c r="N306" s="17"/>
      <c r="O306" s="19"/>
      <c r="P306" s="20"/>
      <c r="Q306" s="20"/>
      <c r="S306" s="15"/>
    </row>
    <row r="307" spans="1:19" ht="14.25" customHeight="1">
      <c r="A307" s="9">
        <v>71501</v>
      </c>
      <c r="B307" s="9" t="s">
        <v>325</v>
      </c>
      <c r="C307" s="10">
        <v>16077</v>
      </c>
      <c r="D307" s="10">
        <v>7092.5557407736778</v>
      </c>
      <c r="E307" s="11">
        <v>26179</v>
      </c>
      <c r="F307" s="12">
        <f t="shared" si="6"/>
        <v>0.61411818633255666</v>
      </c>
      <c r="G307" s="12">
        <f t="shared" si="7"/>
        <v>0.44116164338954267</v>
      </c>
      <c r="H307" s="12">
        <f t="shared" si="8"/>
        <v>0.2709253883178761</v>
      </c>
      <c r="I307" s="13"/>
      <c r="J307" s="17"/>
      <c r="K307" s="17"/>
      <c r="L307" s="17"/>
      <c r="M307" s="17"/>
      <c r="N307" s="17"/>
      <c r="O307" s="19"/>
      <c r="P307" s="20"/>
      <c r="Q307" s="20"/>
      <c r="S307" s="15"/>
    </row>
    <row r="308" spans="1:19" ht="14.25" customHeight="1">
      <c r="A308" s="9">
        <v>71502</v>
      </c>
      <c r="B308" s="9" t="s">
        <v>326</v>
      </c>
      <c r="C308" s="10">
        <v>3819</v>
      </c>
      <c r="D308" s="10">
        <v>1691.8889338672161</v>
      </c>
      <c r="E308" s="11">
        <v>6802</v>
      </c>
      <c r="F308" s="12">
        <f t="shared" si="6"/>
        <v>0.56145251396648044</v>
      </c>
      <c r="G308" s="12">
        <f t="shared" si="7"/>
        <v>0.44301883578612622</v>
      </c>
      <c r="H308" s="12">
        <f t="shared" si="8"/>
        <v>0.24873403908662395</v>
      </c>
      <c r="I308" s="13"/>
      <c r="J308" s="17"/>
      <c r="K308" s="17"/>
      <c r="L308" s="17"/>
      <c r="M308" s="17"/>
      <c r="N308" s="17"/>
      <c r="O308" s="19"/>
      <c r="P308" s="20"/>
      <c r="Q308" s="20"/>
      <c r="S308" s="15"/>
    </row>
    <row r="309" spans="1:19" ht="14.25" customHeight="1">
      <c r="A309" s="9">
        <v>71503</v>
      </c>
      <c r="B309" s="9" t="s">
        <v>272</v>
      </c>
      <c r="C309" s="10">
        <v>8967</v>
      </c>
      <c r="D309" s="10">
        <v>3956.222323268652</v>
      </c>
      <c r="E309" s="11">
        <v>13901</v>
      </c>
      <c r="F309" s="12">
        <f t="shared" si="6"/>
        <v>0.64506150636644843</v>
      </c>
      <c r="G309" s="12">
        <f t="shared" si="7"/>
        <v>0.44119798408259753</v>
      </c>
      <c r="H309" s="12">
        <f t="shared" si="8"/>
        <v>0.28459983621816071</v>
      </c>
      <c r="I309" s="13"/>
      <c r="J309" s="17"/>
      <c r="K309" s="17"/>
      <c r="L309" s="17"/>
      <c r="M309" s="17"/>
      <c r="N309" s="17"/>
      <c r="O309" s="19"/>
      <c r="P309" s="20"/>
      <c r="Q309" s="20"/>
      <c r="S309" s="15"/>
    </row>
    <row r="310" spans="1:19" ht="14.25" customHeight="1">
      <c r="A310" s="9">
        <v>80101</v>
      </c>
      <c r="B310" s="9" t="s">
        <v>327</v>
      </c>
      <c r="C310" s="10">
        <v>36684</v>
      </c>
      <c r="D310" s="10">
        <v>14915.889272540808</v>
      </c>
      <c r="E310" s="11">
        <v>103028</v>
      </c>
      <c r="F310" s="12">
        <f t="shared" si="6"/>
        <v>0.35605854719105484</v>
      </c>
      <c r="G310" s="12">
        <f t="shared" si="7"/>
        <v>0.40660476699762316</v>
      </c>
      <c r="H310" s="12">
        <f t="shared" si="8"/>
        <v>0.14477510261813106</v>
      </c>
      <c r="I310" s="13"/>
      <c r="J310" s="17"/>
      <c r="K310" s="17"/>
      <c r="L310" s="17"/>
      <c r="M310" s="17"/>
      <c r="N310" s="17"/>
      <c r="O310" s="19"/>
      <c r="P310" s="20"/>
      <c r="Q310" s="20"/>
      <c r="S310" s="15"/>
    </row>
    <row r="311" spans="1:19" ht="14.25" customHeight="1">
      <c r="A311" s="9">
        <v>80102</v>
      </c>
      <c r="B311" s="9" t="s">
        <v>314</v>
      </c>
      <c r="C311" s="10">
        <v>3034</v>
      </c>
      <c r="D311" s="10">
        <v>1300.8889223337173</v>
      </c>
      <c r="E311" s="11">
        <v>5238</v>
      </c>
      <c r="F311" s="12">
        <f t="shared" si="6"/>
        <v>0.57922871324933178</v>
      </c>
      <c r="G311" s="12">
        <f t="shared" si="7"/>
        <v>0.42877024467162733</v>
      </c>
      <c r="H311" s="12">
        <f t="shared" si="8"/>
        <v>0.24835603710074786</v>
      </c>
      <c r="I311" s="13"/>
      <c r="J311" s="17"/>
      <c r="K311" s="17"/>
      <c r="L311" s="17"/>
      <c r="M311" s="17"/>
      <c r="N311" s="17"/>
      <c r="O311" s="19"/>
      <c r="P311" s="20"/>
      <c r="Q311" s="20"/>
      <c r="S311" s="15"/>
    </row>
    <row r="312" spans="1:19" ht="14.25" customHeight="1">
      <c r="A312" s="9">
        <v>80201</v>
      </c>
      <c r="B312" s="9" t="s">
        <v>328</v>
      </c>
      <c r="C312" s="10">
        <v>58348</v>
      </c>
      <c r="D312" s="10">
        <v>25516.778432250023</v>
      </c>
      <c r="E312" s="11">
        <v>86903</v>
      </c>
      <c r="F312" s="12">
        <f t="shared" si="6"/>
        <v>0.67141525609012342</v>
      </c>
      <c r="G312" s="12">
        <f t="shared" si="7"/>
        <v>0.43732053253324915</v>
      </c>
      <c r="H312" s="12">
        <f t="shared" si="8"/>
        <v>0.29362367734428063</v>
      </c>
      <c r="I312" s="13"/>
      <c r="J312" s="17"/>
      <c r="K312" s="17"/>
      <c r="L312" s="17"/>
      <c r="M312" s="17"/>
      <c r="N312" s="17"/>
      <c r="O312" s="19"/>
      <c r="P312" s="20"/>
      <c r="Q312" s="20"/>
      <c r="S312" s="15"/>
    </row>
    <row r="313" spans="1:19" ht="14.25" customHeight="1">
      <c r="A313" s="9">
        <v>80202</v>
      </c>
      <c r="B313" s="9" t="s">
        <v>329</v>
      </c>
      <c r="C313" s="10">
        <v>15090</v>
      </c>
      <c r="D313" s="10">
        <v>6255.6668262183666</v>
      </c>
      <c r="E313" s="11">
        <v>40186</v>
      </c>
      <c r="F313" s="12">
        <f t="shared" si="6"/>
        <v>0.37550390683322549</v>
      </c>
      <c r="G313" s="12">
        <f t="shared" si="7"/>
        <v>0.41455711240678372</v>
      </c>
      <c r="H313" s="12">
        <f t="shared" si="8"/>
        <v>0.15566781531424789</v>
      </c>
      <c r="I313" s="13"/>
      <c r="J313" s="17"/>
      <c r="K313" s="17"/>
      <c r="L313" s="17"/>
      <c r="M313" s="17"/>
      <c r="N313" s="17"/>
      <c r="O313" s="19"/>
      <c r="P313" s="20"/>
      <c r="Q313" s="20"/>
      <c r="S313" s="15"/>
    </row>
    <row r="314" spans="1:19" ht="14.25" customHeight="1">
      <c r="A314" s="9">
        <v>80301</v>
      </c>
      <c r="B314" s="9" t="s">
        <v>330</v>
      </c>
      <c r="C314" s="10">
        <v>8324</v>
      </c>
      <c r="D314" s="10">
        <v>3679.4445415735245</v>
      </c>
      <c r="E314" s="11">
        <v>12912</v>
      </c>
      <c r="F314" s="12">
        <f t="shared" si="6"/>
        <v>0.64467162329615857</v>
      </c>
      <c r="G314" s="12">
        <f t="shared" si="7"/>
        <v>0.44202841681565647</v>
      </c>
      <c r="H314" s="12">
        <f t="shared" si="8"/>
        <v>0.28496317701158025</v>
      </c>
      <c r="I314" s="13"/>
      <c r="J314" s="17"/>
      <c r="K314" s="17"/>
      <c r="L314" s="17"/>
      <c r="M314" s="17"/>
      <c r="N314" s="17"/>
      <c r="O314" s="19"/>
      <c r="P314" s="20"/>
      <c r="Q314" s="20"/>
      <c r="S314" s="15"/>
    </row>
    <row r="315" spans="1:19" ht="14.25" customHeight="1">
      <c r="A315" s="9">
        <v>80302</v>
      </c>
      <c r="B315" s="9" t="s">
        <v>331</v>
      </c>
      <c r="C315" s="10">
        <v>24411</v>
      </c>
      <c r="D315" s="10">
        <v>13058.778097957373</v>
      </c>
      <c r="E315" s="11">
        <v>39928</v>
      </c>
      <c r="F315" s="12">
        <f t="shared" si="6"/>
        <v>0.61137547585654173</v>
      </c>
      <c r="G315" s="12">
        <f t="shared" si="7"/>
        <v>0.53495465560433297</v>
      </c>
      <c r="H315" s="12">
        <f t="shared" si="8"/>
        <v>0.32705815713177144</v>
      </c>
      <c r="I315" s="13"/>
      <c r="J315" s="17"/>
      <c r="K315" s="17"/>
      <c r="L315" s="17"/>
      <c r="M315" s="17"/>
      <c r="N315" s="17"/>
      <c r="O315" s="19"/>
      <c r="P315" s="20"/>
      <c r="Q315" s="20"/>
      <c r="S315" s="15"/>
    </row>
    <row r="316" spans="1:19" ht="14.25" customHeight="1">
      <c r="A316" s="9">
        <v>80303</v>
      </c>
      <c r="B316" s="9" t="s">
        <v>291</v>
      </c>
      <c r="C316" s="10">
        <v>4309</v>
      </c>
      <c r="D316" s="10">
        <v>1847.333379983902</v>
      </c>
      <c r="E316" s="11">
        <v>9297</v>
      </c>
      <c r="F316" s="12">
        <f t="shared" si="6"/>
        <v>0.46348284392814887</v>
      </c>
      <c r="G316" s="12">
        <f t="shared" si="7"/>
        <v>0.42871510326848505</v>
      </c>
      <c r="H316" s="12">
        <f t="shared" si="8"/>
        <v>0.19870209529782748</v>
      </c>
      <c r="I316" s="13"/>
      <c r="J316" s="17"/>
      <c r="K316" s="17"/>
      <c r="L316" s="17"/>
      <c r="M316" s="17"/>
      <c r="N316" s="17"/>
      <c r="O316" s="19"/>
      <c r="P316" s="20"/>
      <c r="Q316" s="20"/>
      <c r="S316" s="15"/>
    </row>
    <row r="317" spans="1:19" ht="14.25" customHeight="1">
      <c r="A317" s="9">
        <v>80304</v>
      </c>
      <c r="B317" s="9" t="s">
        <v>332</v>
      </c>
      <c r="C317" s="10">
        <v>6562</v>
      </c>
      <c r="D317" s="10">
        <v>3047.4445216655731</v>
      </c>
      <c r="E317" s="11">
        <v>18307</v>
      </c>
      <c r="F317" s="12">
        <f t="shared" si="6"/>
        <v>0.35844212596274649</v>
      </c>
      <c r="G317" s="12">
        <f t="shared" si="7"/>
        <v>0.46440788199719191</v>
      </c>
      <c r="H317" s="12">
        <f t="shared" si="8"/>
        <v>0.16646334853692976</v>
      </c>
      <c r="I317" s="13"/>
      <c r="J317" s="17"/>
      <c r="K317" s="17"/>
      <c r="L317" s="17"/>
      <c r="M317" s="17"/>
      <c r="N317" s="17"/>
      <c r="O317" s="19"/>
      <c r="P317" s="20"/>
      <c r="Q317" s="20"/>
      <c r="S317" s="15"/>
    </row>
    <row r="318" spans="1:19" ht="14.25" customHeight="1">
      <c r="A318" s="9">
        <v>80401</v>
      </c>
      <c r="B318" s="9" t="s">
        <v>333</v>
      </c>
      <c r="C318" s="10">
        <v>6824</v>
      </c>
      <c r="D318" s="10">
        <v>3069.3334102332592</v>
      </c>
      <c r="E318" s="11">
        <v>16575</v>
      </c>
      <c r="F318" s="12">
        <f t="shared" si="6"/>
        <v>0.41170437405731525</v>
      </c>
      <c r="G318" s="12">
        <f t="shared" si="7"/>
        <v>0.44978508356290436</v>
      </c>
      <c r="H318" s="12">
        <f t="shared" si="8"/>
        <v>0.18517848628858277</v>
      </c>
      <c r="I318" s="13"/>
      <c r="J318" s="17"/>
      <c r="K318" s="17"/>
      <c r="L318" s="17"/>
      <c r="M318" s="17"/>
      <c r="N318" s="17"/>
      <c r="O318" s="19"/>
      <c r="P318" s="20"/>
      <c r="Q318" s="20"/>
      <c r="S318" s="15"/>
    </row>
    <row r="319" spans="1:19" ht="14.25" customHeight="1">
      <c r="A319" s="9">
        <v>80402</v>
      </c>
      <c r="B319" s="9" t="s">
        <v>334</v>
      </c>
      <c r="C319" s="10">
        <v>4360</v>
      </c>
      <c r="D319" s="10">
        <v>2097.8889439105988</v>
      </c>
      <c r="E319" s="11">
        <v>5996</v>
      </c>
      <c r="F319" s="12">
        <f t="shared" si="6"/>
        <v>0.72715143428952633</v>
      </c>
      <c r="G319" s="12">
        <f t="shared" si="7"/>
        <v>0.48116718897032079</v>
      </c>
      <c r="H319" s="12">
        <f t="shared" si="8"/>
        <v>0.34988141159282832</v>
      </c>
      <c r="I319" s="13"/>
      <c r="J319" s="17"/>
      <c r="K319" s="17"/>
      <c r="L319" s="17"/>
      <c r="M319" s="17"/>
      <c r="N319" s="17"/>
      <c r="O319" s="19"/>
      <c r="P319" s="20"/>
      <c r="Q319" s="20"/>
      <c r="S319" s="15"/>
    </row>
    <row r="320" spans="1:19" ht="14.25" customHeight="1">
      <c r="A320" s="9">
        <v>80501</v>
      </c>
      <c r="B320" s="9" t="s">
        <v>280</v>
      </c>
      <c r="C320" s="10">
        <v>12624</v>
      </c>
      <c r="D320" s="10">
        <v>5905.1112630665302</v>
      </c>
      <c r="E320" s="11">
        <v>18717</v>
      </c>
      <c r="F320" s="12">
        <f t="shared" si="6"/>
        <v>0.67446706202917139</v>
      </c>
      <c r="G320" s="12">
        <f t="shared" si="7"/>
        <v>0.46776863617447167</v>
      </c>
      <c r="H320" s="12">
        <f t="shared" si="8"/>
        <v>0.31549453774998831</v>
      </c>
      <c r="I320" s="13"/>
      <c r="J320" s="17"/>
      <c r="K320" s="17"/>
      <c r="L320" s="17"/>
      <c r="M320" s="17"/>
      <c r="N320" s="17"/>
      <c r="O320" s="19"/>
      <c r="P320" s="20"/>
      <c r="Q320" s="20"/>
      <c r="S320" s="15"/>
    </row>
    <row r="321" spans="1:19" ht="14.25" customHeight="1">
      <c r="A321" s="9">
        <v>80601</v>
      </c>
      <c r="B321" s="9" t="s">
        <v>335</v>
      </c>
      <c r="C321" s="10">
        <v>2484</v>
      </c>
      <c r="D321" s="10">
        <v>1208.2222534418106</v>
      </c>
      <c r="E321" s="11">
        <v>3728</v>
      </c>
      <c r="F321" s="12">
        <f t="shared" si="6"/>
        <v>0.66630901287553645</v>
      </c>
      <c r="G321" s="12">
        <f t="shared" si="7"/>
        <v>0.48640187336626833</v>
      </c>
      <c r="H321" s="12">
        <f t="shared" si="8"/>
        <v>0.32409395210348996</v>
      </c>
      <c r="I321" s="13"/>
      <c r="J321" s="17"/>
      <c r="K321" s="17"/>
      <c r="L321" s="17"/>
      <c r="M321" s="17"/>
      <c r="N321" s="17"/>
      <c r="O321" s="19"/>
      <c r="P321" s="20"/>
      <c r="Q321" s="20"/>
      <c r="S321" s="15"/>
    </row>
    <row r="322" spans="1:19" ht="14.25" customHeight="1">
      <c r="A322" s="9">
        <v>80602</v>
      </c>
      <c r="B322" s="9" t="s">
        <v>336</v>
      </c>
      <c r="C322" s="10">
        <v>6123</v>
      </c>
      <c r="D322" s="10">
        <v>2664.4445118904114</v>
      </c>
      <c r="E322" s="11">
        <v>11792</v>
      </c>
      <c r="F322" s="12">
        <f t="shared" si="6"/>
        <v>0.51925033921302577</v>
      </c>
      <c r="G322" s="12">
        <f t="shared" si="7"/>
        <v>0.43515343979918525</v>
      </c>
      <c r="H322" s="12">
        <f t="shared" si="8"/>
        <v>0.22595357122544193</v>
      </c>
      <c r="I322" s="13"/>
      <c r="J322" s="17"/>
      <c r="K322" s="17"/>
      <c r="L322" s="17"/>
      <c r="M322" s="17"/>
      <c r="N322" s="17"/>
      <c r="O322" s="19"/>
      <c r="P322" s="20"/>
      <c r="Q322" s="20"/>
      <c r="S322" s="15"/>
    </row>
    <row r="323" spans="1:19" ht="14.25" customHeight="1">
      <c r="A323" s="9">
        <v>80701</v>
      </c>
      <c r="B323" s="9" t="s">
        <v>337</v>
      </c>
      <c r="C323" s="10">
        <v>3501</v>
      </c>
      <c r="D323" s="10">
        <v>1482.1111480295658</v>
      </c>
      <c r="E323" s="11">
        <v>6518</v>
      </c>
      <c r="F323" s="12">
        <f t="shared" si="6"/>
        <v>0.53712795335992636</v>
      </c>
      <c r="G323" s="12">
        <f t="shared" si="7"/>
        <v>0.42333937390161835</v>
      </c>
      <c r="H323" s="12">
        <f t="shared" si="8"/>
        <v>0.22738741148044889</v>
      </c>
      <c r="I323" s="13"/>
      <c r="J323" s="17"/>
      <c r="K323" s="17"/>
      <c r="L323" s="17"/>
      <c r="M323" s="17"/>
      <c r="N323" s="17"/>
      <c r="O323" s="19"/>
      <c r="P323" s="20"/>
      <c r="Q323" s="20"/>
      <c r="S323" s="15"/>
    </row>
    <row r="324" spans="1:19" ht="14.25" customHeight="1">
      <c r="A324" s="9">
        <v>80702</v>
      </c>
      <c r="B324" s="9" t="s">
        <v>315</v>
      </c>
      <c r="C324" s="10">
        <v>2177</v>
      </c>
      <c r="D324" s="10">
        <v>923.66669002175331</v>
      </c>
      <c r="E324" s="11">
        <v>4764</v>
      </c>
      <c r="F324" s="12">
        <f t="shared" si="6"/>
        <v>0.45696893366918556</v>
      </c>
      <c r="G324" s="12">
        <f t="shared" si="7"/>
        <v>0.42428419385473282</v>
      </c>
      <c r="H324" s="12">
        <f t="shared" si="8"/>
        <v>0.19388469563848726</v>
      </c>
      <c r="I324" s="13"/>
      <c r="J324" s="17"/>
      <c r="K324" s="17"/>
      <c r="L324" s="17"/>
      <c r="M324" s="17"/>
      <c r="N324" s="17"/>
      <c r="O324" s="19"/>
      <c r="P324" s="20"/>
      <c r="Q324" s="20"/>
      <c r="S324" s="15"/>
    </row>
    <row r="325" spans="1:19" ht="14.25" customHeight="1">
      <c r="A325" s="9">
        <v>80703</v>
      </c>
      <c r="B325" s="9" t="s">
        <v>338</v>
      </c>
      <c r="C325" s="10">
        <v>408</v>
      </c>
      <c r="D325" s="10">
        <v>177.33333805203438</v>
      </c>
      <c r="E325" s="11">
        <v>835</v>
      </c>
      <c r="F325" s="12">
        <f t="shared" si="6"/>
        <v>0.48862275449101794</v>
      </c>
      <c r="G325" s="12">
        <f t="shared" si="7"/>
        <v>0.43464053444126072</v>
      </c>
      <c r="H325" s="12">
        <f t="shared" si="8"/>
        <v>0.21237525515213695</v>
      </c>
      <c r="I325" s="13"/>
      <c r="J325" s="17"/>
      <c r="K325" s="17"/>
      <c r="L325" s="17"/>
      <c r="M325" s="17"/>
      <c r="N325" s="17"/>
      <c r="O325" s="19"/>
      <c r="P325" s="20"/>
      <c r="Q325" s="20"/>
      <c r="S325" s="15"/>
    </row>
    <row r="326" spans="1:19" ht="14.25" customHeight="1">
      <c r="A326" s="9">
        <v>80801</v>
      </c>
      <c r="B326" s="9" t="s">
        <v>339</v>
      </c>
      <c r="C326" s="10">
        <v>6473</v>
      </c>
      <c r="D326" s="10">
        <v>2783.3334022164345</v>
      </c>
      <c r="E326" s="11">
        <v>11053</v>
      </c>
      <c r="F326" s="12">
        <f t="shared" si="6"/>
        <v>0.58563285985705238</v>
      </c>
      <c r="G326" s="12">
        <f t="shared" si="7"/>
        <v>0.4299912563288173</v>
      </c>
      <c r="H326" s="12">
        <f t="shared" si="8"/>
        <v>0.25181700915737215</v>
      </c>
      <c r="I326" s="13"/>
      <c r="J326" s="17"/>
      <c r="K326" s="17"/>
      <c r="L326" s="17"/>
      <c r="M326" s="17"/>
      <c r="N326" s="17"/>
      <c r="O326" s="19"/>
      <c r="P326" s="20"/>
      <c r="Q326" s="20"/>
      <c r="S326" s="15"/>
    </row>
    <row r="327" spans="1:19" ht="14.25" customHeight="1">
      <c r="A327" s="9">
        <v>80802</v>
      </c>
      <c r="B327" s="9" t="s">
        <v>340</v>
      </c>
      <c r="C327" s="10">
        <v>2704</v>
      </c>
      <c r="D327" s="10">
        <v>1129.4444712996483</v>
      </c>
      <c r="E327" s="11">
        <v>5464</v>
      </c>
      <c r="F327" s="12">
        <f t="shared" si="6"/>
        <v>0.49487554904831627</v>
      </c>
      <c r="G327" s="12">
        <f t="shared" si="7"/>
        <v>0.41769396127945574</v>
      </c>
      <c r="H327" s="12">
        <f t="shared" si="8"/>
        <v>0.2067065284223368</v>
      </c>
      <c r="I327" s="13"/>
      <c r="J327" s="17"/>
      <c r="K327" s="17"/>
      <c r="L327" s="17"/>
      <c r="M327" s="17"/>
      <c r="N327" s="17"/>
      <c r="O327" s="19"/>
      <c r="P327" s="20"/>
      <c r="Q327" s="20"/>
      <c r="S327" s="15"/>
    </row>
    <row r="328" spans="1:19" ht="14.25" customHeight="1">
      <c r="A328" s="9">
        <v>80803</v>
      </c>
      <c r="B328" s="9" t="s">
        <v>341</v>
      </c>
      <c r="C328" s="10">
        <v>2091</v>
      </c>
      <c r="D328" s="10">
        <v>911.44446873664856</v>
      </c>
      <c r="E328" s="11">
        <v>4009</v>
      </c>
      <c r="F328" s="12">
        <f t="shared" si="6"/>
        <v>0.52157645298079325</v>
      </c>
      <c r="G328" s="12">
        <f t="shared" si="7"/>
        <v>0.43588927247089843</v>
      </c>
      <c r="H328" s="12">
        <f t="shared" si="8"/>
        <v>0.22734958062774974</v>
      </c>
      <c r="I328" s="13"/>
      <c r="J328" s="17"/>
      <c r="K328" s="17"/>
      <c r="L328" s="17"/>
      <c r="M328" s="17"/>
      <c r="N328" s="17"/>
      <c r="O328" s="19"/>
      <c r="P328" s="20"/>
      <c r="Q328" s="20"/>
      <c r="S328" s="15"/>
    </row>
    <row r="329" spans="1:19" ht="14.25" customHeight="1">
      <c r="A329" s="9">
        <v>80901</v>
      </c>
      <c r="B329" s="9" t="s">
        <v>342</v>
      </c>
      <c r="C329" s="10">
        <v>2785</v>
      </c>
      <c r="D329" s="10">
        <v>1451.4444808363914</v>
      </c>
      <c r="E329" s="11">
        <v>3152</v>
      </c>
      <c r="F329" s="12">
        <f t="shared" si="6"/>
        <v>0.88356598984771573</v>
      </c>
      <c r="G329" s="12">
        <f t="shared" si="7"/>
        <v>0.52116498414233081</v>
      </c>
      <c r="H329" s="12">
        <f t="shared" si="8"/>
        <v>0.46048365508768757</v>
      </c>
      <c r="I329" s="13"/>
      <c r="J329" s="17"/>
      <c r="K329" s="17"/>
      <c r="L329" s="17"/>
      <c r="M329" s="17"/>
      <c r="N329" s="17"/>
      <c r="O329" s="19"/>
      <c r="P329" s="20"/>
      <c r="Q329" s="20"/>
      <c r="S329" s="15"/>
    </row>
    <row r="330" spans="1:19" ht="14.25" customHeight="1">
      <c r="A330" s="9">
        <v>90101</v>
      </c>
      <c r="B330" s="9" t="s">
        <v>343</v>
      </c>
      <c r="C330" s="10">
        <v>11827</v>
      </c>
      <c r="D330" s="10">
        <v>4901.2223441302776</v>
      </c>
      <c r="E330" s="11">
        <v>43616</v>
      </c>
      <c r="F330" s="12">
        <f t="shared" si="6"/>
        <v>0.27116195891415995</v>
      </c>
      <c r="G330" s="12">
        <f t="shared" si="7"/>
        <v>0.41440960041686631</v>
      </c>
      <c r="H330" s="12">
        <f t="shared" si="8"/>
        <v>0.11237211904187175</v>
      </c>
      <c r="I330" s="13"/>
      <c r="J330" s="17"/>
      <c r="K330" s="17"/>
      <c r="L330" s="17"/>
      <c r="M330" s="17"/>
      <c r="N330" s="17"/>
      <c r="O330" s="19"/>
      <c r="P330" s="20"/>
      <c r="Q330" s="20"/>
      <c r="S330" s="15"/>
    </row>
    <row r="331" spans="1:19" ht="14.25" customHeight="1">
      <c r="A331" s="9">
        <v>90102</v>
      </c>
      <c r="B331" s="9" t="s">
        <v>344</v>
      </c>
      <c r="C331" s="10">
        <v>3001</v>
      </c>
      <c r="D331" s="10">
        <v>1279.0000318288803</v>
      </c>
      <c r="E331" s="11">
        <v>7653</v>
      </c>
      <c r="F331" s="12">
        <f t="shared" si="6"/>
        <v>0.39213380373709655</v>
      </c>
      <c r="G331" s="12">
        <f t="shared" si="7"/>
        <v>0.42619128018289915</v>
      </c>
      <c r="H331" s="12">
        <f t="shared" si="8"/>
        <v>0.1671240078177029</v>
      </c>
      <c r="I331" s="13"/>
      <c r="J331" s="17"/>
      <c r="K331" s="17"/>
      <c r="L331" s="17"/>
      <c r="M331" s="17"/>
      <c r="N331" s="17"/>
      <c r="O331" s="19"/>
      <c r="P331" s="20"/>
      <c r="Q331" s="20"/>
      <c r="S331" s="15"/>
    </row>
    <row r="332" spans="1:19" ht="14.25" customHeight="1">
      <c r="A332" s="9">
        <v>90103</v>
      </c>
      <c r="B332" s="9" t="s">
        <v>345</v>
      </c>
      <c r="C332" s="10">
        <v>1573</v>
      </c>
      <c r="D332" s="10">
        <v>745.66668605804443</v>
      </c>
      <c r="E332" s="11">
        <v>2058</v>
      </c>
      <c r="F332" s="12">
        <f t="shared" si="6"/>
        <v>0.76433430515063172</v>
      </c>
      <c r="G332" s="12">
        <f t="shared" si="7"/>
        <v>0.4740411227323868</v>
      </c>
      <c r="H332" s="12">
        <f t="shared" si="8"/>
        <v>0.3623258921564842</v>
      </c>
      <c r="I332" s="13"/>
      <c r="J332" s="17"/>
      <c r="K332" s="17"/>
      <c r="L332" s="17"/>
      <c r="M332" s="17"/>
      <c r="N332" s="17"/>
      <c r="O332" s="19"/>
      <c r="P332" s="20"/>
      <c r="Q332" s="20"/>
      <c r="S332" s="15"/>
    </row>
    <row r="333" spans="1:19" ht="14.25" customHeight="1">
      <c r="A333" s="9">
        <v>90104</v>
      </c>
      <c r="B333" s="9" t="s">
        <v>346</v>
      </c>
      <c r="C333" s="10">
        <v>2174</v>
      </c>
      <c r="D333" s="10">
        <v>1024.8889172971249</v>
      </c>
      <c r="E333" s="11">
        <v>3550</v>
      </c>
      <c r="F333" s="12">
        <f t="shared" si="6"/>
        <v>0.61239436619718313</v>
      </c>
      <c r="G333" s="12">
        <f t="shared" si="7"/>
        <v>0.47143004475488726</v>
      </c>
      <c r="H333" s="12">
        <f t="shared" si="8"/>
        <v>0.28870110346397887</v>
      </c>
      <c r="I333" s="13"/>
      <c r="J333" s="17"/>
      <c r="K333" s="17"/>
      <c r="L333" s="17"/>
      <c r="M333" s="17"/>
      <c r="N333" s="17"/>
      <c r="O333" s="19"/>
      <c r="P333" s="20"/>
      <c r="Q333" s="20"/>
      <c r="S333" s="15"/>
    </row>
    <row r="334" spans="1:19" ht="14.25" customHeight="1">
      <c r="A334" s="9">
        <v>90201</v>
      </c>
      <c r="B334" s="9" t="s">
        <v>347</v>
      </c>
      <c r="C334" s="10">
        <v>2816</v>
      </c>
      <c r="D334" s="10">
        <v>1236.0000307559967</v>
      </c>
      <c r="E334" s="11">
        <v>5639</v>
      </c>
      <c r="F334" s="12">
        <f t="shared" si="6"/>
        <v>0.49937932257492462</v>
      </c>
      <c r="G334" s="12">
        <f t="shared" si="7"/>
        <v>0.43892046546732838</v>
      </c>
      <c r="H334" s="12">
        <f t="shared" si="8"/>
        <v>0.21918780470934504</v>
      </c>
      <c r="I334" s="13"/>
      <c r="J334" s="17"/>
      <c r="K334" s="17"/>
      <c r="L334" s="17"/>
      <c r="M334" s="17"/>
      <c r="N334" s="17"/>
      <c r="O334" s="19"/>
      <c r="P334" s="20"/>
      <c r="Q334" s="20"/>
      <c r="S334" s="15"/>
    </row>
    <row r="335" spans="1:19" ht="14.25" customHeight="1">
      <c r="A335" s="9">
        <v>90202</v>
      </c>
      <c r="B335" s="9" t="s">
        <v>238</v>
      </c>
      <c r="C335" s="10">
        <v>2759</v>
      </c>
      <c r="D335" s="10">
        <v>1410.7778178155422</v>
      </c>
      <c r="E335" s="11">
        <v>2987</v>
      </c>
      <c r="F335" s="12">
        <f t="shared" si="6"/>
        <v>0.9236692333444928</v>
      </c>
      <c r="G335" s="12">
        <f t="shared" si="7"/>
        <v>0.51133665016873586</v>
      </c>
      <c r="H335" s="12">
        <f t="shared" si="8"/>
        <v>0.47230593164229739</v>
      </c>
      <c r="I335" s="13"/>
      <c r="J335" s="17"/>
      <c r="K335" s="17"/>
      <c r="L335" s="17"/>
      <c r="M335" s="17"/>
      <c r="N335" s="17"/>
      <c r="O335" s="19"/>
      <c r="P335" s="20"/>
      <c r="Q335" s="20"/>
      <c r="S335" s="15"/>
    </row>
    <row r="336" spans="1:19" ht="14.25" customHeight="1">
      <c r="A336" s="9">
        <v>90203</v>
      </c>
      <c r="B336" s="9" t="s">
        <v>348</v>
      </c>
      <c r="C336" s="10">
        <v>3667</v>
      </c>
      <c r="D336" s="10">
        <v>1641.5555973351002</v>
      </c>
      <c r="E336" s="11">
        <v>5534</v>
      </c>
      <c r="F336" s="12">
        <f t="shared" si="6"/>
        <v>0.66263100831225152</v>
      </c>
      <c r="G336" s="12">
        <f t="shared" si="7"/>
        <v>0.44765628506547589</v>
      </c>
      <c r="H336" s="12">
        <f t="shared" si="8"/>
        <v>0.29663093555025299</v>
      </c>
      <c r="I336" s="13"/>
      <c r="J336" s="17"/>
      <c r="K336" s="17"/>
      <c r="L336" s="17"/>
      <c r="M336" s="17"/>
      <c r="N336" s="17"/>
      <c r="O336" s="19"/>
      <c r="P336" s="20"/>
      <c r="Q336" s="20"/>
      <c r="S336" s="15"/>
    </row>
    <row r="337" spans="1:19" ht="14.25" customHeight="1">
      <c r="A337" s="9">
        <v>90301</v>
      </c>
      <c r="B337" s="9" t="s">
        <v>349</v>
      </c>
      <c r="C337" s="10">
        <v>5195</v>
      </c>
      <c r="D337" s="10">
        <v>2536.1111775934696</v>
      </c>
      <c r="E337" s="11">
        <v>7544</v>
      </c>
      <c r="F337" s="12">
        <f t="shared" si="6"/>
        <v>0.68862672322375396</v>
      </c>
      <c r="G337" s="12">
        <f t="shared" si="7"/>
        <v>0.48818309482068711</v>
      </c>
      <c r="H337" s="12">
        <f t="shared" si="8"/>
        <v>0.33617592491960097</v>
      </c>
      <c r="I337" s="13"/>
      <c r="J337" s="17"/>
      <c r="K337" s="17"/>
      <c r="L337" s="17"/>
      <c r="M337" s="17"/>
      <c r="N337" s="17"/>
      <c r="O337" s="19"/>
      <c r="P337" s="20"/>
      <c r="Q337" s="20"/>
      <c r="S337" s="15"/>
    </row>
    <row r="338" spans="1:19" ht="14.25" customHeight="1">
      <c r="A338" s="9">
        <v>90302</v>
      </c>
      <c r="B338" s="9" t="s">
        <v>271</v>
      </c>
      <c r="C338" s="10">
        <v>5182</v>
      </c>
      <c r="D338" s="10">
        <v>2430.33339625597</v>
      </c>
      <c r="E338" s="11">
        <v>7058</v>
      </c>
      <c r="F338" s="12">
        <f t="shared" si="6"/>
        <v>0.7342023236044205</v>
      </c>
      <c r="G338" s="12">
        <f t="shared" si="7"/>
        <v>0.46899525207564069</v>
      </c>
      <c r="H338" s="12">
        <f t="shared" si="8"/>
        <v>0.3443374038333763</v>
      </c>
      <c r="I338" s="13"/>
      <c r="J338" s="17"/>
      <c r="K338" s="17"/>
      <c r="L338" s="17"/>
      <c r="M338" s="17"/>
      <c r="N338" s="17"/>
      <c r="O338" s="19"/>
      <c r="P338" s="20"/>
      <c r="Q338" s="20"/>
      <c r="S338" s="15"/>
    </row>
    <row r="339" spans="1:19" ht="14.25" customHeight="1">
      <c r="A339" s="9">
        <v>90303</v>
      </c>
      <c r="B339" s="9" t="s">
        <v>350</v>
      </c>
      <c r="C339" s="10">
        <v>7754</v>
      </c>
      <c r="D339" s="10">
        <v>4134.2223359048367</v>
      </c>
      <c r="E339" s="11">
        <v>8161</v>
      </c>
      <c r="F339" s="12">
        <f t="shared" si="6"/>
        <v>0.95012866070334523</v>
      </c>
      <c r="G339" s="12">
        <f t="shared" si="7"/>
        <v>0.53317285735166842</v>
      </c>
      <c r="H339" s="12">
        <f t="shared" si="8"/>
        <v>0.50658281287891649</v>
      </c>
      <c r="I339" s="13"/>
      <c r="J339" s="17"/>
      <c r="K339" s="17"/>
      <c r="L339" s="17"/>
      <c r="M339" s="17"/>
      <c r="N339" s="17"/>
      <c r="O339" s="19"/>
      <c r="P339" s="20"/>
      <c r="Q339" s="20"/>
      <c r="S339" s="15"/>
    </row>
    <row r="340" spans="1:19" ht="14.25" customHeight="1">
      <c r="A340" s="9">
        <v>90401</v>
      </c>
      <c r="B340" s="9" t="s">
        <v>291</v>
      </c>
      <c r="C340" s="10">
        <v>1125</v>
      </c>
      <c r="D340" s="10">
        <v>485.88890141248703</v>
      </c>
      <c r="E340" s="11">
        <v>2183</v>
      </c>
      <c r="F340" s="12">
        <f t="shared" si="6"/>
        <v>0.51534585432890523</v>
      </c>
      <c r="G340" s="12">
        <f t="shared" si="7"/>
        <v>0.43190124569998845</v>
      </c>
      <c r="H340" s="12">
        <f t="shared" si="8"/>
        <v>0.22257851645097895</v>
      </c>
      <c r="I340" s="13"/>
      <c r="J340" s="17"/>
      <c r="K340" s="17"/>
      <c r="L340" s="17"/>
      <c r="M340" s="17"/>
      <c r="N340" s="17"/>
      <c r="O340" s="19"/>
      <c r="P340" s="20"/>
      <c r="Q340" s="20"/>
      <c r="S340" s="15"/>
    </row>
    <row r="341" spans="1:19" ht="14.25" customHeight="1">
      <c r="A341" s="9">
        <v>90402</v>
      </c>
      <c r="B341" s="9" t="s">
        <v>351</v>
      </c>
      <c r="C341" s="10">
        <v>1107</v>
      </c>
      <c r="D341" s="10">
        <v>503.6666806936264</v>
      </c>
      <c r="E341" s="11">
        <v>1618</v>
      </c>
      <c r="F341" s="12">
        <f t="shared" si="6"/>
        <v>0.68417799752781217</v>
      </c>
      <c r="G341" s="12">
        <f t="shared" si="7"/>
        <v>0.45498345139442314</v>
      </c>
      <c r="H341" s="12">
        <f t="shared" si="8"/>
        <v>0.31128966668332908</v>
      </c>
      <c r="I341" s="13"/>
      <c r="J341" s="17"/>
      <c r="K341" s="17"/>
      <c r="L341" s="17"/>
      <c r="M341" s="17"/>
      <c r="N341" s="17"/>
      <c r="O341" s="19"/>
      <c r="P341" s="20"/>
      <c r="Q341" s="20"/>
      <c r="S341" s="15"/>
    </row>
    <row r="342" spans="1:19" ht="14.25" customHeight="1">
      <c r="A342" s="9">
        <v>90501</v>
      </c>
      <c r="B342" s="9" t="s">
        <v>352</v>
      </c>
      <c r="C342" s="10">
        <v>1371</v>
      </c>
      <c r="D342" s="10">
        <v>609.8889054954052</v>
      </c>
      <c r="E342" s="11">
        <v>1777</v>
      </c>
      <c r="F342" s="12">
        <f t="shared" si="6"/>
        <v>0.77152504220596507</v>
      </c>
      <c r="G342" s="12">
        <f t="shared" si="7"/>
        <v>0.4448496757807478</v>
      </c>
      <c r="H342" s="12">
        <f t="shared" si="8"/>
        <v>0.34321266488205132</v>
      </c>
      <c r="I342" s="13"/>
      <c r="J342" s="17"/>
      <c r="K342" s="17"/>
      <c r="L342" s="17"/>
      <c r="M342" s="17"/>
      <c r="N342" s="17"/>
      <c r="O342" s="19"/>
      <c r="P342" s="20"/>
      <c r="Q342" s="20"/>
      <c r="S342" s="15"/>
    </row>
    <row r="343" spans="1:19" ht="14.25" customHeight="1">
      <c r="A343" s="9">
        <v>90502</v>
      </c>
      <c r="B343" s="9" t="s">
        <v>353</v>
      </c>
      <c r="C343" s="10">
        <v>2195</v>
      </c>
      <c r="D343" s="10">
        <v>1031.5555827021599</v>
      </c>
      <c r="E343" s="11">
        <v>2787</v>
      </c>
      <c r="F343" s="12">
        <f t="shared" si="6"/>
        <v>0.78758521707929674</v>
      </c>
      <c r="G343" s="12">
        <f t="shared" si="7"/>
        <v>0.46995698528572205</v>
      </c>
      <c r="H343" s="12">
        <f t="shared" si="8"/>
        <v>0.37013117427418729</v>
      </c>
      <c r="I343" s="13"/>
      <c r="J343" s="17"/>
      <c r="K343" s="17"/>
      <c r="L343" s="17"/>
      <c r="M343" s="17"/>
      <c r="N343" s="17"/>
      <c r="O343" s="19"/>
      <c r="P343" s="20"/>
      <c r="Q343" s="20"/>
      <c r="S343" s="15"/>
    </row>
    <row r="344" spans="1:19" ht="14.25" customHeight="1">
      <c r="A344" s="9">
        <v>90503</v>
      </c>
      <c r="B344" s="9" t="s">
        <v>354</v>
      </c>
      <c r="C344" s="10">
        <v>1567</v>
      </c>
      <c r="D344" s="10">
        <v>734.77779704332352</v>
      </c>
      <c r="E344" s="11">
        <v>1969</v>
      </c>
      <c r="F344" s="12">
        <f t="shared" si="6"/>
        <v>0.79583544946673435</v>
      </c>
      <c r="G344" s="12">
        <f t="shared" si="7"/>
        <v>0.46890733697723264</v>
      </c>
      <c r="H344" s="12">
        <f t="shared" si="8"/>
        <v>0.37317308128152538</v>
      </c>
      <c r="I344" s="13"/>
      <c r="J344" s="17"/>
      <c r="K344" s="17"/>
      <c r="L344" s="17"/>
      <c r="M344" s="17"/>
      <c r="N344" s="17"/>
      <c r="O344" s="19"/>
      <c r="P344" s="20"/>
      <c r="Q344" s="20"/>
      <c r="S344" s="15"/>
    </row>
    <row r="345" spans="1:19" ht="14.25" customHeight="1">
      <c r="A345" s="9">
        <v>10</v>
      </c>
      <c r="B345" s="9" t="s">
        <v>30</v>
      </c>
      <c r="C345" s="16">
        <v>26787</v>
      </c>
      <c r="D345" s="16">
        <v>11187.778066724539</v>
      </c>
      <c r="E345" s="16">
        <v>138970</v>
      </c>
      <c r="F345" s="12">
        <f t="shared" si="6"/>
        <v>0.19275383176225083</v>
      </c>
      <c r="G345" s="12">
        <f t="shared" si="7"/>
        <v>0.41765700028836894</v>
      </c>
      <c r="H345" s="12">
        <f t="shared" si="8"/>
        <v>8.0504987167910616E-2</v>
      </c>
      <c r="I345" s="13"/>
      <c r="J345" s="17"/>
      <c r="K345" s="17"/>
      <c r="L345" s="17"/>
      <c r="M345" s="17"/>
      <c r="N345" s="17"/>
      <c r="O345" s="19"/>
      <c r="P345" s="20"/>
      <c r="Q345" s="20"/>
      <c r="S345" s="15"/>
    </row>
    <row r="346" spans="1:19" ht="14.25" customHeight="1">
      <c r="A346" s="9">
        <v>11</v>
      </c>
      <c r="B346" s="9" t="s">
        <v>32</v>
      </c>
      <c r="C346" s="16">
        <v>2961373</v>
      </c>
      <c r="D346" s="16">
        <v>1310112.1447733343</v>
      </c>
      <c r="E346" s="16">
        <v>9827089</v>
      </c>
      <c r="F346" s="12">
        <f t="shared" si="6"/>
        <v>0.30134793731897613</v>
      </c>
      <c r="G346" s="12">
        <f t="shared" si="7"/>
        <v>0.44240024636320191</v>
      </c>
      <c r="H346" s="12">
        <f t="shared" si="8"/>
        <v>0.13331640171095777</v>
      </c>
      <c r="I346" s="13"/>
      <c r="J346" s="17"/>
      <c r="K346" s="17"/>
      <c r="L346" s="17"/>
      <c r="M346" s="17"/>
      <c r="N346" s="17"/>
      <c r="O346" s="19"/>
      <c r="P346" s="20"/>
      <c r="Q346" s="20"/>
      <c r="S346" s="15"/>
    </row>
    <row r="347" spans="1:19" ht="14.25" customHeight="1">
      <c r="C347" s="17"/>
      <c r="D347" s="17"/>
      <c r="E347" s="23"/>
      <c r="F347" s="15"/>
      <c r="G347" s="15"/>
      <c r="H347" s="15"/>
      <c r="I347" s="3"/>
      <c r="J347" s="17"/>
      <c r="K347" s="17"/>
      <c r="L347" s="17"/>
      <c r="M347" s="17"/>
      <c r="N347" s="17"/>
      <c r="O347" s="19"/>
      <c r="P347" s="20"/>
      <c r="Q347" s="20"/>
      <c r="S347" s="15"/>
    </row>
    <row r="348" spans="1:19" ht="14.25" customHeight="1">
      <c r="C348" s="17"/>
      <c r="D348" s="17"/>
      <c r="E348" s="23"/>
      <c r="F348" s="15"/>
      <c r="G348" s="15"/>
      <c r="H348" s="15"/>
      <c r="I348" s="3"/>
      <c r="J348" s="17"/>
      <c r="K348" s="17"/>
      <c r="L348" s="17"/>
      <c r="M348" s="17"/>
      <c r="N348" s="17"/>
      <c r="O348" s="19"/>
      <c r="P348" s="20"/>
      <c r="Q348" s="20"/>
      <c r="S348" s="15"/>
    </row>
    <row r="349" spans="1:19" ht="14.25" customHeight="1">
      <c r="C349" s="17"/>
      <c r="D349" s="17"/>
      <c r="E349" s="23"/>
      <c r="F349" s="15"/>
      <c r="G349" s="15"/>
      <c r="H349" s="15"/>
      <c r="I349" s="3"/>
      <c r="J349" s="17"/>
      <c r="K349" s="17"/>
      <c r="L349" s="17"/>
      <c r="M349" s="17"/>
      <c r="N349" s="17"/>
      <c r="O349" s="19"/>
      <c r="P349" s="20"/>
      <c r="Q349" s="20"/>
      <c r="S349" s="15"/>
    </row>
    <row r="350" spans="1:19" ht="14.25" customHeight="1">
      <c r="C350" s="17"/>
      <c r="D350" s="17"/>
      <c r="E350" s="23"/>
      <c r="F350" s="15"/>
      <c r="G350" s="15"/>
      <c r="H350" s="15"/>
      <c r="I350" s="3"/>
      <c r="J350" s="17"/>
      <c r="K350" s="17"/>
      <c r="L350" s="17"/>
      <c r="M350" s="17"/>
      <c r="N350" s="17"/>
      <c r="O350" s="19"/>
      <c r="P350" s="20"/>
      <c r="Q350" s="20"/>
      <c r="S350" s="15"/>
    </row>
    <row r="351" spans="1:19" ht="14.25" customHeight="1">
      <c r="C351" s="17"/>
      <c r="D351" s="17"/>
      <c r="E351" s="23"/>
      <c r="F351" s="15"/>
      <c r="G351" s="15"/>
      <c r="H351" s="15"/>
      <c r="I351" s="3"/>
      <c r="J351" s="17"/>
      <c r="K351" s="17"/>
      <c r="L351" s="17"/>
      <c r="M351" s="17"/>
      <c r="N351" s="17"/>
      <c r="O351" s="19"/>
      <c r="P351" s="20"/>
      <c r="Q351" s="20"/>
      <c r="S351" s="15"/>
    </row>
    <row r="352" spans="1:19" ht="14.25" customHeight="1">
      <c r="C352" s="17"/>
      <c r="D352" s="17"/>
      <c r="E352" s="23"/>
      <c r="F352" s="15"/>
      <c r="G352" s="15"/>
      <c r="H352" s="15"/>
      <c r="I352" s="3"/>
      <c r="J352" s="17"/>
      <c r="K352" s="17"/>
      <c r="L352" s="17"/>
      <c r="M352" s="17"/>
      <c r="N352" s="17"/>
      <c r="O352" s="19"/>
      <c r="P352" s="20"/>
      <c r="Q352" s="20"/>
      <c r="S352" s="15"/>
    </row>
    <row r="353" spans="3:19" ht="14.25" customHeight="1">
      <c r="C353" s="17"/>
      <c r="D353" s="17"/>
      <c r="E353" s="23"/>
      <c r="F353" s="15"/>
      <c r="G353" s="15"/>
      <c r="H353" s="15"/>
      <c r="I353" s="3"/>
      <c r="J353" s="17"/>
      <c r="K353" s="17"/>
      <c r="L353" s="17"/>
      <c r="M353" s="17"/>
      <c r="N353" s="17"/>
      <c r="O353" s="19"/>
      <c r="P353" s="20"/>
      <c r="Q353" s="20"/>
      <c r="S353" s="15"/>
    </row>
    <row r="354" spans="3:19" ht="14.25" customHeight="1">
      <c r="C354" s="17"/>
      <c r="D354" s="17"/>
      <c r="E354" s="23"/>
      <c r="F354" s="15"/>
      <c r="G354" s="15"/>
      <c r="H354" s="15"/>
      <c r="I354" s="3"/>
      <c r="J354" s="17"/>
      <c r="K354" s="17"/>
      <c r="L354" s="17"/>
      <c r="M354" s="17"/>
      <c r="N354" s="17"/>
      <c r="O354" s="19"/>
      <c r="P354" s="20"/>
      <c r="Q354" s="20"/>
      <c r="S354" s="15"/>
    </row>
    <row r="355" spans="3:19" ht="14.25" customHeight="1">
      <c r="C355" s="17"/>
      <c r="D355" s="17"/>
      <c r="E355" s="23"/>
      <c r="F355" s="15"/>
      <c r="G355" s="15"/>
      <c r="H355" s="15"/>
      <c r="I355" s="3"/>
      <c r="J355" s="17"/>
      <c r="K355" s="17"/>
      <c r="L355" s="17"/>
      <c r="M355" s="17"/>
      <c r="N355" s="17"/>
      <c r="O355" s="19"/>
      <c r="P355" s="20"/>
      <c r="Q355" s="20"/>
      <c r="S355" s="15"/>
    </row>
    <row r="356" spans="3:19" ht="14.25" customHeight="1">
      <c r="C356" s="17"/>
      <c r="D356" s="17"/>
      <c r="E356" s="23"/>
      <c r="F356" s="15"/>
      <c r="G356" s="15"/>
      <c r="H356" s="15"/>
      <c r="I356" s="3"/>
      <c r="J356" s="17"/>
      <c r="K356" s="17"/>
      <c r="L356" s="17"/>
      <c r="M356" s="17"/>
      <c r="N356" s="17"/>
      <c r="O356" s="19"/>
      <c r="P356" s="20"/>
      <c r="Q356" s="20"/>
      <c r="S356" s="15"/>
    </row>
    <row r="357" spans="3:19" ht="14.25" customHeight="1">
      <c r="C357" s="17"/>
      <c r="D357" s="17"/>
      <c r="E357" s="23"/>
      <c r="F357" s="15"/>
      <c r="G357" s="15"/>
      <c r="H357" s="15"/>
      <c r="I357" s="3"/>
      <c r="J357" s="17"/>
      <c r="K357" s="17"/>
      <c r="L357" s="17"/>
      <c r="M357" s="17"/>
      <c r="N357" s="17"/>
      <c r="O357" s="19"/>
      <c r="P357" s="20"/>
      <c r="Q357" s="20"/>
      <c r="S357" s="15"/>
    </row>
    <row r="358" spans="3:19" ht="14.25" customHeight="1">
      <c r="C358" s="17"/>
      <c r="D358" s="17"/>
      <c r="E358" s="23"/>
      <c r="F358" s="15"/>
      <c r="G358" s="15"/>
      <c r="H358" s="15"/>
      <c r="I358" s="3"/>
      <c r="J358" s="17"/>
      <c r="K358" s="17"/>
      <c r="L358" s="17"/>
      <c r="M358" s="17"/>
      <c r="N358" s="17"/>
      <c r="O358" s="19"/>
      <c r="P358" s="20"/>
      <c r="Q358" s="20"/>
      <c r="S358" s="15"/>
    </row>
    <row r="359" spans="3:19" ht="14.25" customHeight="1">
      <c r="C359" s="17"/>
      <c r="D359" s="17"/>
      <c r="E359" s="23"/>
      <c r="F359" s="15"/>
      <c r="G359" s="15"/>
      <c r="H359" s="15"/>
      <c r="I359" s="3"/>
      <c r="J359" s="17"/>
      <c r="K359" s="17"/>
      <c r="L359" s="17"/>
      <c r="M359" s="17"/>
      <c r="N359" s="17"/>
      <c r="O359" s="19"/>
      <c r="P359" s="20"/>
      <c r="Q359" s="20"/>
      <c r="S359" s="15"/>
    </row>
    <row r="360" spans="3:19" ht="14.25" customHeight="1">
      <c r="C360" s="17"/>
      <c r="D360" s="17"/>
      <c r="E360" s="23"/>
      <c r="F360" s="15"/>
      <c r="G360" s="15"/>
      <c r="H360" s="15"/>
      <c r="I360" s="3"/>
      <c r="J360" s="17"/>
      <c r="K360" s="17"/>
      <c r="L360" s="17"/>
      <c r="M360" s="17"/>
      <c r="N360" s="17"/>
      <c r="O360" s="19"/>
      <c r="P360" s="20"/>
      <c r="Q360" s="20"/>
      <c r="S360" s="15"/>
    </row>
    <row r="361" spans="3:19" ht="14.25" customHeight="1">
      <c r="C361" s="17"/>
      <c r="D361" s="17"/>
      <c r="E361" s="23"/>
      <c r="F361" s="15"/>
      <c r="G361" s="15"/>
      <c r="H361" s="15"/>
      <c r="I361" s="3"/>
      <c r="J361" s="17"/>
      <c r="K361" s="17"/>
      <c r="L361" s="17"/>
      <c r="M361" s="17"/>
      <c r="N361" s="17"/>
      <c r="O361" s="19"/>
      <c r="P361" s="20"/>
      <c r="Q361" s="20"/>
      <c r="S361" s="15"/>
    </row>
    <row r="362" spans="3:19" ht="14.25" customHeight="1">
      <c r="C362" s="17"/>
      <c r="D362" s="17"/>
      <c r="E362" s="23"/>
      <c r="F362" s="15"/>
      <c r="G362" s="15"/>
      <c r="H362" s="15"/>
      <c r="I362" s="3"/>
      <c r="J362" s="17"/>
      <c r="K362" s="17"/>
      <c r="L362" s="17"/>
      <c r="M362" s="17"/>
      <c r="N362" s="17"/>
      <c r="O362" s="19"/>
      <c r="P362" s="20"/>
      <c r="Q362" s="20"/>
      <c r="S362" s="15"/>
    </row>
    <row r="363" spans="3:19" ht="14.25" customHeight="1">
      <c r="C363" s="17"/>
      <c r="D363" s="17"/>
      <c r="E363" s="23"/>
      <c r="F363" s="15"/>
      <c r="G363" s="15"/>
      <c r="H363" s="15"/>
      <c r="I363" s="3"/>
      <c r="J363" s="17"/>
      <c r="K363" s="17"/>
      <c r="L363" s="17"/>
      <c r="M363" s="17"/>
      <c r="N363" s="17"/>
      <c r="O363" s="19"/>
      <c r="P363" s="20"/>
      <c r="Q363" s="20"/>
      <c r="S363" s="15"/>
    </row>
    <row r="364" spans="3:19" ht="14.25" customHeight="1">
      <c r="C364" s="17"/>
      <c r="D364" s="17"/>
      <c r="E364" s="23"/>
      <c r="F364" s="15"/>
      <c r="G364" s="15"/>
      <c r="H364" s="15"/>
      <c r="I364" s="3"/>
      <c r="J364" s="17"/>
      <c r="K364" s="17"/>
      <c r="L364" s="17"/>
      <c r="M364" s="17"/>
      <c r="N364" s="17"/>
      <c r="O364" s="19"/>
      <c r="P364" s="20"/>
      <c r="Q364" s="20"/>
      <c r="S364" s="15"/>
    </row>
    <row r="365" spans="3:19" ht="14.25" customHeight="1">
      <c r="C365" s="17"/>
      <c r="D365" s="17"/>
      <c r="E365" s="23"/>
      <c r="F365" s="15"/>
      <c r="G365" s="15"/>
      <c r="H365" s="15"/>
      <c r="I365" s="3"/>
      <c r="J365" s="17"/>
      <c r="K365" s="17"/>
      <c r="L365" s="17"/>
      <c r="M365" s="17"/>
      <c r="N365" s="17"/>
      <c r="O365" s="19"/>
      <c r="P365" s="20"/>
      <c r="Q365" s="20"/>
      <c r="S365" s="15"/>
    </row>
    <row r="366" spans="3:19" ht="14.25" customHeight="1">
      <c r="C366" s="17"/>
      <c r="D366" s="17"/>
      <c r="E366" s="23"/>
      <c r="F366" s="15"/>
      <c r="G366" s="15"/>
      <c r="H366" s="15"/>
      <c r="I366" s="3"/>
      <c r="J366" s="17"/>
      <c r="K366" s="17"/>
      <c r="L366" s="17"/>
      <c r="M366" s="17"/>
      <c r="N366" s="17"/>
      <c r="O366" s="19"/>
      <c r="P366" s="20"/>
      <c r="Q366" s="20"/>
      <c r="S366" s="15"/>
    </row>
    <row r="367" spans="3:19" ht="14.25" customHeight="1">
      <c r="C367" s="17"/>
      <c r="D367" s="17"/>
      <c r="E367" s="23"/>
      <c r="F367" s="15"/>
      <c r="G367" s="15"/>
      <c r="H367" s="15"/>
      <c r="I367" s="3"/>
      <c r="J367" s="17"/>
      <c r="K367" s="17"/>
      <c r="L367" s="17"/>
      <c r="M367" s="17"/>
      <c r="N367" s="17"/>
      <c r="O367" s="19"/>
      <c r="P367" s="20"/>
      <c r="Q367" s="20"/>
      <c r="S367" s="15"/>
    </row>
    <row r="368" spans="3:19" ht="14.25" customHeight="1">
      <c r="C368" s="17"/>
      <c r="D368" s="17"/>
      <c r="E368" s="23"/>
      <c r="F368" s="15"/>
      <c r="G368" s="15"/>
      <c r="H368" s="15"/>
      <c r="I368" s="3"/>
      <c r="J368" s="17"/>
      <c r="K368" s="17"/>
      <c r="L368" s="17"/>
      <c r="M368" s="17"/>
      <c r="N368" s="17"/>
      <c r="O368" s="19"/>
      <c r="P368" s="20"/>
      <c r="Q368" s="20"/>
      <c r="S368" s="15"/>
    </row>
    <row r="369" spans="3:19" ht="14.25" customHeight="1">
      <c r="C369" s="17"/>
      <c r="D369" s="17"/>
      <c r="E369" s="23"/>
      <c r="F369" s="15"/>
      <c r="G369" s="15"/>
      <c r="H369" s="15"/>
      <c r="I369" s="3"/>
      <c r="J369" s="17"/>
      <c r="K369" s="17"/>
      <c r="L369" s="17"/>
      <c r="M369" s="17"/>
      <c r="N369" s="17"/>
      <c r="O369" s="19"/>
      <c r="P369" s="20"/>
      <c r="Q369" s="20"/>
      <c r="S369" s="15"/>
    </row>
    <row r="370" spans="3:19" ht="14.25" customHeight="1">
      <c r="C370" s="17"/>
      <c r="D370" s="17"/>
      <c r="E370" s="23"/>
      <c r="F370" s="15"/>
      <c r="G370" s="15"/>
      <c r="H370" s="15"/>
      <c r="I370" s="3"/>
      <c r="J370" s="17"/>
      <c r="K370" s="17"/>
      <c r="L370" s="17"/>
      <c r="M370" s="17"/>
      <c r="N370" s="17"/>
      <c r="O370" s="19"/>
      <c r="P370" s="20"/>
      <c r="Q370" s="20"/>
      <c r="S370" s="15"/>
    </row>
    <row r="371" spans="3:19" ht="14.25" customHeight="1">
      <c r="C371" s="17"/>
      <c r="D371" s="17"/>
      <c r="E371" s="23"/>
      <c r="F371" s="15"/>
      <c r="G371" s="15"/>
      <c r="H371" s="15"/>
      <c r="I371" s="3"/>
      <c r="J371" s="17"/>
      <c r="K371" s="17"/>
      <c r="L371" s="17"/>
      <c r="M371" s="17"/>
      <c r="N371" s="17"/>
      <c r="O371" s="19"/>
      <c r="P371" s="20"/>
      <c r="Q371" s="20"/>
      <c r="S371" s="15"/>
    </row>
    <row r="372" spans="3:19" ht="14.25" customHeight="1">
      <c r="C372" s="17"/>
      <c r="D372" s="17"/>
      <c r="E372" s="23"/>
      <c r="F372" s="15"/>
      <c r="G372" s="15"/>
      <c r="H372" s="15"/>
      <c r="I372" s="3"/>
      <c r="J372" s="17"/>
      <c r="K372" s="17"/>
      <c r="L372" s="17"/>
      <c r="M372" s="17"/>
      <c r="N372" s="17"/>
      <c r="O372" s="19"/>
      <c r="P372" s="20"/>
      <c r="Q372" s="20"/>
      <c r="S372" s="15"/>
    </row>
    <row r="373" spans="3:19" ht="14.25" customHeight="1">
      <c r="C373" s="17"/>
      <c r="D373" s="17"/>
      <c r="E373" s="23"/>
      <c r="F373" s="15"/>
      <c r="G373" s="15"/>
      <c r="H373" s="15"/>
      <c r="I373" s="3"/>
      <c r="J373" s="17"/>
      <c r="K373" s="17"/>
      <c r="L373" s="17"/>
      <c r="M373" s="17"/>
      <c r="N373" s="17"/>
      <c r="O373" s="19"/>
      <c r="P373" s="20"/>
      <c r="Q373" s="20"/>
      <c r="S373" s="15"/>
    </row>
    <row r="374" spans="3:19" ht="14.25" customHeight="1">
      <c r="C374" s="17"/>
      <c r="D374" s="17"/>
      <c r="E374" s="23"/>
      <c r="F374" s="15"/>
      <c r="G374" s="15"/>
      <c r="H374" s="15"/>
      <c r="I374" s="3"/>
      <c r="J374" s="17"/>
      <c r="K374" s="17"/>
      <c r="L374" s="17"/>
      <c r="M374" s="17"/>
      <c r="N374" s="17"/>
      <c r="O374" s="19"/>
      <c r="P374" s="20"/>
      <c r="Q374" s="20"/>
      <c r="S374" s="15"/>
    </row>
    <row r="375" spans="3:19" ht="14.25" customHeight="1">
      <c r="C375" s="17"/>
      <c r="D375" s="17"/>
      <c r="E375" s="23"/>
      <c r="F375" s="15"/>
      <c r="G375" s="15"/>
      <c r="H375" s="15"/>
      <c r="I375" s="3"/>
      <c r="J375" s="17"/>
      <c r="K375" s="17"/>
      <c r="L375" s="17"/>
      <c r="M375" s="17"/>
      <c r="N375" s="17"/>
      <c r="O375" s="19"/>
      <c r="P375" s="20"/>
      <c r="Q375" s="20"/>
      <c r="S375" s="15"/>
    </row>
    <row r="376" spans="3:19" ht="14.25" customHeight="1">
      <c r="C376" s="17"/>
      <c r="D376" s="17"/>
      <c r="E376" s="23"/>
      <c r="F376" s="15"/>
      <c r="G376" s="15"/>
      <c r="H376" s="15"/>
      <c r="I376" s="3"/>
      <c r="J376" s="17"/>
      <c r="K376" s="17"/>
      <c r="L376" s="17"/>
      <c r="M376" s="17"/>
      <c r="N376" s="17"/>
      <c r="O376" s="19"/>
      <c r="P376" s="20"/>
      <c r="Q376" s="20"/>
      <c r="S376" s="15"/>
    </row>
    <row r="377" spans="3:19" ht="14.25" customHeight="1">
      <c r="C377" s="17"/>
      <c r="D377" s="17"/>
      <c r="E377" s="23"/>
      <c r="F377" s="15"/>
      <c r="G377" s="15"/>
      <c r="H377" s="15"/>
      <c r="I377" s="3"/>
      <c r="J377" s="17"/>
      <c r="K377" s="17"/>
      <c r="L377" s="17"/>
      <c r="M377" s="17"/>
      <c r="N377" s="17"/>
      <c r="O377" s="19"/>
      <c r="P377" s="20"/>
      <c r="Q377" s="20"/>
      <c r="S377" s="15"/>
    </row>
    <row r="378" spans="3:19" ht="14.25" customHeight="1">
      <c r="C378" s="17"/>
      <c r="D378" s="17"/>
      <c r="E378" s="23"/>
      <c r="F378" s="15"/>
      <c r="G378" s="15"/>
      <c r="H378" s="15"/>
      <c r="I378" s="3"/>
      <c r="J378" s="17"/>
      <c r="K378" s="17"/>
      <c r="L378" s="17"/>
      <c r="M378" s="17"/>
      <c r="N378" s="17"/>
      <c r="O378" s="19"/>
      <c r="P378" s="20"/>
      <c r="Q378" s="20"/>
      <c r="S378" s="15"/>
    </row>
    <row r="379" spans="3:19" ht="14.25" customHeight="1">
      <c r="C379" s="17"/>
      <c r="D379" s="17"/>
      <c r="E379" s="23"/>
      <c r="F379" s="15"/>
      <c r="G379" s="15"/>
      <c r="H379" s="15"/>
      <c r="I379" s="3"/>
      <c r="J379" s="17"/>
      <c r="K379" s="17"/>
      <c r="L379" s="17"/>
      <c r="M379" s="17"/>
      <c r="N379" s="17"/>
      <c r="O379" s="19"/>
      <c r="P379" s="20"/>
      <c r="Q379" s="20"/>
      <c r="S379" s="15"/>
    </row>
    <row r="380" spans="3:19" ht="14.25" customHeight="1">
      <c r="C380" s="17"/>
      <c r="D380" s="17"/>
      <c r="E380" s="23"/>
      <c r="F380" s="15"/>
      <c r="G380" s="15"/>
      <c r="H380" s="15"/>
      <c r="I380" s="3"/>
      <c r="J380" s="17"/>
      <c r="K380" s="17"/>
      <c r="L380" s="17"/>
      <c r="M380" s="17"/>
      <c r="N380" s="17"/>
      <c r="O380" s="19"/>
      <c r="P380" s="20"/>
      <c r="Q380" s="20"/>
      <c r="S380" s="15"/>
    </row>
    <row r="381" spans="3:19" ht="14.25" customHeight="1">
      <c r="C381" s="17"/>
      <c r="D381" s="17"/>
      <c r="E381" s="23"/>
      <c r="F381" s="15"/>
      <c r="G381" s="15"/>
      <c r="H381" s="15"/>
      <c r="I381" s="3"/>
      <c r="J381" s="17"/>
      <c r="K381" s="17"/>
      <c r="L381" s="17"/>
      <c r="M381" s="17"/>
      <c r="N381" s="17"/>
      <c r="O381" s="19"/>
      <c r="P381" s="20"/>
      <c r="Q381" s="20"/>
      <c r="S381" s="15"/>
    </row>
    <row r="382" spans="3:19" ht="14.25" customHeight="1">
      <c r="C382" s="17"/>
      <c r="D382" s="17"/>
      <c r="E382" s="23"/>
      <c r="F382" s="15"/>
      <c r="G382" s="15"/>
      <c r="H382" s="15"/>
      <c r="I382" s="3"/>
      <c r="J382" s="17"/>
      <c r="K382" s="17"/>
      <c r="L382" s="17"/>
      <c r="M382" s="17"/>
      <c r="N382" s="17"/>
      <c r="O382" s="19"/>
      <c r="P382" s="20"/>
      <c r="Q382" s="20"/>
      <c r="S382" s="15"/>
    </row>
    <row r="383" spans="3:19" ht="14.25" customHeight="1">
      <c r="C383" s="17"/>
      <c r="D383" s="17"/>
      <c r="E383" s="23"/>
      <c r="F383" s="15"/>
      <c r="G383" s="15"/>
      <c r="H383" s="15"/>
      <c r="I383" s="3"/>
      <c r="J383" s="17"/>
      <c r="K383" s="17"/>
      <c r="L383" s="17"/>
      <c r="M383" s="17"/>
      <c r="N383" s="17"/>
      <c r="O383" s="19"/>
      <c r="P383" s="20"/>
      <c r="Q383" s="20"/>
      <c r="S383" s="15"/>
    </row>
    <row r="384" spans="3:19" ht="14.25" customHeight="1">
      <c r="C384" s="17"/>
      <c r="D384" s="17"/>
      <c r="E384" s="23"/>
      <c r="F384" s="15"/>
      <c r="G384" s="15"/>
      <c r="H384" s="15"/>
      <c r="I384" s="3"/>
      <c r="J384" s="17"/>
      <c r="K384" s="17"/>
      <c r="L384" s="17"/>
      <c r="M384" s="17"/>
      <c r="N384" s="17"/>
      <c r="O384" s="19"/>
      <c r="P384" s="20"/>
      <c r="Q384" s="20"/>
      <c r="S384" s="15"/>
    </row>
    <row r="385" spans="3:19" ht="14.25" customHeight="1">
      <c r="C385" s="17"/>
      <c r="D385" s="17"/>
      <c r="E385" s="23"/>
      <c r="F385" s="15"/>
      <c r="G385" s="15"/>
      <c r="H385" s="15"/>
      <c r="I385" s="3"/>
      <c r="J385" s="17"/>
      <c r="K385" s="17"/>
      <c r="L385" s="17"/>
      <c r="M385" s="17"/>
      <c r="N385" s="17"/>
      <c r="O385" s="19"/>
      <c r="P385" s="20"/>
      <c r="Q385" s="20"/>
      <c r="S385" s="15"/>
    </row>
    <row r="386" spans="3:19" ht="14.25" customHeight="1">
      <c r="C386" s="17"/>
      <c r="D386" s="17"/>
      <c r="E386" s="23"/>
      <c r="F386" s="15"/>
      <c r="G386" s="15"/>
      <c r="H386" s="15"/>
      <c r="I386" s="3"/>
      <c r="J386" s="17"/>
      <c r="K386" s="17"/>
      <c r="L386" s="17"/>
      <c r="M386" s="17"/>
      <c r="N386" s="17"/>
      <c r="O386" s="19"/>
      <c r="P386" s="20"/>
      <c r="Q386" s="20"/>
      <c r="S386" s="15"/>
    </row>
    <row r="387" spans="3:19" ht="14.25" customHeight="1">
      <c r="C387" s="17"/>
      <c r="D387" s="17"/>
      <c r="E387" s="23"/>
      <c r="F387" s="15"/>
      <c r="G387" s="15"/>
      <c r="H387" s="15"/>
      <c r="I387" s="3"/>
      <c r="J387" s="17"/>
      <c r="K387" s="17"/>
      <c r="L387" s="17"/>
      <c r="M387" s="17"/>
      <c r="N387" s="17"/>
      <c r="O387" s="19"/>
      <c r="P387" s="20"/>
      <c r="Q387" s="20"/>
      <c r="S387" s="15"/>
    </row>
    <row r="388" spans="3:19" ht="14.25" customHeight="1">
      <c r="C388" s="17"/>
      <c r="D388" s="17"/>
      <c r="E388" s="23"/>
      <c r="F388" s="15"/>
      <c r="G388" s="15"/>
      <c r="H388" s="15"/>
      <c r="I388" s="3"/>
      <c r="J388" s="17"/>
      <c r="K388" s="17"/>
      <c r="L388" s="17"/>
      <c r="M388" s="17"/>
      <c r="N388" s="17"/>
      <c r="O388" s="19"/>
      <c r="P388" s="20"/>
      <c r="Q388" s="20"/>
      <c r="S388" s="15"/>
    </row>
    <row r="389" spans="3:19" ht="14.25" customHeight="1">
      <c r="C389" s="17"/>
      <c r="D389" s="17"/>
      <c r="E389" s="23"/>
      <c r="F389" s="15"/>
      <c r="G389" s="15"/>
      <c r="H389" s="15"/>
      <c r="I389" s="3"/>
      <c r="J389" s="17"/>
      <c r="K389" s="17"/>
      <c r="L389" s="17"/>
      <c r="M389" s="17"/>
      <c r="N389" s="17"/>
      <c r="O389" s="19"/>
      <c r="P389" s="20"/>
      <c r="Q389" s="20"/>
      <c r="S389" s="15"/>
    </row>
    <row r="390" spans="3:19" ht="14.25" customHeight="1">
      <c r="C390" s="17"/>
      <c r="D390" s="17"/>
      <c r="E390" s="23"/>
      <c r="F390" s="15"/>
      <c r="G390" s="15"/>
      <c r="H390" s="15"/>
      <c r="I390" s="3"/>
      <c r="J390" s="17"/>
      <c r="K390" s="17"/>
      <c r="L390" s="17"/>
      <c r="M390" s="17"/>
      <c r="N390" s="17"/>
      <c r="O390" s="19"/>
      <c r="P390" s="20"/>
      <c r="Q390" s="20"/>
      <c r="S390" s="15"/>
    </row>
    <row r="391" spans="3:19" ht="14.25" customHeight="1">
      <c r="C391" s="17"/>
      <c r="D391" s="17"/>
      <c r="E391" s="23"/>
      <c r="F391" s="15"/>
      <c r="G391" s="15"/>
      <c r="H391" s="15"/>
      <c r="I391" s="3"/>
      <c r="J391" s="17"/>
      <c r="K391" s="17"/>
      <c r="L391" s="17"/>
      <c r="M391" s="17"/>
      <c r="N391" s="17"/>
      <c r="O391" s="19"/>
      <c r="P391" s="20"/>
      <c r="Q391" s="20"/>
      <c r="S391" s="15"/>
    </row>
    <row r="392" spans="3:19" ht="14.25" customHeight="1">
      <c r="C392" s="17"/>
      <c r="D392" s="17"/>
      <c r="E392" s="23"/>
      <c r="F392" s="15"/>
      <c r="G392" s="15"/>
      <c r="H392" s="15"/>
      <c r="I392" s="3"/>
      <c r="J392" s="17"/>
      <c r="K392" s="17"/>
      <c r="L392" s="17"/>
      <c r="M392" s="17"/>
      <c r="N392" s="17"/>
      <c r="O392" s="19"/>
      <c r="P392" s="20"/>
      <c r="Q392" s="20"/>
      <c r="S392" s="15"/>
    </row>
    <row r="393" spans="3:19" ht="14.25" customHeight="1">
      <c r="C393" s="17"/>
      <c r="D393" s="17"/>
      <c r="E393" s="23"/>
      <c r="F393" s="15"/>
      <c r="G393" s="15"/>
      <c r="H393" s="15"/>
      <c r="I393" s="3"/>
      <c r="J393" s="17"/>
      <c r="K393" s="17"/>
      <c r="L393" s="17"/>
      <c r="M393" s="17"/>
      <c r="N393" s="17"/>
      <c r="O393" s="19"/>
      <c r="P393" s="20"/>
      <c r="Q393" s="20"/>
      <c r="S393" s="15"/>
    </row>
    <row r="394" spans="3:19" ht="14.25" customHeight="1">
      <c r="C394" s="17"/>
      <c r="D394" s="17"/>
      <c r="E394" s="23"/>
      <c r="F394" s="15"/>
      <c r="G394" s="15"/>
      <c r="H394" s="15"/>
      <c r="I394" s="3"/>
      <c r="J394" s="17"/>
      <c r="K394" s="17"/>
      <c r="L394" s="17"/>
      <c r="M394" s="17"/>
      <c r="N394" s="17"/>
      <c r="O394" s="19"/>
      <c r="P394" s="20"/>
      <c r="Q394" s="20"/>
      <c r="S394" s="15"/>
    </row>
    <row r="395" spans="3:19" ht="14.25" customHeight="1">
      <c r="C395" s="17"/>
      <c r="D395" s="17"/>
      <c r="E395" s="23"/>
      <c r="F395" s="15"/>
      <c r="G395" s="15"/>
      <c r="H395" s="15"/>
      <c r="I395" s="3"/>
      <c r="J395" s="17"/>
      <c r="K395" s="17"/>
      <c r="L395" s="17"/>
      <c r="M395" s="17"/>
      <c r="N395" s="17"/>
      <c r="O395" s="19"/>
      <c r="P395" s="20"/>
      <c r="Q395" s="20"/>
      <c r="S395" s="15"/>
    </row>
    <row r="396" spans="3:19" ht="14.25" customHeight="1">
      <c r="C396" s="17"/>
      <c r="D396" s="17"/>
      <c r="E396" s="23"/>
      <c r="F396" s="15"/>
      <c r="G396" s="15"/>
      <c r="H396" s="15"/>
      <c r="I396" s="3"/>
      <c r="J396" s="17"/>
      <c r="K396" s="17"/>
      <c r="L396" s="17"/>
      <c r="M396" s="17"/>
      <c r="N396" s="17"/>
      <c r="O396" s="19"/>
      <c r="P396" s="20"/>
      <c r="Q396" s="20"/>
      <c r="S396" s="15"/>
    </row>
    <row r="397" spans="3:19" ht="14.25" customHeight="1">
      <c r="C397" s="17"/>
      <c r="D397" s="17"/>
      <c r="E397" s="23"/>
      <c r="F397" s="15"/>
      <c r="G397" s="15"/>
      <c r="H397" s="15"/>
      <c r="I397" s="3"/>
      <c r="J397" s="17"/>
      <c r="K397" s="17"/>
      <c r="L397" s="17"/>
      <c r="M397" s="17"/>
      <c r="N397" s="17"/>
      <c r="O397" s="19"/>
      <c r="P397" s="20"/>
      <c r="Q397" s="20"/>
      <c r="S397" s="15"/>
    </row>
    <row r="398" spans="3:19" ht="14.25" customHeight="1">
      <c r="C398" s="17"/>
      <c r="D398" s="17"/>
      <c r="E398" s="23"/>
      <c r="F398" s="15"/>
      <c r="G398" s="15"/>
      <c r="H398" s="15"/>
      <c r="I398" s="3"/>
      <c r="J398" s="17"/>
      <c r="K398" s="17"/>
      <c r="L398" s="17"/>
      <c r="M398" s="17"/>
      <c r="N398" s="17"/>
      <c r="O398" s="19"/>
      <c r="P398" s="20"/>
      <c r="Q398" s="20"/>
      <c r="S398" s="15"/>
    </row>
    <row r="399" spans="3:19" ht="14.25" customHeight="1">
      <c r="C399" s="17"/>
      <c r="D399" s="17"/>
      <c r="E399" s="23"/>
      <c r="F399" s="15"/>
      <c r="G399" s="15"/>
      <c r="H399" s="15"/>
      <c r="I399" s="3"/>
      <c r="J399" s="17"/>
      <c r="K399" s="17"/>
      <c r="L399" s="17"/>
      <c r="M399" s="17"/>
      <c r="N399" s="17"/>
      <c r="O399" s="19"/>
      <c r="P399" s="20"/>
      <c r="Q399" s="20"/>
      <c r="S399" s="15"/>
    </row>
    <row r="400" spans="3:19" ht="14.25" customHeight="1">
      <c r="C400" s="17"/>
      <c r="D400" s="17"/>
      <c r="E400" s="23"/>
      <c r="F400" s="15"/>
      <c r="G400" s="15"/>
      <c r="H400" s="15"/>
      <c r="I400" s="3"/>
      <c r="J400" s="17"/>
      <c r="K400" s="17"/>
      <c r="L400" s="17"/>
      <c r="M400" s="17"/>
      <c r="N400" s="17"/>
      <c r="O400" s="19"/>
      <c r="P400" s="20"/>
      <c r="Q400" s="20"/>
      <c r="S400" s="15"/>
    </row>
    <row r="401" spans="3:19" ht="14.25" customHeight="1">
      <c r="C401" s="17"/>
      <c r="D401" s="17"/>
      <c r="E401" s="23"/>
      <c r="F401" s="15"/>
      <c r="G401" s="15"/>
      <c r="H401" s="15"/>
      <c r="I401" s="3"/>
      <c r="J401" s="17"/>
      <c r="K401" s="17"/>
      <c r="L401" s="17"/>
      <c r="M401" s="17"/>
      <c r="N401" s="17"/>
      <c r="O401" s="19"/>
      <c r="P401" s="20"/>
      <c r="Q401" s="20"/>
      <c r="S401" s="15"/>
    </row>
    <row r="402" spans="3:19" ht="14.25" customHeight="1">
      <c r="C402" s="17"/>
      <c r="D402" s="17"/>
      <c r="E402" s="23"/>
      <c r="F402" s="15"/>
      <c r="G402" s="15"/>
      <c r="H402" s="15"/>
      <c r="I402" s="3"/>
      <c r="J402" s="17"/>
      <c r="K402" s="17"/>
      <c r="L402" s="17"/>
      <c r="M402" s="17"/>
      <c r="N402" s="17"/>
      <c r="O402" s="19"/>
      <c r="P402" s="20"/>
      <c r="Q402" s="20"/>
      <c r="S402" s="15"/>
    </row>
    <row r="403" spans="3:19" ht="14.25" customHeight="1">
      <c r="C403" s="17"/>
      <c r="D403" s="17"/>
      <c r="E403" s="23"/>
      <c r="F403" s="15"/>
      <c r="G403" s="15"/>
      <c r="H403" s="15"/>
      <c r="I403" s="3"/>
      <c r="J403" s="17"/>
      <c r="K403" s="17"/>
      <c r="L403" s="17"/>
      <c r="M403" s="17"/>
      <c r="N403" s="17"/>
      <c r="O403" s="19"/>
      <c r="P403" s="20"/>
      <c r="Q403" s="20"/>
      <c r="S403" s="15"/>
    </row>
    <row r="404" spans="3:19" ht="14.25" customHeight="1">
      <c r="C404" s="17"/>
      <c r="D404" s="17"/>
      <c r="E404" s="23"/>
      <c r="F404" s="15"/>
      <c r="G404" s="15"/>
      <c r="H404" s="15"/>
      <c r="I404" s="3"/>
      <c r="J404" s="17"/>
      <c r="K404" s="17"/>
      <c r="L404" s="17"/>
      <c r="M404" s="17"/>
      <c r="N404" s="17"/>
      <c r="O404" s="19"/>
      <c r="P404" s="20"/>
      <c r="Q404" s="20"/>
      <c r="S404" s="15"/>
    </row>
    <row r="405" spans="3:19" ht="14.25" customHeight="1">
      <c r="C405" s="17"/>
      <c r="D405" s="17"/>
      <c r="E405" s="23"/>
      <c r="F405" s="15"/>
      <c r="G405" s="15"/>
      <c r="H405" s="15"/>
      <c r="I405" s="3"/>
      <c r="J405" s="17"/>
      <c r="K405" s="17"/>
      <c r="L405" s="17"/>
      <c r="M405" s="17"/>
      <c r="N405" s="17"/>
      <c r="O405" s="19"/>
      <c r="P405" s="20"/>
      <c r="Q405" s="20"/>
      <c r="S405" s="15"/>
    </row>
    <row r="406" spans="3:19" ht="14.25" customHeight="1">
      <c r="C406" s="17"/>
      <c r="D406" s="17"/>
      <c r="E406" s="23"/>
      <c r="F406" s="15"/>
      <c r="G406" s="15"/>
      <c r="H406" s="15"/>
      <c r="I406" s="3"/>
      <c r="J406" s="17"/>
      <c r="K406" s="17"/>
      <c r="L406" s="17"/>
      <c r="M406" s="17"/>
      <c r="N406" s="17"/>
      <c r="O406" s="19"/>
      <c r="P406" s="20"/>
      <c r="Q406" s="20"/>
      <c r="S406" s="15"/>
    </row>
    <row r="407" spans="3:19" ht="14.25" customHeight="1">
      <c r="C407" s="17"/>
      <c r="D407" s="17"/>
      <c r="E407" s="23"/>
      <c r="F407" s="15"/>
      <c r="G407" s="15"/>
      <c r="H407" s="15"/>
      <c r="I407" s="3"/>
      <c r="J407" s="17"/>
      <c r="K407" s="17"/>
      <c r="L407" s="17"/>
      <c r="M407" s="17"/>
      <c r="N407" s="17"/>
      <c r="O407" s="19"/>
      <c r="P407" s="20"/>
      <c r="Q407" s="20"/>
      <c r="S407" s="15"/>
    </row>
    <row r="408" spans="3:19" ht="14.25" customHeight="1">
      <c r="C408" s="17"/>
      <c r="D408" s="17"/>
      <c r="E408" s="23"/>
      <c r="F408" s="15"/>
      <c r="G408" s="15"/>
      <c r="H408" s="15"/>
      <c r="I408" s="3"/>
      <c r="J408" s="17"/>
      <c r="K408" s="17"/>
      <c r="L408" s="17"/>
      <c r="M408" s="17"/>
      <c r="N408" s="17"/>
      <c r="O408" s="19"/>
      <c r="P408" s="20"/>
      <c r="Q408" s="20"/>
      <c r="S408" s="15"/>
    </row>
    <row r="409" spans="3:19" ht="14.25" customHeight="1">
      <c r="C409" s="17"/>
      <c r="D409" s="17"/>
      <c r="E409" s="23"/>
      <c r="F409" s="15"/>
      <c r="G409" s="15"/>
      <c r="H409" s="15"/>
      <c r="I409" s="3"/>
      <c r="J409" s="17"/>
      <c r="K409" s="17"/>
      <c r="L409" s="17"/>
      <c r="M409" s="17"/>
      <c r="N409" s="17"/>
      <c r="O409" s="19"/>
      <c r="P409" s="20"/>
      <c r="Q409" s="20"/>
      <c r="S409" s="15"/>
    </row>
    <row r="410" spans="3:19" ht="14.25" customHeight="1">
      <c r="C410" s="17"/>
      <c r="D410" s="17"/>
      <c r="E410" s="23"/>
      <c r="F410" s="15"/>
      <c r="G410" s="15"/>
      <c r="H410" s="15"/>
      <c r="I410" s="3"/>
      <c r="J410" s="17"/>
      <c r="K410" s="17"/>
      <c r="L410" s="17"/>
      <c r="M410" s="17"/>
      <c r="N410" s="17"/>
      <c r="O410" s="19"/>
      <c r="P410" s="20"/>
      <c r="Q410" s="20"/>
      <c r="S410" s="15"/>
    </row>
    <row r="411" spans="3:19" ht="14.25" customHeight="1">
      <c r="C411" s="17"/>
      <c r="D411" s="17"/>
      <c r="E411" s="23"/>
      <c r="F411" s="15"/>
      <c r="G411" s="15"/>
      <c r="H411" s="15"/>
      <c r="I411" s="3"/>
      <c r="J411" s="17"/>
      <c r="K411" s="17"/>
      <c r="L411" s="17"/>
      <c r="M411" s="17"/>
      <c r="N411" s="17"/>
      <c r="O411" s="19"/>
      <c r="P411" s="20"/>
      <c r="Q411" s="20"/>
      <c r="S411" s="15"/>
    </row>
    <row r="412" spans="3:19" ht="14.25" customHeight="1">
      <c r="C412" s="17"/>
      <c r="D412" s="17"/>
      <c r="E412" s="23"/>
      <c r="F412" s="15"/>
      <c r="G412" s="15"/>
      <c r="H412" s="15"/>
      <c r="I412" s="3"/>
      <c r="J412" s="17"/>
      <c r="K412" s="17"/>
      <c r="L412" s="17"/>
      <c r="M412" s="17"/>
      <c r="N412" s="17"/>
      <c r="O412" s="19"/>
      <c r="P412" s="20"/>
      <c r="Q412" s="20"/>
      <c r="S412" s="15"/>
    </row>
    <row r="413" spans="3:19" ht="14.25" customHeight="1">
      <c r="C413" s="17"/>
      <c r="D413" s="17"/>
      <c r="E413" s="23"/>
      <c r="F413" s="15"/>
      <c r="G413" s="15"/>
      <c r="H413" s="15"/>
      <c r="I413" s="3"/>
      <c r="J413" s="17"/>
      <c r="K413" s="17"/>
      <c r="L413" s="17"/>
      <c r="M413" s="17"/>
      <c r="N413" s="17"/>
      <c r="O413" s="19"/>
      <c r="P413" s="20"/>
      <c r="Q413" s="20"/>
      <c r="S413" s="15"/>
    </row>
    <row r="414" spans="3:19" ht="14.25" customHeight="1">
      <c r="C414" s="17"/>
      <c r="D414" s="17"/>
      <c r="E414" s="23"/>
      <c r="F414" s="15"/>
      <c r="G414" s="15"/>
      <c r="H414" s="15"/>
      <c r="I414" s="3"/>
      <c r="J414" s="17"/>
      <c r="K414" s="17"/>
      <c r="L414" s="17"/>
      <c r="M414" s="17"/>
      <c r="N414" s="17"/>
      <c r="O414" s="19"/>
      <c r="P414" s="20"/>
      <c r="Q414" s="20"/>
      <c r="S414" s="15"/>
    </row>
    <row r="415" spans="3:19" ht="14.25" customHeight="1">
      <c r="C415" s="17"/>
      <c r="D415" s="17"/>
      <c r="E415" s="23"/>
      <c r="F415" s="15"/>
      <c r="G415" s="15"/>
      <c r="H415" s="15"/>
      <c r="I415" s="3"/>
      <c r="J415" s="17"/>
      <c r="K415" s="17"/>
      <c r="L415" s="17"/>
      <c r="M415" s="17"/>
      <c r="N415" s="17"/>
      <c r="O415" s="19"/>
      <c r="P415" s="20"/>
      <c r="Q415" s="20"/>
      <c r="S415" s="15"/>
    </row>
    <row r="416" spans="3:19" ht="14.25" customHeight="1">
      <c r="C416" s="17"/>
      <c r="D416" s="17"/>
      <c r="E416" s="23"/>
      <c r="F416" s="15"/>
      <c r="G416" s="15"/>
      <c r="H416" s="15"/>
      <c r="I416" s="3"/>
      <c r="J416" s="17"/>
      <c r="K416" s="17"/>
      <c r="L416" s="17"/>
      <c r="M416" s="17"/>
      <c r="N416" s="17"/>
      <c r="O416" s="19"/>
      <c r="P416" s="20"/>
      <c r="Q416" s="20"/>
      <c r="S416" s="15"/>
    </row>
    <row r="417" spans="3:19" ht="14.25" customHeight="1">
      <c r="C417" s="17"/>
      <c r="D417" s="17"/>
      <c r="E417" s="23"/>
      <c r="F417" s="15"/>
      <c r="G417" s="15"/>
      <c r="H417" s="15"/>
      <c r="I417" s="3"/>
      <c r="J417" s="17"/>
      <c r="K417" s="17"/>
      <c r="L417" s="17"/>
      <c r="M417" s="17"/>
      <c r="N417" s="17"/>
      <c r="O417" s="19"/>
      <c r="P417" s="20"/>
      <c r="Q417" s="20"/>
      <c r="S417" s="15"/>
    </row>
    <row r="418" spans="3:19" ht="14.25" customHeight="1">
      <c r="C418" s="17"/>
      <c r="D418" s="17"/>
      <c r="E418" s="23"/>
      <c r="F418" s="15"/>
      <c r="G418" s="15"/>
      <c r="H418" s="15"/>
      <c r="I418" s="3"/>
      <c r="J418" s="17"/>
      <c r="K418" s="17"/>
      <c r="L418" s="17"/>
      <c r="M418" s="17"/>
      <c r="N418" s="17"/>
      <c r="O418" s="19"/>
      <c r="P418" s="20"/>
      <c r="Q418" s="20"/>
      <c r="S418" s="15"/>
    </row>
    <row r="419" spans="3:19" ht="14.25" customHeight="1">
      <c r="C419" s="17"/>
      <c r="D419" s="17"/>
      <c r="E419" s="23"/>
      <c r="F419" s="15"/>
      <c r="G419" s="15"/>
      <c r="H419" s="15"/>
      <c r="I419" s="3"/>
      <c r="J419" s="17"/>
      <c r="K419" s="17"/>
      <c r="L419" s="17"/>
      <c r="M419" s="17"/>
      <c r="N419" s="17"/>
      <c r="O419" s="19"/>
      <c r="P419" s="20"/>
      <c r="Q419" s="20"/>
      <c r="S419" s="15"/>
    </row>
    <row r="420" spans="3:19" ht="14.25" customHeight="1">
      <c r="C420" s="17"/>
      <c r="D420" s="17"/>
      <c r="E420" s="23"/>
      <c r="F420" s="15"/>
      <c r="G420" s="15"/>
      <c r="H420" s="15"/>
      <c r="I420" s="3"/>
      <c r="J420" s="17"/>
      <c r="K420" s="17"/>
      <c r="L420" s="17"/>
      <c r="M420" s="17"/>
      <c r="N420" s="17"/>
      <c r="O420" s="19"/>
      <c r="P420" s="20"/>
      <c r="Q420" s="20"/>
      <c r="S420" s="15"/>
    </row>
    <row r="421" spans="3:19" ht="14.25" customHeight="1">
      <c r="C421" s="17"/>
      <c r="D421" s="17"/>
      <c r="E421" s="23"/>
      <c r="F421" s="15"/>
      <c r="G421" s="15"/>
      <c r="H421" s="15"/>
      <c r="I421" s="3"/>
      <c r="J421" s="17"/>
      <c r="K421" s="17"/>
      <c r="L421" s="17"/>
      <c r="M421" s="17"/>
      <c r="N421" s="17"/>
      <c r="O421" s="19"/>
      <c r="P421" s="20"/>
      <c r="Q421" s="20"/>
      <c r="S421" s="15"/>
    </row>
    <row r="422" spans="3:19" ht="14.25" customHeight="1">
      <c r="C422" s="17"/>
      <c r="D422" s="17"/>
      <c r="E422" s="23"/>
      <c r="F422" s="15"/>
      <c r="G422" s="15"/>
      <c r="H422" s="15"/>
      <c r="I422" s="3"/>
      <c r="J422" s="17"/>
      <c r="K422" s="17"/>
      <c r="L422" s="17"/>
      <c r="M422" s="17"/>
      <c r="N422" s="17"/>
      <c r="O422" s="19"/>
      <c r="P422" s="20"/>
      <c r="Q422" s="20"/>
      <c r="S422" s="15"/>
    </row>
    <row r="423" spans="3:19" ht="14.25" customHeight="1">
      <c r="C423" s="17"/>
      <c r="D423" s="17"/>
      <c r="E423" s="23"/>
      <c r="F423" s="15"/>
      <c r="G423" s="15"/>
      <c r="H423" s="15"/>
      <c r="I423" s="3"/>
      <c r="J423" s="17"/>
      <c r="K423" s="17"/>
      <c r="L423" s="17"/>
      <c r="M423" s="17"/>
      <c r="N423" s="17"/>
      <c r="O423" s="19"/>
      <c r="P423" s="20"/>
      <c r="Q423" s="20"/>
      <c r="S423" s="15"/>
    </row>
    <row r="424" spans="3:19" ht="14.25" customHeight="1">
      <c r="C424" s="17"/>
      <c r="D424" s="17"/>
      <c r="E424" s="23"/>
      <c r="F424" s="15"/>
      <c r="G424" s="15"/>
      <c r="H424" s="15"/>
      <c r="I424" s="3"/>
      <c r="J424" s="17"/>
      <c r="K424" s="17"/>
      <c r="L424" s="17"/>
      <c r="M424" s="17"/>
      <c r="N424" s="17"/>
      <c r="O424" s="19"/>
      <c r="P424" s="20"/>
      <c r="Q424" s="20"/>
      <c r="S424" s="15"/>
    </row>
    <row r="425" spans="3:19" ht="14.25" customHeight="1">
      <c r="C425" s="17"/>
      <c r="D425" s="17"/>
      <c r="E425" s="23"/>
      <c r="F425" s="15"/>
      <c r="G425" s="15"/>
      <c r="H425" s="15"/>
      <c r="I425" s="3"/>
      <c r="J425" s="17"/>
      <c r="K425" s="17"/>
      <c r="L425" s="17"/>
      <c r="M425" s="17"/>
      <c r="N425" s="17"/>
      <c r="O425" s="19"/>
      <c r="P425" s="20"/>
      <c r="Q425" s="20"/>
      <c r="S425" s="15"/>
    </row>
    <row r="426" spans="3:19" ht="14.25" customHeight="1">
      <c r="C426" s="17"/>
      <c r="D426" s="17"/>
      <c r="E426" s="23"/>
      <c r="F426" s="15"/>
      <c r="G426" s="15"/>
      <c r="H426" s="15"/>
      <c r="I426" s="3"/>
      <c r="J426" s="17"/>
      <c r="K426" s="17"/>
      <c r="L426" s="17"/>
      <c r="M426" s="17"/>
      <c r="N426" s="17"/>
      <c r="O426" s="19"/>
      <c r="P426" s="20"/>
      <c r="Q426" s="20"/>
      <c r="S426" s="15"/>
    </row>
    <row r="427" spans="3:19" ht="14.25" customHeight="1">
      <c r="C427" s="17"/>
      <c r="D427" s="17"/>
      <c r="E427" s="23"/>
      <c r="F427" s="15"/>
      <c r="G427" s="15"/>
      <c r="H427" s="15"/>
      <c r="I427" s="3"/>
      <c r="J427" s="17"/>
      <c r="K427" s="17"/>
      <c r="L427" s="17"/>
      <c r="M427" s="17"/>
      <c r="N427" s="17"/>
      <c r="O427" s="19"/>
      <c r="P427" s="20"/>
      <c r="Q427" s="20"/>
      <c r="S427" s="15"/>
    </row>
    <row r="428" spans="3:19" ht="14.25" customHeight="1">
      <c r="C428" s="17"/>
      <c r="D428" s="17"/>
      <c r="E428" s="23"/>
      <c r="F428" s="15"/>
      <c r="G428" s="15"/>
      <c r="H428" s="15"/>
      <c r="I428" s="3"/>
      <c r="J428" s="17"/>
      <c r="K428" s="17"/>
      <c r="L428" s="17"/>
      <c r="M428" s="17"/>
      <c r="N428" s="17"/>
      <c r="O428" s="19"/>
      <c r="P428" s="20"/>
      <c r="Q428" s="20"/>
      <c r="S428" s="15"/>
    </row>
    <row r="429" spans="3:19" ht="14.25" customHeight="1">
      <c r="C429" s="17"/>
      <c r="D429" s="17"/>
      <c r="E429" s="23"/>
      <c r="F429" s="15"/>
      <c r="G429" s="15"/>
      <c r="H429" s="15"/>
      <c r="I429" s="3"/>
      <c r="J429" s="17"/>
      <c r="K429" s="17"/>
      <c r="L429" s="17"/>
      <c r="M429" s="17"/>
      <c r="N429" s="17"/>
      <c r="O429" s="19"/>
      <c r="P429" s="20"/>
      <c r="Q429" s="20"/>
      <c r="S429" s="15"/>
    </row>
    <row r="430" spans="3:19" ht="14.25" customHeight="1">
      <c r="C430" s="17"/>
      <c r="D430" s="17"/>
      <c r="E430" s="23"/>
      <c r="F430" s="15"/>
      <c r="G430" s="15"/>
      <c r="H430" s="15"/>
      <c r="I430" s="3"/>
      <c r="J430" s="17"/>
      <c r="K430" s="17"/>
      <c r="L430" s="17"/>
      <c r="M430" s="17"/>
      <c r="N430" s="17"/>
      <c r="O430" s="19"/>
      <c r="P430" s="20"/>
      <c r="Q430" s="20"/>
      <c r="S430" s="15"/>
    </row>
    <row r="431" spans="3:19" ht="14.25" customHeight="1">
      <c r="C431" s="17"/>
      <c r="D431" s="17"/>
      <c r="E431" s="23"/>
      <c r="F431" s="15"/>
      <c r="G431" s="15"/>
      <c r="H431" s="15"/>
      <c r="I431" s="3"/>
      <c r="J431" s="17"/>
      <c r="K431" s="17"/>
      <c r="L431" s="17"/>
      <c r="M431" s="17"/>
      <c r="N431" s="17"/>
      <c r="O431" s="19"/>
      <c r="P431" s="20"/>
      <c r="Q431" s="20"/>
      <c r="S431" s="15"/>
    </row>
    <row r="432" spans="3:19" ht="14.25" customHeight="1">
      <c r="C432" s="17"/>
      <c r="D432" s="17"/>
      <c r="E432" s="23"/>
      <c r="F432" s="15"/>
      <c r="G432" s="15"/>
      <c r="H432" s="15"/>
      <c r="I432" s="3"/>
      <c r="J432" s="17"/>
      <c r="K432" s="17"/>
      <c r="L432" s="17"/>
      <c r="M432" s="17"/>
      <c r="N432" s="17"/>
      <c r="O432" s="19"/>
      <c r="P432" s="20"/>
      <c r="Q432" s="20"/>
      <c r="S432" s="15"/>
    </row>
    <row r="433" spans="3:19" ht="14.25" customHeight="1">
      <c r="C433" s="17"/>
      <c r="D433" s="17"/>
      <c r="E433" s="23"/>
      <c r="F433" s="15"/>
      <c r="G433" s="15"/>
      <c r="H433" s="15"/>
      <c r="I433" s="3"/>
      <c r="J433" s="17"/>
      <c r="K433" s="17"/>
      <c r="L433" s="17"/>
      <c r="M433" s="17"/>
      <c r="N433" s="17"/>
      <c r="O433" s="19"/>
      <c r="P433" s="20"/>
      <c r="Q433" s="20"/>
      <c r="S433" s="15"/>
    </row>
    <row r="434" spans="3:19" ht="14.25" customHeight="1">
      <c r="C434" s="17"/>
      <c r="D434" s="17"/>
      <c r="E434" s="23"/>
      <c r="F434" s="15"/>
      <c r="G434" s="15"/>
      <c r="H434" s="15"/>
      <c r="I434" s="3"/>
      <c r="J434" s="17"/>
      <c r="K434" s="17"/>
      <c r="L434" s="17"/>
      <c r="M434" s="17"/>
      <c r="N434" s="17"/>
      <c r="O434" s="19"/>
      <c r="P434" s="20"/>
      <c r="Q434" s="20"/>
      <c r="S434" s="15"/>
    </row>
    <row r="435" spans="3:19" ht="14.25" customHeight="1">
      <c r="C435" s="17"/>
      <c r="D435" s="17"/>
      <c r="E435" s="23"/>
      <c r="F435" s="15"/>
      <c r="G435" s="15"/>
      <c r="H435" s="15"/>
      <c r="I435" s="3"/>
      <c r="J435" s="17"/>
      <c r="K435" s="17"/>
      <c r="L435" s="17"/>
      <c r="M435" s="17"/>
      <c r="N435" s="17"/>
      <c r="O435" s="19"/>
      <c r="P435" s="20"/>
      <c r="Q435" s="20"/>
      <c r="S435" s="15"/>
    </row>
    <row r="436" spans="3:19" ht="14.25" customHeight="1">
      <c r="C436" s="17"/>
      <c r="D436" s="17"/>
      <c r="E436" s="23"/>
      <c r="F436" s="15"/>
      <c r="G436" s="15"/>
      <c r="H436" s="15"/>
      <c r="I436" s="3"/>
      <c r="J436" s="17"/>
      <c r="K436" s="17"/>
      <c r="L436" s="17"/>
      <c r="M436" s="17"/>
      <c r="N436" s="17"/>
      <c r="O436" s="19"/>
      <c r="P436" s="20"/>
      <c r="Q436" s="20"/>
      <c r="S436" s="15"/>
    </row>
    <row r="437" spans="3:19" ht="14.25" customHeight="1">
      <c r="C437" s="17"/>
      <c r="D437" s="17"/>
      <c r="E437" s="23"/>
      <c r="F437" s="15"/>
      <c r="G437" s="15"/>
      <c r="H437" s="15"/>
      <c r="I437" s="3"/>
      <c r="J437" s="17"/>
      <c r="K437" s="17"/>
      <c r="L437" s="17"/>
      <c r="M437" s="17"/>
      <c r="N437" s="17"/>
      <c r="O437" s="19"/>
      <c r="P437" s="20"/>
      <c r="Q437" s="20"/>
      <c r="S437" s="15"/>
    </row>
    <row r="438" spans="3:19" ht="14.25" customHeight="1">
      <c r="C438" s="17"/>
      <c r="D438" s="17"/>
      <c r="E438" s="23"/>
      <c r="F438" s="15"/>
      <c r="G438" s="15"/>
      <c r="H438" s="15"/>
      <c r="I438" s="3"/>
      <c r="J438" s="17"/>
      <c r="K438" s="17"/>
      <c r="L438" s="17"/>
      <c r="M438" s="17"/>
      <c r="N438" s="17"/>
      <c r="O438" s="19"/>
      <c r="P438" s="20"/>
      <c r="Q438" s="20"/>
      <c r="S438" s="15"/>
    </row>
    <row r="439" spans="3:19" ht="14.25" customHeight="1">
      <c r="C439" s="17"/>
      <c r="D439" s="17"/>
      <c r="E439" s="23"/>
      <c r="F439" s="15"/>
      <c r="G439" s="15"/>
      <c r="H439" s="15"/>
      <c r="I439" s="3"/>
      <c r="J439" s="17"/>
      <c r="K439" s="17"/>
      <c r="L439" s="17"/>
      <c r="M439" s="17"/>
      <c r="N439" s="17"/>
      <c r="O439" s="19"/>
      <c r="P439" s="20"/>
      <c r="Q439" s="20"/>
      <c r="S439" s="15"/>
    </row>
    <row r="440" spans="3:19" ht="14.25" customHeight="1">
      <c r="C440" s="17"/>
      <c r="D440" s="17"/>
      <c r="E440" s="23"/>
      <c r="F440" s="15"/>
      <c r="G440" s="15"/>
      <c r="H440" s="15"/>
      <c r="I440" s="3"/>
      <c r="J440" s="17"/>
      <c r="K440" s="17"/>
      <c r="L440" s="17"/>
      <c r="M440" s="17"/>
      <c r="N440" s="17"/>
      <c r="O440" s="19"/>
      <c r="P440" s="20"/>
      <c r="Q440" s="20"/>
      <c r="S440" s="15"/>
    </row>
    <row r="441" spans="3:19" ht="14.25" customHeight="1">
      <c r="C441" s="17"/>
      <c r="D441" s="17"/>
      <c r="E441" s="23"/>
      <c r="F441" s="15"/>
      <c r="G441" s="15"/>
      <c r="H441" s="15"/>
      <c r="I441" s="3"/>
      <c r="J441" s="17"/>
      <c r="K441" s="17"/>
      <c r="L441" s="17"/>
      <c r="M441" s="17"/>
      <c r="N441" s="17"/>
      <c r="O441" s="19"/>
      <c r="P441" s="20"/>
      <c r="Q441" s="20"/>
      <c r="S441" s="15"/>
    </row>
    <row r="442" spans="3:19" ht="14.25" customHeight="1">
      <c r="C442" s="17"/>
      <c r="D442" s="17"/>
      <c r="E442" s="23"/>
      <c r="F442" s="15"/>
      <c r="G442" s="15"/>
      <c r="H442" s="15"/>
      <c r="I442" s="3"/>
      <c r="J442" s="17"/>
      <c r="K442" s="17"/>
      <c r="L442" s="17"/>
      <c r="M442" s="17"/>
      <c r="N442" s="17"/>
      <c r="O442" s="19"/>
      <c r="P442" s="20"/>
      <c r="Q442" s="20"/>
      <c r="S442" s="15"/>
    </row>
    <row r="443" spans="3:19" ht="14.25" customHeight="1">
      <c r="C443" s="17"/>
      <c r="D443" s="17"/>
      <c r="E443" s="23"/>
      <c r="F443" s="15"/>
      <c r="G443" s="15"/>
      <c r="H443" s="15"/>
      <c r="I443" s="3"/>
      <c r="J443" s="17"/>
      <c r="K443" s="17"/>
      <c r="L443" s="17"/>
      <c r="M443" s="17"/>
      <c r="N443" s="17"/>
      <c r="O443" s="19"/>
      <c r="P443" s="20"/>
      <c r="Q443" s="20"/>
      <c r="S443" s="15"/>
    </row>
    <row r="444" spans="3:19" ht="14.25" customHeight="1">
      <c r="C444" s="17"/>
      <c r="D444" s="17"/>
      <c r="E444" s="23"/>
      <c r="F444" s="15"/>
      <c r="G444" s="15"/>
      <c r="H444" s="15"/>
      <c r="I444" s="3"/>
      <c r="J444" s="17"/>
      <c r="K444" s="17"/>
      <c r="L444" s="17"/>
      <c r="M444" s="17"/>
      <c r="N444" s="17"/>
      <c r="O444" s="19"/>
      <c r="P444" s="20"/>
      <c r="Q444" s="20"/>
      <c r="S444" s="15"/>
    </row>
    <row r="445" spans="3:19" ht="14.25" customHeight="1">
      <c r="C445" s="17"/>
      <c r="D445" s="17"/>
      <c r="E445" s="23"/>
      <c r="F445" s="15"/>
      <c r="G445" s="15"/>
      <c r="H445" s="15"/>
      <c r="I445" s="3"/>
      <c r="J445" s="17"/>
      <c r="K445" s="17"/>
      <c r="L445" s="17"/>
      <c r="M445" s="17"/>
      <c r="N445" s="17"/>
      <c r="O445" s="19"/>
      <c r="P445" s="20"/>
      <c r="Q445" s="20"/>
      <c r="S445" s="15"/>
    </row>
    <row r="446" spans="3:19" ht="14.25" customHeight="1">
      <c r="C446" s="17"/>
      <c r="D446" s="17"/>
      <c r="E446" s="23"/>
      <c r="F446" s="15"/>
      <c r="G446" s="15"/>
      <c r="H446" s="15"/>
      <c r="I446" s="3"/>
      <c r="J446" s="17"/>
      <c r="K446" s="17"/>
      <c r="L446" s="17"/>
      <c r="M446" s="17"/>
      <c r="N446" s="17"/>
      <c r="O446" s="19"/>
      <c r="P446" s="20"/>
      <c r="Q446" s="20"/>
      <c r="S446" s="15"/>
    </row>
    <row r="447" spans="3:19" ht="14.25" customHeight="1">
      <c r="C447" s="17"/>
      <c r="D447" s="17"/>
      <c r="E447" s="23"/>
      <c r="F447" s="15"/>
      <c r="G447" s="15"/>
      <c r="H447" s="15"/>
      <c r="I447" s="3"/>
      <c r="J447" s="17"/>
      <c r="K447" s="17"/>
      <c r="L447" s="17"/>
      <c r="M447" s="17"/>
      <c r="N447" s="17"/>
      <c r="O447" s="19"/>
      <c r="P447" s="20"/>
      <c r="Q447" s="20"/>
      <c r="S447" s="15"/>
    </row>
    <row r="448" spans="3:19" ht="14.25" customHeight="1">
      <c r="C448" s="17"/>
      <c r="D448" s="17"/>
      <c r="E448" s="23"/>
      <c r="F448" s="15"/>
      <c r="G448" s="15"/>
      <c r="H448" s="15"/>
      <c r="I448" s="3"/>
      <c r="J448" s="17"/>
      <c r="K448" s="17"/>
      <c r="L448" s="17"/>
      <c r="M448" s="17"/>
      <c r="N448" s="17"/>
      <c r="O448" s="19"/>
      <c r="P448" s="20"/>
      <c r="Q448" s="20"/>
      <c r="S448" s="15"/>
    </row>
    <row r="449" spans="3:19" ht="14.25" customHeight="1">
      <c r="C449" s="17"/>
      <c r="D449" s="17"/>
      <c r="E449" s="23"/>
      <c r="F449" s="15"/>
      <c r="G449" s="15"/>
      <c r="H449" s="15"/>
      <c r="I449" s="3"/>
      <c r="J449" s="17"/>
      <c r="K449" s="17"/>
      <c r="L449" s="17"/>
      <c r="M449" s="17"/>
      <c r="N449" s="17"/>
      <c r="O449" s="19"/>
      <c r="P449" s="20"/>
      <c r="Q449" s="20"/>
      <c r="S449" s="15"/>
    </row>
    <row r="450" spans="3:19" ht="14.25" customHeight="1">
      <c r="C450" s="17"/>
      <c r="D450" s="17"/>
      <c r="E450" s="23"/>
      <c r="F450" s="15"/>
      <c r="G450" s="15"/>
      <c r="H450" s="15"/>
      <c r="I450" s="3"/>
      <c r="J450" s="17"/>
      <c r="K450" s="17"/>
      <c r="L450" s="17"/>
      <c r="M450" s="17"/>
      <c r="N450" s="17"/>
      <c r="O450" s="19"/>
      <c r="P450" s="20"/>
      <c r="Q450" s="20"/>
      <c r="S450" s="15"/>
    </row>
    <row r="451" spans="3:19" ht="14.25" customHeight="1">
      <c r="C451" s="17"/>
      <c r="D451" s="17"/>
      <c r="E451" s="23"/>
      <c r="F451" s="15"/>
      <c r="G451" s="15"/>
      <c r="H451" s="15"/>
      <c r="I451" s="3"/>
      <c r="J451" s="17"/>
      <c r="K451" s="17"/>
      <c r="L451" s="17"/>
      <c r="M451" s="17"/>
      <c r="N451" s="17"/>
      <c r="O451" s="19"/>
      <c r="P451" s="20"/>
      <c r="Q451" s="20"/>
      <c r="S451" s="15"/>
    </row>
    <row r="452" spans="3:19" ht="14.25" customHeight="1">
      <c r="C452" s="17"/>
      <c r="D452" s="17"/>
      <c r="E452" s="23"/>
      <c r="F452" s="15"/>
      <c r="G452" s="15"/>
      <c r="H452" s="15"/>
      <c r="I452" s="3"/>
      <c r="J452" s="17"/>
      <c r="K452" s="17"/>
      <c r="L452" s="17"/>
      <c r="M452" s="17"/>
      <c r="N452" s="17"/>
      <c r="O452" s="19"/>
      <c r="P452" s="20"/>
      <c r="Q452" s="20"/>
      <c r="S452" s="15"/>
    </row>
    <row r="453" spans="3:19" ht="14.25" customHeight="1">
      <c r="C453" s="17"/>
      <c r="D453" s="17"/>
      <c r="E453" s="23"/>
      <c r="F453" s="15"/>
      <c r="G453" s="15"/>
      <c r="H453" s="15"/>
      <c r="I453" s="3"/>
      <c r="J453" s="17"/>
      <c r="K453" s="17"/>
      <c r="L453" s="17"/>
      <c r="M453" s="17"/>
      <c r="N453" s="17"/>
      <c r="O453" s="19"/>
      <c r="P453" s="20"/>
      <c r="Q453" s="20"/>
      <c r="S453" s="15"/>
    </row>
    <row r="454" spans="3:19" ht="14.25" customHeight="1">
      <c r="C454" s="17"/>
      <c r="D454" s="17"/>
      <c r="E454" s="23"/>
      <c r="F454" s="15"/>
      <c r="G454" s="15"/>
      <c r="H454" s="15"/>
      <c r="I454" s="3"/>
      <c r="J454" s="17"/>
      <c r="K454" s="17"/>
      <c r="L454" s="17"/>
      <c r="M454" s="17"/>
      <c r="N454" s="17"/>
      <c r="O454" s="19"/>
      <c r="P454" s="20"/>
      <c r="Q454" s="20"/>
      <c r="S454" s="15"/>
    </row>
    <row r="455" spans="3:19" ht="14.25" customHeight="1">
      <c r="C455" s="17"/>
      <c r="D455" s="17"/>
      <c r="E455" s="23"/>
      <c r="F455" s="15"/>
      <c r="G455" s="15"/>
      <c r="H455" s="15"/>
      <c r="I455" s="3"/>
      <c r="J455" s="17"/>
      <c r="K455" s="17"/>
      <c r="L455" s="17"/>
      <c r="M455" s="17"/>
      <c r="N455" s="17"/>
      <c r="O455" s="19"/>
      <c r="P455" s="20"/>
      <c r="Q455" s="20"/>
      <c r="S455" s="15"/>
    </row>
    <row r="456" spans="3:19" ht="14.25" customHeight="1">
      <c r="C456" s="17"/>
      <c r="D456" s="17"/>
      <c r="E456" s="23"/>
      <c r="F456" s="15"/>
      <c r="G456" s="15"/>
      <c r="H456" s="15"/>
      <c r="I456" s="3"/>
      <c r="J456" s="17"/>
      <c r="K456" s="17"/>
      <c r="L456" s="17"/>
      <c r="M456" s="17"/>
      <c r="N456" s="17"/>
      <c r="O456" s="19"/>
      <c r="P456" s="20"/>
      <c r="Q456" s="20"/>
      <c r="S456" s="15"/>
    </row>
    <row r="457" spans="3:19" ht="14.25" customHeight="1">
      <c r="C457" s="17"/>
      <c r="D457" s="17"/>
      <c r="E457" s="23"/>
      <c r="F457" s="15"/>
      <c r="G457" s="15"/>
      <c r="H457" s="15"/>
      <c r="I457" s="3"/>
      <c r="J457" s="17"/>
      <c r="K457" s="17"/>
      <c r="L457" s="17"/>
      <c r="M457" s="17"/>
      <c r="N457" s="17"/>
      <c r="O457" s="19"/>
      <c r="P457" s="20"/>
      <c r="Q457" s="20"/>
      <c r="S457" s="15"/>
    </row>
    <row r="458" spans="3:19" ht="14.25" customHeight="1">
      <c r="C458" s="17"/>
      <c r="D458" s="17"/>
      <c r="E458" s="23"/>
      <c r="F458" s="15"/>
      <c r="G458" s="15"/>
      <c r="H458" s="15"/>
      <c r="I458" s="3"/>
      <c r="J458" s="17"/>
      <c r="K458" s="17"/>
      <c r="L458" s="17"/>
      <c r="M458" s="17"/>
      <c r="N458" s="17"/>
      <c r="O458" s="19"/>
      <c r="P458" s="20"/>
      <c r="Q458" s="20"/>
      <c r="S458" s="15"/>
    </row>
    <row r="459" spans="3:19" ht="14.25" customHeight="1">
      <c r="C459" s="17"/>
      <c r="D459" s="17"/>
      <c r="E459" s="23"/>
      <c r="F459" s="15"/>
      <c r="G459" s="15"/>
      <c r="H459" s="15"/>
      <c r="I459" s="3"/>
      <c r="J459" s="17"/>
      <c r="K459" s="17"/>
      <c r="L459" s="17"/>
      <c r="M459" s="17"/>
      <c r="N459" s="17"/>
      <c r="O459" s="19"/>
      <c r="P459" s="20"/>
      <c r="Q459" s="20"/>
      <c r="S459" s="15"/>
    </row>
    <row r="460" spans="3:19" ht="14.25" customHeight="1">
      <c r="C460" s="17"/>
      <c r="D460" s="17"/>
      <c r="E460" s="23"/>
      <c r="F460" s="15"/>
      <c r="G460" s="15"/>
      <c r="H460" s="15"/>
      <c r="I460" s="3"/>
      <c r="J460" s="17"/>
      <c r="K460" s="17"/>
      <c r="L460" s="17"/>
      <c r="M460" s="17"/>
      <c r="N460" s="17"/>
      <c r="O460" s="19"/>
      <c r="P460" s="20"/>
      <c r="Q460" s="20"/>
      <c r="S460" s="15"/>
    </row>
    <row r="461" spans="3:19" ht="14.25" customHeight="1">
      <c r="C461" s="17"/>
      <c r="D461" s="17"/>
      <c r="E461" s="23"/>
      <c r="F461" s="15"/>
      <c r="G461" s="15"/>
      <c r="H461" s="15"/>
      <c r="I461" s="3"/>
      <c r="J461" s="17"/>
      <c r="K461" s="17"/>
      <c r="L461" s="17"/>
      <c r="M461" s="17"/>
      <c r="N461" s="17"/>
      <c r="O461" s="19"/>
      <c r="P461" s="20"/>
      <c r="Q461" s="20"/>
      <c r="S461" s="15"/>
    </row>
    <row r="462" spans="3:19" ht="14.25" customHeight="1">
      <c r="C462" s="17"/>
      <c r="D462" s="17"/>
      <c r="E462" s="23"/>
      <c r="F462" s="15"/>
      <c r="G462" s="15"/>
      <c r="H462" s="15"/>
      <c r="I462" s="3"/>
      <c r="J462" s="17"/>
      <c r="K462" s="17"/>
      <c r="L462" s="17"/>
      <c r="M462" s="17"/>
      <c r="N462" s="17"/>
      <c r="O462" s="19"/>
      <c r="P462" s="20"/>
      <c r="Q462" s="20"/>
      <c r="S462" s="15"/>
    </row>
    <row r="463" spans="3:19" ht="14.25" customHeight="1">
      <c r="C463" s="17"/>
      <c r="D463" s="17"/>
      <c r="E463" s="23"/>
      <c r="F463" s="15"/>
      <c r="G463" s="15"/>
      <c r="H463" s="15"/>
      <c r="I463" s="3"/>
      <c r="J463" s="17"/>
      <c r="K463" s="17"/>
      <c r="L463" s="17"/>
      <c r="M463" s="17"/>
      <c r="N463" s="17"/>
      <c r="O463" s="19"/>
      <c r="P463" s="20"/>
      <c r="Q463" s="20"/>
      <c r="S463" s="15"/>
    </row>
    <row r="464" spans="3:19" ht="14.25" customHeight="1">
      <c r="C464" s="17"/>
      <c r="D464" s="17"/>
      <c r="E464" s="23"/>
      <c r="F464" s="15"/>
      <c r="G464" s="15"/>
      <c r="H464" s="15"/>
      <c r="I464" s="3"/>
      <c r="J464" s="17"/>
      <c r="K464" s="17"/>
      <c r="L464" s="17"/>
      <c r="M464" s="17"/>
      <c r="N464" s="17"/>
      <c r="O464" s="19"/>
      <c r="P464" s="20"/>
      <c r="Q464" s="20"/>
      <c r="S464" s="15"/>
    </row>
    <row r="465" spans="3:19" ht="14.25" customHeight="1">
      <c r="C465" s="17"/>
      <c r="D465" s="17"/>
      <c r="E465" s="23"/>
      <c r="F465" s="15"/>
      <c r="G465" s="15"/>
      <c r="H465" s="15"/>
      <c r="I465" s="3"/>
      <c r="J465" s="17"/>
      <c r="K465" s="17"/>
      <c r="L465" s="17"/>
      <c r="M465" s="17"/>
      <c r="N465" s="17"/>
      <c r="O465" s="19"/>
      <c r="P465" s="20"/>
      <c r="Q465" s="20"/>
      <c r="S465" s="15"/>
    </row>
    <row r="466" spans="3:19" ht="14.25" customHeight="1">
      <c r="C466" s="17"/>
      <c r="D466" s="17"/>
      <c r="E466" s="23"/>
      <c r="F466" s="15"/>
      <c r="G466" s="15"/>
      <c r="H466" s="15"/>
      <c r="I466" s="3"/>
      <c r="J466" s="17"/>
      <c r="K466" s="17"/>
      <c r="L466" s="17"/>
      <c r="M466" s="17"/>
      <c r="N466" s="17"/>
      <c r="O466" s="19"/>
      <c r="P466" s="20"/>
      <c r="Q466" s="20"/>
      <c r="S466" s="15"/>
    </row>
    <row r="467" spans="3:19" ht="14.25" customHeight="1">
      <c r="C467" s="17"/>
      <c r="D467" s="17"/>
      <c r="E467" s="23"/>
      <c r="F467" s="15"/>
      <c r="G467" s="15"/>
      <c r="H467" s="15"/>
      <c r="I467" s="3"/>
      <c r="J467" s="17"/>
      <c r="K467" s="17"/>
      <c r="L467" s="17"/>
      <c r="M467" s="17"/>
      <c r="N467" s="17"/>
      <c r="O467" s="19"/>
      <c r="P467" s="20"/>
      <c r="Q467" s="20"/>
      <c r="S467" s="15"/>
    </row>
    <row r="468" spans="3:19" ht="14.25" customHeight="1">
      <c r="C468" s="17"/>
      <c r="D468" s="17"/>
      <c r="E468" s="23"/>
      <c r="F468" s="15"/>
      <c r="G468" s="15"/>
      <c r="H468" s="15"/>
      <c r="I468" s="3"/>
      <c r="J468" s="17"/>
      <c r="K468" s="17"/>
      <c r="L468" s="17"/>
      <c r="M468" s="17"/>
      <c r="N468" s="17"/>
      <c r="O468" s="19"/>
      <c r="P468" s="20"/>
      <c r="Q468" s="20"/>
      <c r="S468" s="15"/>
    </row>
    <row r="469" spans="3:19" ht="14.25" customHeight="1">
      <c r="C469" s="17"/>
      <c r="D469" s="17"/>
      <c r="E469" s="23"/>
      <c r="F469" s="15"/>
      <c r="G469" s="15"/>
      <c r="H469" s="15"/>
      <c r="I469" s="3"/>
      <c r="J469" s="17"/>
      <c r="K469" s="17"/>
      <c r="L469" s="17"/>
      <c r="M469" s="17"/>
      <c r="N469" s="17"/>
      <c r="O469" s="19"/>
      <c r="P469" s="20"/>
      <c r="Q469" s="20"/>
      <c r="S469" s="15"/>
    </row>
    <row r="470" spans="3:19" ht="14.25" customHeight="1">
      <c r="C470" s="17"/>
      <c r="D470" s="17"/>
      <c r="E470" s="23"/>
      <c r="F470" s="15"/>
      <c r="G470" s="15"/>
      <c r="H470" s="15"/>
      <c r="I470" s="3"/>
      <c r="J470" s="17"/>
      <c r="K470" s="17"/>
      <c r="L470" s="17"/>
      <c r="M470" s="17"/>
      <c r="N470" s="17"/>
      <c r="O470" s="19"/>
      <c r="P470" s="20"/>
      <c r="Q470" s="20"/>
      <c r="S470" s="15"/>
    </row>
    <row r="471" spans="3:19" ht="14.25" customHeight="1">
      <c r="C471" s="17"/>
      <c r="D471" s="17"/>
      <c r="E471" s="23"/>
      <c r="F471" s="15"/>
      <c r="G471" s="15"/>
      <c r="H471" s="15"/>
      <c r="I471" s="3"/>
      <c r="J471" s="17"/>
      <c r="K471" s="17"/>
      <c r="L471" s="17"/>
      <c r="M471" s="17"/>
      <c r="N471" s="17"/>
      <c r="O471" s="19"/>
      <c r="P471" s="20"/>
      <c r="Q471" s="20"/>
      <c r="S471" s="15"/>
    </row>
    <row r="472" spans="3:19" ht="14.25" customHeight="1">
      <c r="C472" s="17"/>
      <c r="D472" s="17"/>
      <c r="E472" s="23"/>
      <c r="F472" s="15"/>
      <c r="G472" s="15"/>
      <c r="H472" s="15"/>
      <c r="I472" s="3"/>
      <c r="J472" s="17"/>
      <c r="K472" s="17"/>
      <c r="L472" s="17"/>
      <c r="M472" s="17"/>
      <c r="N472" s="17"/>
      <c r="O472" s="19"/>
      <c r="P472" s="20"/>
      <c r="Q472" s="20"/>
      <c r="S472" s="15"/>
    </row>
    <row r="473" spans="3:19" ht="14.25" customHeight="1">
      <c r="C473" s="17"/>
      <c r="D473" s="17"/>
      <c r="E473" s="23"/>
      <c r="F473" s="15"/>
      <c r="G473" s="15"/>
      <c r="H473" s="15"/>
      <c r="I473" s="3"/>
      <c r="J473" s="17"/>
      <c r="K473" s="17"/>
      <c r="L473" s="17"/>
      <c r="M473" s="17"/>
      <c r="N473" s="17"/>
      <c r="O473" s="19"/>
      <c r="P473" s="20"/>
      <c r="Q473" s="20"/>
      <c r="S473" s="15"/>
    </row>
    <row r="474" spans="3:19" ht="14.25" customHeight="1">
      <c r="C474" s="17"/>
      <c r="D474" s="17"/>
      <c r="E474" s="23"/>
      <c r="F474" s="15"/>
      <c r="G474" s="15"/>
      <c r="H474" s="15"/>
      <c r="I474" s="3"/>
      <c r="J474" s="17"/>
      <c r="K474" s="17"/>
      <c r="L474" s="17"/>
      <c r="M474" s="17"/>
      <c r="N474" s="17"/>
      <c r="O474" s="19"/>
      <c r="P474" s="20"/>
      <c r="Q474" s="20"/>
      <c r="S474" s="15"/>
    </row>
    <row r="475" spans="3:19" ht="14.25" customHeight="1">
      <c r="C475" s="17"/>
      <c r="D475" s="17"/>
      <c r="E475" s="23"/>
      <c r="F475" s="15"/>
      <c r="G475" s="15"/>
      <c r="H475" s="15"/>
      <c r="I475" s="3"/>
      <c r="J475" s="17"/>
      <c r="K475" s="17"/>
      <c r="L475" s="17"/>
      <c r="M475" s="17"/>
      <c r="N475" s="17"/>
      <c r="O475" s="19"/>
      <c r="P475" s="20"/>
      <c r="Q475" s="20"/>
      <c r="S475" s="15"/>
    </row>
    <row r="476" spans="3:19" ht="14.25" customHeight="1">
      <c r="C476" s="17"/>
      <c r="D476" s="17"/>
      <c r="E476" s="23"/>
      <c r="F476" s="15"/>
      <c r="G476" s="15"/>
      <c r="H476" s="15"/>
      <c r="I476" s="3"/>
      <c r="J476" s="17"/>
      <c r="K476" s="17"/>
      <c r="L476" s="17"/>
      <c r="M476" s="17"/>
      <c r="N476" s="17"/>
      <c r="O476" s="19"/>
      <c r="P476" s="20"/>
      <c r="Q476" s="20"/>
      <c r="S476" s="15"/>
    </row>
    <row r="477" spans="3:19" ht="14.25" customHeight="1">
      <c r="C477" s="17"/>
      <c r="D477" s="17"/>
      <c r="E477" s="23"/>
      <c r="F477" s="15"/>
      <c r="G477" s="15"/>
      <c r="H477" s="15"/>
      <c r="I477" s="3"/>
      <c r="J477" s="17"/>
      <c r="K477" s="17"/>
      <c r="L477" s="17"/>
      <c r="M477" s="17"/>
      <c r="N477" s="17"/>
      <c r="O477" s="19"/>
      <c r="P477" s="20"/>
      <c r="Q477" s="20"/>
      <c r="S477" s="15"/>
    </row>
    <row r="478" spans="3:19" ht="14.25" customHeight="1">
      <c r="C478" s="17"/>
      <c r="D478" s="17"/>
      <c r="E478" s="23"/>
      <c r="F478" s="15"/>
      <c r="G478" s="15"/>
      <c r="H478" s="15"/>
      <c r="I478" s="3"/>
      <c r="J478" s="17"/>
      <c r="K478" s="17"/>
      <c r="L478" s="17"/>
      <c r="M478" s="17"/>
      <c r="N478" s="17"/>
      <c r="O478" s="19"/>
      <c r="P478" s="20"/>
      <c r="Q478" s="20"/>
      <c r="S478" s="15"/>
    </row>
    <row r="479" spans="3:19" ht="14.25" customHeight="1">
      <c r="C479" s="17"/>
      <c r="D479" s="17"/>
      <c r="E479" s="23"/>
      <c r="F479" s="15"/>
      <c r="G479" s="15"/>
      <c r="H479" s="15"/>
      <c r="I479" s="3"/>
      <c r="J479" s="17"/>
      <c r="K479" s="17"/>
      <c r="L479" s="17"/>
      <c r="M479" s="17"/>
      <c r="N479" s="17"/>
      <c r="O479" s="19"/>
      <c r="P479" s="20"/>
      <c r="Q479" s="20"/>
      <c r="S479" s="15"/>
    </row>
    <row r="480" spans="3:19" ht="14.25" customHeight="1">
      <c r="C480" s="17"/>
      <c r="D480" s="17"/>
      <c r="E480" s="23"/>
      <c r="F480" s="15"/>
      <c r="G480" s="15"/>
      <c r="H480" s="15"/>
      <c r="I480" s="3"/>
      <c r="J480" s="17"/>
      <c r="K480" s="17"/>
      <c r="L480" s="17"/>
      <c r="M480" s="17"/>
      <c r="N480" s="17"/>
      <c r="O480" s="19"/>
      <c r="P480" s="20"/>
      <c r="Q480" s="20"/>
      <c r="S480" s="15"/>
    </row>
    <row r="481" spans="3:19" ht="14.25" customHeight="1">
      <c r="C481" s="17"/>
      <c r="D481" s="17"/>
      <c r="E481" s="23"/>
      <c r="F481" s="15"/>
      <c r="G481" s="15"/>
      <c r="H481" s="15"/>
      <c r="I481" s="3"/>
      <c r="J481" s="17"/>
      <c r="K481" s="17"/>
      <c r="L481" s="17"/>
      <c r="M481" s="17"/>
      <c r="N481" s="17"/>
      <c r="O481" s="19"/>
      <c r="P481" s="20"/>
      <c r="Q481" s="20"/>
      <c r="S481" s="15"/>
    </row>
    <row r="482" spans="3:19" ht="14.25" customHeight="1">
      <c r="C482" s="17"/>
      <c r="D482" s="17"/>
      <c r="E482" s="23"/>
      <c r="F482" s="15"/>
      <c r="G482" s="15"/>
      <c r="H482" s="15"/>
      <c r="I482" s="3"/>
      <c r="J482" s="17"/>
      <c r="K482" s="17"/>
      <c r="L482" s="17"/>
      <c r="M482" s="17"/>
      <c r="N482" s="17"/>
      <c r="O482" s="19"/>
      <c r="P482" s="20"/>
      <c r="Q482" s="20"/>
      <c r="S482" s="15"/>
    </row>
    <row r="483" spans="3:19" ht="14.25" customHeight="1">
      <c r="C483" s="17"/>
      <c r="D483" s="17"/>
      <c r="E483" s="23"/>
      <c r="F483" s="15"/>
      <c r="G483" s="15"/>
      <c r="H483" s="15"/>
      <c r="I483" s="3"/>
      <c r="J483" s="17"/>
      <c r="K483" s="17"/>
      <c r="L483" s="17"/>
      <c r="M483" s="17"/>
      <c r="N483" s="17"/>
      <c r="O483" s="19"/>
      <c r="P483" s="20"/>
      <c r="Q483" s="20"/>
      <c r="S483" s="15"/>
    </row>
    <row r="484" spans="3:19" ht="14.25" customHeight="1">
      <c r="C484" s="17"/>
      <c r="D484" s="17"/>
      <c r="E484" s="23"/>
      <c r="F484" s="15"/>
      <c r="G484" s="15"/>
      <c r="H484" s="15"/>
      <c r="I484" s="3"/>
      <c r="J484" s="17"/>
      <c r="K484" s="17"/>
      <c r="L484" s="17"/>
      <c r="M484" s="17"/>
      <c r="N484" s="17"/>
      <c r="O484" s="19"/>
      <c r="P484" s="20"/>
      <c r="Q484" s="20"/>
      <c r="S484" s="15"/>
    </row>
    <row r="485" spans="3:19" ht="14.25" customHeight="1">
      <c r="C485" s="17"/>
      <c r="D485" s="17"/>
      <c r="E485" s="23"/>
      <c r="F485" s="15"/>
      <c r="G485" s="15"/>
      <c r="H485" s="15"/>
      <c r="I485" s="3"/>
      <c r="J485" s="17"/>
      <c r="K485" s="17"/>
      <c r="L485" s="17"/>
      <c r="M485" s="17"/>
      <c r="N485" s="17"/>
      <c r="O485" s="19"/>
      <c r="P485" s="20"/>
      <c r="Q485" s="20"/>
      <c r="S485" s="15"/>
    </row>
    <row r="486" spans="3:19" ht="14.25" customHeight="1">
      <c r="C486" s="17"/>
      <c r="D486" s="17"/>
      <c r="E486" s="23"/>
      <c r="F486" s="15"/>
      <c r="G486" s="15"/>
      <c r="H486" s="15"/>
      <c r="I486" s="3"/>
      <c r="J486" s="17"/>
      <c r="K486" s="17"/>
      <c r="L486" s="17"/>
      <c r="M486" s="17"/>
      <c r="N486" s="17"/>
      <c r="O486" s="19"/>
      <c r="P486" s="20"/>
      <c r="Q486" s="20"/>
      <c r="S486" s="15"/>
    </row>
    <row r="487" spans="3:19" ht="14.25" customHeight="1">
      <c r="C487" s="17"/>
      <c r="D487" s="17"/>
      <c r="E487" s="23"/>
      <c r="F487" s="15"/>
      <c r="G487" s="15"/>
      <c r="H487" s="15"/>
      <c r="I487" s="3"/>
      <c r="J487" s="17"/>
      <c r="K487" s="17"/>
      <c r="L487" s="17"/>
      <c r="M487" s="17"/>
      <c r="N487" s="17"/>
      <c r="O487" s="19"/>
      <c r="P487" s="20"/>
      <c r="Q487" s="20"/>
      <c r="S487" s="15"/>
    </row>
    <row r="488" spans="3:19" ht="14.25" customHeight="1">
      <c r="C488" s="17"/>
      <c r="D488" s="17"/>
      <c r="E488" s="23"/>
      <c r="F488" s="15"/>
      <c r="G488" s="15"/>
      <c r="H488" s="15"/>
      <c r="I488" s="3"/>
      <c r="J488" s="17"/>
      <c r="K488" s="17"/>
      <c r="L488" s="17"/>
      <c r="M488" s="17"/>
      <c r="N488" s="17"/>
      <c r="O488" s="19"/>
      <c r="P488" s="20"/>
      <c r="Q488" s="20"/>
      <c r="S488" s="15"/>
    </row>
    <row r="489" spans="3:19" ht="14.25" customHeight="1">
      <c r="C489" s="17"/>
      <c r="D489" s="17"/>
      <c r="E489" s="23"/>
      <c r="F489" s="15"/>
      <c r="G489" s="15"/>
      <c r="H489" s="15"/>
      <c r="I489" s="3"/>
      <c r="J489" s="17"/>
      <c r="K489" s="17"/>
      <c r="L489" s="17"/>
      <c r="M489" s="17"/>
      <c r="N489" s="17"/>
      <c r="O489" s="19"/>
      <c r="P489" s="20"/>
      <c r="Q489" s="20"/>
      <c r="S489" s="15"/>
    </row>
    <row r="490" spans="3:19" ht="14.25" customHeight="1">
      <c r="C490" s="17"/>
      <c r="D490" s="17"/>
      <c r="E490" s="23"/>
      <c r="F490" s="15"/>
      <c r="G490" s="15"/>
      <c r="H490" s="15"/>
      <c r="I490" s="3"/>
      <c r="J490" s="17"/>
      <c r="K490" s="17"/>
      <c r="L490" s="17"/>
      <c r="M490" s="17"/>
      <c r="N490" s="17"/>
      <c r="O490" s="19"/>
      <c r="P490" s="20"/>
      <c r="Q490" s="20"/>
      <c r="S490" s="15"/>
    </row>
    <row r="491" spans="3:19" ht="14.25" customHeight="1">
      <c r="C491" s="17"/>
      <c r="D491" s="17"/>
      <c r="E491" s="23"/>
      <c r="F491" s="15"/>
      <c r="G491" s="15"/>
      <c r="H491" s="15"/>
      <c r="I491" s="3"/>
      <c r="J491" s="17"/>
      <c r="K491" s="17"/>
      <c r="L491" s="17"/>
      <c r="M491" s="17"/>
      <c r="N491" s="17"/>
      <c r="O491" s="19"/>
      <c r="P491" s="20"/>
      <c r="Q491" s="20"/>
      <c r="S491" s="15"/>
    </row>
    <row r="492" spans="3:19" ht="14.25" customHeight="1">
      <c r="C492" s="17"/>
      <c r="D492" s="17"/>
      <c r="E492" s="23"/>
      <c r="F492" s="15"/>
      <c r="G492" s="15"/>
      <c r="H492" s="15"/>
      <c r="I492" s="3"/>
      <c r="J492" s="17"/>
      <c r="K492" s="17"/>
      <c r="L492" s="17"/>
      <c r="M492" s="17"/>
      <c r="N492" s="17"/>
      <c r="O492" s="19"/>
      <c r="P492" s="20"/>
      <c r="Q492" s="20"/>
      <c r="S492" s="15"/>
    </row>
    <row r="493" spans="3:19" ht="14.25" customHeight="1">
      <c r="C493" s="17"/>
      <c r="D493" s="17"/>
      <c r="E493" s="23"/>
      <c r="F493" s="15"/>
      <c r="G493" s="15"/>
      <c r="H493" s="15"/>
      <c r="I493" s="3"/>
      <c r="J493" s="17"/>
      <c r="K493" s="17"/>
      <c r="L493" s="17"/>
      <c r="M493" s="17"/>
      <c r="N493" s="17"/>
      <c r="O493" s="19"/>
      <c r="P493" s="20"/>
      <c r="Q493" s="20"/>
      <c r="S493" s="15"/>
    </row>
    <row r="494" spans="3:19" ht="14.25" customHeight="1">
      <c r="C494" s="17"/>
      <c r="D494" s="17"/>
      <c r="E494" s="23"/>
      <c r="F494" s="15"/>
      <c r="G494" s="15"/>
      <c r="H494" s="15"/>
      <c r="I494" s="3"/>
      <c r="J494" s="17"/>
      <c r="K494" s="17"/>
      <c r="L494" s="17"/>
      <c r="M494" s="17"/>
      <c r="N494" s="17"/>
      <c r="O494" s="19"/>
      <c r="P494" s="20"/>
      <c r="Q494" s="20"/>
      <c r="S494" s="15"/>
    </row>
    <row r="495" spans="3:19" ht="14.25" customHeight="1">
      <c r="C495" s="17"/>
      <c r="D495" s="17"/>
      <c r="E495" s="23"/>
      <c r="F495" s="15"/>
      <c r="G495" s="15"/>
      <c r="H495" s="15"/>
      <c r="I495" s="3"/>
      <c r="J495" s="17"/>
      <c r="K495" s="17"/>
      <c r="L495" s="17"/>
      <c r="M495" s="17"/>
      <c r="N495" s="17"/>
      <c r="O495" s="19"/>
      <c r="P495" s="20"/>
      <c r="Q495" s="20"/>
      <c r="S495" s="15"/>
    </row>
    <row r="496" spans="3:19" ht="14.25" customHeight="1">
      <c r="C496" s="17"/>
      <c r="D496" s="17"/>
      <c r="E496" s="23"/>
      <c r="F496" s="15"/>
      <c r="G496" s="15"/>
      <c r="H496" s="15"/>
      <c r="I496" s="3"/>
      <c r="J496" s="17"/>
      <c r="K496" s="17"/>
      <c r="L496" s="17"/>
      <c r="M496" s="17"/>
      <c r="N496" s="17"/>
      <c r="O496" s="19"/>
      <c r="P496" s="20"/>
      <c r="Q496" s="20"/>
      <c r="S496" s="15"/>
    </row>
    <row r="497" spans="3:19" ht="14.25" customHeight="1">
      <c r="C497" s="17"/>
      <c r="D497" s="17"/>
      <c r="E497" s="23"/>
      <c r="F497" s="15"/>
      <c r="G497" s="15"/>
      <c r="H497" s="15"/>
      <c r="I497" s="3"/>
      <c r="J497" s="17"/>
      <c r="K497" s="17"/>
      <c r="L497" s="17"/>
      <c r="M497" s="17"/>
      <c r="N497" s="17"/>
      <c r="O497" s="19"/>
      <c r="P497" s="20"/>
      <c r="Q497" s="20"/>
      <c r="S497" s="15"/>
    </row>
    <row r="498" spans="3:19" ht="14.25" customHeight="1">
      <c r="C498" s="17"/>
      <c r="D498" s="17"/>
      <c r="E498" s="23"/>
      <c r="F498" s="15"/>
      <c r="G498" s="15"/>
      <c r="H498" s="15"/>
      <c r="I498" s="3"/>
      <c r="J498" s="17"/>
      <c r="K498" s="17"/>
      <c r="L498" s="17"/>
      <c r="M498" s="17"/>
      <c r="N498" s="17"/>
      <c r="O498" s="19"/>
      <c r="P498" s="20"/>
      <c r="Q498" s="20"/>
      <c r="S498" s="15"/>
    </row>
    <row r="499" spans="3:19" ht="14.25" customHeight="1">
      <c r="C499" s="17"/>
      <c r="D499" s="17"/>
      <c r="E499" s="23"/>
      <c r="F499" s="15"/>
      <c r="G499" s="15"/>
      <c r="H499" s="15"/>
      <c r="I499" s="3"/>
      <c r="J499" s="17"/>
      <c r="K499" s="17"/>
      <c r="L499" s="17"/>
      <c r="M499" s="17"/>
      <c r="N499" s="17"/>
      <c r="O499" s="19"/>
      <c r="P499" s="20"/>
      <c r="Q499" s="20"/>
      <c r="S499" s="15"/>
    </row>
    <row r="500" spans="3:19" ht="14.25" customHeight="1">
      <c r="C500" s="17"/>
      <c r="D500" s="17"/>
      <c r="E500" s="23"/>
      <c r="F500" s="15"/>
      <c r="G500" s="15"/>
      <c r="H500" s="15"/>
      <c r="I500" s="3"/>
      <c r="J500" s="17"/>
      <c r="K500" s="17"/>
      <c r="L500" s="17"/>
      <c r="M500" s="17"/>
      <c r="N500" s="17"/>
      <c r="O500" s="19"/>
      <c r="P500" s="20"/>
      <c r="Q500" s="20"/>
      <c r="S500" s="15"/>
    </row>
    <row r="501" spans="3:19" ht="14.25" customHeight="1">
      <c r="C501" s="17"/>
      <c r="D501" s="17"/>
      <c r="E501" s="23"/>
      <c r="F501" s="15"/>
      <c r="G501" s="15"/>
      <c r="H501" s="15"/>
      <c r="I501" s="3"/>
      <c r="J501" s="17"/>
      <c r="K501" s="17"/>
      <c r="L501" s="17"/>
      <c r="M501" s="17"/>
      <c r="N501" s="17"/>
      <c r="O501" s="19"/>
      <c r="P501" s="20"/>
      <c r="Q501" s="20"/>
      <c r="S501" s="15"/>
    </row>
    <row r="502" spans="3:19" ht="14.25" customHeight="1">
      <c r="C502" s="17"/>
      <c r="D502" s="17"/>
      <c r="E502" s="23"/>
      <c r="F502" s="15"/>
      <c r="G502" s="15"/>
      <c r="H502" s="15"/>
      <c r="I502" s="3"/>
      <c r="J502" s="17"/>
      <c r="K502" s="17"/>
      <c r="L502" s="17"/>
      <c r="M502" s="17"/>
      <c r="N502" s="17"/>
      <c r="O502" s="19"/>
      <c r="P502" s="20"/>
      <c r="Q502" s="20"/>
      <c r="S502" s="15"/>
    </row>
    <row r="503" spans="3:19" ht="14.25" customHeight="1">
      <c r="C503" s="17"/>
      <c r="D503" s="17"/>
      <c r="E503" s="23"/>
      <c r="F503" s="15"/>
      <c r="G503" s="15"/>
      <c r="H503" s="15"/>
      <c r="I503" s="3"/>
      <c r="J503" s="17"/>
      <c r="K503" s="17"/>
      <c r="L503" s="17"/>
      <c r="M503" s="17"/>
      <c r="N503" s="17"/>
      <c r="O503" s="19"/>
      <c r="P503" s="20"/>
      <c r="Q503" s="20"/>
      <c r="S503" s="15"/>
    </row>
    <row r="504" spans="3:19" ht="14.25" customHeight="1">
      <c r="C504" s="17"/>
      <c r="D504" s="17"/>
      <c r="E504" s="23"/>
      <c r="F504" s="15"/>
      <c r="G504" s="15"/>
      <c r="H504" s="15"/>
      <c r="I504" s="3"/>
      <c r="J504" s="17"/>
      <c r="K504" s="17"/>
      <c r="L504" s="17"/>
      <c r="M504" s="17"/>
      <c r="N504" s="17"/>
      <c r="O504" s="19"/>
      <c r="P504" s="20"/>
      <c r="Q504" s="20"/>
      <c r="S504" s="15"/>
    </row>
    <row r="505" spans="3:19" ht="14.25" customHeight="1">
      <c r="C505" s="17"/>
      <c r="D505" s="17"/>
      <c r="E505" s="23"/>
      <c r="F505" s="15"/>
      <c r="G505" s="15"/>
      <c r="H505" s="15"/>
      <c r="I505" s="3"/>
      <c r="J505" s="17"/>
      <c r="K505" s="17"/>
      <c r="L505" s="17"/>
      <c r="M505" s="17"/>
      <c r="N505" s="17"/>
      <c r="O505" s="19"/>
      <c r="P505" s="20"/>
      <c r="Q505" s="20"/>
      <c r="S505" s="15"/>
    </row>
    <row r="506" spans="3:19" ht="14.25" customHeight="1">
      <c r="C506" s="17"/>
      <c r="D506" s="17"/>
      <c r="E506" s="23"/>
      <c r="F506" s="15"/>
      <c r="G506" s="15"/>
      <c r="H506" s="15"/>
      <c r="I506" s="3"/>
      <c r="J506" s="17"/>
      <c r="K506" s="17"/>
      <c r="L506" s="17"/>
      <c r="M506" s="17"/>
      <c r="N506" s="17"/>
      <c r="O506" s="19"/>
      <c r="P506" s="20"/>
      <c r="Q506" s="20"/>
      <c r="S506" s="15"/>
    </row>
    <row r="507" spans="3:19" ht="14.25" customHeight="1">
      <c r="C507" s="17"/>
      <c r="D507" s="17"/>
      <c r="E507" s="23"/>
      <c r="F507" s="15"/>
      <c r="G507" s="15"/>
      <c r="H507" s="15"/>
      <c r="I507" s="3"/>
      <c r="J507" s="17"/>
      <c r="K507" s="17"/>
      <c r="L507" s="17"/>
      <c r="M507" s="17"/>
      <c r="N507" s="17"/>
      <c r="O507" s="19"/>
      <c r="P507" s="20"/>
      <c r="Q507" s="20"/>
      <c r="S507" s="15"/>
    </row>
    <row r="508" spans="3:19" ht="14.25" customHeight="1">
      <c r="C508" s="17"/>
      <c r="D508" s="17"/>
      <c r="E508" s="23"/>
      <c r="F508" s="15"/>
      <c r="G508" s="15"/>
      <c r="H508" s="15"/>
      <c r="I508" s="3"/>
      <c r="J508" s="17"/>
      <c r="K508" s="17"/>
      <c r="L508" s="17"/>
      <c r="M508" s="17"/>
      <c r="N508" s="17"/>
      <c r="O508" s="19"/>
      <c r="P508" s="20"/>
      <c r="Q508" s="20"/>
      <c r="S508" s="15"/>
    </row>
    <row r="509" spans="3:19" ht="14.25" customHeight="1">
      <c r="C509" s="17"/>
      <c r="D509" s="17"/>
      <c r="E509" s="23"/>
      <c r="F509" s="15"/>
      <c r="G509" s="15"/>
      <c r="H509" s="15"/>
      <c r="I509" s="3"/>
      <c r="J509" s="17"/>
      <c r="K509" s="17"/>
      <c r="L509" s="17"/>
      <c r="M509" s="17"/>
      <c r="N509" s="17"/>
      <c r="O509" s="19"/>
      <c r="P509" s="20"/>
      <c r="Q509" s="20"/>
      <c r="S509" s="15"/>
    </row>
    <row r="510" spans="3:19" ht="14.25" customHeight="1">
      <c r="C510" s="17"/>
      <c r="D510" s="17"/>
      <c r="E510" s="23"/>
      <c r="F510" s="15"/>
      <c r="G510" s="15"/>
      <c r="H510" s="15"/>
      <c r="I510" s="3"/>
      <c r="J510" s="17"/>
      <c r="K510" s="17"/>
      <c r="L510" s="17"/>
      <c r="M510" s="17"/>
      <c r="N510" s="17"/>
      <c r="O510" s="19"/>
      <c r="P510" s="20"/>
      <c r="Q510" s="20"/>
      <c r="S510" s="15"/>
    </row>
    <row r="511" spans="3:19" ht="14.25" customHeight="1">
      <c r="C511" s="17"/>
      <c r="D511" s="17"/>
      <c r="E511" s="23"/>
      <c r="F511" s="15"/>
      <c r="G511" s="15"/>
      <c r="H511" s="15"/>
      <c r="I511" s="3"/>
      <c r="J511" s="17"/>
      <c r="K511" s="17"/>
      <c r="L511" s="17"/>
      <c r="M511" s="17"/>
      <c r="N511" s="17"/>
      <c r="O511" s="19"/>
      <c r="P511" s="20"/>
      <c r="Q511" s="20"/>
      <c r="S511" s="15"/>
    </row>
    <row r="512" spans="3:19" ht="14.25" customHeight="1">
      <c r="C512" s="17"/>
      <c r="D512" s="17"/>
      <c r="E512" s="23"/>
      <c r="F512" s="15"/>
      <c r="G512" s="15"/>
      <c r="H512" s="15"/>
      <c r="I512" s="3"/>
      <c r="J512" s="17"/>
      <c r="K512" s="17"/>
      <c r="L512" s="17"/>
      <c r="M512" s="17"/>
      <c r="N512" s="17"/>
      <c r="O512" s="19"/>
      <c r="P512" s="20"/>
      <c r="Q512" s="20"/>
      <c r="S512" s="15"/>
    </row>
    <row r="513" spans="3:19" ht="14.25" customHeight="1">
      <c r="C513" s="17"/>
      <c r="D513" s="17"/>
      <c r="E513" s="23"/>
      <c r="F513" s="15"/>
      <c r="G513" s="15"/>
      <c r="H513" s="15"/>
      <c r="I513" s="3"/>
      <c r="J513" s="17"/>
      <c r="K513" s="17"/>
      <c r="L513" s="17"/>
      <c r="M513" s="17"/>
      <c r="N513" s="17"/>
      <c r="O513" s="19"/>
      <c r="P513" s="20"/>
      <c r="Q513" s="20"/>
      <c r="S513" s="15"/>
    </row>
    <row r="514" spans="3:19" ht="14.25" customHeight="1">
      <c r="C514" s="17"/>
      <c r="D514" s="17"/>
      <c r="E514" s="23"/>
      <c r="F514" s="15"/>
      <c r="G514" s="15"/>
      <c r="H514" s="15"/>
      <c r="I514" s="3"/>
      <c r="J514" s="17"/>
      <c r="K514" s="17"/>
      <c r="L514" s="17"/>
      <c r="M514" s="17"/>
      <c r="N514" s="17"/>
      <c r="O514" s="19"/>
      <c r="P514" s="20"/>
      <c r="Q514" s="20"/>
      <c r="S514" s="15"/>
    </row>
    <row r="515" spans="3:19" ht="14.25" customHeight="1">
      <c r="C515" s="17"/>
      <c r="D515" s="17"/>
      <c r="E515" s="23"/>
      <c r="F515" s="15"/>
      <c r="G515" s="15"/>
      <c r="H515" s="15"/>
      <c r="I515" s="3"/>
      <c r="J515" s="17"/>
      <c r="K515" s="17"/>
      <c r="L515" s="17"/>
      <c r="M515" s="17"/>
      <c r="N515" s="17"/>
      <c r="O515" s="19"/>
      <c r="P515" s="20"/>
      <c r="Q515" s="20"/>
      <c r="S515" s="15"/>
    </row>
    <row r="516" spans="3:19" ht="14.25" customHeight="1">
      <c r="C516" s="17"/>
      <c r="D516" s="17"/>
      <c r="E516" s="23"/>
      <c r="F516" s="15"/>
      <c r="G516" s="15"/>
      <c r="H516" s="15"/>
      <c r="I516" s="3"/>
      <c r="J516" s="17"/>
      <c r="K516" s="17"/>
      <c r="L516" s="17"/>
      <c r="M516" s="17"/>
      <c r="N516" s="17"/>
      <c r="O516" s="19"/>
      <c r="P516" s="20"/>
      <c r="Q516" s="20"/>
      <c r="S516" s="15"/>
    </row>
    <row r="517" spans="3:19" ht="14.25" customHeight="1">
      <c r="C517" s="17"/>
      <c r="D517" s="17"/>
      <c r="E517" s="23"/>
      <c r="F517" s="15"/>
      <c r="G517" s="15"/>
      <c r="H517" s="15"/>
      <c r="I517" s="3"/>
      <c r="J517" s="17"/>
      <c r="K517" s="17"/>
      <c r="L517" s="17"/>
      <c r="M517" s="17"/>
      <c r="N517" s="17"/>
      <c r="O517" s="19"/>
      <c r="P517" s="20"/>
      <c r="Q517" s="20"/>
      <c r="S517" s="15"/>
    </row>
    <row r="518" spans="3:19" ht="14.25" customHeight="1">
      <c r="C518" s="17"/>
      <c r="D518" s="17"/>
      <c r="E518" s="23"/>
      <c r="F518" s="15"/>
      <c r="G518" s="15"/>
      <c r="H518" s="15"/>
      <c r="I518" s="3"/>
      <c r="J518" s="17"/>
      <c r="K518" s="17"/>
      <c r="L518" s="17"/>
      <c r="M518" s="17"/>
      <c r="N518" s="17"/>
      <c r="O518" s="19"/>
      <c r="P518" s="20"/>
      <c r="Q518" s="20"/>
      <c r="S518" s="15"/>
    </row>
    <row r="519" spans="3:19" ht="14.25" customHeight="1">
      <c r="C519" s="17"/>
      <c r="D519" s="17"/>
      <c r="E519" s="23"/>
      <c r="F519" s="15"/>
      <c r="G519" s="15"/>
      <c r="H519" s="15"/>
      <c r="I519" s="3"/>
      <c r="J519" s="17"/>
      <c r="K519" s="17"/>
      <c r="L519" s="17"/>
      <c r="M519" s="17"/>
      <c r="N519" s="17"/>
      <c r="O519" s="19"/>
      <c r="P519" s="20"/>
      <c r="Q519" s="20"/>
      <c r="S519" s="15"/>
    </row>
    <row r="520" spans="3:19" ht="14.25" customHeight="1">
      <c r="C520" s="17"/>
      <c r="D520" s="17"/>
      <c r="E520" s="23"/>
      <c r="F520" s="15"/>
      <c r="G520" s="15"/>
      <c r="H520" s="15"/>
      <c r="I520" s="3"/>
      <c r="J520" s="17"/>
      <c r="K520" s="17"/>
      <c r="L520" s="17"/>
      <c r="M520" s="17"/>
      <c r="N520" s="17"/>
      <c r="O520" s="19"/>
      <c r="P520" s="20"/>
      <c r="Q520" s="20"/>
      <c r="S520" s="15"/>
    </row>
    <row r="521" spans="3:19" ht="14.25" customHeight="1">
      <c r="C521" s="17"/>
      <c r="D521" s="17"/>
      <c r="E521" s="23"/>
      <c r="F521" s="15"/>
      <c r="G521" s="15"/>
      <c r="H521" s="15"/>
      <c r="I521" s="3"/>
      <c r="J521" s="17"/>
      <c r="K521" s="17"/>
      <c r="L521" s="17"/>
      <c r="M521" s="17"/>
      <c r="N521" s="17"/>
      <c r="O521" s="19"/>
      <c r="P521" s="20"/>
      <c r="Q521" s="20"/>
      <c r="S521" s="15"/>
    </row>
    <row r="522" spans="3:19" ht="14.25" customHeight="1">
      <c r="C522" s="17"/>
      <c r="D522" s="17"/>
      <c r="E522" s="23"/>
      <c r="F522" s="15"/>
      <c r="G522" s="15"/>
      <c r="H522" s="15"/>
      <c r="I522" s="3"/>
      <c r="J522" s="17"/>
      <c r="K522" s="17"/>
      <c r="L522" s="17"/>
      <c r="M522" s="17"/>
      <c r="N522" s="17"/>
      <c r="O522" s="19"/>
      <c r="P522" s="20"/>
      <c r="Q522" s="20"/>
      <c r="S522" s="15"/>
    </row>
    <row r="523" spans="3:19" ht="14.25" customHeight="1">
      <c r="C523" s="17"/>
      <c r="D523" s="17"/>
      <c r="E523" s="23"/>
      <c r="F523" s="15"/>
      <c r="G523" s="15"/>
      <c r="H523" s="15"/>
      <c r="I523" s="3"/>
      <c r="J523" s="17"/>
      <c r="K523" s="17"/>
      <c r="L523" s="17"/>
      <c r="M523" s="17"/>
      <c r="N523" s="17"/>
      <c r="O523" s="19"/>
      <c r="P523" s="20"/>
      <c r="Q523" s="20"/>
      <c r="S523" s="15"/>
    </row>
    <row r="524" spans="3:19" ht="14.25" customHeight="1">
      <c r="C524" s="17"/>
      <c r="D524" s="17"/>
      <c r="E524" s="23"/>
      <c r="F524" s="15"/>
      <c r="G524" s="15"/>
      <c r="H524" s="15"/>
      <c r="I524" s="3"/>
      <c r="J524" s="17"/>
      <c r="K524" s="17"/>
      <c r="L524" s="17"/>
      <c r="M524" s="17"/>
      <c r="N524" s="17"/>
      <c r="O524" s="19"/>
      <c r="P524" s="20"/>
      <c r="Q524" s="20"/>
      <c r="S524" s="15"/>
    </row>
    <row r="525" spans="3:19" ht="14.25" customHeight="1">
      <c r="C525" s="17"/>
      <c r="D525" s="17"/>
      <c r="E525" s="23"/>
      <c r="F525" s="15"/>
      <c r="G525" s="15"/>
      <c r="H525" s="15"/>
      <c r="I525" s="3"/>
      <c r="J525" s="17"/>
      <c r="K525" s="17"/>
      <c r="L525" s="17"/>
      <c r="M525" s="17"/>
      <c r="N525" s="17"/>
      <c r="O525" s="19"/>
      <c r="P525" s="20"/>
      <c r="Q525" s="20"/>
      <c r="S525" s="15"/>
    </row>
    <row r="526" spans="3:19" ht="14.25" customHeight="1">
      <c r="C526" s="17"/>
      <c r="D526" s="17"/>
      <c r="E526" s="23"/>
      <c r="F526" s="15"/>
      <c r="G526" s="15"/>
      <c r="H526" s="15"/>
      <c r="I526" s="3"/>
      <c r="J526" s="17"/>
      <c r="K526" s="17"/>
      <c r="L526" s="17"/>
      <c r="M526" s="17"/>
      <c r="N526" s="17"/>
      <c r="O526" s="19"/>
      <c r="P526" s="20"/>
      <c r="Q526" s="20"/>
      <c r="S526" s="15"/>
    </row>
    <row r="527" spans="3:19" ht="14.25" customHeight="1">
      <c r="C527" s="17"/>
      <c r="D527" s="17"/>
      <c r="E527" s="23"/>
      <c r="F527" s="15"/>
      <c r="G527" s="15"/>
      <c r="H527" s="15"/>
      <c r="I527" s="3"/>
      <c r="J527" s="17"/>
      <c r="K527" s="17"/>
      <c r="L527" s="17"/>
      <c r="M527" s="17"/>
      <c r="N527" s="17"/>
      <c r="O527" s="19"/>
      <c r="P527" s="20"/>
      <c r="Q527" s="20"/>
      <c r="S527" s="15"/>
    </row>
    <row r="528" spans="3:19" ht="14.25" customHeight="1">
      <c r="C528" s="17"/>
      <c r="D528" s="17"/>
      <c r="E528" s="23"/>
      <c r="F528" s="15"/>
      <c r="G528" s="15"/>
      <c r="H528" s="15"/>
      <c r="I528" s="3"/>
      <c r="J528" s="17"/>
      <c r="K528" s="17"/>
      <c r="L528" s="17"/>
      <c r="M528" s="17"/>
      <c r="N528" s="17"/>
      <c r="O528" s="19"/>
      <c r="P528" s="20"/>
      <c r="Q528" s="20"/>
      <c r="S528" s="15"/>
    </row>
    <row r="529" spans="3:19" ht="14.25" customHeight="1">
      <c r="C529" s="17"/>
      <c r="D529" s="17"/>
      <c r="E529" s="23"/>
      <c r="F529" s="15"/>
      <c r="G529" s="15"/>
      <c r="H529" s="15"/>
      <c r="I529" s="3"/>
      <c r="J529" s="17"/>
      <c r="K529" s="17"/>
      <c r="L529" s="17"/>
      <c r="M529" s="17"/>
      <c r="N529" s="17"/>
      <c r="O529" s="19"/>
      <c r="P529" s="20"/>
      <c r="Q529" s="20"/>
      <c r="S529" s="15"/>
    </row>
    <row r="530" spans="3:19" ht="14.25" customHeight="1">
      <c r="C530" s="17"/>
      <c r="D530" s="17"/>
      <c r="E530" s="23"/>
      <c r="F530" s="15"/>
      <c r="G530" s="15"/>
      <c r="H530" s="15"/>
      <c r="I530" s="3"/>
      <c r="J530" s="17"/>
      <c r="K530" s="17"/>
      <c r="L530" s="17"/>
      <c r="M530" s="17"/>
      <c r="N530" s="17"/>
      <c r="O530" s="19"/>
      <c r="P530" s="20"/>
      <c r="Q530" s="20"/>
      <c r="S530" s="15"/>
    </row>
    <row r="531" spans="3:19" ht="14.25" customHeight="1">
      <c r="C531" s="17"/>
      <c r="D531" s="17"/>
      <c r="E531" s="23"/>
      <c r="F531" s="15"/>
      <c r="G531" s="15"/>
      <c r="H531" s="15"/>
      <c r="I531" s="3"/>
      <c r="J531" s="17"/>
      <c r="K531" s="17"/>
      <c r="L531" s="17"/>
      <c r="M531" s="17"/>
      <c r="N531" s="17"/>
      <c r="O531" s="19"/>
      <c r="P531" s="20"/>
      <c r="Q531" s="20"/>
      <c r="S531" s="15"/>
    </row>
    <row r="532" spans="3:19" ht="14.25" customHeight="1">
      <c r="C532" s="17"/>
      <c r="D532" s="17"/>
      <c r="E532" s="23"/>
      <c r="F532" s="15"/>
      <c r="G532" s="15"/>
      <c r="H532" s="15"/>
      <c r="I532" s="3"/>
      <c r="J532" s="17"/>
      <c r="K532" s="17"/>
      <c r="L532" s="17"/>
      <c r="M532" s="17"/>
      <c r="N532" s="17"/>
      <c r="O532" s="19"/>
      <c r="P532" s="20"/>
      <c r="Q532" s="20"/>
      <c r="S532" s="15"/>
    </row>
    <row r="533" spans="3:19" ht="14.25" customHeight="1">
      <c r="C533" s="17"/>
      <c r="D533" s="17"/>
      <c r="E533" s="23"/>
      <c r="F533" s="15"/>
      <c r="G533" s="15"/>
      <c r="H533" s="15"/>
      <c r="I533" s="3"/>
      <c r="J533" s="17"/>
      <c r="K533" s="17"/>
      <c r="L533" s="17"/>
      <c r="M533" s="17"/>
      <c r="N533" s="17"/>
      <c r="O533" s="19"/>
      <c r="P533" s="20"/>
      <c r="Q533" s="20"/>
      <c r="S533" s="15"/>
    </row>
    <row r="534" spans="3:19" ht="14.25" customHeight="1">
      <c r="C534" s="17"/>
      <c r="D534" s="17"/>
      <c r="E534" s="23"/>
      <c r="F534" s="15"/>
      <c r="G534" s="15"/>
      <c r="H534" s="15"/>
      <c r="I534" s="3"/>
      <c r="J534" s="17"/>
      <c r="K534" s="17"/>
      <c r="L534" s="17"/>
      <c r="M534" s="17"/>
      <c r="N534" s="17"/>
      <c r="O534" s="19"/>
      <c r="P534" s="20"/>
      <c r="Q534" s="20"/>
      <c r="S534" s="15"/>
    </row>
    <row r="535" spans="3:19" ht="14.25" customHeight="1">
      <c r="C535" s="17"/>
      <c r="D535" s="17"/>
      <c r="E535" s="23"/>
      <c r="F535" s="15"/>
      <c r="G535" s="15"/>
      <c r="H535" s="15"/>
      <c r="I535" s="3"/>
      <c r="J535" s="17"/>
      <c r="K535" s="17"/>
      <c r="L535" s="17"/>
      <c r="M535" s="17"/>
      <c r="N535" s="17"/>
      <c r="O535" s="19"/>
      <c r="P535" s="20"/>
      <c r="Q535" s="20"/>
      <c r="S535" s="15"/>
    </row>
    <row r="536" spans="3:19" ht="14.25" customHeight="1">
      <c r="C536" s="17"/>
      <c r="D536" s="17"/>
      <c r="E536" s="23"/>
      <c r="F536" s="15"/>
      <c r="G536" s="15"/>
      <c r="H536" s="15"/>
      <c r="I536" s="3"/>
      <c r="J536" s="17"/>
      <c r="K536" s="17"/>
      <c r="L536" s="17"/>
      <c r="M536" s="17"/>
      <c r="N536" s="17"/>
      <c r="O536" s="19"/>
      <c r="P536" s="20"/>
      <c r="Q536" s="20"/>
      <c r="S536" s="15"/>
    </row>
    <row r="537" spans="3:19" ht="14.25" customHeight="1">
      <c r="C537" s="17"/>
      <c r="D537" s="17"/>
      <c r="E537" s="23"/>
      <c r="F537" s="15"/>
      <c r="G537" s="15"/>
      <c r="H537" s="15"/>
      <c r="I537" s="3"/>
      <c r="J537" s="17"/>
      <c r="K537" s="17"/>
      <c r="L537" s="17"/>
      <c r="M537" s="17"/>
      <c r="N537" s="17"/>
      <c r="O537" s="19"/>
      <c r="P537" s="20"/>
      <c r="Q537" s="20"/>
      <c r="S537" s="15"/>
    </row>
    <row r="538" spans="3:19" ht="14.25" customHeight="1">
      <c r="C538" s="17"/>
      <c r="D538" s="17"/>
      <c r="E538" s="23"/>
      <c r="F538" s="15"/>
      <c r="G538" s="15"/>
      <c r="H538" s="15"/>
      <c r="I538" s="3"/>
      <c r="J538" s="17"/>
      <c r="K538" s="17"/>
      <c r="L538" s="17"/>
      <c r="M538" s="17"/>
      <c r="N538" s="17"/>
      <c r="O538" s="19"/>
      <c r="P538" s="20"/>
      <c r="Q538" s="20"/>
      <c r="S538" s="15"/>
    </row>
    <row r="539" spans="3:19" ht="14.25" customHeight="1">
      <c r="C539" s="17"/>
      <c r="D539" s="17"/>
      <c r="E539" s="23"/>
      <c r="F539" s="15"/>
      <c r="G539" s="15"/>
      <c r="H539" s="15"/>
      <c r="I539" s="3"/>
      <c r="J539" s="17"/>
      <c r="K539" s="17"/>
      <c r="L539" s="17"/>
      <c r="M539" s="17"/>
      <c r="N539" s="17"/>
      <c r="O539" s="19"/>
      <c r="P539" s="20"/>
      <c r="Q539" s="20"/>
      <c r="S539" s="15"/>
    </row>
    <row r="540" spans="3:19" ht="14.25" customHeight="1">
      <c r="C540" s="17"/>
      <c r="D540" s="17"/>
      <c r="E540" s="23"/>
      <c r="F540" s="15"/>
      <c r="G540" s="15"/>
      <c r="H540" s="15"/>
      <c r="I540" s="3"/>
      <c r="J540" s="17"/>
      <c r="K540" s="17"/>
      <c r="L540" s="17"/>
      <c r="M540" s="17"/>
      <c r="N540" s="17"/>
      <c r="O540" s="19"/>
      <c r="P540" s="20"/>
      <c r="Q540" s="20"/>
      <c r="S540" s="15"/>
    </row>
    <row r="541" spans="3:19" ht="14.25" customHeight="1">
      <c r="C541" s="17"/>
      <c r="D541" s="17"/>
      <c r="E541" s="23"/>
      <c r="F541" s="15"/>
      <c r="G541" s="15"/>
      <c r="H541" s="15"/>
      <c r="I541" s="3"/>
      <c r="J541" s="17"/>
      <c r="K541" s="17"/>
      <c r="L541" s="17"/>
      <c r="M541" s="17"/>
      <c r="N541" s="17"/>
      <c r="O541" s="19"/>
      <c r="P541" s="20"/>
      <c r="Q541" s="20"/>
      <c r="S541" s="15"/>
    </row>
    <row r="542" spans="3:19" ht="14.25" customHeight="1">
      <c r="C542" s="17"/>
      <c r="D542" s="17"/>
      <c r="E542" s="23"/>
      <c r="F542" s="15"/>
      <c r="G542" s="15"/>
      <c r="H542" s="15"/>
      <c r="I542" s="3"/>
      <c r="J542" s="17"/>
      <c r="K542" s="17"/>
      <c r="L542" s="17"/>
      <c r="M542" s="17"/>
      <c r="N542" s="17"/>
      <c r="O542" s="19"/>
      <c r="P542" s="20"/>
      <c r="Q542" s="20"/>
      <c r="S542" s="15"/>
    </row>
    <row r="543" spans="3:19" ht="14.25" customHeight="1">
      <c r="C543" s="17"/>
      <c r="D543" s="17"/>
      <c r="E543" s="23"/>
      <c r="F543" s="15"/>
      <c r="G543" s="15"/>
      <c r="H543" s="15"/>
      <c r="I543" s="3"/>
      <c r="J543" s="17"/>
      <c r="K543" s="17"/>
      <c r="L543" s="17"/>
      <c r="M543" s="17"/>
      <c r="N543" s="17"/>
      <c r="O543" s="19"/>
      <c r="P543" s="20"/>
      <c r="Q543" s="20"/>
      <c r="S543" s="15"/>
    </row>
    <row r="544" spans="3:19" ht="14.25" customHeight="1">
      <c r="C544" s="17"/>
      <c r="D544" s="17"/>
      <c r="E544" s="23"/>
      <c r="F544" s="15"/>
      <c r="G544" s="15"/>
      <c r="H544" s="15"/>
      <c r="I544" s="3"/>
      <c r="J544" s="17"/>
      <c r="K544" s="17"/>
      <c r="L544" s="17"/>
      <c r="M544" s="17"/>
      <c r="N544" s="17"/>
      <c r="O544" s="19"/>
      <c r="P544" s="20"/>
      <c r="Q544" s="20"/>
      <c r="S544" s="15"/>
    </row>
    <row r="545" spans="3:19" ht="14.25" customHeight="1">
      <c r="C545" s="17"/>
      <c r="D545" s="17"/>
      <c r="E545" s="23"/>
      <c r="F545" s="15"/>
      <c r="G545" s="15"/>
      <c r="H545" s="15"/>
      <c r="I545" s="3"/>
      <c r="J545" s="17"/>
      <c r="K545" s="17"/>
      <c r="L545" s="17"/>
      <c r="M545" s="17"/>
      <c r="N545" s="17"/>
      <c r="O545" s="19"/>
      <c r="P545" s="20"/>
      <c r="Q545" s="20"/>
      <c r="S545" s="15"/>
    </row>
    <row r="546" spans="3:19" ht="14.25" customHeight="1">
      <c r="C546" s="17"/>
      <c r="D546" s="17"/>
      <c r="E546" s="23"/>
      <c r="F546" s="15"/>
      <c r="G546" s="15"/>
      <c r="H546" s="15"/>
      <c r="I546" s="3"/>
      <c r="J546" s="17"/>
      <c r="K546" s="17"/>
      <c r="L546" s="17"/>
      <c r="M546" s="17"/>
      <c r="N546" s="17"/>
      <c r="O546" s="19"/>
      <c r="P546" s="20"/>
      <c r="Q546" s="20"/>
      <c r="S546" s="15"/>
    </row>
    <row r="547" spans="3:19" ht="14.25" customHeight="1">
      <c r="C547" s="17"/>
      <c r="D547" s="17"/>
      <c r="E547" s="23"/>
      <c r="F547" s="15"/>
      <c r="G547" s="15"/>
      <c r="H547" s="15"/>
      <c r="I547" s="3"/>
      <c r="J547" s="17"/>
      <c r="K547" s="17"/>
      <c r="L547" s="17"/>
      <c r="M547" s="17"/>
      <c r="N547" s="17"/>
      <c r="O547" s="19"/>
      <c r="P547" s="20"/>
      <c r="Q547" s="20"/>
      <c r="S547" s="15"/>
    </row>
    <row r="548" spans="3:19" ht="14.25" customHeight="1">
      <c r="C548" s="17"/>
      <c r="D548" s="17"/>
      <c r="E548" s="23"/>
      <c r="F548" s="15"/>
      <c r="G548" s="15"/>
      <c r="H548" s="15"/>
      <c r="I548" s="3"/>
      <c r="J548" s="17"/>
      <c r="K548" s="17"/>
      <c r="L548" s="17"/>
      <c r="M548" s="17"/>
      <c r="N548" s="17"/>
      <c r="O548" s="19"/>
      <c r="P548" s="20"/>
      <c r="Q548" s="20"/>
      <c r="S548" s="15"/>
    </row>
    <row r="549" spans="3:19" ht="14.25" customHeight="1">
      <c r="C549" s="17"/>
      <c r="D549" s="17"/>
      <c r="E549" s="23"/>
      <c r="F549" s="15"/>
      <c r="G549" s="15"/>
      <c r="H549" s="15"/>
      <c r="I549" s="3"/>
      <c r="J549" s="17"/>
      <c r="K549" s="17"/>
      <c r="L549" s="17"/>
      <c r="M549" s="17"/>
      <c r="N549" s="17"/>
      <c r="O549" s="19"/>
      <c r="P549" s="20"/>
      <c r="Q549" s="20"/>
      <c r="S549" s="15"/>
    </row>
    <row r="550" spans="3:19" ht="14.25" customHeight="1">
      <c r="C550" s="17"/>
      <c r="D550" s="17"/>
      <c r="E550" s="23"/>
      <c r="F550" s="15"/>
      <c r="G550" s="15"/>
      <c r="H550" s="15"/>
      <c r="I550" s="3"/>
      <c r="J550" s="17"/>
      <c r="K550" s="17"/>
      <c r="L550" s="17"/>
      <c r="M550" s="17"/>
      <c r="N550" s="17"/>
      <c r="O550" s="19"/>
      <c r="P550" s="20"/>
      <c r="Q550" s="20"/>
      <c r="S550" s="15"/>
    </row>
    <row r="551" spans="3:19" ht="14.25" customHeight="1">
      <c r="C551" s="17"/>
      <c r="D551" s="17"/>
      <c r="E551" s="23"/>
      <c r="F551" s="15"/>
      <c r="G551" s="15"/>
      <c r="H551" s="15"/>
      <c r="I551" s="3"/>
      <c r="J551" s="17"/>
      <c r="K551" s="17"/>
      <c r="L551" s="17"/>
      <c r="M551" s="17"/>
      <c r="N551" s="17"/>
      <c r="O551" s="19"/>
      <c r="P551" s="20"/>
      <c r="Q551" s="20"/>
      <c r="S551" s="15"/>
    </row>
    <row r="552" spans="3:19" ht="14.25" customHeight="1">
      <c r="C552" s="17"/>
      <c r="D552" s="17"/>
      <c r="E552" s="23"/>
      <c r="F552" s="15"/>
      <c r="G552" s="15"/>
      <c r="H552" s="15"/>
      <c r="I552" s="3"/>
      <c r="J552" s="17"/>
      <c r="K552" s="17"/>
      <c r="L552" s="17"/>
      <c r="M552" s="17"/>
      <c r="N552" s="17"/>
      <c r="O552" s="19"/>
      <c r="P552" s="20"/>
      <c r="Q552" s="20"/>
      <c r="S552" s="15"/>
    </row>
    <row r="553" spans="3:19" ht="14.25" customHeight="1">
      <c r="C553" s="17"/>
      <c r="D553" s="17"/>
      <c r="E553" s="23"/>
      <c r="F553" s="15"/>
      <c r="G553" s="15"/>
      <c r="H553" s="15"/>
      <c r="I553" s="3"/>
      <c r="J553" s="17"/>
      <c r="K553" s="17"/>
      <c r="L553" s="17"/>
      <c r="M553" s="17"/>
      <c r="N553" s="17"/>
      <c r="O553" s="19"/>
      <c r="P553" s="20"/>
      <c r="Q553" s="20"/>
      <c r="S553" s="15"/>
    </row>
    <row r="554" spans="3:19" ht="14.25" customHeight="1">
      <c r="C554" s="17"/>
      <c r="D554" s="17"/>
      <c r="E554" s="23"/>
      <c r="F554" s="15"/>
      <c r="G554" s="15"/>
      <c r="H554" s="15"/>
      <c r="I554" s="3"/>
      <c r="J554" s="17"/>
      <c r="K554" s="17"/>
      <c r="L554" s="17"/>
      <c r="M554" s="17"/>
      <c r="N554" s="17"/>
      <c r="O554" s="19"/>
      <c r="P554" s="20"/>
      <c r="Q554" s="20"/>
      <c r="S554" s="15"/>
    </row>
    <row r="555" spans="3:19" ht="14.25" customHeight="1">
      <c r="C555" s="17"/>
      <c r="D555" s="17"/>
      <c r="E555" s="23"/>
      <c r="F555" s="15"/>
      <c r="G555" s="15"/>
      <c r="H555" s="15"/>
      <c r="I555" s="3"/>
      <c r="J555" s="17"/>
      <c r="K555" s="17"/>
      <c r="L555" s="17"/>
      <c r="M555" s="17"/>
      <c r="N555" s="17"/>
      <c r="O555" s="19"/>
      <c r="P555" s="20"/>
      <c r="Q555" s="20"/>
      <c r="S555" s="15"/>
    </row>
    <row r="556" spans="3:19" ht="14.25" customHeight="1">
      <c r="C556" s="17"/>
      <c r="D556" s="17"/>
      <c r="E556" s="23"/>
      <c r="F556" s="15"/>
      <c r="G556" s="15"/>
      <c r="H556" s="15"/>
      <c r="I556" s="3"/>
      <c r="J556" s="17"/>
      <c r="K556" s="17"/>
      <c r="L556" s="17"/>
      <c r="M556" s="17"/>
      <c r="N556" s="17"/>
      <c r="O556" s="19"/>
      <c r="P556" s="20"/>
      <c r="Q556" s="20"/>
      <c r="S556" s="15"/>
    </row>
    <row r="557" spans="3:19" ht="14.25" customHeight="1">
      <c r="C557" s="17"/>
      <c r="D557" s="17"/>
      <c r="E557" s="23"/>
      <c r="F557" s="15"/>
      <c r="G557" s="15"/>
      <c r="H557" s="15"/>
      <c r="I557" s="3"/>
      <c r="J557" s="17"/>
      <c r="K557" s="17"/>
      <c r="L557" s="17"/>
      <c r="M557" s="17"/>
      <c r="N557" s="17"/>
      <c r="O557" s="19"/>
      <c r="P557" s="20"/>
      <c r="Q557" s="20"/>
      <c r="S557" s="15"/>
    </row>
    <row r="558" spans="3:19" ht="14.25" customHeight="1">
      <c r="C558" s="17"/>
      <c r="D558" s="17"/>
      <c r="E558" s="23"/>
      <c r="F558" s="15"/>
      <c r="G558" s="15"/>
      <c r="H558" s="15"/>
      <c r="I558" s="3"/>
      <c r="J558" s="17"/>
      <c r="K558" s="17"/>
      <c r="L558" s="17"/>
      <c r="M558" s="17"/>
      <c r="N558" s="17"/>
      <c r="O558" s="19"/>
      <c r="P558" s="20"/>
      <c r="Q558" s="20"/>
      <c r="S558" s="15"/>
    </row>
    <row r="559" spans="3:19" ht="14.25" customHeight="1">
      <c r="C559" s="17"/>
      <c r="D559" s="17"/>
      <c r="E559" s="23"/>
      <c r="F559" s="15"/>
      <c r="G559" s="15"/>
      <c r="H559" s="15"/>
      <c r="I559" s="3"/>
      <c r="J559" s="17"/>
      <c r="K559" s="17"/>
      <c r="L559" s="17"/>
      <c r="M559" s="17"/>
      <c r="N559" s="17"/>
      <c r="O559" s="19"/>
      <c r="P559" s="20"/>
      <c r="Q559" s="20"/>
      <c r="S559" s="15"/>
    </row>
    <row r="560" spans="3:19" ht="14.25" customHeight="1">
      <c r="C560" s="17"/>
      <c r="D560" s="17"/>
      <c r="E560" s="23"/>
      <c r="F560" s="15"/>
      <c r="G560" s="15"/>
      <c r="H560" s="15"/>
      <c r="I560" s="3"/>
      <c r="J560" s="17"/>
      <c r="K560" s="17"/>
      <c r="L560" s="17"/>
      <c r="M560" s="17"/>
      <c r="N560" s="17"/>
      <c r="O560" s="19"/>
      <c r="P560" s="20"/>
      <c r="Q560" s="20"/>
      <c r="S560" s="15"/>
    </row>
    <row r="561" spans="3:19" ht="14.25" customHeight="1">
      <c r="C561" s="17"/>
      <c r="D561" s="17"/>
      <c r="E561" s="23"/>
      <c r="F561" s="15"/>
      <c r="G561" s="15"/>
      <c r="H561" s="15"/>
      <c r="I561" s="3"/>
      <c r="J561" s="17"/>
      <c r="K561" s="17"/>
      <c r="L561" s="17"/>
      <c r="M561" s="17"/>
      <c r="N561" s="17"/>
      <c r="O561" s="19"/>
      <c r="P561" s="20"/>
      <c r="Q561" s="20"/>
      <c r="S561" s="15"/>
    </row>
    <row r="562" spans="3:19" ht="14.25" customHeight="1">
      <c r="C562" s="17"/>
      <c r="D562" s="17"/>
      <c r="E562" s="23"/>
      <c r="F562" s="15"/>
      <c r="G562" s="15"/>
      <c r="H562" s="15"/>
      <c r="I562" s="3"/>
      <c r="J562" s="17"/>
      <c r="K562" s="17"/>
      <c r="L562" s="17"/>
      <c r="M562" s="17"/>
      <c r="N562" s="17"/>
      <c r="O562" s="19"/>
      <c r="P562" s="20"/>
      <c r="Q562" s="20"/>
      <c r="S562" s="15"/>
    </row>
    <row r="563" spans="3:19" ht="14.25" customHeight="1">
      <c r="C563" s="17"/>
      <c r="D563" s="17"/>
      <c r="E563" s="23"/>
      <c r="F563" s="15"/>
      <c r="G563" s="15"/>
      <c r="H563" s="15"/>
      <c r="I563" s="3"/>
      <c r="J563" s="17"/>
      <c r="K563" s="17"/>
      <c r="L563" s="17"/>
      <c r="M563" s="17"/>
      <c r="N563" s="17"/>
      <c r="O563" s="19"/>
      <c r="P563" s="20"/>
      <c r="Q563" s="20"/>
      <c r="S563" s="15"/>
    </row>
    <row r="564" spans="3:19" ht="14.25" customHeight="1">
      <c r="C564" s="17"/>
      <c r="D564" s="17"/>
      <c r="E564" s="23"/>
      <c r="F564" s="15"/>
      <c r="G564" s="15"/>
      <c r="H564" s="15"/>
      <c r="I564" s="3"/>
      <c r="J564" s="17"/>
      <c r="K564" s="17"/>
      <c r="L564" s="17"/>
      <c r="M564" s="17"/>
      <c r="N564" s="17"/>
      <c r="O564" s="19"/>
      <c r="P564" s="20"/>
      <c r="Q564" s="20"/>
      <c r="S564" s="15"/>
    </row>
    <row r="565" spans="3:19" ht="14.25" customHeight="1">
      <c r="C565" s="17"/>
      <c r="D565" s="17"/>
      <c r="E565" s="23"/>
      <c r="F565" s="15"/>
      <c r="G565" s="15"/>
      <c r="H565" s="15"/>
      <c r="I565" s="3"/>
      <c r="J565" s="17"/>
      <c r="K565" s="17"/>
      <c r="L565" s="17"/>
      <c r="M565" s="17"/>
      <c r="N565" s="17"/>
      <c r="O565" s="19"/>
      <c r="P565" s="20"/>
      <c r="Q565" s="20"/>
      <c r="S565" s="15"/>
    </row>
    <row r="566" spans="3:19" ht="14.25" customHeight="1">
      <c r="C566" s="17"/>
      <c r="D566" s="17"/>
      <c r="E566" s="23"/>
      <c r="F566" s="15"/>
      <c r="G566" s="15"/>
      <c r="H566" s="15"/>
      <c r="I566" s="3"/>
      <c r="J566" s="17"/>
      <c r="K566" s="17"/>
      <c r="L566" s="17"/>
      <c r="M566" s="17"/>
      <c r="N566" s="17"/>
      <c r="O566" s="19"/>
      <c r="P566" s="20"/>
      <c r="Q566" s="20"/>
      <c r="S566" s="15"/>
    </row>
    <row r="567" spans="3:19" ht="14.25" customHeight="1">
      <c r="C567" s="17"/>
      <c r="D567" s="17"/>
      <c r="E567" s="23"/>
      <c r="F567" s="15"/>
      <c r="G567" s="15"/>
      <c r="H567" s="15"/>
      <c r="I567" s="3"/>
      <c r="J567" s="17"/>
      <c r="K567" s="17"/>
      <c r="L567" s="17"/>
      <c r="M567" s="17"/>
      <c r="N567" s="17"/>
      <c r="O567" s="19"/>
      <c r="P567" s="20"/>
      <c r="Q567" s="20"/>
      <c r="S567" s="15"/>
    </row>
    <row r="568" spans="3:19" ht="14.25" customHeight="1">
      <c r="C568" s="17"/>
      <c r="D568" s="17"/>
      <c r="E568" s="23"/>
      <c r="F568" s="15"/>
      <c r="G568" s="15"/>
      <c r="H568" s="15"/>
      <c r="I568" s="3"/>
      <c r="J568" s="17"/>
      <c r="K568" s="17"/>
      <c r="L568" s="17"/>
      <c r="M568" s="17"/>
      <c r="N568" s="17"/>
      <c r="O568" s="19"/>
      <c r="P568" s="20"/>
      <c r="Q568" s="20"/>
      <c r="S568" s="15"/>
    </row>
    <row r="569" spans="3:19" ht="14.25" customHeight="1">
      <c r="C569" s="17"/>
      <c r="D569" s="17"/>
      <c r="E569" s="23"/>
      <c r="F569" s="15"/>
      <c r="G569" s="15"/>
      <c r="H569" s="15"/>
      <c r="I569" s="3"/>
      <c r="J569" s="17"/>
      <c r="K569" s="17"/>
      <c r="L569" s="17"/>
      <c r="M569" s="17"/>
      <c r="N569" s="17"/>
      <c r="O569" s="19"/>
      <c r="P569" s="20"/>
      <c r="Q569" s="20"/>
      <c r="S569" s="15"/>
    </row>
    <row r="570" spans="3:19" ht="14.25" customHeight="1">
      <c r="C570" s="17"/>
      <c r="D570" s="17"/>
      <c r="E570" s="23"/>
      <c r="F570" s="15"/>
      <c r="G570" s="15"/>
      <c r="H570" s="15"/>
      <c r="I570" s="3"/>
      <c r="J570" s="17"/>
      <c r="K570" s="17"/>
      <c r="L570" s="17"/>
      <c r="M570" s="17"/>
      <c r="N570" s="17"/>
      <c r="O570" s="19"/>
      <c r="P570" s="20"/>
      <c r="Q570" s="20"/>
      <c r="S570" s="15"/>
    </row>
    <row r="571" spans="3:19" ht="14.25" customHeight="1">
      <c r="C571" s="17"/>
      <c r="D571" s="17"/>
      <c r="E571" s="23"/>
      <c r="F571" s="15"/>
      <c r="G571" s="15"/>
      <c r="H571" s="15"/>
      <c r="I571" s="3"/>
      <c r="J571" s="17"/>
      <c r="K571" s="17"/>
      <c r="L571" s="17"/>
      <c r="M571" s="17"/>
      <c r="N571" s="17"/>
      <c r="O571" s="19"/>
      <c r="P571" s="20"/>
      <c r="Q571" s="20"/>
      <c r="S571" s="15"/>
    </row>
    <row r="572" spans="3:19" ht="14.25" customHeight="1">
      <c r="C572" s="17"/>
      <c r="D572" s="17"/>
      <c r="E572" s="23"/>
      <c r="F572" s="15"/>
      <c r="G572" s="15"/>
      <c r="H572" s="15"/>
      <c r="I572" s="3"/>
      <c r="J572" s="17"/>
      <c r="K572" s="17"/>
      <c r="L572" s="17"/>
      <c r="M572" s="17"/>
      <c r="N572" s="17"/>
      <c r="O572" s="19"/>
      <c r="P572" s="20"/>
      <c r="Q572" s="20"/>
      <c r="S572" s="15"/>
    </row>
    <row r="573" spans="3:19" ht="14.25" customHeight="1">
      <c r="C573" s="17"/>
      <c r="D573" s="17"/>
      <c r="E573" s="23"/>
      <c r="F573" s="15"/>
      <c r="G573" s="15"/>
      <c r="H573" s="15"/>
      <c r="I573" s="3"/>
      <c r="J573" s="17"/>
      <c r="K573" s="17"/>
      <c r="L573" s="17"/>
      <c r="M573" s="17"/>
      <c r="N573" s="17"/>
      <c r="O573" s="19"/>
      <c r="P573" s="20"/>
      <c r="Q573" s="20"/>
      <c r="S573" s="15"/>
    </row>
    <row r="574" spans="3:19" ht="14.25" customHeight="1">
      <c r="C574" s="17"/>
      <c r="D574" s="17"/>
      <c r="E574" s="23"/>
      <c r="F574" s="15"/>
      <c r="G574" s="15"/>
      <c r="H574" s="15"/>
      <c r="I574" s="3"/>
      <c r="J574" s="17"/>
      <c r="K574" s="17"/>
      <c r="L574" s="17"/>
      <c r="M574" s="17"/>
      <c r="N574" s="17"/>
      <c r="O574" s="19"/>
      <c r="P574" s="20"/>
      <c r="Q574" s="20"/>
      <c r="S574" s="15"/>
    </row>
    <row r="575" spans="3:19" ht="14.25" customHeight="1">
      <c r="C575" s="17"/>
      <c r="D575" s="17"/>
      <c r="E575" s="23"/>
      <c r="F575" s="15"/>
      <c r="G575" s="15"/>
      <c r="H575" s="15"/>
      <c r="I575" s="3"/>
      <c r="J575" s="17"/>
      <c r="K575" s="17"/>
      <c r="L575" s="17"/>
      <c r="M575" s="17"/>
      <c r="N575" s="17"/>
      <c r="O575" s="19"/>
      <c r="P575" s="20"/>
      <c r="Q575" s="20"/>
      <c r="S575" s="15"/>
    </row>
    <row r="576" spans="3:19" ht="14.25" customHeight="1">
      <c r="C576" s="17"/>
      <c r="D576" s="17"/>
      <c r="E576" s="23"/>
      <c r="F576" s="15"/>
      <c r="G576" s="15"/>
      <c r="H576" s="15"/>
      <c r="I576" s="3"/>
      <c r="J576" s="17"/>
      <c r="K576" s="17"/>
      <c r="L576" s="17"/>
      <c r="M576" s="17"/>
      <c r="N576" s="17"/>
      <c r="O576" s="19"/>
      <c r="P576" s="20"/>
      <c r="Q576" s="20"/>
      <c r="S576" s="15"/>
    </row>
    <row r="577" spans="3:19" ht="14.25" customHeight="1">
      <c r="C577" s="17"/>
      <c r="D577" s="17"/>
      <c r="E577" s="23"/>
      <c r="F577" s="15"/>
      <c r="G577" s="15"/>
      <c r="H577" s="15"/>
      <c r="I577" s="3"/>
      <c r="J577" s="17"/>
      <c r="K577" s="17"/>
      <c r="L577" s="17"/>
      <c r="M577" s="17"/>
      <c r="N577" s="17"/>
      <c r="O577" s="19"/>
      <c r="P577" s="20"/>
      <c r="Q577" s="20"/>
      <c r="S577" s="15"/>
    </row>
    <row r="578" spans="3:19" ht="14.25" customHeight="1">
      <c r="C578" s="17"/>
      <c r="D578" s="17"/>
      <c r="E578" s="23"/>
      <c r="F578" s="15"/>
      <c r="G578" s="15"/>
      <c r="H578" s="15"/>
      <c r="I578" s="3"/>
      <c r="J578" s="17"/>
      <c r="K578" s="17"/>
      <c r="L578" s="17"/>
      <c r="M578" s="17"/>
      <c r="N578" s="17"/>
      <c r="O578" s="19"/>
      <c r="P578" s="20"/>
      <c r="Q578" s="20"/>
      <c r="S578" s="15"/>
    </row>
    <row r="579" spans="3:19" ht="14.25" customHeight="1">
      <c r="C579" s="17"/>
      <c r="D579" s="17"/>
      <c r="E579" s="23"/>
      <c r="F579" s="15"/>
      <c r="G579" s="15"/>
      <c r="H579" s="15"/>
      <c r="I579" s="3"/>
      <c r="J579" s="17"/>
      <c r="K579" s="17"/>
      <c r="L579" s="17"/>
      <c r="M579" s="17"/>
      <c r="N579" s="17"/>
      <c r="O579" s="19"/>
      <c r="P579" s="20"/>
      <c r="Q579" s="20"/>
      <c r="S579" s="15"/>
    </row>
    <row r="580" spans="3:19" ht="14.25" customHeight="1">
      <c r="C580" s="17"/>
      <c r="D580" s="17"/>
      <c r="E580" s="23"/>
      <c r="F580" s="15"/>
      <c r="G580" s="15"/>
      <c r="H580" s="15"/>
      <c r="I580" s="3"/>
      <c r="J580" s="17"/>
      <c r="K580" s="17"/>
      <c r="L580" s="17"/>
      <c r="M580" s="17"/>
      <c r="N580" s="17"/>
      <c r="O580" s="19"/>
      <c r="P580" s="20"/>
      <c r="Q580" s="20"/>
      <c r="S580" s="15"/>
    </row>
    <row r="581" spans="3:19" ht="14.25" customHeight="1">
      <c r="C581" s="17"/>
      <c r="D581" s="17"/>
      <c r="E581" s="23"/>
      <c r="F581" s="15"/>
      <c r="G581" s="15"/>
      <c r="H581" s="15"/>
      <c r="I581" s="3"/>
      <c r="J581" s="17"/>
      <c r="K581" s="17"/>
      <c r="L581" s="17"/>
      <c r="M581" s="17"/>
      <c r="N581" s="17"/>
      <c r="O581" s="19"/>
      <c r="P581" s="20"/>
      <c r="Q581" s="20"/>
      <c r="S581" s="15"/>
    </row>
    <row r="582" spans="3:19" ht="14.25" customHeight="1">
      <c r="C582" s="17"/>
      <c r="D582" s="17"/>
      <c r="E582" s="23"/>
      <c r="F582" s="15"/>
      <c r="G582" s="15"/>
      <c r="H582" s="15"/>
      <c r="I582" s="3"/>
      <c r="J582" s="17"/>
      <c r="K582" s="17"/>
      <c r="L582" s="17"/>
      <c r="M582" s="17"/>
      <c r="N582" s="17"/>
      <c r="O582" s="19"/>
      <c r="P582" s="20"/>
      <c r="Q582" s="20"/>
      <c r="S582" s="15"/>
    </row>
    <row r="583" spans="3:19" ht="14.25" customHeight="1">
      <c r="C583" s="17"/>
      <c r="D583" s="17"/>
      <c r="E583" s="23"/>
      <c r="F583" s="15"/>
      <c r="G583" s="15"/>
      <c r="H583" s="15"/>
      <c r="I583" s="3"/>
      <c r="J583" s="17"/>
      <c r="K583" s="17"/>
      <c r="L583" s="17"/>
      <c r="M583" s="17"/>
      <c r="N583" s="17"/>
      <c r="O583" s="19"/>
      <c r="P583" s="20"/>
      <c r="Q583" s="20"/>
      <c r="S583" s="15"/>
    </row>
    <row r="584" spans="3:19" ht="14.25" customHeight="1">
      <c r="C584" s="17"/>
      <c r="D584" s="17"/>
      <c r="E584" s="23"/>
      <c r="F584" s="15"/>
      <c r="G584" s="15"/>
      <c r="H584" s="15"/>
      <c r="I584" s="3"/>
      <c r="J584" s="17"/>
      <c r="K584" s="17"/>
      <c r="L584" s="17"/>
      <c r="M584" s="17"/>
      <c r="N584" s="17"/>
      <c r="O584" s="19"/>
      <c r="P584" s="20"/>
      <c r="Q584" s="20"/>
      <c r="S584" s="15"/>
    </row>
    <row r="585" spans="3:19" ht="14.25" customHeight="1">
      <c r="C585" s="17"/>
      <c r="D585" s="17"/>
      <c r="E585" s="23"/>
      <c r="F585" s="15"/>
      <c r="G585" s="15"/>
      <c r="H585" s="15"/>
      <c r="I585" s="3"/>
      <c r="J585" s="17"/>
      <c r="K585" s="17"/>
      <c r="L585" s="17"/>
      <c r="M585" s="17"/>
      <c r="N585" s="17"/>
      <c r="O585" s="19"/>
      <c r="P585" s="20"/>
      <c r="Q585" s="20"/>
      <c r="S585" s="15"/>
    </row>
    <row r="586" spans="3:19" ht="14.25" customHeight="1">
      <c r="C586" s="17"/>
      <c r="D586" s="17"/>
      <c r="E586" s="23"/>
      <c r="F586" s="15"/>
      <c r="G586" s="15"/>
      <c r="H586" s="15"/>
      <c r="I586" s="3"/>
      <c r="J586" s="17"/>
      <c r="K586" s="17"/>
      <c r="L586" s="17"/>
      <c r="M586" s="17"/>
      <c r="N586" s="17"/>
      <c r="O586" s="19"/>
      <c r="P586" s="20"/>
      <c r="Q586" s="20"/>
      <c r="S586" s="15"/>
    </row>
    <row r="587" spans="3:19" ht="14.25" customHeight="1">
      <c r="C587" s="17"/>
      <c r="D587" s="17"/>
      <c r="E587" s="23"/>
      <c r="F587" s="15"/>
      <c r="G587" s="15"/>
      <c r="H587" s="15"/>
      <c r="I587" s="3"/>
      <c r="J587" s="17"/>
      <c r="K587" s="17"/>
      <c r="L587" s="17"/>
      <c r="M587" s="17"/>
      <c r="N587" s="17"/>
      <c r="O587" s="19"/>
      <c r="P587" s="20"/>
      <c r="Q587" s="20"/>
      <c r="S587" s="15"/>
    </row>
    <row r="588" spans="3:19" ht="14.25" customHeight="1">
      <c r="C588" s="17"/>
      <c r="D588" s="17"/>
      <c r="E588" s="23"/>
      <c r="F588" s="15"/>
      <c r="G588" s="15"/>
      <c r="H588" s="15"/>
      <c r="I588" s="3"/>
      <c r="J588" s="17"/>
      <c r="K588" s="17"/>
      <c r="L588" s="17"/>
      <c r="M588" s="17"/>
      <c r="N588" s="17"/>
      <c r="O588" s="19"/>
      <c r="P588" s="20"/>
      <c r="Q588" s="20"/>
      <c r="S588" s="15"/>
    </row>
    <row r="589" spans="3:19" ht="14.25" customHeight="1">
      <c r="C589" s="17"/>
      <c r="D589" s="17"/>
      <c r="E589" s="23"/>
      <c r="F589" s="15"/>
      <c r="G589" s="15"/>
      <c r="H589" s="15"/>
      <c r="I589" s="3"/>
      <c r="J589" s="17"/>
      <c r="K589" s="17"/>
      <c r="L589" s="17"/>
      <c r="M589" s="17"/>
      <c r="N589" s="17"/>
      <c r="O589" s="19"/>
      <c r="P589" s="20"/>
      <c r="Q589" s="20"/>
      <c r="S589" s="15"/>
    </row>
    <row r="590" spans="3:19" ht="14.25" customHeight="1">
      <c r="C590" s="17"/>
      <c r="D590" s="17"/>
      <c r="E590" s="23"/>
      <c r="F590" s="15"/>
      <c r="G590" s="15"/>
      <c r="H590" s="15"/>
      <c r="I590" s="3"/>
      <c r="J590" s="17"/>
      <c r="K590" s="17"/>
      <c r="L590" s="17"/>
      <c r="M590" s="17"/>
      <c r="N590" s="17"/>
      <c r="O590" s="19"/>
      <c r="P590" s="20"/>
      <c r="Q590" s="20"/>
      <c r="S590" s="15"/>
    </row>
    <row r="591" spans="3:19" ht="14.25" customHeight="1">
      <c r="C591" s="17"/>
      <c r="D591" s="17"/>
      <c r="E591" s="23"/>
      <c r="F591" s="15"/>
      <c r="G591" s="15"/>
      <c r="H591" s="15"/>
      <c r="I591" s="3"/>
      <c r="J591" s="17"/>
      <c r="K591" s="17"/>
      <c r="L591" s="17"/>
      <c r="M591" s="17"/>
      <c r="N591" s="17"/>
      <c r="O591" s="19"/>
      <c r="P591" s="20"/>
      <c r="Q591" s="20"/>
      <c r="S591" s="15"/>
    </row>
    <row r="592" spans="3:19" ht="14.25" customHeight="1">
      <c r="C592" s="17"/>
      <c r="D592" s="17"/>
      <c r="E592" s="23"/>
      <c r="F592" s="15"/>
      <c r="G592" s="15"/>
      <c r="H592" s="15"/>
      <c r="I592" s="3"/>
      <c r="J592" s="17"/>
      <c r="K592" s="17"/>
      <c r="L592" s="17"/>
      <c r="M592" s="17"/>
      <c r="N592" s="17"/>
      <c r="O592" s="19"/>
      <c r="P592" s="20"/>
      <c r="Q592" s="20"/>
      <c r="S592" s="15"/>
    </row>
    <row r="593" spans="3:19" ht="14.25" customHeight="1">
      <c r="C593" s="17"/>
      <c r="D593" s="17"/>
      <c r="E593" s="23"/>
      <c r="F593" s="15"/>
      <c r="G593" s="15"/>
      <c r="H593" s="15"/>
      <c r="I593" s="3"/>
      <c r="J593" s="17"/>
      <c r="K593" s="17"/>
      <c r="L593" s="17"/>
      <c r="M593" s="17"/>
      <c r="N593" s="17"/>
      <c r="O593" s="19"/>
      <c r="P593" s="20"/>
      <c r="Q593" s="20"/>
      <c r="S593" s="15"/>
    </row>
    <row r="594" spans="3:19" ht="14.25" customHeight="1">
      <c r="C594" s="17"/>
      <c r="D594" s="17"/>
      <c r="E594" s="23"/>
      <c r="F594" s="15"/>
      <c r="G594" s="15"/>
      <c r="H594" s="15"/>
      <c r="I594" s="3"/>
      <c r="J594" s="17"/>
      <c r="K594" s="17"/>
      <c r="L594" s="17"/>
      <c r="M594" s="17"/>
      <c r="N594" s="17"/>
      <c r="O594" s="19"/>
      <c r="P594" s="20"/>
      <c r="Q594" s="20"/>
      <c r="S594" s="15"/>
    </row>
    <row r="595" spans="3:19" ht="14.25" customHeight="1">
      <c r="C595" s="17"/>
      <c r="D595" s="17"/>
      <c r="E595" s="23"/>
      <c r="F595" s="15"/>
      <c r="G595" s="15"/>
      <c r="H595" s="15"/>
      <c r="I595" s="3"/>
      <c r="J595" s="17"/>
      <c r="K595" s="17"/>
      <c r="L595" s="17"/>
      <c r="M595" s="17"/>
      <c r="N595" s="17"/>
      <c r="O595" s="19"/>
      <c r="P595" s="20"/>
      <c r="Q595" s="20"/>
      <c r="S595" s="15"/>
    </row>
    <row r="596" spans="3:19" ht="14.25" customHeight="1">
      <c r="C596" s="17"/>
      <c r="D596" s="17"/>
      <c r="E596" s="23"/>
      <c r="F596" s="15"/>
      <c r="G596" s="15"/>
      <c r="H596" s="15"/>
      <c r="I596" s="3"/>
      <c r="J596" s="17"/>
      <c r="K596" s="17"/>
      <c r="L596" s="17"/>
      <c r="M596" s="17"/>
      <c r="N596" s="17"/>
      <c r="O596" s="19"/>
      <c r="P596" s="20"/>
      <c r="Q596" s="20"/>
      <c r="S596" s="15"/>
    </row>
    <row r="597" spans="3:19" ht="14.25" customHeight="1">
      <c r="C597" s="17"/>
      <c r="D597" s="17"/>
      <c r="E597" s="23"/>
      <c r="F597" s="15"/>
      <c r="G597" s="15"/>
      <c r="H597" s="15"/>
      <c r="I597" s="3"/>
      <c r="J597" s="17"/>
      <c r="K597" s="17"/>
      <c r="L597" s="17"/>
      <c r="M597" s="17"/>
      <c r="N597" s="17"/>
      <c r="O597" s="19"/>
      <c r="P597" s="20"/>
      <c r="Q597" s="20"/>
      <c r="S597" s="15"/>
    </row>
    <row r="598" spans="3:19" ht="14.25" customHeight="1">
      <c r="C598" s="17"/>
      <c r="D598" s="17"/>
      <c r="E598" s="23"/>
      <c r="F598" s="15"/>
      <c r="G598" s="15"/>
      <c r="H598" s="15"/>
      <c r="I598" s="3"/>
      <c r="J598" s="17"/>
      <c r="K598" s="17"/>
      <c r="L598" s="17"/>
      <c r="M598" s="17"/>
      <c r="N598" s="17"/>
      <c r="O598" s="19"/>
      <c r="P598" s="20"/>
      <c r="Q598" s="20"/>
      <c r="S598" s="15"/>
    </row>
    <row r="599" spans="3:19" ht="14.25" customHeight="1">
      <c r="C599" s="17"/>
      <c r="D599" s="17"/>
      <c r="E599" s="23"/>
      <c r="F599" s="15"/>
      <c r="G599" s="15"/>
      <c r="H599" s="15"/>
      <c r="I599" s="3"/>
      <c r="J599" s="17"/>
      <c r="K599" s="17"/>
      <c r="L599" s="17"/>
      <c r="M599" s="17"/>
      <c r="N599" s="17"/>
      <c r="O599" s="19"/>
      <c r="P599" s="20"/>
      <c r="Q599" s="20"/>
      <c r="S599" s="15"/>
    </row>
    <row r="600" spans="3:19" ht="14.25" customHeight="1">
      <c r="C600" s="17"/>
      <c r="D600" s="17"/>
      <c r="E600" s="23"/>
      <c r="F600" s="15"/>
      <c r="G600" s="15"/>
      <c r="H600" s="15"/>
      <c r="I600" s="3"/>
      <c r="J600" s="17"/>
      <c r="K600" s="17"/>
      <c r="L600" s="17"/>
      <c r="M600" s="17"/>
      <c r="N600" s="17"/>
      <c r="O600" s="19"/>
      <c r="P600" s="20"/>
      <c r="Q600" s="20"/>
      <c r="S600" s="15"/>
    </row>
    <row r="601" spans="3:19" ht="14.25" customHeight="1">
      <c r="C601" s="17"/>
      <c r="D601" s="17"/>
      <c r="E601" s="23"/>
      <c r="F601" s="15"/>
      <c r="G601" s="15"/>
      <c r="H601" s="15"/>
      <c r="I601" s="3"/>
      <c r="J601" s="17"/>
      <c r="K601" s="17"/>
      <c r="L601" s="17"/>
      <c r="M601" s="17"/>
      <c r="N601" s="17"/>
      <c r="O601" s="19"/>
      <c r="P601" s="20"/>
      <c r="Q601" s="20"/>
      <c r="S601" s="15"/>
    </row>
    <row r="602" spans="3:19" ht="14.25" customHeight="1">
      <c r="C602" s="17"/>
      <c r="D602" s="17"/>
      <c r="E602" s="23"/>
      <c r="F602" s="15"/>
      <c r="G602" s="15"/>
      <c r="H602" s="15"/>
      <c r="I602" s="3"/>
      <c r="J602" s="17"/>
      <c r="K602" s="17"/>
      <c r="L602" s="17"/>
      <c r="M602" s="17"/>
      <c r="N602" s="17"/>
      <c r="O602" s="19"/>
      <c r="P602" s="20"/>
      <c r="Q602" s="20"/>
      <c r="S602" s="15"/>
    </row>
    <row r="603" spans="3:19" ht="14.25" customHeight="1">
      <c r="C603" s="17"/>
      <c r="D603" s="17"/>
      <c r="E603" s="23"/>
      <c r="F603" s="15"/>
      <c r="G603" s="15"/>
      <c r="H603" s="15"/>
      <c r="I603" s="3"/>
      <c r="J603" s="17"/>
      <c r="K603" s="17"/>
      <c r="L603" s="17"/>
      <c r="M603" s="17"/>
      <c r="N603" s="17"/>
      <c r="O603" s="19"/>
      <c r="P603" s="20"/>
      <c r="Q603" s="20"/>
      <c r="S603" s="15"/>
    </row>
    <row r="604" spans="3:19" ht="14.25" customHeight="1">
      <c r="C604" s="17"/>
      <c r="D604" s="17"/>
      <c r="E604" s="23"/>
      <c r="F604" s="15"/>
      <c r="G604" s="15"/>
      <c r="H604" s="15"/>
      <c r="I604" s="3"/>
      <c r="J604" s="17"/>
      <c r="K604" s="17"/>
      <c r="L604" s="17"/>
      <c r="M604" s="17"/>
      <c r="N604" s="17"/>
      <c r="O604" s="19"/>
      <c r="P604" s="20"/>
      <c r="Q604" s="20"/>
      <c r="S604" s="15"/>
    </row>
    <row r="605" spans="3:19" ht="14.25" customHeight="1">
      <c r="C605" s="17"/>
      <c r="D605" s="17"/>
      <c r="E605" s="23"/>
      <c r="F605" s="15"/>
      <c r="G605" s="15"/>
      <c r="H605" s="15"/>
      <c r="I605" s="3"/>
      <c r="J605" s="17"/>
      <c r="K605" s="17"/>
      <c r="L605" s="17"/>
      <c r="M605" s="17"/>
      <c r="N605" s="17"/>
      <c r="O605" s="19"/>
      <c r="P605" s="20"/>
      <c r="Q605" s="20"/>
      <c r="S605" s="15"/>
    </row>
    <row r="606" spans="3:19" ht="14.25" customHeight="1">
      <c r="C606" s="17"/>
      <c r="D606" s="17"/>
      <c r="E606" s="23"/>
      <c r="F606" s="15"/>
      <c r="G606" s="15"/>
      <c r="H606" s="15"/>
      <c r="I606" s="3"/>
      <c r="J606" s="17"/>
      <c r="K606" s="17"/>
      <c r="L606" s="17"/>
      <c r="M606" s="17"/>
      <c r="N606" s="17"/>
      <c r="O606" s="19"/>
      <c r="P606" s="20"/>
      <c r="Q606" s="20"/>
      <c r="S606" s="15"/>
    </row>
    <row r="607" spans="3:19" ht="14.25" customHeight="1">
      <c r="C607" s="17"/>
      <c r="D607" s="17"/>
      <c r="E607" s="23"/>
      <c r="F607" s="15"/>
      <c r="G607" s="15"/>
      <c r="H607" s="15"/>
      <c r="I607" s="3"/>
      <c r="J607" s="17"/>
      <c r="K607" s="17"/>
      <c r="L607" s="17"/>
      <c r="M607" s="17"/>
      <c r="N607" s="17"/>
      <c r="O607" s="19"/>
      <c r="P607" s="20"/>
      <c r="Q607" s="20"/>
      <c r="S607" s="15"/>
    </row>
    <row r="608" spans="3:19" ht="14.25" customHeight="1">
      <c r="C608" s="17"/>
      <c r="D608" s="17"/>
      <c r="E608" s="23"/>
      <c r="F608" s="15"/>
      <c r="G608" s="15"/>
      <c r="H608" s="15"/>
      <c r="I608" s="3"/>
      <c r="J608" s="17"/>
      <c r="K608" s="17"/>
      <c r="L608" s="17"/>
      <c r="M608" s="17"/>
      <c r="N608" s="17"/>
      <c r="O608" s="19"/>
      <c r="P608" s="20"/>
      <c r="Q608" s="20"/>
      <c r="S608" s="15"/>
    </row>
    <row r="609" spans="3:19" ht="14.25" customHeight="1">
      <c r="C609" s="17"/>
      <c r="D609" s="17"/>
      <c r="E609" s="23"/>
      <c r="F609" s="15"/>
      <c r="G609" s="15"/>
      <c r="H609" s="15"/>
      <c r="I609" s="3"/>
      <c r="J609" s="17"/>
      <c r="K609" s="17"/>
      <c r="L609" s="17"/>
      <c r="M609" s="17"/>
      <c r="N609" s="17"/>
      <c r="O609" s="19"/>
      <c r="P609" s="20"/>
      <c r="Q609" s="20"/>
      <c r="S609" s="15"/>
    </row>
    <row r="610" spans="3:19" ht="14.25" customHeight="1">
      <c r="C610" s="17"/>
      <c r="D610" s="17"/>
      <c r="E610" s="23"/>
      <c r="F610" s="15"/>
      <c r="G610" s="15"/>
      <c r="H610" s="15"/>
      <c r="I610" s="3"/>
      <c r="J610" s="17"/>
      <c r="K610" s="17"/>
      <c r="L610" s="17"/>
      <c r="M610" s="17"/>
      <c r="N610" s="17"/>
      <c r="O610" s="19"/>
      <c r="P610" s="20"/>
      <c r="Q610" s="20"/>
      <c r="S610" s="15"/>
    </row>
    <row r="611" spans="3:19" ht="14.25" customHeight="1">
      <c r="C611" s="17"/>
      <c r="D611" s="17"/>
      <c r="E611" s="23"/>
      <c r="F611" s="15"/>
      <c r="G611" s="15"/>
      <c r="H611" s="15"/>
      <c r="I611" s="3"/>
      <c r="J611" s="17"/>
      <c r="K611" s="17"/>
      <c r="L611" s="17"/>
      <c r="M611" s="17"/>
      <c r="N611" s="17"/>
      <c r="O611" s="19"/>
      <c r="P611" s="20"/>
      <c r="Q611" s="20"/>
      <c r="S611" s="15"/>
    </row>
    <row r="612" spans="3:19" ht="14.25" customHeight="1">
      <c r="C612" s="17"/>
      <c r="D612" s="17"/>
      <c r="E612" s="23"/>
      <c r="F612" s="15"/>
      <c r="G612" s="15"/>
      <c r="H612" s="15"/>
      <c r="I612" s="3"/>
      <c r="J612" s="17"/>
      <c r="K612" s="17"/>
      <c r="L612" s="17"/>
      <c r="M612" s="17"/>
      <c r="N612" s="17"/>
      <c r="O612" s="19"/>
      <c r="P612" s="20"/>
      <c r="Q612" s="20"/>
      <c r="S612" s="15"/>
    </row>
    <row r="613" spans="3:19" ht="14.25" customHeight="1">
      <c r="C613" s="17"/>
      <c r="D613" s="17"/>
      <c r="E613" s="23"/>
      <c r="F613" s="15"/>
      <c r="G613" s="15"/>
      <c r="H613" s="15"/>
      <c r="I613" s="3"/>
      <c r="J613" s="17"/>
      <c r="K613" s="17"/>
      <c r="L613" s="17"/>
      <c r="M613" s="17"/>
      <c r="N613" s="17"/>
      <c r="O613" s="19"/>
      <c r="P613" s="20"/>
      <c r="Q613" s="20"/>
      <c r="S613" s="15"/>
    </row>
    <row r="614" spans="3:19" ht="14.25" customHeight="1">
      <c r="C614" s="17"/>
      <c r="D614" s="17"/>
      <c r="E614" s="23"/>
      <c r="F614" s="15"/>
      <c r="G614" s="15"/>
      <c r="H614" s="15"/>
      <c r="I614" s="3"/>
      <c r="J614" s="17"/>
      <c r="K614" s="17"/>
      <c r="L614" s="17"/>
      <c r="M614" s="17"/>
      <c r="N614" s="17"/>
      <c r="O614" s="19"/>
      <c r="P614" s="20"/>
      <c r="Q614" s="20"/>
      <c r="S614" s="15"/>
    </row>
    <row r="615" spans="3:19" ht="14.25" customHeight="1">
      <c r="C615" s="17"/>
      <c r="D615" s="17"/>
      <c r="E615" s="23"/>
      <c r="F615" s="15"/>
      <c r="G615" s="15"/>
      <c r="H615" s="15"/>
      <c r="I615" s="3"/>
      <c r="J615" s="17"/>
      <c r="K615" s="17"/>
      <c r="L615" s="17"/>
      <c r="M615" s="17"/>
      <c r="N615" s="17"/>
      <c r="O615" s="19"/>
      <c r="P615" s="20"/>
      <c r="Q615" s="20"/>
      <c r="S615" s="15"/>
    </row>
    <row r="616" spans="3:19" ht="14.25" customHeight="1">
      <c r="C616" s="17"/>
      <c r="D616" s="17"/>
      <c r="E616" s="23"/>
      <c r="F616" s="15"/>
      <c r="G616" s="15"/>
      <c r="H616" s="15"/>
      <c r="I616" s="3"/>
      <c r="J616" s="17"/>
      <c r="K616" s="17"/>
      <c r="L616" s="17"/>
      <c r="M616" s="17"/>
      <c r="N616" s="17"/>
      <c r="O616" s="19"/>
      <c r="P616" s="20"/>
      <c r="Q616" s="20"/>
      <c r="S616" s="15"/>
    </row>
    <row r="617" spans="3:19" ht="14.25" customHeight="1">
      <c r="C617" s="17"/>
      <c r="D617" s="17"/>
      <c r="E617" s="23"/>
      <c r="F617" s="15"/>
      <c r="G617" s="15"/>
      <c r="H617" s="15"/>
      <c r="I617" s="3"/>
      <c r="J617" s="17"/>
      <c r="K617" s="17"/>
      <c r="L617" s="17"/>
      <c r="M617" s="17"/>
      <c r="N617" s="17"/>
      <c r="O617" s="19"/>
      <c r="P617" s="20"/>
      <c r="Q617" s="20"/>
      <c r="S617" s="15"/>
    </row>
    <row r="618" spans="3:19" ht="14.25" customHeight="1">
      <c r="C618" s="17"/>
      <c r="D618" s="17"/>
      <c r="E618" s="23"/>
      <c r="F618" s="15"/>
      <c r="G618" s="15"/>
      <c r="H618" s="15"/>
      <c r="I618" s="3"/>
      <c r="J618" s="17"/>
      <c r="K618" s="17"/>
      <c r="L618" s="17"/>
      <c r="M618" s="17"/>
      <c r="N618" s="17"/>
      <c r="O618" s="19"/>
      <c r="P618" s="20"/>
      <c r="Q618" s="20"/>
      <c r="S618" s="15"/>
    </row>
    <row r="619" spans="3:19" ht="14.25" customHeight="1">
      <c r="C619" s="17"/>
      <c r="D619" s="17"/>
      <c r="E619" s="23"/>
      <c r="F619" s="15"/>
      <c r="G619" s="15"/>
      <c r="H619" s="15"/>
      <c r="I619" s="3"/>
      <c r="J619" s="17"/>
      <c r="K619" s="17"/>
      <c r="L619" s="17"/>
      <c r="M619" s="17"/>
      <c r="N619" s="17"/>
      <c r="O619" s="19"/>
      <c r="P619" s="20"/>
      <c r="Q619" s="20"/>
      <c r="S619" s="15"/>
    </row>
    <row r="620" spans="3:19" ht="14.25" customHeight="1">
      <c r="C620" s="17"/>
      <c r="D620" s="17"/>
      <c r="E620" s="23"/>
      <c r="F620" s="15"/>
      <c r="G620" s="15"/>
      <c r="H620" s="15"/>
      <c r="I620" s="3"/>
      <c r="J620" s="17"/>
      <c r="K620" s="17"/>
      <c r="L620" s="17"/>
      <c r="M620" s="17"/>
      <c r="N620" s="17"/>
      <c r="O620" s="19"/>
      <c r="P620" s="20"/>
      <c r="Q620" s="20"/>
      <c r="S620" s="15"/>
    </row>
    <row r="621" spans="3:19" ht="14.25" customHeight="1">
      <c r="C621" s="17"/>
      <c r="D621" s="17"/>
      <c r="E621" s="23"/>
      <c r="F621" s="15"/>
      <c r="G621" s="15"/>
      <c r="H621" s="15"/>
      <c r="I621" s="3"/>
      <c r="J621" s="17"/>
      <c r="K621" s="17"/>
      <c r="L621" s="17"/>
      <c r="M621" s="17"/>
      <c r="N621" s="17"/>
      <c r="O621" s="19"/>
      <c r="P621" s="20"/>
      <c r="Q621" s="20"/>
      <c r="S621" s="15"/>
    </row>
    <row r="622" spans="3:19" ht="14.25" customHeight="1">
      <c r="C622" s="17"/>
      <c r="D622" s="17"/>
      <c r="E622" s="23"/>
      <c r="F622" s="15"/>
      <c r="G622" s="15"/>
      <c r="H622" s="15"/>
      <c r="I622" s="3"/>
      <c r="J622" s="17"/>
      <c r="K622" s="17"/>
      <c r="L622" s="17"/>
      <c r="M622" s="17"/>
      <c r="N622" s="17"/>
      <c r="O622" s="19"/>
      <c r="P622" s="20"/>
      <c r="Q622" s="20"/>
      <c r="S622" s="15"/>
    </row>
    <row r="623" spans="3:19" ht="14.25" customHeight="1">
      <c r="C623" s="17"/>
      <c r="D623" s="17"/>
      <c r="E623" s="23"/>
      <c r="F623" s="15"/>
      <c r="G623" s="15"/>
      <c r="H623" s="15"/>
      <c r="I623" s="3"/>
      <c r="J623" s="17"/>
      <c r="K623" s="17"/>
      <c r="L623" s="17"/>
      <c r="M623" s="17"/>
      <c r="N623" s="17"/>
      <c r="O623" s="19"/>
      <c r="P623" s="20"/>
      <c r="Q623" s="20"/>
      <c r="S623" s="15"/>
    </row>
    <row r="624" spans="3:19" ht="14.25" customHeight="1">
      <c r="C624" s="17"/>
      <c r="D624" s="17"/>
      <c r="E624" s="23"/>
      <c r="F624" s="15"/>
      <c r="G624" s="15"/>
      <c r="H624" s="15"/>
      <c r="I624" s="3"/>
      <c r="J624" s="17"/>
      <c r="K624" s="17"/>
      <c r="L624" s="17"/>
      <c r="M624" s="17"/>
      <c r="N624" s="17"/>
      <c r="O624" s="19"/>
      <c r="P624" s="20"/>
      <c r="Q624" s="20"/>
      <c r="S624" s="15"/>
    </row>
    <row r="625" spans="3:19" ht="14.25" customHeight="1">
      <c r="C625" s="17"/>
      <c r="D625" s="17"/>
      <c r="E625" s="23"/>
      <c r="F625" s="15"/>
      <c r="G625" s="15"/>
      <c r="H625" s="15"/>
      <c r="I625" s="3"/>
      <c r="J625" s="17"/>
      <c r="K625" s="17"/>
      <c r="L625" s="17"/>
      <c r="M625" s="17"/>
      <c r="N625" s="17"/>
      <c r="O625" s="19"/>
      <c r="P625" s="20"/>
      <c r="Q625" s="20"/>
      <c r="S625" s="15"/>
    </row>
    <row r="626" spans="3:19" ht="14.25" customHeight="1">
      <c r="C626" s="17"/>
      <c r="D626" s="17"/>
      <c r="E626" s="23"/>
      <c r="F626" s="15"/>
      <c r="G626" s="15"/>
      <c r="H626" s="15"/>
      <c r="I626" s="3"/>
      <c r="J626" s="17"/>
      <c r="K626" s="17"/>
      <c r="L626" s="17"/>
      <c r="M626" s="17"/>
      <c r="N626" s="17"/>
      <c r="O626" s="19"/>
      <c r="P626" s="20"/>
      <c r="Q626" s="20"/>
      <c r="S626" s="15"/>
    </row>
    <row r="627" spans="3:19" ht="14.25" customHeight="1">
      <c r="C627" s="17"/>
      <c r="D627" s="17"/>
      <c r="E627" s="23"/>
      <c r="F627" s="15"/>
      <c r="G627" s="15"/>
      <c r="H627" s="15"/>
      <c r="I627" s="3"/>
      <c r="J627" s="17"/>
      <c r="K627" s="17"/>
      <c r="L627" s="17"/>
      <c r="M627" s="17"/>
      <c r="N627" s="17"/>
      <c r="O627" s="19"/>
      <c r="P627" s="20"/>
      <c r="Q627" s="20"/>
      <c r="S627" s="15"/>
    </row>
    <row r="628" spans="3:19" ht="14.25" customHeight="1">
      <c r="C628" s="17"/>
      <c r="D628" s="17"/>
      <c r="E628" s="23"/>
      <c r="F628" s="15"/>
      <c r="G628" s="15"/>
      <c r="H628" s="15"/>
      <c r="I628" s="3"/>
      <c r="J628" s="17"/>
      <c r="K628" s="17"/>
      <c r="L628" s="17"/>
      <c r="M628" s="17"/>
      <c r="N628" s="17"/>
      <c r="O628" s="19"/>
      <c r="P628" s="20"/>
      <c r="Q628" s="20"/>
      <c r="S628" s="15"/>
    </row>
    <row r="629" spans="3:19" ht="14.25" customHeight="1">
      <c r="C629" s="17"/>
      <c r="D629" s="17"/>
      <c r="E629" s="23"/>
      <c r="F629" s="15"/>
      <c r="G629" s="15"/>
      <c r="H629" s="15"/>
      <c r="I629" s="3"/>
      <c r="J629" s="17"/>
      <c r="K629" s="17"/>
      <c r="L629" s="17"/>
      <c r="M629" s="17"/>
      <c r="N629" s="17"/>
      <c r="O629" s="19"/>
      <c r="P629" s="20"/>
      <c r="Q629" s="20"/>
      <c r="S629" s="15"/>
    </row>
    <row r="630" spans="3:19" ht="14.25" customHeight="1">
      <c r="C630" s="17"/>
      <c r="D630" s="17"/>
      <c r="E630" s="23"/>
      <c r="F630" s="15"/>
      <c r="G630" s="15"/>
      <c r="H630" s="15"/>
      <c r="I630" s="3"/>
      <c r="J630" s="17"/>
      <c r="K630" s="17"/>
      <c r="L630" s="17"/>
      <c r="M630" s="17"/>
      <c r="N630" s="17"/>
      <c r="O630" s="19"/>
      <c r="P630" s="20"/>
      <c r="Q630" s="20"/>
      <c r="S630" s="15"/>
    </row>
    <row r="631" spans="3:19" ht="14.25" customHeight="1">
      <c r="C631" s="17"/>
      <c r="D631" s="17"/>
      <c r="E631" s="23"/>
      <c r="F631" s="15"/>
      <c r="G631" s="15"/>
      <c r="H631" s="15"/>
      <c r="I631" s="3"/>
      <c r="J631" s="17"/>
      <c r="K631" s="17"/>
      <c r="L631" s="17"/>
      <c r="M631" s="17"/>
      <c r="N631" s="17"/>
      <c r="O631" s="19"/>
      <c r="P631" s="20"/>
      <c r="Q631" s="20"/>
      <c r="S631" s="15"/>
    </row>
    <row r="632" spans="3:19" ht="14.25" customHeight="1">
      <c r="C632" s="17"/>
      <c r="D632" s="17"/>
      <c r="E632" s="23"/>
      <c r="F632" s="15"/>
      <c r="G632" s="15"/>
      <c r="H632" s="15"/>
      <c r="I632" s="3"/>
      <c r="J632" s="17"/>
      <c r="K632" s="17"/>
      <c r="L632" s="17"/>
      <c r="M632" s="17"/>
      <c r="N632" s="17"/>
      <c r="O632" s="19"/>
      <c r="P632" s="20"/>
      <c r="Q632" s="20"/>
      <c r="S632" s="15"/>
    </row>
    <row r="633" spans="3:19" ht="14.25" customHeight="1">
      <c r="C633" s="17"/>
      <c r="D633" s="17"/>
      <c r="E633" s="23"/>
      <c r="F633" s="15"/>
      <c r="G633" s="15"/>
      <c r="H633" s="15"/>
      <c r="I633" s="3"/>
      <c r="J633" s="17"/>
      <c r="K633" s="17"/>
      <c r="L633" s="17"/>
      <c r="M633" s="17"/>
      <c r="N633" s="17"/>
      <c r="O633" s="19"/>
      <c r="P633" s="20"/>
      <c r="Q633" s="20"/>
      <c r="S633" s="15"/>
    </row>
    <row r="634" spans="3:19" ht="14.25" customHeight="1">
      <c r="C634" s="17"/>
      <c r="D634" s="17"/>
      <c r="E634" s="23"/>
      <c r="F634" s="15"/>
      <c r="G634" s="15"/>
      <c r="H634" s="15"/>
      <c r="I634" s="3"/>
      <c r="J634" s="17"/>
      <c r="K634" s="17"/>
      <c r="L634" s="17"/>
      <c r="M634" s="17"/>
      <c r="N634" s="17"/>
      <c r="O634" s="19"/>
      <c r="P634" s="20"/>
      <c r="Q634" s="20"/>
      <c r="S634" s="15"/>
    </row>
    <row r="635" spans="3:19" ht="14.25" customHeight="1">
      <c r="C635" s="17"/>
      <c r="D635" s="17"/>
      <c r="E635" s="23"/>
      <c r="F635" s="15"/>
      <c r="G635" s="15"/>
      <c r="H635" s="15"/>
      <c r="I635" s="3"/>
      <c r="J635" s="17"/>
      <c r="K635" s="17"/>
      <c r="L635" s="17"/>
      <c r="M635" s="17"/>
      <c r="N635" s="17"/>
      <c r="O635" s="19"/>
      <c r="P635" s="20"/>
      <c r="Q635" s="20"/>
      <c r="S635" s="15"/>
    </row>
    <row r="636" spans="3:19" ht="14.25" customHeight="1">
      <c r="C636" s="17"/>
      <c r="D636" s="17"/>
      <c r="E636" s="23"/>
      <c r="F636" s="15"/>
      <c r="G636" s="15"/>
      <c r="H636" s="15"/>
      <c r="I636" s="3"/>
      <c r="J636" s="17"/>
      <c r="K636" s="17"/>
      <c r="L636" s="17"/>
      <c r="M636" s="17"/>
      <c r="N636" s="17"/>
      <c r="O636" s="19"/>
      <c r="P636" s="20"/>
      <c r="Q636" s="20"/>
      <c r="S636" s="15"/>
    </row>
    <row r="637" spans="3:19" ht="14.25" customHeight="1">
      <c r="C637" s="17"/>
      <c r="D637" s="17"/>
      <c r="E637" s="23"/>
      <c r="F637" s="15"/>
      <c r="G637" s="15"/>
      <c r="H637" s="15"/>
      <c r="I637" s="3"/>
      <c r="J637" s="17"/>
      <c r="K637" s="17"/>
      <c r="L637" s="17"/>
      <c r="M637" s="17"/>
      <c r="N637" s="17"/>
      <c r="O637" s="19"/>
      <c r="P637" s="20"/>
      <c r="Q637" s="20"/>
      <c r="S637" s="15"/>
    </row>
    <row r="638" spans="3:19" ht="14.25" customHeight="1">
      <c r="C638" s="17"/>
      <c r="D638" s="17"/>
      <c r="E638" s="23"/>
      <c r="F638" s="15"/>
      <c r="G638" s="15"/>
      <c r="H638" s="15"/>
      <c r="I638" s="3"/>
      <c r="J638" s="17"/>
      <c r="K638" s="17"/>
      <c r="L638" s="17"/>
      <c r="M638" s="17"/>
      <c r="N638" s="17"/>
      <c r="O638" s="19"/>
      <c r="P638" s="20"/>
      <c r="Q638" s="20"/>
      <c r="S638" s="15"/>
    </row>
    <row r="639" spans="3:19" ht="14.25" customHeight="1">
      <c r="C639" s="17"/>
      <c r="D639" s="17"/>
      <c r="E639" s="23"/>
      <c r="F639" s="15"/>
      <c r="G639" s="15"/>
      <c r="H639" s="15"/>
      <c r="I639" s="3"/>
      <c r="J639" s="17"/>
      <c r="K639" s="17"/>
      <c r="L639" s="17"/>
      <c r="M639" s="17"/>
      <c r="N639" s="17"/>
      <c r="O639" s="19"/>
      <c r="P639" s="20"/>
      <c r="Q639" s="20"/>
      <c r="S639" s="15"/>
    </row>
    <row r="640" spans="3:19" ht="14.25" customHeight="1">
      <c r="C640" s="17"/>
      <c r="D640" s="17"/>
      <c r="E640" s="23"/>
      <c r="F640" s="15"/>
      <c r="G640" s="15"/>
      <c r="H640" s="15"/>
      <c r="I640" s="3"/>
      <c r="J640" s="17"/>
      <c r="K640" s="17"/>
      <c r="L640" s="17"/>
      <c r="M640" s="17"/>
      <c r="N640" s="17"/>
      <c r="O640" s="19"/>
      <c r="P640" s="20"/>
      <c r="Q640" s="20"/>
      <c r="S640" s="15"/>
    </row>
    <row r="641" spans="3:19" ht="14.25" customHeight="1">
      <c r="C641" s="17"/>
      <c r="D641" s="17"/>
      <c r="E641" s="23"/>
      <c r="F641" s="15"/>
      <c r="G641" s="15"/>
      <c r="H641" s="15"/>
      <c r="I641" s="3"/>
      <c r="J641" s="17"/>
      <c r="K641" s="17"/>
      <c r="L641" s="17"/>
      <c r="M641" s="17"/>
      <c r="N641" s="17"/>
      <c r="O641" s="19"/>
      <c r="P641" s="20"/>
      <c r="Q641" s="20"/>
      <c r="S641" s="15"/>
    </row>
    <row r="642" spans="3:19" ht="14.25" customHeight="1">
      <c r="C642" s="17"/>
      <c r="D642" s="17"/>
      <c r="E642" s="23"/>
      <c r="F642" s="15"/>
      <c r="G642" s="15"/>
      <c r="H642" s="15"/>
      <c r="I642" s="3"/>
      <c r="J642" s="17"/>
      <c r="K642" s="17"/>
      <c r="L642" s="17"/>
      <c r="M642" s="17"/>
      <c r="N642" s="17"/>
      <c r="O642" s="19"/>
      <c r="P642" s="20"/>
      <c r="Q642" s="20"/>
      <c r="S642" s="15"/>
    </row>
    <row r="643" spans="3:19" ht="14.25" customHeight="1">
      <c r="C643" s="17"/>
      <c r="D643" s="17"/>
      <c r="E643" s="23"/>
      <c r="F643" s="15"/>
      <c r="G643" s="15"/>
      <c r="H643" s="15"/>
      <c r="I643" s="3"/>
      <c r="J643" s="17"/>
      <c r="K643" s="17"/>
      <c r="L643" s="17"/>
      <c r="M643" s="17"/>
      <c r="N643" s="17"/>
      <c r="O643" s="19"/>
      <c r="P643" s="20"/>
      <c r="Q643" s="20"/>
      <c r="S643" s="15"/>
    </row>
    <row r="644" spans="3:19" ht="14.25" customHeight="1">
      <c r="C644" s="17"/>
      <c r="D644" s="17"/>
      <c r="E644" s="23"/>
      <c r="F644" s="15"/>
      <c r="G644" s="15"/>
      <c r="H644" s="15"/>
      <c r="I644" s="3"/>
      <c r="J644" s="17"/>
      <c r="K644" s="17"/>
      <c r="L644" s="17"/>
      <c r="M644" s="17"/>
      <c r="N644" s="17"/>
      <c r="O644" s="19"/>
      <c r="P644" s="20"/>
      <c r="Q644" s="20"/>
      <c r="S644" s="15"/>
    </row>
    <row r="645" spans="3:19" ht="14.25" customHeight="1">
      <c r="C645" s="17"/>
      <c r="D645" s="17"/>
      <c r="E645" s="23"/>
      <c r="F645" s="15"/>
      <c r="G645" s="15"/>
      <c r="H645" s="15"/>
      <c r="I645" s="3"/>
      <c r="J645" s="17"/>
      <c r="K645" s="17"/>
      <c r="L645" s="17"/>
      <c r="M645" s="17"/>
      <c r="N645" s="17"/>
      <c r="O645" s="19"/>
      <c r="P645" s="20"/>
      <c r="Q645" s="20"/>
      <c r="S645" s="15"/>
    </row>
    <row r="646" spans="3:19" ht="14.25" customHeight="1">
      <c r="C646" s="17"/>
      <c r="D646" s="17"/>
      <c r="E646" s="23"/>
      <c r="F646" s="15"/>
      <c r="G646" s="15"/>
      <c r="H646" s="15"/>
      <c r="I646" s="3"/>
      <c r="J646" s="17"/>
      <c r="K646" s="17"/>
      <c r="L646" s="17"/>
      <c r="M646" s="17"/>
      <c r="N646" s="17"/>
      <c r="O646" s="19"/>
      <c r="P646" s="20"/>
      <c r="Q646" s="20"/>
      <c r="S646" s="15"/>
    </row>
    <row r="647" spans="3:19" ht="14.25" customHeight="1">
      <c r="C647" s="17"/>
      <c r="D647" s="17"/>
      <c r="E647" s="23"/>
      <c r="F647" s="15"/>
      <c r="G647" s="15"/>
      <c r="H647" s="15"/>
      <c r="I647" s="3"/>
      <c r="J647" s="17"/>
      <c r="K647" s="17"/>
      <c r="L647" s="17"/>
      <c r="M647" s="17"/>
      <c r="N647" s="17"/>
      <c r="O647" s="19"/>
      <c r="P647" s="20"/>
      <c r="Q647" s="20"/>
      <c r="S647" s="15"/>
    </row>
    <row r="648" spans="3:19" ht="14.25" customHeight="1">
      <c r="C648" s="17"/>
      <c r="D648" s="17"/>
      <c r="E648" s="23"/>
      <c r="F648" s="15"/>
      <c r="G648" s="15"/>
      <c r="H648" s="15"/>
      <c r="I648" s="3"/>
      <c r="J648" s="17"/>
      <c r="K648" s="17"/>
      <c r="L648" s="17"/>
      <c r="M648" s="17"/>
      <c r="N648" s="17"/>
      <c r="O648" s="19"/>
      <c r="P648" s="20"/>
      <c r="Q648" s="20"/>
      <c r="S648" s="15"/>
    </row>
    <row r="649" spans="3:19" ht="14.25" customHeight="1">
      <c r="C649" s="17"/>
      <c r="D649" s="17"/>
      <c r="E649" s="23"/>
      <c r="F649" s="15"/>
      <c r="G649" s="15"/>
      <c r="H649" s="15"/>
      <c r="I649" s="3"/>
      <c r="J649" s="17"/>
      <c r="K649" s="17"/>
      <c r="L649" s="17"/>
      <c r="M649" s="17"/>
      <c r="N649" s="17"/>
      <c r="O649" s="19"/>
      <c r="P649" s="20"/>
      <c r="Q649" s="20"/>
      <c r="S649" s="15"/>
    </row>
    <row r="650" spans="3:19" ht="14.25" customHeight="1">
      <c r="C650" s="17"/>
      <c r="D650" s="17"/>
      <c r="E650" s="23"/>
      <c r="F650" s="15"/>
      <c r="G650" s="15"/>
      <c r="H650" s="15"/>
      <c r="I650" s="3"/>
      <c r="J650" s="17"/>
      <c r="K650" s="17"/>
      <c r="L650" s="17"/>
      <c r="M650" s="17"/>
      <c r="N650" s="17"/>
      <c r="O650" s="19"/>
      <c r="P650" s="20"/>
      <c r="Q650" s="20"/>
      <c r="S650" s="15"/>
    </row>
    <row r="651" spans="3:19" ht="14.25" customHeight="1">
      <c r="C651" s="17"/>
      <c r="D651" s="17"/>
      <c r="E651" s="23"/>
      <c r="F651" s="15"/>
      <c r="G651" s="15"/>
      <c r="H651" s="15"/>
      <c r="I651" s="3"/>
      <c r="J651" s="17"/>
      <c r="K651" s="17"/>
      <c r="L651" s="17"/>
      <c r="M651" s="17"/>
      <c r="N651" s="17"/>
      <c r="O651" s="19"/>
      <c r="P651" s="20"/>
      <c r="Q651" s="20"/>
      <c r="S651" s="15"/>
    </row>
    <row r="652" spans="3:19" ht="14.25" customHeight="1">
      <c r="C652" s="17"/>
      <c r="D652" s="17"/>
      <c r="E652" s="23"/>
      <c r="F652" s="15"/>
      <c r="G652" s="15"/>
      <c r="H652" s="15"/>
      <c r="I652" s="3"/>
      <c r="J652" s="17"/>
      <c r="K652" s="17"/>
      <c r="L652" s="17"/>
      <c r="M652" s="17"/>
      <c r="N652" s="17"/>
      <c r="O652" s="19"/>
      <c r="P652" s="20"/>
      <c r="Q652" s="20"/>
      <c r="S652" s="15"/>
    </row>
    <row r="653" spans="3:19" ht="14.25" customHeight="1">
      <c r="C653" s="17"/>
      <c r="D653" s="17"/>
      <c r="E653" s="23"/>
      <c r="F653" s="15"/>
      <c r="G653" s="15"/>
      <c r="H653" s="15"/>
      <c r="I653" s="3"/>
      <c r="J653" s="17"/>
      <c r="K653" s="17"/>
      <c r="L653" s="17"/>
      <c r="M653" s="17"/>
      <c r="N653" s="17"/>
      <c r="O653" s="19"/>
      <c r="P653" s="20"/>
      <c r="Q653" s="20"/>
      <c r="S653" s="15"/>
    </row>
    <row r="654" spans="3:19" ht="14.25" customHeight="1">
      <c r="C654" s="17"/>
      <c r="D654" s="17"/>
      <c r="E654" s="23"/>
      <c r="F654" s="15"/>
      <c r="G654" s="15"/>
      <c r="H654" s="15"/>
      <c r="I654" s="3"/>
      <c r="J654" s="17"/>
      <c r="K654" s="17"/>
      <c r="L654" s="17"/>
      <c r="M654" s="17"/>
      <c r="N654" s="17"/>
      <c r="O654" s="19"/>
      <c r="P654" s="20"/>
      <c r="Q654" s="20"/>
      <c r="S654" s="15"/>
    </row>
    <row r="655" spans="3:19" ht="14.25" customHeight="1">
      <c r="C655" s="17"/>
      <c r="D655" s="17"/>
      <c r="E655" s="23"/>
      <c r="F655" s="15"/>
      <c r="G655" s="15"/>
      <c r="H655" s="15"/>
      <c r="I655" s="3"/>
      <c r="J655" s="17"/>
      <c r="K655" s="17"/>
      <c r="L655" s="17"/>
      <c r="M655" s="17"/>
      <c r="N655" s="17"/>
      <c r="O655" s="19"/>
      <c r="P655" s="20"/>
      <c r="Q655" s="20"/>
      <c r="S655" s="15"/>
    </row>
    <row r="656" spans="3:19" ht="14.25" customHeight="1">
      <c r="C656" s="17"/>
      <c r="D656" s="17"/>
      <c r="E656" s="23"/>
      <c r="F656" s="15"/>
      <c r="G656" s="15"/>
      <c r="H656" s="15"/>
      <c r="I656" s="3"/>
      <c r="J656" s="17"/>
      <c r="K656" s="17"/>
      <c r="L656" s="17"/>
      <c r="M656" s="17"/>
      <c r="N656" s="17"/>
      <c r="O656" s="19"/>
      <c r="P656" s="20"/>
      <c r="Q656" s="20"/>
      <c r="S656" s="15"/>
    </row>
    <row r="657" spans="3:19" ht="14.25" customHeight="1">
      <c r="C657" s="17"/>
      <c r="D657" s="17"/>
      <c r="E657" s="23"/>
      <c r="F657" s="15"/>
      <c r="G657" s="15"/>
      <c r="H657" s="15"/>
      <c r="I657" s="3"/>
      <c r="J657" s="17"/>
      <c r="K657" s="17"/>
      <c r="L657" s="17"/>
      <c r="M657" s="17"/>
      <c r="N657" s="17"/>
      <c r="O657" s="19"/>
      <c r="P657" s="20"/>
      <c r="Q657" s="20"/>
      <c r="S657" s="15"/>
    </row>
    <row r="658" spans="3:19" ht="14.25" customHeight="1">
      <c r="C658" s="17"/>
      <c r="D658" s="17"/>
      <c r="E658" s="23"/>
      <c r="F658" s="15"/>
      <c r="G658" s="15"/>
      <c r="H658" s="15"/>
      <c r="I658" s="3"/>
      <c r="J658" s="17"/>
      <c r="K658" s="17"/>
      <c r="L658" s="17"/>
      <c r="M658" s="17"/>
      <c r="N658" s="17"/>
      <c r="O658" s="19"/>
      <c r="P658" s="20"/>
      <c r="Q658" s="20"/>
      <c r="S658" s="15"/>
    </row>
    <row r="659" spans="3:19" ht="14.25" customHeight="1">
      <c r="C659" s="17"/>
      <c r="D659" s="17"/>
      <c r="E659" s="23"/>
      <c r="F659" s="15"/>
      <c r="G659" s="15"/>
      <c r="H659" s="15"/>
      <c r="I659" s="3"/>
      <c r="J659" s="17"/>
      <c r="K659" s="17"/>
      <c r="L659" s="17"/>
      <c r="M659" s="17"/>
      <c r="N659" s="17"/>
      <c r="O659" s="19"/>
      <c r="P659" s="20"/>
      <c r="Q659" s="20"/>
      <c r="S659" s="15"/>
    </row>
    <row r="660" spans="3:19" ht="14.25" customHeight="1">
      <c r="C660" s="17"/>
      <c r="D660" s="17"/>
      <c r="E660" s="23"/>
      <c r="F660" s="15"/>
      <c r="G660" s="15"/>
      <c r="H660" s="15"/>
      <c r="I660" s="3"/>
      <c r="J660" s="17"/>
      <c r="K660" s="17"/>
      <c r="L660" s="17"/>
      <c r="M660" s="17"/>
      <c r="N660" s="17"/>
      <c r="O660" s="19"/>
      <c r="P660" s="20"/>
      <c r="Q660" s="20"/>
      <c r="S660" s="15"/>
    </row>
    <row r="661" spans="3:19" ht="14.25" customHeight="1">
      <c r="C661" s="17"/>
      <c r="D661" s="17"/>
      <c r="E661" s="23"/>
      <c r="F661" s="15"/>
      <c r="G661" s="15"/>
      <c r="H661" s="15"/>
      <c r="I661" s="3"/>
      <c r="J661" s="17"/>
      <c r="K661" s="17"/>
      <c r="L661" s="17"/>
      <c r="M661" s="17"/>
      <c r="N661" s="17"/>
      <c r="O661" s="19"/>
      <c r="P661" s="20"/>
      <c r="Q661" s="20"/>
      <c r="S661" s="15"/>
    </row>
    <row r="662" spans="3:19" ht="14.25" customHeight="1">
      <c r="C662" s="17"/>
      <c r="D662" s="17"/>
      <c r="E662" s="23"/>
      <c r="F662" s="15"/>
      <c r="G662" s="15"/>
      <c r="H662" s="15"/>
      <c r="I662" s="3"/>
      <c r="J662" s="17"/>
      <c r="K662" s="17"/>
      <c r="L662" s="17"/>
      <c r="M662" s="17"/>
      <c r="N662" s="17"/>
      <c r="O662" s="19"/>
      <c r="P662" s="20"/>
      <c r="Q662" s="20"/>
      <c r="S662" s="15"/>
    </row>
    <row r="663" spans="3:19" ht="14.25" customHeight="1">
      <c r="C663" s="17"/>
      <c r="D663" s="17"/>
      <c r="E663" s="23"/>
      <c r="F663" s="15"/>
      <c r="G663" s="15"/>
      <c r="H663" s="15"/>
      <c r="I663" s="3"/>
      <c r="J663" s="17"/>
      <c r="K663" s="17"/>
      <c r="L663" s="17"/>
      <c r="M663" s="17"/>
      <c r="N663" s="17"/>
      <c r="O663" s="19"/>
      <c r="P663" s="20"/>
      <c r="Q663" s="20"/>
      <c r="S663" s="15"/>
    </row>
    <row r="664" spans="3:19" ht="14.25" customHeight="1">
      <c r="C664" s="17"/>
      <c r="D664" s="17"/>
      <c r="E664" s="23"/>
      <c r="F664" s="15"/>
      <c r="G664" s="15"/>
      <c r="H664" s="15"/>
      <c r="I664" s="3"/>
      <c r="J664" s="17"/>
      <c r="K664" s="17"/>
      <c r="L664" s="17"/>
      <c r="M664" s="17"/>
      <c r="N664" s="17"/>
      <c r="O664" s="19"/>
      <c r="P664" s="20"/>
      <c r="Q664" s="20"/>
      <c r="S664" s="15"/>
    </row>
    <row r="665" spans="3:19" ht="14.25" customHeight="1">
      <c r="C665" s="17"/>
      <c r="D665" s="17"/>
      <c r="E665" s="23"/>
      <c r="F665" s="15"/>
      <c r="G665" s="15"/>
      <c r="H665" s="15"/>
      <c r="I665" s="3"/>
      <c r="J665" s="17"/>
      <c r="K665" s="17"/>
      <c r="L665" s="17"/>
      <c r="M665" s="17"/>
      <c r="N665" s="17"/>
      <c r="O665" s="19"/>
      <c r="P665" s="20"/>
      <c r="Q665" s="20"/>
      <c r="S665" s="15"/>
    </row>
    <row r="666" spans="3:19" ht="14.25" customHeight="1">
      <c r="C666" s="17"/>
      <c r="D666" s="17"/>
      <c r="E666" s="23"/>
      <c r="F666" s="15"/>
      <c r="G666" s="15"/>
      <c r="H666" s="15"/>
      <c r="I666" s="3"/>
      <c r="J666" s="17"/>
      <c r="K666" s="17"/>
      <c r="L666" s="17"/>
      <c r="M666" s="17"/>
      <c r="N666" s="17"/>
      <c r="O666" s="19"/>
      <c r="P666" s="20"/>
      <c r="Q666" s="20"/>
      <c r="S666" s="15"/>
    </row>
    <row r="667" spans="3:19" ht="14.25" customHeight="1">
      <c r="C667" s="17"/>
      <c r="D667" s="17"/>
      <c r="E667" s="23"/>
      <c r="F667" s="15"/>
      <c r="G667" s="15"/>
      <c r="H667" s="15"/>
      <c r="I667" s="3"/>
      <c r="J667" s="17"/>
      <c r="K667" s="17"/>
      <c r="L667" s="17"/>
      <c r="M667" s="17"/>
      <c r="N667" s="17"/>
      <c r="O667" s="19"/>
      <c r="P667" s="20"/>
      <c r="Q667" s="20"/>
      <c r="S667" s="15"/>
    </row>
    <row r="668" spans="3:19" ht="14.25" customHeight="1">
      <c r="C668" s="17"/>
      <c r="D668" s="17"/>
      <c r="E668" s="23"/>
      <c r="F668" s="15"/>
      <c r="G668" s="15"/>
      <c r="H668" s="15"/>
      <c r="I668" s="3"/>
      <c r="J668" s="17"/>
      <c r="K668" s="17"/>
      <c r="L668" s="17"/>
      <c r="M668" s="17"/>
      <c r="N668" s="17"/>
      <c r="O668" s="19"/>
      <c r="P668" s="20"/>
      <c r="Q668" s="20"/>
      <c r="S668" s="15"/>
    </row>
    <row r="669" spans="3:19" ht="14.25" customHeight="1">
      <c r="C669" s="17"/>
      <c r="D669" s="17"/>
      <c r="E669" s="23"/>
      <c r="F669" s="15"/>
      <c r="G669" s="15"/>
      <c r="H669" s="15"/>
      <c r="I669" s="3"/>
      <c r="J669" s="17"/>
      <c r="K669" s="17"/>
      <c r="L669" s="17"/>
      <c r="M669" s="17"/>
      <c r="N669" s="17"/>
      <c r="O669" s="19"/>
      <c r="P669" s="20"/>
      <c r="Q669" s="20"/>
      <c r="S669" s="15"/>
    </row>
    <row r="670" spans="3:19" ht="14.25" customHeight="1">
      <c r="C670" s="17"/>
      <c r="D670" s="17"/>
      <c r="E670" s="23"/>
      <c r="F670" s="15"/>
      <c r="G670" s="15"/>
      <c r="H670" s="15"/>
      <c r="I670" s="3"/>
      <c r="J670" s="17"/>
      <c r="K670" s="17"/>
      <c r="L670" s="17"/>
      <c r="M670" s="17"/>
      <c r="N670" s="17"/>
      <c r="O670" s="19"/>
      <c r="P670" s="20"/>
      <c r="Q670" s="20"/>
      <c r="S670" s="15"/>
    </row>
    <row r="671" spans="3:19" ht="14.25" customHeight="1">
      <c r="C671" s="17"/>
      <c r="D671" s="17"/>
      <c r="E671" s="23"/>
      <c r="F671" s="15"/>
      <c r="G671" s="15"/>
      <c r="H671" s="15"/>
      <c r="I671" s="3"/>
      <c r="J671" s="17"/>
      <c r="K671" s="17"/>
      <c r="L671" s="17"/>
      <c r="M671" s="17"/>
      <c r="N671" s="17"/>
      <c r="O671" s="19"/>
      <c r="P671" s="20"/>
      <c r="Q671" s="20"/>
      <c r="S671" s="15"/>
    </row>
    <row r="672" spans="3:19" ht="14.25" customHeight="1">
      <c r="C672" s="17"/>
      <c r="D672" s="17"/>
      <c r="E672" s="23"/>
      <c r="F672" s="15"/>
      <c r="G672" s="15"/>
      <c r="H672" s="15"/>
      <c r="I672" s="3"/>
      <c r="J672" s="17"/>
      <c r="K672" s="17"/>
      <c r="L672" s="17"/>
      <c r="M672" s="17"/>
      <c r="N672" s="17"/>
      <c r="O672" s="19"/>
      <c r="P672" s="20"/>
      <c r="Q672" s="20"/>
      <c r="S672" s="15"/>
    </row>
    <row r="673" spans="3:19" ht="14.25" customHeight="1">
      <c r="C673" s="17"/>
      <c r="D673" s="17"/>
      <c r="E673" s="23"/>
      <c r="F673" s="15"/>
      <c r="G673" s="15"/>
      <c r="H673" s="15"/>
      <c r="I673" s="3"/>
      <c r="J673" s="17"/>
      <c r="K673" s="17"/>
      <c r="L673" s="17"/>
      <c r="M673" s="17"/>
      <c r="N673" s="17"/>
      <c r="O673" s="19"/>
      <c r="P673" s="20"/>
      <c r="Q673" s="20"/>
      <c r="S673" s="15"/>
    </row>
    <row r="674" spans="3:19" ht="14.25" customHeight="1">
      <c r="C674" s="17"/>
      <c r="D674" s="17"/>
      <c r="E674" s="23"/>
      <c r="F674" s="15"/>
      <c r="G674" s="15"/>
      <c r="H674" s="15"/>
      <c r="I674" s="3"/>
      <c r="J674" s="17"/>
      <c r="K674" s="17"/>
      <c r="L674" s="17"/>
      <c r="M674" s="17"/>
      <c r="N674" s="17"/>
      <c r="O674" s="19"/>
      <c r="P674" s="20"/>
      <c r="Q674" s="20"/>
      <c r="S674" s="15"/>
    </row>
    <row r="675" spans="3:19" ht="14.25" customHeight="1">
      <c r="C675" s="17"/>
      <c r="D675" s="17"/>
      <c r="E675" s="23"/>
      <c r="F675" s="15"/>
      <c r="G675" s="15"/>
      <c r="H675" s="15"/>
      <c r="I675" s="3"/>
      <c r="J675" s="17"/>
      <c r="K675" s="17"/>
      <c r="L675" s="17"/>
      <c r="M675" s="17"/>
      <c r="N675" s="17"/>
      <c r="O675" s="19"/>
      <c r="P675" s="20"/>
      <c r="Q675" s="20"/>
      <c r="S675" s="15"/>
    </row>
    <row r="676" spans="3:19" ht="14.25" customHeight="1">
      <c r="C676" s="17"/>
      <c r="D676" s="17"/>
      <c r="E676" s="23"/>
      <c r="F676" s="15"/>
      <c r="G676" s="15"/>
      <c r="H676" s="15"/>
      <c r="I676" s="3"/>
      <c r="J676" s="17"/>
      <c r="K676" s="17"/>
      <c r="L676" s="17"/>
      <c r="M676" s="17"/>
      <c r="N676" s="17"/>
      <c r="O676" s="19"/>
      <c r="P676" s="20"/>
      <c r="Q676" s="20"/>
      <c r="S676" s="15"/>
    </row>
    <row r="677" spans="3:19" ht="14.25" customHeight="1">
      <c r="C677" s="17"/>
      <c r="D677" s="17"/>
      <c r="E677" s="23"/>
      <c r="F677" s="15"/>
      <c r="G677" s="15"/>
      <c r="H677" s="15"/>
      <c r="I677" s="3"/>
      <c r="J677" s="17"/>
      <c r="K677" s="17"/>
      <c r="L677" s="17"/>
      <c r="M677" s="17"/>
      <c r="N677" s="17"/>
      <c r="O677" s="19"/>
      <c r="P677" s="20"/>
      <c r="Q677" s="20"/>
      <c r="S677" s="15"/>
    </row>
    <row r="678" spans="3:19" ht="14.25" customHeight="1">
      <c r="C678" s="17"/>
      <c r="D678" s="17"/>
      <c r="E678" s="23"/>
      <c r="F678" s="15"/>
      <c r="G678" s="15"/>
      <c r="H678" s="15"/>
      <c r="I678" s="3"/>
      <c r="J678" s="17"/>
      <c r="K678" s="17"/>
      <c r="L678" s="17"/>
      <c r="M678" s="17"/>
      <c r="N678" s="17"/>
      <c r="O678" s="19"/>
      <c r="P678" s="20"/>
      <c r="Q678" s="20"/>
      <c r="S678" s="15"/>
    </row>
    <row r="679" spans="3:19" ht="14.25" customHeight="1">
      <c r="C679" s="17"/>
      <c r="D679" s="17"/>
      <c r="E679" s="23"/>
      <c r="F679" s="15"/>
      <c r="G679" s="15"/>
      <c r="H679" s="15"/>
      <c r="I679" s="3"/>
      <c r="J679" s="17"/>
      <c r="K679" s="17"/>
      <c r="L679" s="17"/>
      <c r="M679" s="17"/>
      <c r="N679" s="17"/>
      <c r="O679" s="19"/>
      <c r="P679" s="20"/>
      <c r="Q679" s="20"/>
      <c r="S679" s="15"/>
    </row>
    <row r="680" spans="3:19" ht="14.25" customHeight="1">
      <c r="C680" s="17"/>
      <c r="D680" s="17"/>
      <c r="E680" s="23"/>
      <c r="F680" s="15"/>
      <c r="G680" s="15"/>
      <c r="H680" s="15"/>
      <c r="I680" s="3"/>
      <c r="J680" s="17"/>
      <c r="K680" s="17"/>
      <c r="L680" s="17"/>
      <c r="M680" s="17"/>
      <c r="N680" s="17"/>
      <c r="O680" s="19"/>
      <c r="P680" s="20"/>
      <c r="Q680" s="20"/>
      <c r="S680" s="15"/>
    </row>
    <row r="681" spans="3:19" ht="14.25" customHeight="1">
      <c r="C681" s="17"/>
      <c r="D681" s="17"/>
      <c r="E681" s="23"/>
      <c r="F681" s="15"/>
      <c r="G681" s="15"/>
      <c r="H681" s="15"/>
      <c r="I681" s="3"/>
      <c r="J681" s="17"/>
      <c r="K681" s="17"/>
      <c r="L681" s="17"/>
      <c r="M681" s="17"/>
      <c r="N681" s="17"/>
      <c r="O681" s="19"/>
      <c r="P681" s="20"/>
      <c r="Q681" s="20"/>
      <c r="S681" s="15"/>
    </row>
    <row r="682" spans="3:19" ht="14.25" customHeight="1">
      <c r="C682" s="17"/>
      <c r="D682" s="17"/>
      <c r="E682" s="23"/>
      <c r="F682" s="15"/>
      <c r="G682" s="15"/>
      <c r="H682" s="15"/>
      <c r="I682" s="3"/>
      <c r="J682" s="17"/>
      <c r="K682" s="17"/>
      <c r="L682" s="17"/>
      <c r="M682" s="17"/>
      <c r="N682" s="17"/>
      <c r="O682" s="19"/>
      <c r="P682" s="20"/>
      <c r="Q682" s="20"/>
      <c r="S682" s="15"/>
    </row>
    <row r="683" spans="3:19" ht="14.25" customHeight="1">
      <c r="C683" s="17"/>
      <c r="D683" s="17"/>
      <c r="E683" s="23"/>
      <c r="F683" s="15"/>
      <c r="G683" s="15"/>
      <c r="H683" s="15"/>
      <c r="I683" s="3"/>
      <c r="J683" s="17"/>
      <c r="K683" s="17"/>
      <c r="L683" s="17"/>
      <c r="M683" s="17"/>
      <c r="N683" s="17"/>
      <c r="O683" s="19"/>
      <c r="P683" s="20"/>
      <c r="Q683" s="20"/>
      <c r="S683" s="15"/>
    </row>
    <row r="684" spans="3:19" ht="14.25" customHeight="1">
      <c r="C684" s="17"/>
      <c r="D684" s="17"/>
      <c r="E684" s="23"/>
      <c r="F684" s="15"/>
      <c r="G684" s="15"/>
      <c r="H684" s="15"/>
      <c r="I684" s="3"/>
      <c r="J684" s="17"/>
      <c r="K684" s="17"/>
      <c r="L684" s="17"/>
      <c r="M684" s="17"/>
      <c r="N684" s="17"/>
      <c r="O684" s="19"/>
      <c r="P684" s="20"/>
      <c r="Q684" s="20"/>
      <c r="S684" s="15"/>
    </row>
    <row r="685" spans="3:19" ht="14.25" customHeight="1">
      <c r="C685" s="17"/>
      <c r="D685" s="17"/>
      <c r="E685" s="23"/>
      <c r="F685" s="15"/>
      <c r="G685" s="15"/>
      <c r="H685" s="15"/>
      <c r="I685" s="3"/>
      <c r="J685" s="17"/>
      <c r="K685" s="17"/>
      <c r="L685" s="17"/>
      <c r="M685" s="17"/>
      <c r="N685" s="17"/>
      <c r="O685" s="19"/>
      <c r="P685" s="20"/>
      <c r="Q685" s="20"/>
      <c r="S685" s="15"/>
    </row>
    <row r="686" spans="3:19" ht="14.25" customHeight="1">
      <c r="C686" s="17"/>
      <c r="D686" s="17"/>
      <c r="E686" s="23"/>
      <c r="F686" s="15"/>
      <c r="G686" s="15"/>
      <c r="H686" s="15"/>
      <c r="I686" s="3"/>
      <c r="J686" s="17"/>
      <c r="K686" s="17"/>
      <c r="L686" s="17"/>
      <c r="M686" s="17"/>
      <c r="N686" s="17"/>
      <c r="O686" s="19"/>
      <c r="P686" s="20"/>
      <c r="Q686" s="20"/>
      <c r="S686" s="15"/>
    </row>
    <row r="687" spans="3:19" ht="14.25" customHeight="1">
      <c r="C687" s="17"/>
      <c r="D687" s="17"/>
      <c r="E687" s="23"/>
      <c r="F687" s="15"/>
      <c r="G687" s="15"/>
      <c r="H687" s="15"/>
      <c r="I687" s="3"/>
      <c r="J687" s="17"/>
      <c r="K687" s="17"/>
      <c r="L687" s="17"/>
      <c r="M687" s="17"/>
      <c r="N687" s="17"/>
      <c r="O687" s="19"/>
      <c r="P687" s="20"/>
      <c r="Q687" s="20"/>
      <c r="S687" s="15"/>
    </row>
    <row r="688" spans="3:19" ht="14.25" customHeight="1">
      <c r="C688" s="17"/>
      <c r="D688" s="17"/>
      <c r="E688" s="23"/>
      <c r="F688" s="15"/>
      <c r="G688" s="15"/>
      <c r="H688" s="15"/>
      <c r="I688" s="3"/>
      <c r="J688" s="17"/>
      <c r="K688" s="17"/>
      <c r="L688" s="17"/>
      <c r="M688" s="17"/>
      <c r="N688" s="17"/>
      <c r="O688" s="19"/>
      <c r="P688" s="20"/>
      <c r="Q688" s="20"/>
      <c r="S688" s="15"/>
    </row>
    <row r="689" spans="3:19" ht="14.25" customHeight="1">
      <c r="C689" s="17"/>
      <c r="D689" s="17"/>
      <c r="E689" s="23"/>
      <c r="F689" s="15"/>
      <c r="G689" s="15"/>
      <c r="H689" s="15"/>
      <c r="I689" s="3"/>
      <c r="J689" s="17"/>
      <c r="K689" s="17"/>
      <c r="L689" s="17"/>
      <c r="M689" s="17"/>
      <c r="N689" s="17"/>
      <c r="O689" s="19"/>
      <c r="P689" s="20"/>
      <c r="Q689" s="20"/>
      <c r="S689" s="15"/>
    </row>
    <row r="690" spans="3:19" ht="14.25" customHeight="1">
      <c r="C690" s="17"/>
      <c r="D690" s="17"/>
      <c r="E690" s="23"/>
      <c r="F690" s="15"/>
      <c r="G690" s="15"/>
      <c r="H690" s="15"/>
      <c r="I690" s="3"/>
      <c r="J690" s="17"/>
      <c r="K690" s="17"/>
      <c r="L690" s="17"/>
      <c r="M690" s="17"/>
      <c r="N690" s="17"/>
      <c r="O690" s="19"/>
      <c r="P690" s="20"/>
      <c r="Q690" s="20"/>
      <c r="S690" s="15"/>
    </row>
    <row r="691" spans="3:19" ht="14.25" customHeight="1">
      <c r="C691" s="17"/>
      <c r="D691" s="17"/>
      <c r="E691" s="23"/>
      <c r="F691" s="15"/>
      <c r="G691" s="15"/>
      <c r="H691" s="15"/>
      <c r="I691" s="3"/>
      <c r="J691" s="17"/>
      <c r="K691" s="17"/>
      <c r="L691" s="17"/>
      <c r="M691" s="17"/>
      <c r="N691" s="17"/>
      <c r="O691" s="19"/>
      <c r="P691" s="20"/>
      <c r="Q691" s="20"/>
      <c r="S691" s="15"/>
    </row>
    <row r="692" spans="3:19" ht="14.25" customHeight="1">
      <c r="C692" s="17"/>
      <c r="D692" s="17"/>
      <c r="E692" s="23"/>
      <c r="F692" s="15"/>
      <c r="G692" s="15"/>
      <c r="H692" s="15"/>
      <c r="I692" s="3"/>
      <c r="J692" s="17"/>
      <c r="K692" s="17"/>
      <c r="L692" s="17"/>
      <c r="M692" s="17"/>
      <c r="N692" s="17"/>
      <c r="O692" s="19"/>
      <c r="P692" s="20"/>
      <c r="Q692" s="20"/>
      <c r="S692" s="15"/>
    </row>
    <row r="693" spans="3:19" ht="14.25" customHeight="1">
      <c r="C693" s="17"/>
      <c r="D693" s="17"/>
      <c r="E693" s="23"/>
      <c r="F693" s="15"/>
      <c r="G693" s="15"/>
      <c r="H693" s="15"/>
      <c r="I693" s="3"/>
      <c r="J693" s="17"/>
      <c r="K693" s="17"/>
      <c r="L693" s="17"/>
      <c r="M693" s="17"/>
      <c r="N693" s="17"/>
      <c r="O693" s="19"/>
      <c r="P693" s="20"/>
      <c r="Q693" s="20"/>
      <c r="S693" s="15"/>
    </row>
    <row r="694" spans="3:19" ht="14.25" customHeight="1">
      <c r="C694" s="17"/>
      <c r="D694" s="17"/>
      <c r="E694" s="23"/>
      <c r="F694" s="15"/>
      <c r="G694" s="15"/>
      <c r="H694" s="15"/>
      <c r="I694" s="3"/>
      <c r="J694" s="17"/>
      <c r="K694" s="17"/>
      <c r="L694" s="17"/>
      <c r="M694" s="17"/>
      <c r="N694" s="17"/>
      <c r="O694" s="19"/>
      <c r="P694" s="20"/>
      <c r="Q694" s="20"/>
      <c r="S694" s="15"/>
    </row>
    <row r="695" spans="3:19" ht="14.25" customHeight="1">
      <c r="C695" s="17"/>
      <c r="D695" s="17"/>
      <c r="E695" s="23"/>
      <c r="F695" s="15"/>
      <c r="G695" s="15"/>
      <c r="H695" s="15"/>
      <c r="I695" s="3"/>
      <c r="J695" s="17"/>
      <c r="K695" s="17"/>
      <c r="L695" s="17"/>
      <c r="M695" s="17"/>
      <c r="N695" s="17"/>
      <c r="O695" s="19"/>
      <c r="P695" s="20"/>
      <c r="Q695" s="20"/>
      <c r="S695" s="15"/>
    </row>
    <row r="696" spans="3:19" ht="14.25" customHeight="1">
      <c r="C696" s="17"/>
      <c r="D696" s="17"/>
      <c r="E696" s="23"/>
      <c r="F696" s="15"/>
      <c r="G696" s="15"/>
      <c r="H696" s="15"/>
      <c r="I696" s="3"/>
      <c r="J696" s="17"/>
      <c r="K696" s="17"/>
      <c r="L696" s="17"/>
      <c r="M696" s="17"/>
      <c r="N696" s="17"/>
      <c r="O696" s="19"/>
      <c r="P696" s="20"/>
      <c r="Q696" s="20"/>
      <c r="S696" s="15"/>
    </row>
    <row r="697" spans="3:19" ht="14.25" customHeight="1">
      <c r="C697" s="17"/>
      <c r="D697" s="17"/>
      <c r="E697" s="23"/>
      <c r="F697" s="15"/>
      <c r="G697" s="15"/>
      <c r="H697" s="15"/>
      <c r="I697" s="3"/>
      <c r="J697" s="17"/>
      <c r="K697" s="17"/>
      <c r="L697" s="17"/>
      <c r="M697" s="17"/>
      <c r="N697" s="17"/>
      <c r="O697" s="19"/>
      <c r="P697" s="20"/>
      <c r="Q697" s="20"/>
      <c r="S697" s="15"/>
    </row>
    <row r="698" spans="3:19" ht="14.25" customHeight="1">
      <c r="C698" s="17"/>
      <c r="D698" s="17"/>
      <c r="E698" s="23"/>
      <c r="F698" s="15"/>
      <c r="G698" s="15"/>
      <c r="H698" s="15"/>
      <c r="I698" s="3"/>
      <c r="J698" s="17"/>
      <c r="K698" s="17"/>
      <c r="L698" s="17"/>
      <c r="M698" s="17"/>
      <c r="N698" s="17"/>
      <c r="O698" s="19"/>
      <c r="P698" s="20"/>
      <c r="Q698" s="20"/>
      <c r="S698" s="15"/>
    </row>
    <row r="699" spans="3:19" ht="14.25" customHeight="1">
      <c r="C699" s="17"/>
      <c r="D699" s="17"/>
      <c r="E699" s="23"/>
      <c r="F699" s="15"/>
      <c r="G699" s="15"/>
      <c r="H699" s="15"/>
      <c r="I699" s="3"/>
      <c r="J699" s="17"/>
      <c r="K699" s="17"/>
      <c r="L699" s="17"/>
      <c r="M699" s="17"/>
      <c r="N699" s="17"/>
      <c r="O699" s="19"/>
      <c r="P699" s="20"/>
      <c r="Q699" s="20"/>
      <c r="S699" s="15"/>
    </row>
    <row r="700" spans="3:19" ht="14.25" customHeight="1">
      <c r="C700" s="17"/>
      <c r="D700" s="17"/>
      <c r="E700" s="23"/>
      <c r="F700" s="15"/>
      <c r="G700" s="15"/>
      <c r="H700" s="15"/>
      <c r="I700" s="3"/>
      <c r="J700" s="17"/>
      <c r="K700" s="17"/>
      <c r="L700" s="17"/>
      <c r="M700" s="17"/>
      <c r="N700" s="17"/>
      <c r="O700" s="19"/>
      <c r="P700" s="20"/>
      <c r="Q700" s="20"/>
      <c r="S700" s="15"/>
    </row>
    <row r="701" spans="3:19" ht="14.25" customHeight="1">
      <c r="C701" s="17"/>
      <c r="D701" s="17"/>
      <c r="E701" s="23"/>
      <c r="F701" s="15"/>
      <c r="G701" s="15"/>
      <c r="H701" s="15"/>
      <c r="I701" s="3"/>
      <c r="J701" s="17"/>
      <c r="K701" s="17"/>
      <c r="L701" s="17"/>
      <c r="M701" s="17"/>
      <c r="N701" s="17"/>
      <c r="O701" s="19"/>
      <c r="P701" s="20"/>
      <c r="Q701" s="20"/>
      <c r="S701" s="15"/>
    </row>
    <row r="702" spans="3:19" ht="14.25" customHeight="1">
      <c r="C702" s="17"/>
      <c r="D702" s="17"/>
      <c r="E702" s="23"/>
      <c r="F702" s="15"/>
      <c r="G702" s="15"/>
      <c r="H702" s="15"/>
      <c r="I702" s="3"/>
      <c r="J702" s="17"/>
      <c r="K702" s="17"/>
      <c r="L702" s="17"/>
      <c r="M702" s="17"/>
      <c r="N702" s="17"/>
      <c r="O702" s="19"/>
      <c r="P702" s="20"/>
      <c r="Q702" s="20"/>
      <c r="S702" s="15"/>
    </row>
    <row r="703" spans="3:19" ht="14.25" customHeight="1">
      <c r="C703" s="17"/>
      <c r="D703" s="17"/>
      <c r="E703" s="23"/>
      <c r="F703" s="15"/>
      <c r="G703" s="15"/>
      <c r="H703" s="15"/>
      <c r="I703" s="3"/>
      <c r="J703" s="17"/>
      <c r="K703" s="17"/>
      <c r="L703" s="17"/>
      <c r="M703" s="17"/>
      <c r="N703" s="17"/>
      <c r="O703" s="19"/>
      <c r="P703" s="20"/>
      <c r="Q703" s="20"/>
      <c r="S703" s="15"/>
    </row>
    <row r="704" spans="3:19" ht="14.25" customHeight="1">
      <c r="C704" s="17"/>
      <c r="D704" s="17"/>
      <c r="E704" s="23"/>
      <c r="F704" s="15"/>
      <c r="G704" s="15"/>
      <c r="H704" s="15"/>
      <c r="I704" s="3"/>
      <c r="J704" s="17"/>
      <c r="K704" s="17"/>
      <c r="L704" s="17"/>
      <c r="M704" s="17"/>
      <c r="N704" s="17"/>
      <c r="O704" s="19"/>
      <c r="P704" s="20"/>
      <c r="Q704" s="20"/>
      <c r="S704" s="15"/>
    </row>
    <row r="705" spans="3:19" ht="14.25" customHeight="1">
      <c r="C705" s="17"/>
      <c r="D705" s="17"/>
      <c r="E705" s="23"/>
      <c r="F705" s="15"/>
      <c r="G705" s="15"/>
      <c r="H705" s="15"/>
      <c r="I705" s="3"/>
      <c r="J705" s="17"/>
      <c r="K705" s="17"/>
      <c r="L705" s="17"/>
      <c r="M705" s="17"/>
      <c r="N705" s="17"/>
      <c r="O705" s="19"/>
      <c r="P705" s="20"/>
      <c r="Q705" s="20"/>
      <c r="S705" s="15"/>
    </row>
    <row r="706" spans="3:19" ht="14.25" customHeight="1">
      <c r="C706" s="17"/>
      <c r="D706" s="17"/>
      <c r="E706" s="23"/>
      <c r="F706" s="15"/>
      <c r="G706" s="15"/>
      <c r="H706" s="15"/>
      <c r="I706" s="3"/>
      <c r="J706" s="17"/>
      <c r="K706" s="17"/>
      <c r="L706" s="17"/>
      <c r="M706" s="17"/>
      <c r="N706" s="17"/>
      <c r="O706" s="19"/>
      <c r="P706" s="20"/>
      <c r="Q706" s="20"/>
      <c r="S706" s="15"/>
    </row>
    <row r="707" spans="3:19" ht="14.25" customHeight="1">
      <c r="C707" s="17"/>
      <c r="D707" s="17"/>
      <c r="E707" s="23"/>
      <c r="F707" s="15"/>
      <c r="G707" s="15"/>
      <c r="H707" s="15"/>
      <c r="I707" s="3"/>
      <c r="J707" s="17"/>
      <c r="K707" s="17"/>
      <c r="L707" s="17"/>
      <c r="M707" s="17"/>
      <c r="N707" s="17"/>
      <c r="O707" s="19"/>
      <c r="P707" s="20"/>
      <c r="Q707" s="20"/>
      <c r="S707" s="15"/>
    </row>
    <row r="708" spans="3:19" ht="14.25" customHeight="1">
      <c r="C708" s="17"/>
      <c r="D708" s="17"/>
      <c r="E708" s="23"/>
      <c r="F708" s="15"/>
      <c r="G708" s="15"/>
      <c r="H708" s="15"/>
      <c r="I708" s="3"/>
      <c r="J708" s="17"/>
      <c r="K708" s="17"/>
      <c r="L708" s="17"/>
      <c r="M708" s="17"/>
      <c r="N708" s="17"/>
      <c r="O708" s="19"/>
      <c r="P708" s="20"/>
      <c r="Q708" s="20"/>
      <c r="S708" s="15"/>
    </row>
    <row r="709" spans="3:19" ht="14.25" customHeight="1">
      <c r="C709" s="17"/>
      <c r="D709" s="17"/>
      <c r="E709" s="23"/>
      <c r="F709" s="15"/>
      <c r="G709" s="15"/>
      <c r="H709" s="15"/>
      <c r="I709" s="3"/>
      <c r="J709" s="17"/>
      <c r="K709" s="17"/>
      <c r="L709" s="17"/>
      <c r="M709" s="17"/>
      <c r="N709" s="17"/>
      <c r="O709" s="19"/>
      <c r="P709" s="20"/>
      <c r="Q709" s="20"/>
      <c r="S709" s="15"/>
    </row>
    <row r="710" spans="3:19" ht="14.25" customHeight="1">
      <c r="C710" s="17"/>
      <c r="D710" s="17"/>
      <c r="E710" s="23"/>
      <c r="F710" s="15"/>
      <c r="G710" s="15"/>
      <c r="H710" s="15"/>
      <c r="I710" s="3"/>
      <c r="J710" s="17"/>
      <c r="K710" s="17"/>
      <c r="L710" s="17"/>
      <c r="M710" s="17"/>
      <c r="N710" s="17"/>
      <c r="O710" s="19"/>
      <c r="P710" s="20"/>
      <c r="Q710" s="20"/>
      <c r="S710" s="15"/>
    </row>
    <row r="711" spans="3:19" ht="14.25" customHeight="1">
      <c r="C711" s="17"/>
      <c r="D711" s="17"/>
      <c r="E711" s="23"/>
      <c r="F711" s="15"/>
      <c r="G711" s="15"/>
      <c r="H711" s="15"/>
      <c r="I711" s="3"/>
      <c r="J711" s="17"/>
      <c r="K711" s="17"/>
      <c r="L711" s="17"/>
      <c r="M711" s="17"/>
      <c r="N711" s="17"/>
      <c r="O711" s="19"/>
      <c r="P711" s="20"/>
      <c r="Q711" s="20"/>
      <c r="S711" s="15"/>
    </row>
    <row r="712" spans="3:19" ht="14.25" customHeight="1">
      <c r="C712" s="17"/>
      <c r="D712" s="17"/>
      <c r="E712" s="23"/>
      <c r="F712" s="15"/>
      <c r="G712" s="15"/>
      <c r="H712" s="15"/>
      <c r="I712" s="3"/>
      <c r="J712" s="17"/>
      <c r="K712" s="17"/>
      <c r="L712" s="17"/>
      <c r="M712" s="17"/>
      <c r="N712" s="17"/>
      <c r="O712" s="19"/>
      <c r="P712" s="20"/>
      <c r="Q712" s="20"/>
      <c r="S712" s="15"/>
    </row>
    <row r="713" spans="3:19" ht="14.25" customHeight="1">
      <c r="C713" s="17"/>
      <c r="D713" s="17"/>
      <c r="E713" s="23"/>
      <c r="F713" s="15"/>
      <c r="G713" s="15"/>
      <c r="H713" s="15"/>
      <c r="I713" s="3"/>
      <c r="J713" s="17"/>
      <c r="K713" s="17"/>
      <c r="L713" s="17"/>
      <c r="M713" s="17"/>
      <c r="N713" s="17"/>
      <c r="O713" s="19"/>
      <c r="P713" s="20"/>
      <c r="Q713" s="20"/>
      <c r="S713" s="15"/>
    </row>
    <row r="714" spans="3:19" ht="14.25" customHeight="1">
      <c r="C714" s="17"/>
      <c r="D714" s="17"/>
      <c r="E714" s="23"/>
      <c r="F714" s="15"/>
      <c r="G714" s="15"/>
      <c r="H714" s="15"/>
      <c r="I714" s="3"/>
      <c r="J714" s="17"/>
      <c r="K714" s="17"/>
      <c r="L714" s="17"/>
      <c r="M714" s="17"/>
      <c r="N714" s="17"/>
      <c r="O714" s="19"/>
      <c r="P714" s="20"/>
      <c r="Q714" s="20"/>
      <c r="S714" s="15"/>
    </row>
    <row r="715" spans="3:19" ht="14.25" customHeight="1">
      <c r="C715" s="17"/>
      <c r="D715" s="17"/>
      <c r="E715" s="23"/>
      <c r="F715" s="15"/>
      <c r="G715" s="15"/>
      <c r="H715" s="15"/>
      <c r="I715" s="3"/>
      <c r="J715" s="17"/>
      <c r="K715" s="17"/>
      <c r="L715" s="17"/>
      <c r="M715" s="17"/>
      <c r="N715" s="17"/>
      <c r="O715" s="19"/>
      <c r="P715" s="20"/>
      <c r="Q715" s="20"/>
      <c r="S715" s="15"/>
    </row>
    <row r="716" spans="3:19" ht="14.25" customHeight="1">
      <c r="C716" s="17"/>
      <c r="D716" s="17"/>
      <c r="E716" s="23"/>
      <c r="F716" s="15"/>
      <c r="G716" s="15"/>
      <c r="H716" s="15"/>
      <c r="I716" s="3"/>
      <c r="J716" s="17"/>
      <c r="K716" s="17"/>
      <c r="L716" s="17"/>
      <c r="M716" s="17"/>
      <c r="N716" s="17"/>
      <c r="O716" s="19"/>
      <c r="P716" s="20"/>
      <c r="Q716" s="20"/>
      <c r="S716" s="15"/>
    </row>
    <row r="717" spans="3:19" ht="14.25" customHeight="1">
      <c r="C717" s="17"/>
      <c r="D717" s="17"/>
      <c r="E717" s="23"/>
      <c r="F717" s="15"/>
      <c r="G717" s="15"/>
      <c r="H717" s="15"/>
      <c r="I717" s="3"/>
      <c r="J717" s="17"/>
      <c r="K717" s="17"/>
      <c r="L717" s="17"/>
      <c r="M717" s="17"/>
      <c r="N717" s="17"/>
      <c r="O717" s="19"/>
      <c r="P717" s="20"/>
      <c r="Q717" s="20"/>
      <c r="S717" s="15"/>
    </row>
    <row r="718" spans="3:19" ht="14.25" customHeight="1">
      <c r="C718" s="17"/>
      <c r="D718" s="17"/>
      <c r="E718" s="23"/>
      <c r="F718" s="15"/>
      <c r="G718" s="15"/>
      <c r="H718" s="15"/>
      <c r="I718" s="3"/>
      <c r="J718" s="17"/>
      <c r="K718" s="17"/>
      <c r="L718" s="17"/>
      <c r="M718" s="17"/>
      <c r="N718" s="17"/>
      <c r="O718" s="19"/>
      <c r="P718" s="20"/>
      <c r="Q718" s="20"/>
      <c r="S718" s="15"/>
    </row>
    <row r="719" spans="3:19" ht="14.25" customHeight="1">
      <c r="C719" s="17"/>
      <c r="D719" s="17"/>
      <c r="E719" s="23"/>
      <c r="F719" s="15"/>
      <c r="G719" s="15"/>
      <c r="H719" s="15"/>
      <c r="I719" s="3"/>
      <c r="J719" s="17"/>
      <c r="K719" s="17"/>
      <c r="L719" s="17"/>
      <c r="M719" s="17"/>
      <c r="N719" s="17"/>
      <c r="O719" s="19"/>
      <c r="P719" s="20"/>
      <c r="Q719" s="20"/>
      <c r="S719" s="15"/>
    </row>
    <row r="720" spans="3:19" ht="14.25" customHeight="1">
      <c r="C720" s="17"/>
      <c r="D720" s="17"/>
      <c r="E720" s="23"/>
      <c r="F720" s="15"/>
      <c r="G720" s="15"/>
      <c r="H720" s="15"/>
      <c r="I720" s="3"/>
      <c r="J720" s="17"/>
      <c r="K720" s="17"/>
      <c r="L720" s="17"/>
      <c r="M720" s="17"/>
      <c r="N720" s="17"/>
      <c r="O720" s="19"/>
      <c r="P720" s="20"/>
      <c r="Q720" s="20"/>
      <c r="S720" s="15"/>
    </row>
    <row r="721" spans="3:19" ht="14.25" customHeight="1">
      <c r="C721" s="17"/>
      <c r="D721" s="17"/>
      <c r="E721" s="23"/>
      <c r="F721" s="15"/>
      <c r="G721" s="15"/>
      <c r="H721" s="15"/>
      <c r="I721" s="3"/>
      <c r="J721" s="17"/>
      <c r="K721" s="17"/>
      <c r="L721" s="17"/>
      <c r="M721" s="17"/>
      <c r="N721" s="17"/>
      <c r="O721" s="19"/>
      <c r="P721" s="20"/>
      <c r="Q721" s="20"/>
      <c r="S721" s="15"/>
    </row>
    <row r="722" spans="3:19" ht="14.25" customHeight="1">
      <c r="C722" s="17"/>
      <c r="D722" s="17"/>
      <c r="E722" s="23"/>
      <c r="F722" s="15"/>
      <c r="G722" s="15"/>
      <c r="H722" s="15"/>
      <c r="I722" s="3"/>
      <c r="J722" s="17"/>
      <c r="K722" s="17"/>
      <c r="L722" s="17"/>
      <c r="M722" s="17"/>
      <c r="N722" s="17"/>
      <c r="O722" s="19"/>
      <c r="P722" s="20"/>
      <c r="Q722" s="20"/>
      <c r="S722" s="15"/>
    </row>
    <row r="723" spans="3:19" ht="14.25" customHeight="1">
      <c r="C723" s="17"/>
      <c r="D723" s="17"/>
      <c r="E723" s="23"/>
      <c r="F723" s="15"/>
      <c r="G723" s="15"/>
      <c r="H723" s="15"/>
      <c r="I723" s="3"/>
      <c r="J723" s="17"/>
      <c r="K723" s="17"/>
      <c r="L723" s="17"/>
      <c r="M723" s="17"/>
      <c r="N723" s="17"/>
      <c r="O723" s="19"/>
      <c r="P723" s="20"/>
      <c r="Q723" s="20"/>
      <c r="S723" s="15"/>
    </row>
    <row r="724" spans="3:19" ht="14.25" customHeight="1">
      <c r="C724" s="17"/>
      <c r="D724" s="17"/>
      <c r="E724" s="23"/>
      <c r="F724" s="15"/>
      <c r="G724" s="15"/>
      <c r="H724" s="15"/>
      <c r="I724" s="3"/>
      <c r="J724" s="17"/>
      <c r="K724" s="17"/>
      <c r="L724" s="17"/>
      <c r="M724" s="17"/>
      <c r="N724" s="17"/>
      <c r="O724" s="19"/>
      <c r="P724" s="20"/>
      <c r="Q724" s="20"/>
      <c r="S724" s="15"/>
    </row>
    <row r="725" spans="3:19" ht="14.25" customHeight="1">
      <c r="C725" s="17"/>
      <c r="D725" s="17"/>
      <c r="E725" s="23"/>
      <c r="F725" s="15"/>
      <c r="G725" s="15"/>
      <c r="H725" s="15"/>
      <c r="I725" s="3"/>
      <c r="J725" s="17"/>
      <c r="K725" s="17"/>
      <c r="L725" s="17"/>
      <c r="M725" s="17"/>
      <c r="N725" s="17"/>
      <c r="O725" s="19"/>
      <c r="P725" s="20"/>
      <c r="Q725" s="20"/>
      <c r="S725" s="15"/>
    </row>
    <row r="726" spans="3:19" ht="14.25" customHeight="1">
      <c r="C726" s="17"/>
      <c r="D726" s="17"/>
      <c r="E726" s="23"/>
      <c r="F726" s="15"/>
      <c r="G726" s="15"/>
      <c r="H726" s="15"/>
      <c r="I726" s="3"/>
      <c r="J726" s="17"/>
      <c r="K726" s="17"/>
      <c r="L726" s="17"/>
      <c r="M726" s="17"/>
      <c r="N726" s="17"/>
      <c r="O726" s="19"/>
      <c r="P726" s="20"/>
      <c r="Q726" s="20"/>
      <c r="S726" s="15"/>
    </row>
    <row r="727" spans="3:19" ht="14.25" customHeight="1">
      <c r="C727" s="17"/>
      <c r="D727" s="17"/>
      <c r="E727" s="23"/>
      <c r="F727" s="15"/>
      <c r="G727" s="15"/>
      <c r="H727" s="15"/>
      <c r="I727" s="3"/>
      <c r="J727" s="17"/>
      <c r="K727" s="17"/>
      <c r="L727" s="17"/>
      <c r="M727" s="17"/>
      <c r="N727" s="17"/>
      <c r="O727" s="19"/>
      <c r="P727" s="20"/>
      <c r="Q727" s="20"/>
      <c r="S727" s="15"/>
    </row>
    <row r="728" spans="3:19" ht="14.25" customHeight="1">
      <c r="C728" s="17"/>
      <c r="D728" s="17"/>
      <c r="E728" s="23"/>
      <c r="F728" s="15"/>
      <c r="G728" s="15"/>
      <c r="H728" s="15"/>
      <c r="I728" s="3"/>
      <c r="J728" s="17"/>
      <c r="K728" s="17"/>
      <c r="L728" s="17"/>
      <c r="M728" s="17"/>
      <c r="N728" s="17"/>
      <c r="O728" s="19"/>
      <c r="P728" s="20"/>
      <c r="Q728" s="20"/>
      <c r="S728" s="15"/>
    </row>
    <row r="729" spans="3:19" ht="14.25" customHeight="1">
      <c r="C729" s="17"/>
      <c r="D729" s="17"/>
      <c r="E729" s="23"/>
      <c r="F729" s="15"/>
      <c r="G729" s="15"/>
      <c r="H729" s="15"/>
      <c r="I729" s="3"/>
      <c r="J729" s="17"/>
      <c r="K729" s="17"/>
      <c r="L729" s="17"/>
      <c r="M729" s="17"/>
      <c r="N729" s="17"/>
      <c r="O729" s="19"/>
      <c r="P729" s="20"/>
      <c r="Q729" s="20"/>
      <c r="S729" s="15"/>
    </row>
    <row r="730" spans="3:19" ht="14.25" customHeight="1">
      <c r="C730" s="17"/>
      <c r="D730" s="17"/>
      <c r="E730" s="23"/>
      <c r="F730" s="15"/>
      <c r="G730" s="15"/>
      <c r="H730" s="15"/>
      <c r="I730" s="3"/>
      <c r="J730" s="17"/>
      <c r="K730" s="17"/>
      <c r="L730" s="17"/>
      <c r="M730" s="17"/>
      <c r="N730" s="17"/>
      <c r="O730" s="19"/>
      <c r="P730" s="20"/>
      <c r="Q730" s="20"/>
      <c r="S730" s="15"/>
    </row>
    <row r="731" spans="3:19" ht="14.25" customHeight="1">
      <c r="C731" s="17"/>
      <c r="D731" s="17"/>
      <c r="E731" s="23"/>
      <c r="F731" s="15"/>
      <c r="G731" s="15"/>
      <c r="H731" s="15"/>
      <c r="I731" s="3"/>
      <c r="J731" s="17"/>
      <c r="K731" s="17"/>
      <c r="L731" s="17"/>
      <c r="M731" s="17"/>
      <c r="N731" s="17"/>
      <c r="O731" s="19"/>
      <c r="P731" s="20"/>
      <c r="Q731" s="20"/>
      <c r="S731" s="15"/>
    </row>
    <row r="732" spans="3:19" ht="14.25" customHeight="1">
      <c r="C732" s="17"/>
      <c r="D732" s="17"/>
      <c r="E732" s="23"/>
      <c r="F732" s="15"/>
      <c r="G732" s="15"/>
      <c r="H732" s="15"/>
      <c r="I732" s="3"/>
      <c r="J732" s="17"/>
      <c r="K732" s="17"/>
      <c r="L732" s="17"/>
      <c r="M732" s="17"/>
      <c r="N732" s="17"/>
      <c r="O732" s="19"/>
      <c r="P732" s="20"/>
      <c r="Q732" s="20"/>
      <c r="S732" s="15"/>
    </row>
    <row r="733" spans="3:19" ht="14.25" customHeight="1">
      <c r="C733" s="17"/>
      <c r="D733" s="17"/>
      <c r="E733" s="23"/>
      <c r="F733" s="15"/>
      <c r="G733" s="15"/>
      <c r="H733" s="15"/>
      <c r="I733" s="3"/>
      <c r="J733" s="17"/>
      <c r="K733" s="17"/>
      <c r="L733" s="17"/>
      <c r="M733" s="17"/>
      <c r="N733" s="17"/>
      <c r="O733" s="19"/>
      <c r="P733" s="20"/>
      <c r="Q733" s="20"/>
      <c r="S733" s="15"/>
    </row>
    <row r="734" spans="3:19" ht="14.25" customHeight="1">
      <c r="C734" s="17"/>
      <c r="D734" s="17"/>
      <c r="E734" s="23"/>
      <c r="F734" s="15"/>
      <c r="G734" s="15"/>
      <c r="H734" s="15"/>
      <c r="I734" s="3"/>
      <c r="J734" s="17"/>
      <c r="K734" s="17"/>
      <c r="L734" s="17"/>
      <c r="M734" s="17"/>
      <c r="N734" s="17"/>
      <c r="O734" s="19"/>
      <c r="P734" s="20"/>
      <c r="Q734" s="20"/>
      <c r="S734" s="15"/>
    </row>
    <row r="735" spans="3:19" ht="14.25" customHeight="1">
      <c r="C735" s="17"/>
      <c r="D735" s="17"/>
      <c r="E735" s="23"/>
      <c r="F735" s="15"/>
      <c r="G735" s="15"/>
      <c r="H735" s="15"/>
      <c r="I735" s="3"/>
      <c r="J735" s="17"/>
      <c r="K735" s="17"/>
      <c r="L735" s="17"/>
      <c r="M735" s="17"/>
      <c r="N735" s="17"/>
      <c r="O735" s="19"/>
      <c r="P735" s="20"/>
      <c r="Q735" s="20"/>
      <c r="S735" s="15"/>
    </row>
    <row r="736" spans="3:19" ht="14.25" customHeight="1">
      <c r="C736" s="17"/>
      <c r="D736" s="17"/>
      <c r="E736" s="23"/>
      <c r="F736" s="15"/>
      <c r="G736" s="15"/>
      <c r="H736" s="15"/>
      <c r="I736" s="3"/>
      <c r="J736" s="17"/>
      <c r="K736" s="17"/>
      <c r="L736" s="17"/>
      <c r="M736" s="17"/>
      <c r="N736" s="17"/>
      <c r="O736" s="19"/>
      <c r="P736" s="20"/>
      <c r="Q736" s="20"/>
      <c r="S736" s="15"/>
    </row>
    <row r="737" spans="3:19" ht="14.25" customHeight="1">
      <c r="C737" s="17"/>
      <c r="D737" s="17"/>
      <c r="E737" s="23"/>
      <c r="F737" s="15"/>
      <c r="G737" s="15"/>
      <c r="H737" s="15"/>
      <c r="I737" s="3"/>
      <c r="J737" s="17"/>
      <c r="K737" s="17"/>
      <c r="L737" s="17"/>
      <c r="M737" s="17"/>
      <c r="N737" s="17"/>
      <c r="O737" s="19"/>
      <c r="P737" s="20"/>
      <c r="Q737" s="20"/>
      <c r="S737" s="15"/>
    </row>
    <row r="738" spans="3:19" ht="14.25" customHeight="1">
      <c r="C738" s="17"/>
      <c r="D738" s="17"/>
      <c r="E738" s="23"/>
      <c r="F738" s="15"/>
      <c r="G738" s="15"/>
      <c r="H738" s="15"/>
      <c r="I738" s="3"/>
      <c r="J738" s="17"/>
      <c r="K738" s="17"/>
      <c r="L738" s="17"/>
      <c r="M738" s="17"/>
      <c r="N738" s="17"/>
      <c r="O738" s="19"/>
      <c r="P738" s="20"/>
      <c r="Q738" s="20"/>
      <c r="S738" s="15"/>
    </row>
    <row r="739" spans="3:19" ht="14.25" customHeight="1">
      <c r="C739" s="17"/>
      <c r="D739" s="17"/>
      <c r="E739" s="23"/>
      <c r="F739" s="15"/>
      <c r="G739" s="15"/>
      <c r="H739" s="15"/>
      <c r="I739" s="3"/>
      <c r="J739" s="17"/>
      <c r="K739" s="17"/>
      <c r="L739" s="17"/>
      <c r="M739" s="17"/>
      <c r="N739" s="17"/>
      <c r="O739" s="19"/>
      <c r="P739" s="20"/>
      <c r="Q739" s="20"/>
      <c r="S739" s="15"/>
    </row>
    <row r="740" spans="3:19" ht="14.25" customHeight="1">
      <c r="C740" s="17"/>
      <c r="D740" s="17"/>
      <c r="E740" s="23"/>
      <c r="F740" s="15"/>
      <c r="G740" s="15"/>
      <c r="H740" s="15"/>
      <c r="I740" s="3"/>
      <c r="J740" s="17"/>
      <c r="K740" s="17"/>
      <c r="L740" s="17"/>
      <c r="M740" s="17"/>
      <c r="N740" s="17"/>
      <c r="O740" s="19"/>
      <c r="P740" s="20"/>
      <c r="Q740" s="20"/>
      <c r="S740" s="15"/>
    </row>
    <row r="741" spans="3:19" ht="14.25" customHeight="1">
      <c r="C741" s="17"/>
      <c r="D741" s="17"/>
      <c r="E741" s="23"/>
      <c r="F741" s="15"/>
      <c r="G741" s="15"/>
      <c r="H741" s="15"/>
      <c r="I741" s="3"/>
      <c r="J741" s="17"/>
      <c r="K741" s="17"/>
      <c r="L741" s="17"/>
      <c r="M741" s="17"/>
      <c r="N741" s="17"/>
      <c r="O741" s="19"/>
      <c r="P741" s="20"/>
      <c r="Q741" s="20"/>
      <c r="S741" s="15"/>
    </row>
    <row r="742" spans="3:19" ht="14.25" customHeight="1">
      <c r="C742" s="17"/>
      <c r="D742" s="17"/>
      <c r="E742" s="23"/>
      <c r="F742" s="15"/>
      <c r="G742" s="15"/>
      <c r="H742" s="15"/>
      <c r="I742" s="3"/>
      <c r="J742" s="17"/>
      <c r="K742" s="17"/>
      <c r="L742" s="17"/>
      <c r="M742" s="17"/>
      <c r="N742" s="17"/>
      <c r="O742" s="19"/>
      <c r="P742" s="20"/>
      <c r="Q742" s="20"/>
      <c r="S742" s="15"/>
    </row>
    <row r="743" spans="3:19" ht="14.25" customHeight="1">
      <c r="C743" s="17"/>
      <c r="D743" s="17"/>
      <c r="E743" s="23"/>
      <c r="F743" s="15"/>
      <c r="G743" s="15"/>
      <c r="H743" s="15"/>
      <c r="I743" s="3"/>
      <c r="J743" s="17"/>
      <c r="K743" s="17"/>
      <c r="L743" s="17"/>
      <c r="M743" s="17"/>
      <c r="N743" s="17"/>
      <c r="O743" s="19"/>
      <c r="P743" s="20"/>
      <c r="Q743" s="20"/>
      <c r="S743" s="15"/>
    </row>
    <row r="744" spans="3:19" ht="14.25" customHeight="1">
      <c r="C744" s="17"/>
      <c r="D744" s="17"/>
      <c r="E744" s="23"/>
      <c r="F744" s="15"/>
      <c r="G744" s="15"/>
      <c r="H744" s="15"/>
      <c r="I744" s="3"/>
      <c r="J744" s="17"/>
      <c r="K744" s="17"/>
      <c r="L744" s="17"/>
      <c r="M744" s="17"/>
      <c r="N744" s="17"/>
      <c r="O744" s="19"/>
      <c r="P744" s="20"/>
      <c r="Q744" s="20"/>
      <c r="S744" s="15"/>
    </row>
    <row r="745" spans="3:19" ht="14.25" customHeight="1">
      <c r="C745" s="17"/>
      <c r="D745" s="17"/>
      <c r="E745" s="23"/>
      <c r="F745" s="15"/>
      <c r="G745" s="15"/>
      <c r="H745" s="15"/>
      <c r="I745" s="3"/>
      <c r="J745" s="17"/>
      <c r="K745" s="17"/>
      <c r="L745" s="17"/>
      <c r="M745" s="17"/>
      <c r="N745" s="17"/>
      <c r="O745" s="19"/>
      <c r="P745" s="20"/>
      <c r="Q745" s="20"/>
      <c r="S745" s="15"/>
    </row>
    <row r="746" spans="3:19" ht="14.25" customHeight="1">
      <c r="C746" s="17"/>
      <c r="D746" s="17"/>
      <c r="E746" s="23"/>
      <c r="F746" s="15"/>
      <c r="G746" s="15"/>
      <c r="H746" s="15"/>
      <c r="I746" s="3"/>
      <c r="J746" s="17"/>
      <c r="K746" s="17"/>
      <c r="L746" s="17"/>
      <c r="M746" s="17"/>
      <c r="N746" s="17"/>
      <c r="O746" s="19"/>
      <c r="P746" s="20"/>
      <c r="Q746" s="20"/>
      <c r="S746" s="15"/>
    </row>
    <row r="747" spans="3:19" ht="14.25" customHeight="1">
      <c r="C747" s="17"/>
      <c r="D747" s="17"/>
      <c r="E747" s="23"/>
      <c r="F747" s="15"/>
      <c r="G747" s="15"/>
      <c r="H747" s="15"/>
      <c r="I747" s="3"/>
      <c r="J747" s="17"/>
      <c r="K747" s="17"/>
      <c r="L747" s="17"/>
      <c r="M747" s="17"/>
      <c r="N747" s="17"/>
      <c r="O747" s="19"/>
      <c r="P747" s="20"/>
      <c r="Q747" s="20"/>
      <c r="S747" s="15"/>
    </row>
    <row r="748" spans="3:19" ht="14.25" customHeight="1">
      <c r="C748" s="17"/>
      <c r="D748" s="17"/>
      <c r="E748" s="23"/>
      <c r="F748" s="15"/>
      <c r="G748" s="15"/>
      <c r="H748" s="15"/>
      <c r="I748" s="3"/>
      <c r="J748" s="17"/>
      <c r="K748" s="17"/>
      <c r="L748" s="17"/>
      <c r="M748" s="17"/>
      <c r="N748" s="17"/>
      <c r="O748" s="19"/>
      <c r="P748" s="20"/>
      <c r="Q748" s="20"/>
      <c r="S748" s="15"/>
    </row>
    <row r="749" spans="3:19" ht="14.25" customHeight="1">
      <c r="C749" s="17"/>
      <c r="D749" s="17"/>
      <c r="E749" s="23"/>
      <c r="F749" s="15"/>
      <c r="G749" s="15"/>
      <c r="H749" s="15"/>
      <c r="I749" s="3"/>
      <c r="J749" s="17"/>
      <c r="K749" s="17"/>
      <c r="L749" s="17"/>
      <c r="M749" s="17"/>
      <c r="N749" s="17"/>
      <c r="O749" s="19"/>
      <c r="P749" s="20"/>
      <c r="Q749" s="20"/>
      <c r="S749" s="15"/>
    </row>
    <row r="750" spans="3:19" ht="14.25" customHeight="1">
      <c r="C750" s="17"/>
      <c r="D750" s="17"/>
      <c r="E750" s="23"/>
      <c r="F750" s="15"/>
      <c r="G750" s="15"/>
      <c r="H750" s="15"/>
      <c r="I750" s="3"/>
      <c r="J750" s="17"/>
      <c r="K750" s="17"/>
      <c r="L750" s="17"/>
      <c r="M750" s="17"/>
      <c r="N750" s="17"/>
      <c r="O750" s="19"/>
      <c r="P750" s="20"/>
      <c r="Q750" s="20"/>
      <c r="S750" s="15"/>
    </row>
    <row r="751" spans="3:19" ht="14.25" customHeight="1">
      <c r="C751" s="17"/>
      <c r="D751" s="17"/>
      <c r="E751" s="23"/>
      <c r="F751" s="15"/>
      <c r="G751" s="15"/>
      <c r="H751" s="15"/>
      <c r="I751" s="3"/>
      <c r="J751" s="17"/>
      <c r="K751" s="17"/>
      <c r="L751" s="17"/>
      <c r="M751" s="17"/>
      <c r="N751" s="17"/>
      <c r="O751" s="19"/>
      <c r="P751" s="20"/>
      <c r="Q751" s="20"/>
      <c r="S751" s="15"/>
    </row>
    <row r="752" spans="3:19" ht="14.25" customHeight="1">
      <c r="C752" s="17"/>
      <c r="D752" s="17"/>
      <c r="E752" s="23"/>
      <c r="F752" s="15"/>
      <c r="G752" s="15"/>
      <c r="H752" s="15"/>
      <c r="I752" s="3"/>
      <c r="J752" s="17"/>
      <c r="K752" s="17"/>
      <c r="L752" s="17"/>
      <c r="M752" s="17"/>
      <c r="N752" s="17"/>
      <c r="O752" s="19"/>
      <c r="P752" s="20"/>
      <c r="Q752" s="20"/>
      <c r="S752" s="15"/>
    </row>
    <row r="753" spans="3:19" ht="14.25" customHeight="1">
      <c r="C753" s="17"/>
      <c r="D753" s="17"/>
      <c r="E753" s="23"/>
      <c r="F753" s="15"/>
      <c r="G753" s="15"/>
      <c r="H753" s="15"/>
      <c r="I753" s="3"/>
      <c r="J753" s="17"/>
      <c r="K753" s="17"/>
      <c r="L753" s="17"/>
      <c r="M753" s="17"/>
      <c r="N753" s="17"/>
      <c r="O753" s="19"/>
      <c r="P753" s="20"/>
      <c r="Q753" s="20"/>
      <c r="S753" s="15"/>
    </row>
    <row r="754" spans="3:19" ht="14.25" customHeight="1">
      <c r="C754" s="17"/>
      <c r="D754" s="17"/>
      <c r="E754" s="23"/>
      <c r="F754" s="15"/>
      <c r="G754" s="15"/>
      <c r="H754" s="15"/>
      <c r="I754" s="3"/>
      <c r="J754" s="17"/>
      <c r="K754" s="17"/>
      <c r="L754" s="17"/>
      <c r="M754" s="17"/>
      <c r="N754" s="17"/>
      <c r="O754" s="19"/>
      <c r="P754" s="20"/>
      <c r="Q754" s="20"/>
      <c r="S754" s="15"/>
    </row>
    <row r="755" spans="3:19" ht="14.25" customHeight="1">
      <c r="C755" s="17"/>
      <c r="D755" s="17"/>
      <c r="E755" s="23"/>
      <c r="F755" s="15"/>
      <c r="G755" s="15"/>
      <c r="H755" s="15"/>
      <c r="I755" s="3"/>
      <c r="J755" s="17"/>
      <c r="K755" s="17"/>
      <c r="L755" s="17"/>
      <c r="M755" s="17"/>
      <c r="N755" s="17"/>
      <c r="O755" s="19"/>
      <c r="P755" s="20"/>
      <c r="Q755" s="20"/>
      <c r="S755" s="15"/>
    </row>
    <row r="756" spans="3:19" ht="14.25" customHeight="1">
      <c r="C756" s="17"/>
      <c r="D756" s="17"/>
      <c r="E756" s="23"/>
      <c r="F756" s="15"/>
      <c r="G756" s="15"/>
      <c r="H756" s="15"/>
      <c r="I756" s="3"/>
      <c r="J756" s="17"/>
      <c r="K756" s="17"/>
      <c r="L756" s="17"/>
      <c r="M756" s="17"/>
      <c r="N756" s="17"/>
      <c r="O756" s="19"/>
      <c r="P756" s="20"/>
      <c r="Q756" s="20"/>
      <c r="S756" s="15"/>
    </row>
    <row r="757" spans="3:19" ht="14.25" customHeight="1">
      <c r="C757" s="17"/>
      <c r="D757" s="17"/>
      <c r="E757" s="23"/>
      <c r="F757" s="15"/>
      <c r="G757" s="15"/>
      <c r="H757" s="15"/>
      <c r="I757" s="3"/>
      <c r="J757" s="17"/>
      <c r="K757" s="17"/>
      <c r="L757" s="17"/>
      <c r="M757" s="17"/>
      <c r="N757" s="17"/>
      <c r="O757" s="19"/>
      <c r="P757" s="20"/>
      <c r="Q757" s="20"/>
      <c r="S757" s="15"/>
    </row>
    <row r="758" spans="3:19" ht="14.25" customHeight="1">
      <c r="C758" s="17"/>
      <c r="D758" s="17"/>
      <c r="E758" s="23"/>
      <c r="F758" s="15"/>
      <c r="G758" s="15"/>
      <c r="H758" s="15"/>
      <c r="I758" s="3"/>
      <c r="J758" s="17"/>
      <c r="K758" s="17"/>
      <c r="L758" s="17"/>
      <c r="M758" s="17"/>
      <c r="N758" s="17"/>
      <c r="O758" s="19"/>
      <c r="P758" s="20"/>
      <c r="Q758" s="20"/>
      <c r="S758" s="15"/>
    </row>
    <row r="759" spans="3:19" ht="14.25" customHeight="1">
      <c r="C759" s="17"/>
      <c r="D759" s="17"/>
      <c r="E759" s="23"/>
      <c r="F759" s="15"/>
      <c r="G759" s="15"/>
      <c r="H759" s="15"/>
      <c r="I759" s="3"/>
      <c r="J759" s="17"/>
      <c r="K759" s="17"/>
      <c r="L759" s="17"/>
      <c r="M759" s="17"/>
      <c r="N759" s="17"/>
      <c r="O759" s="19"/>
      <c r="P759" s="20"/>
      <c r="Q759" s="20"/>
      <c r="S759" s="15"/>
    </row>
    <row r="760" spans="3:19" ht="14.25" customHeight="1">
      <c r="C760" s="17"/>
      <c r="D760" s="17"/>
      <c r="E760" s="23"/>
      <c r="F760" s="15"/>
      <c r="G760" s="15"/>
      <c r="H760" s="15"/>
      <c r="I760" s="3"/>
      <c r="J760" s="17"/>
      <c r="K760" s="17"/>
      <c r="L760" s="17"/>
      <c r="M760" s="17"/>
      <c r="N760" s="17"/>
      <c r="O760" s="19"/>
      <c r="P760" s="20"/>
      <c r="Q760" s="20"/>
      <c r="S760" s="15"/>
    </row>
    <row r="761" spans="3:19" ht="14.25" customHeight="1">
      <c r="C761" s="17"/>
      <c r="D761" s="17"/>
      <c r="E761" s="23"/>
      <c r="F761" s="15"/>
      <c r="G761" s="15"/>
      <c r="H761" s="15"/>
      <c r="I761" s="3"/>
      <c r="J761" s="17"/>
      <c r="K761" s="17"/>
      <c r="L761" s="17"/>
      <c r="M761" s="17"/>
      <c r="N761" s="17"/>
      <c r="O761" s="19"/>
      <c r="P761" s="20"/>
      <c r="Q761" s="20"/>
      <c r="S761" s="15"/>
    </row>
    <row r="762" spans="3:19" ht="14.25" customHeight="1">
      <c r="C762" s="17"/>
      <c r="D762" s="17"/>
      <c r="E762" s="23"/>
      <c r="F762" s="15"/>
      <c r="G762" s="15"/>
      <c r="H762" s="15"/>
      <c r="I762" s="3"/>
      <c r="J762" s="17"/>
      <c r="K762" s="17"/>
      <c r="L762" s="17"/>
      <c r="M762" s="17"/>
      <c r="N762" s="17"/>
      <c r="O762" s="19"/>
      <c r="P762" s="20"/>
      <c r="Q762" s="20"/>
      <c r="S762" s="15"/>
    </row>
    <row r="763" spans="3:19" ht="14.25" customHeight="1">
      <c r="C763" s="17"/>
      <c r="D763" s="17"/>
      <c r="E763" s="23"/>
      <c r="F763" s="15"/>
      <c r="G763" s="15"/>
      <c r="H763" s="15"/>
      <c r="I763" s="3"/>
      <c r="J763" s="17"/>
      <c r="K763" s="17"/>
      <c r="L763" s="17"/>
      <c r="M763" s="17"/>
      <c r="N763" s="17"/>
      <c r="O763" s="19"/>
      <c r="P763" s="20"/>
      <c r="Q763" s="20"/>
      <c r="S763" s="15"/>
    </row>
    <row r="764" spans="3:19" ht="14.25" customHeight="1">
      <c r="C764" s="17"/>
      <c r="D764" s="17"/>
      <c r="E764" s="23"/>
      <c r="F764" s="15"/>
      <c r="G764" s="15"/>
      <c r="H764" s="15"/>
      <c r="I764" s="3"/>
      <c r="J764" s="17"/>
      <c r="K764" s="17"/>
      <c r="L764" s="17"/>
      <c r="M764" s="17"/>
      <c r="N764" s="17"/>
      <c r="O764" s="19"/>
      <c r="P764" s="20"/>
      <c r="Q764" s="20"/>
      <c r="S764" s="15"/>
    </row>
    <row r="765" spans="3:19" ht="14.25" customHeight="1">
      <c r="C765" s="17"/>
      <c r="D765" s="17"/>
      <c r="E765" s="23"/>
      <c r="F765" s="15"/>
      <c r="G765" s="15"/>
      <c r="H765" s="15"/>
      <c r="I765" s="3"/>
      <c r="J765" s="17"/>
      <c r="K765" s="17"/>
      <c r="L765" s="17"/>
      <c r="M765" s="17"/>
      <c r="N765" s="17"/>
      <c r="O765" s="19"/>
      <c r="P765" s="20"/>
      <c r="Q765" s="20"/>
      <c r="S765" s="15"/>
    </row>
    <row r="766" spans="3:19" ht="14.25" customHeight="1">
      <c r="C766" s="17"/>
      <c r="D766" s="17"/>
      <c r="E766" s="23"/>
      <c r="F766" s="15"/>
      <c r="G766" s="15"/>
      <c r="H766" s="15"/>
      <c r="I766" s="3"/>
      <c r="J766" s="17"/>
      <c r="K766" s="17"/>
      <c r="L766" s="17"/>
      <c r="M766" s="17"/>
      <c r="N766" s="17"/>
      <c r="O766" s="19"/>
      <c r="P766" s="20"/>
      <c r="Q766" s="20"/>
      <c r="S766" s="15"/>
    </row>
    <row r="767" spans="3:19" ht="14.25" customHeight="1">
      <c r="C767" s="17"/>
      <c r="D767" s="17"/>
      <c r="E767" s="23"/>
      <c r="F767" s="15"/>
      <c r="G767" s="15"/>
      <c r="H767" s="15"/>
      <c r="I767" s="3"/>
      <c r="J767" s="17"/>
      <c r="K767" s="17"/>
      <c r="L767" s="17"/>
      <c r="M767" s="17"/>
      <c r="N767" s="17"/>
      <c r="O767" s="19"/>
      <c r="P767" s="20"/>
      <c r="Q767" s="20"/>
      <c r="S767" s="15"/>
    </row>
    <row r="768" spans="3:19" ht="14.25" customHeight="1">
      <c r="C768" s="17"/>
      <c r="D768" s="17"/>
      <c r="E768" s="23"/>
      <c r="F768" s="15"/>
      <c r="G768" s="15"/>
      <c r="H768" s="15"/>
      <c r="I768" s="3"/>
      <c r="J768" s="17"/>
      <c r="K768" s="17"/>
      <c r="L768" s="17"/>
      <c r="M768" s="17"/>
      <c r="N768" s="17"/>
      <c r="O768" s="19"/>
      <c r="P768" s="20"/>
      <c r="Q768" s="20"/>
      <c r="S768" s="15"/>
    </row>
    <row r="769" spans="3:19" ht="14.25" customHeight="1">
      <c r="C769" s="17"/>
      <c r="D769" s="17"/>
      <c r="E769" s="23"/>
      <c r="F769" s="15"/>
      <c r="G769" s="15"/>
      <c r="H769" s="15"/>
      <c r="I769" s="3"/>
      <c r="J769" s="17"/>
      <c r="K769" s="17"/>
      <c r="L769" s="17"/>
      <c r="M769" s="17"/>
      <c r="N769" s="17"/>
      <c r="O769" s="19"/>
      <c r="P769" s="20"/>
      <c r="Q769" s="20"/>
      <c r="S769" s="15"/>
    </row>
    <row r="770" spans="3:19" ht="14.25" customHeight="1">
      <c r="C770" s="17"/>
      <c r="D770" s="17"/>
      <c r="E770" s="23"/>
      <c r="F770" s="15"/>
      <c r="G770" s="15"/>
      <c r="H770" s="15"/>
      <c r="I770" s="3"/>
      <c r="J770" s="17"/>
      <c r="K770" s="17"/>
      <c r="L770" s="17"/>
      <c r="M770" s="17"/>
      <c r="N770" s="17"/>
      <c r="O770" s="19"/>
      <c r="P770" s="20"/>
      <c r="Q770" s="20"/>
      <c r="S770" s="15"/>
    </row>
    <row r="771" spans="3:19" ht="14.25" customHeight="1">
      <c r="C771" s="17"/>
      <c r="D771" s="17"/>
      <c r="E771" s="23"/>
      <c r="F771" s="15"/>
      <c r="G771" s="15"/>
      <c r="H771" s="15"/>
      <c r="I771" s="3"/>
      <c r="J771" s="17"/>
      <c r="K771" s="17"/>
      <c r="L771" s="17"/>
      <c r="M771" s="17"/>
      <c r="N771" s="17"/>
      <c r="O771" s="19"/>
      <c r="P771" s="20"/>
      <c r="Q771" s="20"/>
      <c r="S771" s="15"/>
    </row>
    <row r="772" spans="3:19" ht="14.25" customHeight="1">
      <c r="C772" s="17"/>
      <c r="D772" s="17"/>
      <c r="E772" s="23"/>
      <c r="F772" s="15"/>
      <c r="G772" s="15"/>
      <c r="H772" s="15"/>
      <c r="I772" s="3"/>
      <c r="J772" s="17"/>
      <c r="K772" s="17"/>
      <c r="L772" s="17"/>
      <c r="M772" s="17"/>
      <c r="N772" s="17"/>
      <c r="O772" s="19"/>
      <c r="P772" s="20"/>
      <c r="Q772" s="20"/>
      <c r="S772" s="15"/>
    </row>
    <row r="773" spans="3:19" ht="14.25" customHeight="1">
      <c r="C773" s="17"/>
      <c r="D773" s="17"/>
      <c r="E773" s="23"/>
      <c r="F773" s="15"/>
      <c r="G773" s="15"/>
      <c r="H773" s="15"/>
      <c r="I773" s="3"/>
      <c r="J773" s="17"/>
      <c r="K773" s="17"/>
      <c r="L773" s="17"/>
      <c r="M773" s="17"/>
      <c r="N773" s="17"/>
      <c r="O773" s="19"/>
      <c r="P773" s="20"/>
      <c r="Q773" s="20"/>
      <c r="S773" s="15"/>
    </row>
    <row r="774" spans="3:19" ht="14.25" customHeight="1">
      <c r="C774" s="17"/>
      <c r="D774" s="17"/>
      <c r="E774" s="23"/>
      <c r="F774" s="15"/>
      <c r="G774" s="15"/>
      <c r="H774" s="15"/>
      <c r="I774" s="3"/>
      <c r="J774" s="17"/>
      <c r="K774" s="17"/>
      <c r="L774" s="17"/>
      <c r="M774" s="17"/>
      <c r="N774" s="17"/>
      <c r="O774" s="19"/>
      <c r="P774" s="20"/>
      <c r="Q774" s="20"/>
      <c r="S774" s="15"/>
    </row>
    <row r="775" spans="3:19" ht="14.25" customHeight="1">
      <c r="C775" s="17"/>
      <c r="D775" s="17"/>
      <c r="E775" s="23"/>
      <c r="F775" s="15"/>
      <c r="G775" s="15"/>
      <c r="H775" s="15"/>
      <c r="I775" s="3"/>
      <c r="J775" s="17"/>
      <c r="K775" s="17"/>
      <c r="L775" s="17"/>
      <c r="M775" s="17"/>
      <c r="N775" s="17"/>
      <c r="O775" s="19"/>
      <c r="P775" s="20"/>
      <c r="Q775" s="20"/>
      <c r="S775" s="15"/>
    </row>
    <row r="776" spans="3:19" ht="14.25" customHeight="1">
      <c r="C776" s="17"/>
      <c r="D776" s="17"/>
      <c r="E776" s="23"/>
      <c r="F776" s="15"/>
      <c r="G776" s="15"/>
      <c r="H776" s="15"/>
      <c r="I776" s="3"/>
      <c r="J776" s="17"/>
      <c r="K776" s="17"/>
      <c r="L776" s="17"/>
      <c r="M776" s="17"/>
      <c r="N776" s="17"/>
      <c r="O776" s="19"/>
      <c r="P776" s="20"/>
      <c r="Q776" s="20"/>
      <c r="S776" s="15"/>
    </row>
    <row r="777" spans="3:19" ht="14.25" customHeight="1">
      <c r="C777" s="17"/>
      <c r="D777" s="17"/>
      <c r="E777" s="23"/>
      <c r="F777" s="15"/>
      <c r="G777" s="15"/>
      <c r="H777" s="15"/>
      <c r="I777" s="3"/>
      <c r="J777" s="17"/>
      <c r="K777" s="17"/>
      <c r="L777" s="17"/>
      <c r="M777" s="17"/>
      <c r="N777" s="17"/>
      <c r="O777" s="19"/>
      <c r="P777" s="20"/>
      <c r="Q777" s="20"/>
      <c r="S777" s="15"/>
    </row>
    <row r="778" spans="3:19" ht="14.25" customHeight="1">
      <c r="C778" s="17"/>
      <c r="D778" s="17"/>
      <c r="E778" s="23"/>
      <c r="F778" s="15"/>
      <c r="G778" s="15"/>
      <c r="H778" s="15"/>
      <c r="I778" s="3"/>
      <c r="J778" s="17"/>
      <c r="K778" s="17"/>
      <c r="L778" s="17"/>
      <c r="M778" s="17"/>
      <c r="N778" s="17"/>
      <c r="O778" s="19"/>
      <c r="P778" s="20"/>
      <c r="Q778" s="20"/>
      <c r="S778" s="15"/>
    </row>
    <row r="779" spans="3:19" ht="14.25" customHeight="1">
      <c r="C779" s="17"/>
      <c r="D779" s="17"/>
      <c r="E779" s="23"/>
      <c r="F779" s="15"/>
      <c r="G779" s="15"/>
      <c r="H779" s="15"/>
      <c r="I779" s="3"/>
      <c r="J779" s="17"/>
      <c r="K779" s="17"/>
      <c r="L779" s="17"/>
      <c r="M779" s="17"/>
      <c r="N779" s="17"/>
      <c r="O779" s="19"/>
      <c r="P779" s="20"/>
      <c r="Q779" s="20"/>
      <c r="S779" s="15"/>
    </row>
    <row r="780" spans="3:19" ht="14.25" customHeight="1">
      <c r="C780" s="17"/>
      <c r="D780" s="17"/>
      <c r="E780" s="23"/>
      <c r="F780" s="15"/>
      <c r="G780" s="15"/>
      <c r="H780" s="15"/>
      <c r="I780" s="3"/>
      <c r="J780" s="17"/>
      <c r="K780" s="17"/>
      <c r="L780" s="17"/>
      <c r="M780" s="17"/>
      <c r="N780" s="17"/>
      <c r="O780" s="19"/>
      <c r="P780" s="20"/>
      <c r="Q780" s="20"/>
      <c r="S780" s="15"/>
    </row>
    <row r="781" spans="3:19" ht="14.25" customHeight="1">
      <c r="C781" s="17"/>
      <c r="D781" s="17"/>
      <c r="E781" s="23"/>
      <c r="F781" s="15"/>
      <c r="G781" s="15"/>
      <c r="H781" s="15"/>
      <c r="I781" s="3"/>
      <c r="J781" s="17"/>
      <c r="K781" s="17"/>
      <c r="L781" s="17"/>
      <c r="M781" s="17"/>
      <c r="N781" s="17"/>
      <c r="O781" s="19"/>
      <c r="P781" s="20"/>
      <c r="Q781" s="20"/>
      <c r="S781" s="15"/>
    </row>
    <row r="782" spans="3:19" ht="14.25" customHeight="1">
      <c r="C782" s="17"/>
      <c r="D782" s="17"/>
      <c r="E782" s="23"/>
      <c r="F782" s="15"/>
      <c r="G782" s="15"/>
      <c r="H782" s="15"/>
      <c r="I782" s="3"/>
      <c r="J782" s="17"/>
      <c r="K782" s="17"/>
      <c r="L782" s="17"/>
      <c r="M782" s="17"/>
      <c r="N782" s="17"/>
      <c r="O782" s="19"/>
      <c r="P782" s="20"/>
      <c r="Q782" s="20"/>
      <c r="S782" s="15"/>
    </row>
    <row r="783" spans="3:19" ht="14.25" customHeight="1">
      <c r="C783" s="17"/>
      <c r="D783" s="17"/>
      <c r="E783" s="23"/>
      <c r="F783" s="15"/>
      <c r="G783" s="15"/>
      <c r="H783" s="15"/>
      <c r="I783" s="3"/>
      <c r="J783" s="17"/>
      <c r="K783" s="17"/>
      <c r="L783" s="17"/>
      <c r="M783" s="17"/>
      <c r="N783" s="17"/>
      <c r="O783" s="19"/>
      <c r="P783" s="20"/>
      <c r="Q783" s="20"/>
      <c r="S783" s="15"/>
    </row>
    <row r="784" spans="3:19" ht="14.25" customHeight="1">
      <c r="C784" s="17"/>
      <c r="D784" s="17"/>
      <c r="E784" s="23"/>
      <c r="F784" s="15"/>
      <c r="G784" s="15"/>
      <c r="H784" s="15"/>
      <c r="I784" s="3"/>
      <c r="J784" s="17"/>
      <c r="K784" s="17"/>
      <c r="L784" s="17"/>
      <c r="M784" s="17"/>
      <c r="N784" s="17"/>
      <c r="O784" s="19"/>
      <c r="P784" s="20"/>
      <c r="Q784" s="20"/>
      <c r="S784" s="15"/>
    </row>
    <row r="785" spans="3:19" ht="14.25" customHeight="1">
      <c r="C785" s="17"/>
      <c r="D785" s="17"/>
      <c r="E785" s="23"/>
      <c r="F785" s="15"/>
      <c r="G785" s="15"/>
      <c r="H785" s="15"/>
      <c r="I785" s="3"/>
      <c r="J785" s="17"/>
      <c r="K785" s="17"/>
      <c r="L785" s="17"/>
      <c r="M785" s="17"/>
      <c r="N785" s="17"/>
      <c r="O785" s="19"/>
      <c r="P785" s="20"/>
      <c r="Q785" s="20"/>
      <c r="S785" s="15"/>
    </row>
    <row r="786" spans="3:19" ht="14.25" customHeight="1">
      <c r="C786" s="17"/>
      <c r="D786" s="17"/>
      <c r="E786" s="23"/>
      <c r="F786" s="15"/>
      <c r="G786" s="15"/>
      <c r="H786" s="15"/>
      <c r="I786" s="3"/>
      <c r="J786" s="17"/>
      <c r="K786" s="17"/>
      <c r="L786" s="17"/>
      <c r="M786" s="17"/>
      <c r="N786" s="17"/>
      <c r="O786" s="19"/>
      <c r="P786" s="20"/>
      <c r="Q786" s="20"/>
      <c r="S786" s="15"/>
    </row>
    <row r="787" spans="3:19" ht="14.25" customHeight="1">
      <c r="C787" s="17"/>
      <c r="D787" s="17"/>
      <c r="E787" s="23"/>
      <c r="F787" s="15"/>
      <c r="G787" s="15"/>
      <c r="H787" s="15"/>
      <c r="I787" s="3"/>
      <c r="J787" s="17"/>
      <c r="K787" s="17"/>
      <c r="L787" s="17"/>
      <c r="M787" s="17"/>
      <c r="N787" s="17"/>
      <c r="O787" s="19"/>
      <c r="P787" s="20"/>
      <c r="Q787" s="20"/>
      <c r="S787" s="15"/>
    </row>
    <row r="788" spans="3:19" ht="14.25" customHeight="1">
      <c r="C788" s="17"/>
      <c r="D788" s="17"/>
      <c r="E788" s="23"/>
      <c r="F788" s="15"/>
      <c r="G788" s="15"/>
      <c r="H788" s="15"/>
      <c r="I788" s="3"/>
      <c r="J788" s="17"/>
      <c r="K788" s="17"/>
      <c r="L788" s="17"/>
      <c r="M788" s="17"/>
      <c r="N788" s="17"/>
      <c r="O788" s="19"/>
      <c r="P788" s="20"/>
      <c r="Q788" s="20"/>
      <c r="S788" s="15"/>
    </row>
    <row r="789" spans="3:19" ht="14.25" customHeight="1">
      <c r="C789" s="17"/>
      <c r="D789" s="17"/>
      <c r="E789" s="23"/>
      <c r="F789" s="15"/>
      <c r="G789" s="15"/>
      <c r="H789" s="15"/>
      <c r="I789" s="3"/>
      <c r="J789" s="17"/>
      <c r="K789" s="17"/>
      <c r="L789" s="17"/>
      <c r="M789" s="17"/>
      <c r="N789" s="17"/>
      <c r="O789" s="19"/>
      <c r="P789" s="20"/>
      <c r="Q789" s="20"/>
      <c r="S789" s="15"/>
    </row>
    <row r="790" spans="3:19" ht="14.25" customHeight="1">
      <c r="C790" s="17"/>
      <c r="D790" s="17"/>
      <c r="E790" s="23"/>
      <c r="F790" s="15"/>
      <c r="G790" s="15"/>
      <c r="H790" s="15"/>
      <c r="I790" s="3"/>
      <c r="J790" s="17"/>
      <c r="K790" s="17"/>
      <c r="L790" s="17"/>
      <c r="M790" s="17"/>
      <c r="N790" s="17"/>
      <c r="O790" s="19"/>
      <c r="P790" s="20"/>
      <c r="Q790" s="20"/>
      <c r="S790" s="15"/>
    </row>
    <row r="791" spans="3:19" ht="14.25" customHeight="1">
      <c r="C791" s="17"/>
      <c r="D791" s="17"/>
      <c r="E791" s="23"/>
      <c r="F791" s="15"/>
      <c r="G791" s="15"/>
      <c r="H791" s="15"/>
      <c r="I791" s="3"/>
      <c r="J791" s="17"/>
      <c r="K791" s="17"/>
      <c r="L791" s="17"/>
      <c r="M791" s="17"/>
      <c r="N791" s="17"/>
      <c r="O791" s="19"/>
      <c r="P791" s="20"/>
      <c r="Q791" s="20"/>
      <c r="S791" s="15"/>
    </row>
    <row r="792" spans="3:19" ht="14.25" customHeight="1">
      <c r="C792" s="17"/>
      <c r="D792" s="17"/>
      <c r="E792" s="23"/>
      <c r="F792" s="15"/>
      <c r="G792" s="15"/>
      <c r="H792" s="15"/>
      <c r="I792" s="3"/>
      <c r="J792" s="17"/>
      <c r="K792" s="17"/>
      <c r="L792" s="17"/>
      <c r="M792" s="17"/>
      <c r="N792" s="17"/>
      <c r="O792" s="19"/>
      <c r="P792" s="20"/>
      <c r="Q792" s="20"/>
      <c r="S792" s="15"/>
    </row>
    <row r="793" spans="3:19" ht="14.25" customHeight="1">
      <c r="C793" s="17"/>
      <c r="D793" s="17"/>
      <c r="E793" s="23"/>
      <c r="F793" s="15"/>
      <c r="G793" s="15"/>
      <c r="H793" s="15"/>
      <c r="I793" s="3"/>
      <c r="J793" s="17"/>
      <c r="K793" s="17"/>
      <c r="L793" s="17"/>
      <c r="M793" s="17"/>
      <c r="N793" s="17"/>
      <c r="O793" s="19"/>
      <c r="P793" s="20"/>
      <c r="Q793" s="20"/>
      <c r="S793" s="15"/>
    </row>
    <row r="794" spans="3:19" ht="14.25" customHeight="1">
      <c r="C794" s="17"/>
      <c r="D794" s="17"/>
      <c r="E794" s="23"/>
      <c r="F794" s="15"/>
      <c r="G794" s="15"/>
      <c r="H794" s="15"/>
      <c r="I794" s="3"/>
      <c r="J794" s="17"/>
      <c r="K794" s="17"/>
      <c r="L794" s="17"/>
      <c r="M794" s="17"/>
      <c r="N794" s="17"/>
      <c r="O794" s="19"/>
      <c r="P794" s="20"/>
      <c r="Q794" s="20"/>
      <c r="S794" s="15"/>
    </row>
    <row r="795" spans="3:19" ht="14.25" customHeight="1">
      <c r="C795" s="17"/>
      <c r="D795" s="17"/>
      <c r="E795" s="23"/>
      <c r="F795" s="15"/>
      <c r="G795" s="15"/>
      <c r="H795" s="15"/>
      <c r="I795" s="3"/>
      <c r="J795" s="17"/>
      <c r="K795" s="17"/>
      <c r="L795" s="17"/>
      <c r="M795" s="17"/>
      <c r="N795" s="17"/>
      <c r="O795" s="19"/>
      <c r="P795" s="20"/>
      <c r="Q795" s="20"/>
      <c r="S795" s="15"/>
    </row>
    <row r="796" spans="3:19" ht="14.25" customHeight="1">
      <c r="C796" s="17"/>
      <c r="D796" s="17"/>
      <c r="E796" s="23"/>
      <c r="F796" s="15"/>
      <c r="G796" s="15"/>
      <c r="H796" s="15"/>
      <c r="I796" s="3"/>
      <c r="J796" s="17"/>
      <c r="K796" s="17"/>
      <c r="L796" s="17"/>
      <c r="M796" s="17"/>
      <c r="N796" s="17"/>
      <c r="O796" s="19"/>
      <c r="P796" s="20"/>
      <c r="Q796" s="20"/>
      <c r="S796" s="15"/>
    </row>
    <row r="797" spans="3:19" ht="14.25" customHeight="1">
      <c r="C797" s="17"/>
      <c r="D797" s="17"/>
      <c r="E797" s="23"/>
      <c r="F797" s="15"/>
      <c r="G797" s="15"/>
      <c r="H797" s="15"/>
      <c r="I797" s="3"/>
      <c r="J797" s="17"/>
      <c r="K797" s="17"/>
      <c r="L797" s="17"/>
      <c r="M797" s="17"/>
      <c r="N797" s="17"/>
      <c r="O797" s="19"/>
      <c r="P797" s="20"/>
      <c r="Q797" s="20"/>
      <c r="S797" s="15"/>
    </row>
    <row r="798" spans="3:19" ht="14.25" customHeight="1">
      <c r="C798" s="17"/>
      <c r="D798" s="17"/>
      <c r="E798" s="23"/>
      <c r="F798" s="15"/>
      <c r="G798" s="15"/>
      <c r="H798" s="15"/>
      <c r="I798" s="3"/>
      <c r="J798" s="17"/>
      <c r="K798" s="17"/>
      <c r="L798" s="17"/>
      <c r="M798" s="17"/>
      <c r="N798" s="17"/>
      <c r="O798" s="19"/>
      <c r="P798" s="20"/>
      <c r="Q798" s="20"/>
      <c r="S798" s="15"/>
    </row>
    <row r="799" spans="3:19" ht="14.25" customHeight="1">
      <c r="C799" s="17"/>
      <c r="D799" s="17"/>
      <c r="E799" s="23"/>
      <c r="F799" s="15"/>
      <c r="G799" s="15"/>
      <c r="H799" s="15"/>
      <c r="I799" s="3"/>
      <c r="J799" s="17"/>
      <c r="K799" s="17"/>
      <c r="L799" s="17"/>
      <c r="M799" s="17"/>
      <c r="N799" s="17"/>
      <c r="O799" s="19"/>
      <c r="P799" s="20"/>
      <c r="Q799" s="20"/>
      <c r="S799" s="15"/>
    </row>
    <row r="800" spans="3:19" ht="14.25" customHeight="1">
      <c r="C800" s="17"/>
      <c r="D800" s="17"/>
      <c r="E800" s="23"/>
      <c r="F800" s="15"/>
      <c r="G800" s="15"/>
      <c r="H800" s="15"/>
      <c r="I800" s="3"/>
      <c r="J800" s="17"/>
      <c r="K800" s="17"/>
      <c r="L800" s="17"/>
      <c r="M800" s="17"/>
      <c r="N800" s="17"/>
      <c r="O800" s="19"/>
      <c r="P800" s="20"/>
      <c r="Q800" s="20"/>
      <c r="S800" s="15"/>
    </row>
    <row r="801" spans="3:19" ht="14.25" customHeight="1">
      <c r="C801" s="17"/>
      <c r="D801" s="17"/>
      <c r="E801" s="23"/>
      <c r="F801" s="15"/>
      <c r="G801" s="15"/>
      <c r="H801" s="15"/>
      <c r="I801" s="3"/>
      <c r="J801" s="17"/>
      <c r="K801" s="17"/>
      <c r="L801" s="17"/>
      <c r="M801" s="17"/>
      <c r="N801" s="17"/>
      <c r="O801" s="19"/>
      <c r="P801" s="20"/>
      <c r="Q801" s="20"/>
      <c r="S801" s="15"/>
    </row>
    <row r="802" spans="3:19" ht="14.25" customHeight="1">
      <c r="C802" s="17"/>
      <c r="D802" s="17"/>
      <c r="E802" s="23"/>
      <c r="F802" s="15"/>
      <c r="G802" s="15"/>
      <c r="H802" s="15"/>
      <c r="I802" s="3"/>
      <c r="J802" s="17"/>
      <c r="K802" s="17"/>
      <c r="L802" s="17"/>
      <c r="M802" s="17"/>
      <c r="N802" s="17"/>
      <c r="O802" s="19"/>
      <c r="P802" s="20"/>
      <c r="Q802" s="20"/>
      <c r="S802" s="15"/>
    </row>
    <row r="803" spans="3:19" ht="14.25" customHeight="1">
      <c r="C803" s="17"/>
      <c r="D803" s="17"/>
      <c r="E803" s="23"/>
      <c r="F803" s="15"/>
      <c r="G803" s="15"/>
      <c r="H803" s="15"/>
      <c r="I803" s="3"/>
      <c r="J803" s="17"/>
      <c r="K803" s="17"/>
      <c r="L803" s="17"/>
      <c r="M803" s="17"/>
      <c r="N803" s="17"/>
      <c r="O803" s="19"/>
      <c r="P803" s="20"/>
      <c r="Q803" s="20"/>
      <c r="S803" s="15"/>
    </row>
    <row r="804" spans="3:19" ht="14.25" customHeight="1">
      <c r="C804" s="17"/>
      <c r="D804" s="17"/>
      <c r="E804" s="23"/>
      <c r="F804" s="15"/>
      <c r="G804" s="15"/>
      <c r="H804" s="15"/>
      <c r="I804" s="3"/>
      <c r="J804" s="17"/>
      <c r="K804" s="17"/>
      <c r="L804" s="17"/>
      <c r="M804" s="17"/>
      <c r="N804" s="17"/>
      <c r="O804" s="19"/>
      <c r="P804" s="20"/>
      <c r="Q804" s="20"/>
      <c r="S804" s="15"/>
    </row>
    <row r="805" spans="3:19" ht="14.25" customHeight="1">
      <c r="C805" s="17"/>
      <c r="D805" s="17"/>
      <c r="E805" s="23"/>
      <c r="F805" s="15"/>
      <c r="G805" s="15"/>
      <c r="H805" s="15"/>
      <c r="I805" s="3"/>
      <c r="J805" s="17"/>
      <c r="K805" s="17"/>
      <c r="L805" s="17"/>
      <c r="M805" s="17"/>
      <c r="N805" s="17"/>
      <c r="O805" s="19"/>
      <c r="P805" s="20"/>
      <c r="Q805" s="20"/>
      <c r="S805" s="15"/>
    </row>
    <row r="806" spans="3:19" ht="14.25" customHeight="1">
      <c r="C806" s="17"/>
      <c r="D806" s="17"/>
      <c r="E806" s="23"/>
      <c r="F806" s="15"/>
      <c r="G806" s="15"/>
      <c r="H806" s="15"/>
      <c r="I806" s="3"/>
      <c r="J806" s="17"/>
      <c r="K806" s="17"/>
      <c r="L806" s="17"/>
      <c r="M806" s="17"/>
      <c r="N806" s="17"/>
      <c r="O806" s="19"/>
      <c r="P806" s="20"/>
      <c r="Q806" s="20"/>
      <c r="S806" s="15"/>
    </row>
    <row r="807" spans="3:19" ht="14.25" customHeight="1">
      <c r="C807" s="17"/>
      <c r="D807" s="17"/>
      <c r="E807" s="23"/>
      <c r="F807" s="15"/>
      <c r="G807" s="15"/>
      <c r="H807" s="15"/>
      <c r="I807" s="3"/>
      <c r="J807" s="17"/>
      <c r="K807" s="17"/>
      <c r="L807" s="17"/>
      <c r="M807" s="17"/>
      <c r="N807" s="17"/>
      <c r="O807" s="19"/>
      <c r="P807" s="20"/>
      <c r="Q807" s="20"/>
      <c r="S807" s="15"/>
    </row>
    <row r="808" spans="3:19" ht="14.25" customHeight="1">
      <c r="C808" s="17"/>
      <c r="D808" s="17"/>
      <c r="E808" s="23"/>
      <c r="F808" s="15"/>
      <c r="G808" s="15"/>
      <c r="H808" s="15"/>
      <c r="I808" s="3"/>
      <c r="J808" s="17"/>
      <c r="K808" s="17"/>
      <c r="L808" s="17"/>
      <c r="M808" s="17"/>
      <c r="N808" s="17"/>
      <c r="O808" s="19"/>
      <c r="P808" s="20"/>
      <c r="Q808" s="20"/>
      <c r="S808" s="15"/>
    </row>
    <row r="809" spans="3:19" ht="14.25" customHeight="1">
      <c r="C809" s="17"/>
      <c r="D809" s="17"/>
      <c r="E809" s="23"/>
      <c r="F809" s="15"/>
      <c r="G809" s="15"/>
      <c r="H809" s="15"/>
      <c r="I809" s="3"/>
      <c r="J809" s="17"/>
      <c r="K809" s="17"/>
      <c r="L809" s="17"/>
      <c r="M809" s="17"/>
      <c r="N809" s="17"/>
      <c r="O809" s="19"/>
      <c r="P809" s="20"/>
      <c r="Q809" s="20"/>
      <c r="S809" s="15"/>
    </row>
    <row r="810" spans="3:19" ht="14.25" customHeight="1">
      <c r="C810" s="17"/>
      <c r="D810" s="17"/>
      <c r="E810" s="23"/>
      <c r="F810" s="15"/>
      <c r="G810" s="15"/>
      <c r="H810" s="15"/>
      <c r="I810" s="3"/>
      <c r="J810" s="17"/>
      <c r="K810" s="17"/>
      <c r="L810" s="17"/>
      <c r="M810" s="17"/>
      <c r="N810" s="17"/>
      <c r="O810" s="19"/>
      <c r="P810" s="20"/>
      <c r="Q810" s="20"/>
      <c r="S810" s="15"/>
    </row>
    <row r="811" spans="3:19" ht="14.25" customHeight="1">
      <c r="C811" s="17"/>
      <c r="D811" s="17"/>
      <c r="E811" s="23"/>
      <c r="F811" s="15"/>
      <c r="G811" s="15"/>
      <c r="H811" s="15"/>
      <c r="I811" s="3"/>
      <c r="J811" s="17"/>
      <c r="K811" s="17"/>
      <c r="L811" s="17"/>
      <c r="M811" s="17"/>
      <c r="N811" s="17"/>
      <c r="O811" s="19"/>
      <c r="P811" s="20"/>
      <c r="Q811" s="20"/>
      <c r="S811" s="15"/>
    </row>
    <row r="812" spans="3:19" ht="14.25" customHeight="1">
      <c r="C812" s="17"/>
      <c r="D812" s="17"/>
      <c r="E812" s="23"/>
      <c r="F812" s="15"/>
      <c r="G812" s="15"/>
      <c r="H812" s="15"/>
      <c r="I812" s="3"/>
      <c r="J812" s="17"/>
      <c r="K812" s="17"/>
      <c r="L812" s="17"/>
      <c r="M812" s="17"/>
      <c r="N812" s="17"/>
      <c r="O812" s="19"/>
      <c r="P812" s="20"/>
      <c r="Q812" s="20"/>
      <c r="S812" s="15"/>
    </row>
    <row r="813" spans="3:19" ht="14.25" customHeight="1">
      <c r="C813" s="17"/>
      <c r="D813" s="17"/>
      <c r="E813" s="23"/>
      <c r="F813" s="15"/>
      <c r="G813" s="15"/>
      <c r="H813" s="15"/>
      <c r="I813" s="3"/>
      <c r="J813" s="17"/>
      <c r="K813" s="17"/>
      <c r="L813" s="17"/>
      <c r="M813" s="17"/>
      <c r="N813" s="17"/>
      <c r="O813" s="19"/>
      <c r="P813" s="20"/>
      <c r="Q813" s="20"/>
      <c r="S813" s="15"/>
    </row>
    <row r="814" spans="3:19" ht="14.25" customHeight="1">
      <c r="C814" s="17"/>
      <c r="D814" s="17"/>
      <c r="E814" s="23"/>
      <c r="F814" s="15"/>
      <c r="G814" s="15"/>
      <c r="H814" s="15"/>
      <c r="I814" s="3"/>
      <c r="J814" s="17"/>
      <c r="K814" s="17"/>
      <c r="L814" s="17"/>
      <c r="M814" s="17"/>
      <c r="N814" s="17"/>
      <c r="O814" s="19"/>
      <c r="P814" s="20"/>
      <c r="Q814" s="20"/>
      <c r="S814" s="15"/>
    </row>
    <row r="815" spans="3:19" ht="14.25" customHeight="1">
      <c r="C815" s="17"/>
      <c r="D815" s="17"/>
      <c r="E815" s="23"/>
      <c r="F815" s="15"/>
      <c r="G815" s="15"/>
      <c r="H815" s="15"/>
      <c r="I815" s="3"/>
      <c r="J815" s="17"/>
      <c r="K815" s="17"/>
      <c r="L815" s="17"/>
      <c r="M815" s="17"/>
      <c r="N815" s="17"/>
      <c r="O815" s="19"/>
      <c r="P815" s="20"/>
      <c r="Q815" s="20"/>
      <c r="S815" s="15"/>
    </row>
    <row r="816" spans="3:19" ht="14.25" customHeight="1">
      <c r="C816" s="17"/>
      <c r="D816" s="17"/>
      <c r="E816" s="23"/>
      <c r="F816" s="15"/>
      <c r="G816" s="15"/>
      <c r="H816" s="15"/>
      <c r="I816" s="3"/>
      <c r="J816" s="17"/>
      <c r="K816" s="17"/>
      <c r="L816" s="17"/>
      <c r="M816" s="17"/>
      <c r="N816" s="17"/>
      <c r="O816" s="19"/>
      <c r="P816" s="20"/>
      <c r="Q816" s="20"/>
      <c r="S816" s="15"/>
    </row>
    <row r="817" spans="3:19" ht="14.25" customHeight="1">
      <c r="C817" s="17"/>
      <c r="D817" s="17"/>
      <c r="E817" s="23"/>
      <c r="F817" s="15"/>
      <c r="G817" s="15"/>
      <c r="H817" s="15"/>
      <c r="I817" s="3"/>
      <c r="J817" s="17"/>
      <c r="K817" s="17"/>
      <c r="L817" s="17"/>
      <c r="M817" s="17"/>
      <c r="N817" s="17"/>
      <c r="O817" s="19"/>
      <c r="P817" s="20"/>
      <c r="Q817" s="20"/>
      <c r="S817" s="15"/>
    </row>
    <row r="818" spans="3:19" ht="14.25" customHeight="1">
      <c r="C818" s="17"/>
      <c r="D818" s="17"/>
      <c r="E818" s="23"/>
      <c r="F818" s="15"/>
      <c r="G818" s="15"/>
      <c r="H818" s="15"/>
      <c r="I818" s="3"/>
      <c r="J818" s="17"/>
      <c r="K818" s="17"/>
      <c r="L818" s="17"/>
      <c r="M818" s="17"/>
      <c r="N818" s="17"/>
      <c r="O818" s="19"/>
      <c r="P818" s="20"/>
      <c r="Q818" s="20"/>
      <c r="S818" s="15"/>
    </row>
    <row r="819" spans="3:19" ht="14.25" customHeight="1">
      <c r="C819" s="17"/>
      <c r="D819" s="17"/>
      <c r="E819" s="23"/>
      <c r="F819" s="15"/>
      <c r="G819" s="15"/>
      <c r="H819" s="15"/>
      <c r="I819" s="3"/>
      <c r="J819" s="17"/>
      <c r="K819" s="17"/>
      <c r="L819" s="17"/>
      <c r="M819" s="17"/>
      <c r="N819" s="17"/>
      <c r="O819" s="19"/>
      <c r="P819" s="20"/>
      <c r="Q819" s="20"/>
      <c r="S819" s="15"/>
    </row>
    <row r="820" spans="3:19" ht="14.25" customHeight="1">
      <c r="C820" s="17"/>
      <c r="D820" s="17"/>
      <c r="E820" s="23"/>
      <c r="F820" s="15"/>
      <c r="G820" s="15"/>
      <c r="H820" s="15"/>
      <c r="I820" s="3"/>
      <c r="J820" s="17"/>
      <c r="K820" s="17"/>
      <c r="L820" s="17"/>
      <c r="M820" s="17"/>
      <c r="N820" s="17"/>
      <c r="O820" s="19"/>
      <c r="P820" s="20"/>
      <c r="Q820" s="20"/>
      <c r="S820" s="15"/>
    </row>
    <row r="821" spans="3:19" ht="14.25" customHeight="1">
      <c r="C821" s="17"/>
      <c r="D821" s="17"/>
      <c r="E821" s="23"/>
      <c r="F821" s="15"/>
      <c r="G821" s="15"/>
      <c r="H821" s="15"/>
      <c r="I821" s="3"/>
      <c r="J821" s="17"/>
      <c r="K821" s="17"/>
      <c r="L821" s="17"/>
      <c r="M821" s="17"/>
      <c r="N821" s="17"/>
      <c r="O821" s="19"/>
      <c r="P821" s="20"/>
      <c r="Q821" s="20"/>
      <c r="S821" s="15"/>
    </row>
    <row r="822" spans="3:19" ht="14.25" customHeight="1">
      <c r="C822" s="17"/>
      <c r="D822" s="17"/>
      <c r="E822" s="23"/>
      <c r="F822" s="15"/>
      <c r="G822" s="15"/>
      <c r="H822" s="15"/>
      <c r="I822" s="3"/>
      <c r="J822" s="17"/>
      <c r="K822" s="17"/>
      <c r="L822" s="17"/>
      <c r="M822" s="17"/>
      <c r="N822" s="17"/>
      <c r="O822" s="19"/>
      <c r="P822" s="20"/>
      <c r="Q822" s="20"/>
      <c r="S822" s="15"/>
    </row>
    <row r="823" spans="3:19" ht="14.25" customHeight="1">
      <c r="C823" s="17"/>
      <c r="D823" s="17"/>
      <c r="E823" s="23"/>
      <c r="F823" s="15"/>
      <c r="G823" s="15"/>
      <c r="H823" s="15"/>
      <c r="I823" s="3"/>
      <c r="J823" s="17"/>
      <c r="K823" s="17"/>
      <c r="L823" s="17"/>
      <c r="M823" s="17"/>
      <c r="N823" s="17"/>
      <c r="O823" s="19"/>
      <c r="P823" s="20"/>
      <c r="Q823" s="20"/>
      <c r="S823" s="15"/>
    </row>
    <row r="824" spans="3:19" ht="14.25" customHeight="1">
      <c r="C824" s="17"/>
      <c r="D824" s="17"/>
      <c r="E824" s="23"/>
      <c r="F824" s="15"/>
      <c r="G824" s="15"/>
      <c r="H824" s="15"/>
      <c r="I824" s="3"/>
      <c r="J824" s="17"/>
      <c r="K824" s="17"/>
      <c r="L824" s="17"/>
      <c r="M824" s="17"/>
      <c r="N824" s="17"/>
      <c r="O824" s="19"/>
      <c r="P824" s="20"/>
      <c r="Q824" s="20"/>
      <c r="S824" s="15"/>
    </row>
    <row r="825" spans="3:19" ht="14.25" customHeight="1">
      <c r="C825" s="17"/>
      <c r="D825" s="17"/>
      <c r="E825" s="23"/>
      <c r="F825" s="15"/>
      <c r="G825" s="15"/>
      <c r="H825" s="15"/>
      <c r="I825" s="3"/>
      <c r="J825" s="17"/>
      <c r="K825" s="17"/>
      <c r="L825" s="17"/>
      <c r="M825" s="17"/>
      <c r="N825" s="17"/>
      <c r="O825" s="19"/>
      <c r="P825" s="20"/>
      <c r="Q825" s="20"/>
      <c r="S825" s="15"/>
    </row>
    <row r="826" spans="3:19" ht="14.25" customHeight="1">
      <c r="C826" s="17"/>
      <c r="D826" s="17"/>
      <c r="E826" s="23"/>
      <c r="F826" s="15"/>
      <c r="G826" s="15"/>
      <c r="H826" s="15"/>
      <c r="I826" s="3"/>
      <c r="J826" s="17"/>
      <c r="K826" s="17"/>
      <c r="L826" s="17"/>
      <c r="M826" s="17"/>
      <c r="N826" s="17"/>
      <c r="O826" s="19"/>
      <c r="P826" s="20"/>
      <c r="Q826" s="20"/>
      <c r="S826" s="15"/>
    </row>
    <row r="827" spans="3:19" ht="14.25" customHeight="1">
      <c r="C827" s="17"/>
      <c r="D827" s="17"/>
      <c r="E827" s="23"/>
      <c r="F827" s="15"/>
      <c r="G827" s="15"/>
      <c r="H827" s="15"/>
      <c r="I827" s="3"/>
      <c r="J827" s="17"/>
      <c r="K827" s="17"/>
      <c r="L827" s="17"/>
      <c r="M827" s="17"/>
      <c r="N827" s="17"/>
      <c r="O827" s="19"/>
      <c r="P827" s="20"/>
      <c r="Q827" s="20"/>
      <c r="S827" s="15"/>
    </row>
    <row r="828" spans="3:19" ht="14.25" customHeight="1">
      <c r="C828" s="17"/>
      <c r="D828" s="17"/>
      <c r="E828" s="23"/>
      <c r="F828" s="15"/>
      <c r="G828" s="15"/>
      <c r="H828" s="15"/>
      <c r="I828" s="3"/>
      <c r="J828" s="17"/>
      <c r="K828" s="17"/>
      <c r="L828" s="17"/>
      <c r="M828" s="17"/>
      <c r="N828" s="17"/>
      <c r="O828" s="19"/>
      <c r="P828" s="20"/>
      <c r="Q828" s="20"/>
      <c r="S828" s="15"/>
    </row>
    <row r="829" spans="3:19" ht="14.25" customHeight="1">
      <c r="C829" s="17"/>
      <c r="D829" s="17"/>
      <c r="E829" s="23"/>
      <c r="F829" s="15"/>
      <c r="G829" s="15"/>
      <c r="H829" s="15"/>
      <c r="I829" s="3"/>
      <c r="J829" s="17"/>
      <c r="K829" s="17"/>
      <c r="L829" s="17"/>
      <c r="M829" s="17"/>
      <c r="N829" s="17"/>
      <c r="O829" s="19"/>
      <c r="P829" s="20"/>
      <c r="Q829" s="20"/>
      <c r="S829" s="15"/>
    </row>
    <row r="830" spans="3:19" ht="14.25" customHeight="1">
      <c r="C830" s="17"/>
      <c r="D830" s="17"/>
      <c r="E830" s="23"/>
      <c r="F830" s="15"/>
      <c r="G830" s="15"/>
      <c r="H830" s="15"/>
      <c r="I830" s="3"/>
      <c r="J830" s="17"/>
      <c r="K830" s="17"/>
      <c r="L830" s="17"/>
      <c r="M830" s="17"/>
      <c r="N830" s="17"/>
      <c r="O830" s="19"/>
      <c r="P830" s="20"/>
      <c r="Q830" s="20"/>
      <c r="S830" s="15"/>
    </row>
    <row r="831" spans="3:19" ht="14.25" customHeight="1">
      <c r="C831" s="17"/>
      <c r="D831" s="17"/>
      <c r="E831" s="23"/>
      <c r="F831" s="15"/>
      <c r="G831" s="15"/>
      <c r="H831" s="15"/>
      <c r="I831" s="3"/>
      <c r="J831" s="17"/>
      <c r="K831" s="17"/>
      <c r="L831" s="17"/>
      <c r="M831" s="17"/>
      <c r="N831" s="17"/>
      <c r="O831" s="19"/>
      <c r="P831" s="20"/>
      <c r="Q831" s="20"/>
      <c r="S831" s="15"/>
    </row>
    <row r="832" spans="3:19" ht="14.25" customHeight="1">
      <c r="C832" s="17"/>
      <c r="D832" s="17"/>
      <c r="E832" s="23"/>
      <c r="F832" s="15"/>
      <c r="G832" s="15"/>
      <c r="H832" s="15"/>
      <c r="I832" s="3"/>
      <c r="J832" s="17"/>
      <c r="K832" s="17"/>
      <c r="L832" s="17"/>
      <c r="M832" s="17"/>
      <c r="N832" s="17"/>
      <c r="O832" s="19"/>
      <c r="P832" s="20"/>
      <c r="Q832" s="20"/>
      <c r="S832" s="15"/>
    </row>
    <row r="833" spans="3:19" ht="14.25" customHeight="1">
      <c r="C833" s="17"/>
      <c r="D833" s="17"/>
      <c r="E833" s="23"/>
      <c r="F833" s="15"/>
      <c r="G833" s="15"/>
      <c r="H833" s="15"/>
      <c r="I833" s="3"/>
      <c r="J833" s="17"/>
      <c r="K833" s="17"/>
      <c r="L833" s="17"/>
      <c r="M833" s="17"/>
      <c r="N833" s="17"/>
      <c r="O833" s="19"/>
      <c r="P833" s="20"/>
      <c r="Q833" s="20"/>
      <c r="S833" s="15"/>
    </row>
    <row r="834" spans="3:19" ht="14.25" customHeight="1">
      <c r="C834" s="17"/>
      <c r="D834" s="17"/>
      <c r="E834" s="23"/>
      <c r="F834" s="15"/>
      <c r="G834" s="15"/>
      <c r="H834" s="15"/>
      <c r="I834" s="3"/>
      <c r="J834" s="17"/>
      <c r="K834" s="17"/>
      <c r="L834" s="17"/>
      <c r="M834" s="17"/>
      <c r="N834" s="17"/>
      <c r="O834" s="19"/>
      <c r="P834" s="20"/>
      <c r="Q834" s="20"/>
      <c r="S834" s="15"/>
    </row>
    <row r="835" spans="3:19" ht="14.25" customHeight="1">
      <c r="C835" s="17"/>
      <c r="D835" s="17"/>
      <c r="E835" s="23"/>
      <c r="F835" s="15"/>
      <c r="G835" s="15"/>
      <c r="H835" s="15"/>
      <c r="I835" s="3"/>
      <c r="J835" s="17"/>
      <c r="K835" s="17"/>
      <c r="L835" s="17"/>
      <c r="M835" s="17"/>
      <c r="N835" s="17"/>
      <c r="O835" s="19"/>
      <c r="P835" s="20"/>
      <c r="Q835" s="20"/>
      <c r="S835" s="15"/>
    </row>
    <row r="836" spans="3:19" ht="14.25" customHeight="1">
      <c r="C836" s="17"/>
      <c r="D836" s="17"/>
      <c r="E836" s="23"/>
      <c r="F836" s="15"/>
      <c r="G836" s="15"/>
      <c r="H836" s="15"/>
      <c r="I836" s="3"/>
      <c r="J836" s="17"/>
      <c r="K836" s="17"/>
      <c r="L836" s="17"/>
      <c r="M836" s="17"/>
      <c r="N836" s="17"/>
      <c r="O836" s="19"/>
      <c r="P836" s="20"/>
      <c r="Q836" s="20"/>
      <c r="S836" s="15"/>
    </row>
    <row r="837" spans="3:19" ht="14.25" customHeight="1">
      <c r="C837" s="17"/>
      <c r="D837" s="17"/>
      <c r="E837" s="23"/>
      <c r="F837" s="15"/>
      <c r="G837" s="15"/>
      <c r="H837" s="15"/>
      <c r="I837" s="3"/>
      <c r="J837" s="17"/>
      <c r="K837" s="17"/>
      <c r="L837" s="17"/>
      <c r="M837" s="17"/>
      <c r="N837" s="17"/>
      <c r="O837" s="19"/>
      <c r="P837" s="20"/>
      <c r="Q837" s="20"/>
      <c r="S837" s="15"/>
    </row>
    <row r="838" spans="3:19" ht="14.25" customHeight="1">
      <c r="C838" s="17"/>
      <c r="D838" s="17"/>
      <c r="E838" s="23"/>
      <c r="F838" s="15"/>
      <c r="G838" s="15"/>
      <c r="H838" s="15"/>
      <c r="I838" s="3"/>
      <c r="J838" s="17"/>
      <c r="K838" s="17"/>
      <c r="L838" s="17"/>
      <c r="M838" s="17"/>
      <c r="N838" s="17"/>
      <c r="O838" s="19"/>
      <c r="P838" s="20"/>
      <c r="Q838" s="20"/>
      <c r="S838" s="15"/>
    </row>
    <row r="839" spans="3:19" ht="14.25" customHeight="1">
      <c r="C839" s="17"/>
      <c r="D839" s="17"/>
      <c r="E839" s="23"/>
      <c r="F839" s="15"/>
      <c r="G839" s="15"/>
      <c r="H839" s="15"/>
      <c r="I839" s="3"/>
      <c r="J839" s="17"/>
      <c r="K839" s="17"/>
      <c r="L839" s="17"/>
      <c r="M839" s="17"/>
      <c r="N839" s="17"/>
      <c r="O839" s="19"/>
      <c r="P839" s="20"/>
      <c r="Q839" s="20"/>
      <c r="S839" s="15"/>
    </row>
    <row r="840" spans="3:19" ht="14.25" customHeight="1">
      <c r="C840" s="17"/>
      <c r="D840" s="17"/>
      <c r="E840" s="23"/>
      <c r="F840" s="15"/>
      <c r="G840" s="15"/>
      <c r="H840" s="15"/>
      <c r="I840" s="3"/>
      <c r="J840" s="17"/>
      <c r="K840" s="17"/>
      <c r="L840" s="17"/>
      <c r="M840" s="17"/>
      <c r="N840" s="17"/>
      <c r="O840" s="19"/>
      <c r="P840" s="20"/>
      <c r="Q840" s="20"/>
      <c r="S840" s="15"/>
    </row>
    <row r="841" spans="3:19" ht="14.25" customHeight="1">
      <c r="C841" s="17"/>
      <c r="D841" s="17"/>
      <c r="E841" s="23"/>
      <c r="F841" s="15"/>
      <c r="G841" s="15"/>
      <c r="H841" s="15"/>
      <c r="I841" s="3"/>
      <c r="J841" s="17"/>
      <c r="K841" s="17"/>
      <c r="L841" s="17"/>
      <c r="M841" s="17"/>
      <c r="N841" s="17"/>
      <c r="O841" s="19"/>
      <c r="P841" s="20"/>
      <c r="Q841" s="20"/>
      <c r="S841" s="15"/>
    </row>
    <row r="842" spans="3:19" ht="14.25" customHeight="1">
      <c r="C842" s="17"/>
      <c r="D842" s="17"/>
      <c r="E842" s="23"/>
      <c r="F842" s="15"/>
      <c r="G842" s="15"/>
      <c r="H842" s="15"/>
      <c r="I842" s="3"/>
      <c r="J842" s="17"/>
      <c r="K842" s="17"/>
      <c r="L842" s="17"/>
      <c r="M842" s="17"/>
      <c r="N842" s="17"/>
      <c r="O842" s="19"/>
      <c r="P842" s="20"/>
      <c r="Q842" s="20"/>
      <c r="S842" s="15"/>
    </row>
    <row r="843" spans="3:19" ht="14.25" customHeight="1">
      <c r="C843" s="17"/>
      <c r="D843" s="17"/>
      <c r="E843" s="23"/>
      <c r="F843" s="15"/>
      <c r="G843" s="15"/>
      <c r="H843" s="15"/>
      <c r="I843" s="3"/>
      <c r="J843" s="17"/>
      <c r="K843" s="17"/>
      <c r="L843" s="17"/>
      <c r="M843" s="17"/>
      <c r="N843" s="17"/>
      <c r="O843" s="19"/>
      <c r="P843" s="20"/>
      <c r="Q843" s="20"/>
      <c r="S843" s="15"/>
    </row>
    <row r="844" spans="3:19" ht="14.25" customHeight="1">
      <c r="C844" s="17"/>
      <c r="D844" s="17"/>
      <c r="E844" s="23"/>
      <c r="F844" s="15"/>
      <c r="G844" s="15"/>
      <c r="H844" s="15"/>
      <c r="I844" s="3"/>
      <c r="J844" s="17"/>
      <c r="K844" s="17"/>
      <c r="L844" s="17"/>
      <c r="M844" s="17"/>
      <c r="N844" s="17"/>
      <c r="O844" s="19"/>
      <c r="P844" s="20"/>
      <c r="Q844" s="20"/>
      <c r="S844" s="15"/>
    </row>
    <row r="845" spans="3:19" ht="14.25" customHeight="1">
      <c r="C845" s="17"/>
      <c r="D845" s="17"/>
      <c r="E845" s="23"/>
      <c r="F845" s="15"/>
      <c r="G845" s="15"/>
      <c r="H845" s="15"/>
      <c r="I845" s="3"/>
      <c r="J845" s="17"/>
      <c r="K845" s="17"/>
      <c r="L845" s="17"/>
      <c r="M845" s="17"/>
      <c r="N845" s="17"/>
      <c r="O845" s="19"/>
      <c r="P845" s="20"/>
      <c r="Q845" s="20"/>
      <c r="S845" s="15"/>
    </row>
    <row r="846" spans="3:19" ht="14.25" customHeight="1">
      <c r="C846" s="17"/>
      <c r="D846" s="17"/>
      <c r="E846" s="23"/>
      <c r="F846" s="15"/>
      <c r="G846" s="15"/>
      <c r="H846" s="15"/>
      <c r="I846" s="3"/>
      <c r="J846" s="17"/>
      <c r="K846" s="17"/>
      <c r="L846" s="17"/>
      <c r="M846" s="17"/>
      <c r="N846" s="17"/>
      <c r="O846" s="19"/>
      <c r="P846" s="20"/>
      <c r="Q846" s="20"/>
      <c r="S846" s="15"/>
    </row>
    <row r="847" spans="3:19" ht="14.25" customHeight="1">
      <c r="C847" s="17"/>
      <c r="D847" s="17"/>
      <c r="E847" s="23"/>
      <c r="F847" s="15"/>
      <c r="G847" s="15"/>
      <c r="H847" s="15"/>
      <c r="I847" s="3"/>
      <c r="J847" s="17"/>
      <c r="K847" s="17"/>
      <c r="L847" s="17"/>
      <c r="M847" s="17"/>
      <c r="N847" s="17"/>
      <c r="O847" s="19"/>
      <c r="P847" s="20"/>
      <c r="Q847" s="20"/>
      <c r="S847" s="15"/>
    </row>
    <row r="848" spans="3:19" ht="14.25" customHeight="1">
      <c r="C848" s="17"/>
      <c r="D848" s="17"/>
      <c r="E848" s="23"/>
      <c r="F848" s="15"/>
      <c r="G848" s="15"/>
      <c r="H848" s="15"/>
      <c r="I848" s="3"/>
      <c r="J848" s="17"/>
      <c r="K848" s="17"/>
      <c r="L848" s="17"/>
      <c r="M848" s="17"/>
      <c r="N848" s="17"/>
      <c r="O848" s="19"/>
      <c r="P848" s="20"/>
      <c r="Q848" s="20"/>
      <c r="S848" s="15"/>
    </row>
    <row r="849" spans="3:19" ht="14.25" customHeight="1">
      <c r="C849" s="17"/>
      <c r="D849" s="17"/>
      <c r="E849" s="23"/>
      <c r="F849" s="15"/>
      <c r="G849" s="15"/>
      <c r="H849" s="15"/>
      <c r="I849" s="3"/>
      <c r="J849" s="17"/>
      <c r="K849" s="17"/>
      <c r="L849" s="17"/>
      <c r="M849" s="17"/>
      <c r="N849" s="17"/>
      <c r="O849" s="19"/>
      <c r="P849" s="20"/>
      <c r="Q849" s="20"/>
      <c r="S849" s="15"/>
    </row>
    <row r="850" spans="3:19" ht="14.25" customHeight="1">
      <c r="C850" s="17"/>
      <c r="D850" s="17"/>
      <c r="E850" s="23"/>
      <c r="F850" s="15"/>
      <c r="G850" s="15"/>
      <c r="H850" s="15"/>
      <c r="I850" s="3"/>
      <c r="J850" s="17"/>
      <c r="K850" s="17"/>
      <c r="L850" s="17"/>
      <c r="M850" s="17"/>
      <c r="N850" s="17"/>
      <c r="O850" s="19"/>
      <c r="P850" s="20"/>
      <c r="Q850" s="20"/>
      <c r="S850" s="15"/>
    </row>
    <row r="851" spans="3:19" ht="14.25" customHeight="1">
      <c r="C851" s="17"/>
      <c r="D851" s="17"/>
      <c r="E851" s="23"/>
      <c r="F851" s="15"/>
      <c r="G851" s="15"/>
      <c r="H851" s="15"/>
      <c r="I851" s="3"/>
      <c r="J851" s="17"/>
      <c r="K851" s="17"/>
      <c r="L851" s="17"/>
      <c r="M851" s="17"/>
      <c r="N851" s="17"/>
      <c r="O851" s="19"/>
      <c r="P851" s="20"/>
      <c r="Q851" s="20"/>
      <c r="S851" s="15"/>
    </row>
    <row r="852" spans="3:19" ht="14.25" customHeight="1">
      <c r="C852" s="17"/>
      <c r="D852" s="17"/>
      <c r="E852" s="23"/>
      <c r="F852" s="15"/>
      <c r="G852" s="15"/>
      <c r="H852" s="15"/>
      <c r="I852" s="3"/>
      <c r="J852" s="17"/>
      <c r="K852" s="17"/>
      <c r="L852" s="17"/>
      <c r="M852" s="17"/>
      <c r="N852" s="17"/>
      <c r="O852" s="19"/>
      <c r="P852" s="20"/>
      <c r="Q852" s="20"/>
      <c r="S852" s="15"/>
    </row>
    <row r="853" spans="3:19" ht="14.25" customHeight="1">
      <c r="C853" s="17"/>
      <c r="D853" s="17"/>
      <c r="E853" s="23"/>
      <c r="F853" s="15"/>
      <c r="G853" s="15"/>
      <c r="H853" s="15"/>
      <c r="I853" s="3"/>
      <c r="J853" s="17"/>
      <c r="K853" s="17"/>
      <c r="L853" s="17"/>
      <c r="M853" s="17"/>
      <c r="N853" s="17"/>
      <c r="O853" s="19"/>
      <c r="P853" s="20"/>
      <c r="Q853" s="20"/>
      <c r="S853" s="15"/>
    </row>
    <row r="854" spans="3:19" ht="14.25" customHeight="1">
      <c r="C854" s="17"/>
      <c r="D854" s="17"/>
      <c r="E854" s="23"/>
      <c r="F854" s="15"/>
      <c r="G854" s="15"/>
      <c r="H854" s="15"/>
      <c r="I854" s="3"/>
      <c r="J854" s="17"/>
      <c r="K854" s="17"/>
      <c r="L854" s="17"/>
      <c r="M854" s="17"/>
      <c r="N854" s="17"/>
      <c r="O854" s="19"/>
      <c r="P854" s="20"/>
      <c r="Q854" s="20"/>
      <c r="S854" s="15"/>
    </row>
    <row r="855" spans="3:19" ht="14.25" customHeight="1">
      <c r="C855" s="17"/>
      <c r="D855" s="17"/>
      <c r="E855" s="23"/>
      <c r="F855" s="15"/>
      <c r="G855" s="15"/>
      <c r="H855" s="15"/>
      <c r="I855" s="3"/>
      <c r="J855" s="17"/>
      <c r="K855" s="17"/>
      <c r="L855" s="17"/>
      <c r="M855" s="17"/>
      <c r="N855" s="17"/>
      <c r="O855" s="19"/>
      <c r="P855" s="20"/>
      <c r="Q855" s="20"/>
      <c r="S855" s="15"/>
    </row>
    <row r="856" spans="3:19" ht="14.25" customHeight="1">
      <c r="C856" s="17"/>
      <c r="D856" s="17"/>
      <c r="E856" s="23"/>
      <c r="F856" s="15"/>
      <c r="G856" s="15"/>
      <c r="H856" s="15"/>
      <c r="I856" s="3"/>
      <c r="J856" s="17"/>
      <c r="K856" s="17"/>
      <c r="L856" s="17"/>
      <c r="M856" s="17"/>
      <c r="N856" s="17"/>
      <c r="O856" s="19"/>
      <c r="P856" s="20"/>
      <c r="Q856" s="20"/>
      <c r="S856" s="15"/>
    </row>
    <row r="857" spans="3:19" ht="14.25" customHeight="1">
      <c r="C857" s="17"/>
      <c r="D857" s="17"/>
      <c r="E857" s="23"/>
      <c r="F857" s="15"/>
      <c r="G857" s="15"/>
      <c r="H857" s="15"/>
      <c r="I857" s="3"/>
      <c r="J857" s="17"/>
      <c r="K857" s="17"/>
      <c r="L857" s="17"/>
      <c r="M857" s="17"/>
      <c r="N857" s="17"/>
      <c r="O857" s="19"/>
      <c r="P857" s="20"/>
      <c r="Q857" s="20"/>
      <c r="S857" s="15"/>
    </row>
    <row r="858" spans="3:19" ht="14.25" customHeight="1">
      <c r="C858" s="17"/>
      <c r="D858" s="17"/>
      <c r="E858" s="23"/>
      <c r="F858" s="15"/>
      <c r="G858" s="15"/>
      <c r="H858" s="15"/>
      <c r="I858" s="3"/>
      <c r="J858" s="17"/>
      <c r="K858" s="17"/>
      <c r="L858" s="17"/>
      <c r="M858" s="17"/>
      <c r="N858" s="17"/>
      <c r="O858" s="19"/>
      <c r="P858" s="20"/>
      <c r="Q858" s="20"/>
      <c r="S858" s="15"/>
    </row>
    <row r="859" spans="3:19" ht="14.25" customHeight="1">
      <c r="C859" s="17"/>
      <c r="D859" s="17"/>
      <c r="E859" s="23"/>
      <c r="F859" s="15"/>
      <c r="G859" s="15"/>
      <c r="H859" s="15"/>
      <c r="I859" s="3"/>
      <c r="J859" s="17"/>
      <c r="K859" s="17"/>
      <c r="L859" s="17"/>
      <c r="M859" s="17"/>
      <c r="N859" s="17"/>
      <c r="O859" s="19"/>
      <c r="P859" s="20"/>
      <c r="Q859" s="20"/>
      <c r="S859" s="15"/>
    </row>
    <row r="860" spans="3:19" ht="14.25" customHeight="1">
      <c r="C860" s="17"/>
      <c r="D860" s="17"/>
      <c r="E860" s="23"/>
      <c r="F860" s="15"/>
      <c r="G860" s="15"/>
      <c r="H860" s="15"/>
      <c r="I860" s="3"/>
      <c r="J860" s="17"/>
      <c r="K860" s="17"/>
      <c r="L860" s="17"/>
      <c r="M860" s="17"/>
      <c r="N860" s="17"/>
      <c r="O860" s="19"/>
      <c r="P860" s="20"/>
      <c r="Q860" s="20"/>
      <c r="S860" s="15"/>
    </row>
    <row r="861" spans="3:19" ht="14.25" customHeight="1">
      <c r="C861" s="17"/>
      <c r="D861" s="17"/>
      <c r="E861" s="23"/>
      <c r="F861" s="15"/>
      <c r="G861" s="15"/>
      <c r="H861" s="15"/>
      <c r="I861" s="3"/>
      <c r="J861" s="17"/>
      <c r="K861" s="17"/>
      <c r="L861" s="17"/>
      <c r="M861" s="17"/>
      <c r="N861" s="17"/>
      <c r="O861" s="19"/>
      <c r="P861" s="20"/>
      <c r="Q861" s="20"/>
      <c r="S861" s="15"/>
    </row>
    <row r="862" spans="3:19" ht="14.25" customHeight="1">
      <c r="C862" s="17"/>
      <c r="D862" s="17"/>
      <c r="E862" s="23"/>
      <c r="F862" s="15"/>
      <c r="G862" s="15"/>
      <c r="H862" s="15"/>
      <c r="I862" s="3"/>
      <c r="J862" s="17"/>
      <c r="K862" s="17"/>
      <c r="L862" s="17"/>
      <c r="M862" s="17"/>
      <c r="N862" s="17"/>
      <c r="O862" s="19"/>
      <c r="P862" s="20"/>
      <c r="Q862" s="20"/>
      <c r="S862" s="15"/>
    </row>
    <row r="863" spans="3:19" ht="14.25" customHeight="1">
      <c r="C863" s="17"/>
      <c r="D863" s="17"/>
      <c r="E863" s="23"/>
      <c r="F863" s="15"/>
      <c r="G863" s="15"/>
      <c r="H863" s="15"/>
      <c r="I863" s="3"/>
      <c r="J863" s="17"/>
      <c r="K863" s="17"/>
      <c r="L863" s="17"/>
      <c r="M863" s="17"/>
      <c r="N863" s="17"/>
      <c r="O863" s="19"/>
      <c r="P863" s="20"/>
      <c r="Q863" s="20"/>
      <c r="S863" s="15"/>
    </row>
    <row r="864" spans="3:19" ht="14.25" customHeight="1">
      <c r="C864" s="17"/>
      <c r="D864" s="17"/>
      <c r="E864" s="23"/>
      <c r="F864" s="15"/>
      <c r="G864" s="15"/>
      <c r="H864" s="15"/>
      <c r="I864" s="3"/>
      <c r="J864" s="17"/>
      <c r="K864" s="17"/>
      <c r="L864" s="17"/>
      <c r="M864" s="17"/>
      <c r="N864" s="17"/>
      <c r="O864" s="19"/>
      <c r="P864" s="20"/>
      <c r="Q864" s="20"/>
      <c r="S864" s="15"/>
    </row>
    <row r="865" spans="3:19" ht="14.25" customHeight="1">
      <c r="C865" s="17"/>
      <c r="D865" s="17"/>
      <c r="E865" s="23"/>
      <c r="F865" s="15"/>
      <c r="G865" s="15"/>
      <c r="H865" s="15"/>
      <c r="I865" s="3"/>
      <c r="J865" s="17"/>
      <c r="K865" s="17"/>
      <c r="L865" s="17"/>
      <c r="M865" s="17"/>
      <c r="N865" s="17"/>
      <c r="O865" s="19"/>
      <c r="P865" s="20"/>
      <c r="Q865" s="20"/>
      <c r="S865" s="15"/>
    </row>
    <row r="866" spans="3:19" ht="14.25" customHeight="1">
      <c r="C866" s="17"/>
      <c r="D866" s="17"/>
      <c r="E866" s="23"/>
      <c r="F866" s="15"/>
      <c r="G866" s="15"/>
      <c r="H866" s="15"/>
      <c r="I866" s="3"/>
      <c r="J866" s="17"/>
      <c r="K866" s="17"/>
      <c r="L866" s="17"/>
      <c r="M866" s="17"/>
      <c r="N866" s="17"/>
      <c r="O866" s="19"/>
      <c r="P866" s="20"/>
      <c r="Q866" s="20"/>
      <c r="S866" s="15"/>
    </row>
    <row r="867" spans="3:19" ht="14.25" customHeight="1">
      <c r="C867" s="17"/>
      <c r="D867" s="17"/>
      <c r="E867" s="23"/>
      <c r="F867" s="15"/>
      <c r="G867" s="15"/>
      <c r="H867" s="15"/>
      <c r="I867" s="3"/>
      <c r="J867" s="17"/>
      <c r="K867" s="17"/>
      <c r="L867" s="17"/>
      <c r="M867" s="17"/>
      <c r="N867" s="17"/>
      <c r="O867" s="19"/>
      <c r="P867" s="20"/>
      <c r="Q867" s="20"/>
      <c r="S867" s="15"/>
    </row>
    <row r="868" spans="3:19" ht="14.25" customHeight="1">
      <c r="C868" s="17"/>
      <c r="D868" s="17"/>
      <c r="E868" s="23"/>
      <c r="F868" s="15"/>
      <c r="G868" s="15"/>
      <c r="H868" s="15"/>
      <c r="I868" s="3"/>
      <c r="J868" s="17"/>
      <c r="K868" s="17"/>
      <c r="L868" s="17"/>
      <c r="M868" s="17"/>
      <c r="N868" s="17"/>
      <c r="O868" s="19"/>
      <c r="P868" s="20"/>
      <c r="Q868" s="20"/>
      <c r="S868" s="15"/>
    </row>
    <row r="869" spans="3:19" ht="14.25" customHeight="1">
      <c r="C869" s="17"/>
      <c r="D869" s="17"/>
      <c r="E869" s="23"/>
      <c r="F869" s="15"/>
      <c r="G869" s="15"/>
      <c r="H869" s="15"/>
      <c r="I869" s="3"/>
      <c r="J869" s="17"/>
      <c r="K869" s="17"/>
      <c r="L869" s="17"/>
      <c r="M869" s="17"/>
      <c r="N869" s="17"/>
      <c r="O869" s="19"/>
      <c r="P869" s="20"/>
      <c r="Q869" s="20"/>
      <c r="S869" s="15"/>
    </row>
    <row r="870" spans="3:19" ht="14.25" customHeight="1">
      <c r="C870" s="17"/>
      <c r="D870" s="17"/>
      <c r="E870" s="23"/>
      <c r="F870" s="15"/>
      <c r="G870" s="15"/>
      <c r="H870" s="15"/>
      <c r="I870" s="3"/>
      <c r="J870" s="17"/>
      <c r="K870" s="17"/>
      <c r="L870" s="17"/>
      <c r="M870" s="17"/>
      <c r="N870" s="17"/>
      <c r="O870" s="19"/>
      <c r="P870" s="20"/>
      <c r="Q870" s="20"/>
      <c r="S870" s="15"/>
    </row>
    <row r="871" spans="3:19" ht="14.25" customHeight="1">
      <c r="C871" s="17"/>
      <c r="D871" s="17"/>
      <c r="E871" s="23"/>
      <c r="F871" s="15"/>
      <c r="G871" s="15"/>
      <c r="H871" s="15"/>
      <c r="I871" s="3"/>
      <c r="J871" s="17"/>
      <c r="K871" s="17"/>
      <c r="L871" s="17"/>
      <c r="M871" s="17"/>
      <c r="N871" s="17"/>
      <c r="O871" s="19"/>
      <c r="P871" s="20"/>
      <c r="Q871" s="20"/>
      <c r="S871" s="15"/>
    </row>
    <row r="872" spans="3:19" ht="14.25" customHeight="1">
      <c r="C872" s="17"/>
      <c r="D872" s="17"/>
      <c r="E872" s="23"/>
      <c r="F872" s="15"/>
      <c r="G872" s="15"/>
      <c r="H872" s="15"/>
      <c r="I872" s="3"/>
      <c r="J872" s="17"/>
      <c r="K872" s="17"/>
      <c r="L872" s="17"/>
      <c r="M872" s="17"/>
      <c r="N872" s="17"/>
      <c r="O872" s="19"/>
      <c r="P872" s="20"/>
      <c r="Q872" s="20"/>
      <c r="S872" s="15"/>
    </row>
    <row r="873" spans="3:19" ht="14.25" customHeight="1">
      <c r="C873" s="17"/>
      <c r="D873" s="17"/>
      <c r="E873" s="23"/>
      <c r="F873" s="15"/>
      <c r="G873" s="15"/>
      <c r="H873" s="15"/>
      <c r="I873" s="3"/>
      <c r="J873" s="17"/>
      <c r="K873" s="17"/>
      <c r="L873" s="17"/>
      <c r="M873" s="17"/>
      <c r="N873" s="17"/>
      <c r="O873" s="19"/>
      <c r="P873" s="20"/>
      <c r="Q873" s="20"/>
      <c r="S873" s="15"/>
    </row>
    <row r="874" spans="3:19" ht="14.25" customHeight="1">
      <c r="C874" s="17"/>
      <c r="D874" s="17"/>
      <c r="E874" s="23"/>
      <c r="F874" s="15"/>
      <c r="G874" s="15"/>
      <c r="H874" s="15"/>
      <c r="I874" s="3"/>
      <c r="J874" s="17"/>
      <c r="K874" s="17"/>
      <c r="L874" s="17"/>
      <c r="M874" s="17"/>
      <c r="N874" s="17"/>
      <c r="O874" s="19"/>
      <c r="P874" s="20"/>
      <c r="Q874" s="20"/>
      <c r="S874" s="15"/>
    </row>
    <row r="875" spans="3:19" ht="14.25" customHeight="1">
      <c r="C875" s="17"/>
      <c r="D875" s="17"/>
      <c r="E875" s="23"/>
      <c r="F875" s="15"/>
      <c r="G875" s="15"/>
      <c r="H875" s="15"/>
      <c r="I875" s="3"/>
      <c r="J875" s="17"/>
      <c r="K875" s="17"/>
      <c r="L875" s="17"/>
      <c r="M875" s="17"/>
      <c r="N875" s="17"/>
      <c r="O875" s="19"/>
      <c r="P875" s="20"/>
      <c r="Q875" s="20"/>
      <c r="S875" s="15"/>
    </row>
    <row r="876" spans="3:19" ht="14.25" customHeight="1">
      <c r="C876" s="17"/>
      <c r="D876" s="17"/>
      <c r="E876" s="23"/>
      <c r="F876" s="15"/>
      <c r="G876" s="15"/>
      <c r="H876" s="15"/>
      <c r="I876" s="3"/>
      <c r="J876" s="17"/>
      <c r="K876" s="17"/>
      <c r="L876" s="17"/>
      <c r="M876" s="17"/>
      <c r="N876" s="17"/>
      <c r="O876" s="19"/>
      <c r="P876" s="20"/>
      <c r="Q876" s="20"/>
      <c r="S876" s="15"/>
    </row>
    <row r="877" spans="3:19" ht="14.25" customHeight="1">
      <c r="C877" s="17"/>
      <c r="D877" s="17"/>
      <c r="E877" s="23"/>
      <c r="F877" s="15"/>
      <c r="G877" s="15"/>
      <c r="H877" s="15"/>
      <c r="I877" s="3"/>
      <c r="J877" s="17"/>
      <c r="K877" s="17"/>
      <c r="L877" s="17"/>
      <c r="M877" s="17"/>
      <c r="N877" s="17"/>
      <c r="O877" s="19"/>
      <c r="P877" s="20"/>
      <c r="Q877" s="20"/>
      <c r="S877" s="15"/>
    </row>
    <row r="878" spans="3:19" ht="14.25" customHeight="1">
      <c r="C878" s="17"/>
      <c r="D878" s="17"/>
      <c r="E878" s="23"/>
      <c r="F878" s="15"/>
      <c r="G878" s="15"/>
      <c r="H878" s="15"/>
      <c r="I878" s="3"/>
      <c r="J878" s="17"/>
      <c r="K878" s="17"/>
      <c r="L878" s="17"/>
      <c r="M878" s="17"/>
      <c r="N878" s="17"/>
      <c r="O878" s="19"/>
      <c r="P878" s="20"/>
      <c r="Q878" s="20"/>
      <c r="S878" s="15"/>
    </row>
    <row r="879" spans="3:19" ht="14.25" customHeight="1">
      <c r="C879" s="17"/>
      <c r="D879" s="17"/>
      <c r="E879" s="23"/>
      <c r="F879" s="15"/>
      <c r="G879" s="15"/>
      <c r="H879" s="15"/>
      <c r="I879" s="3"/>
      <c r="J879" s="17"/>
      <c r="K879" s="17"/>
      <c r="L879" s="17"/>
      <c r="M879" s="17"/>
      <c r="N879" s="17"/>
      <c r="O879" s="19"/>
      <c r="P879" s="20"/>
      <c r="Q879" s="20"/>
      <c r="S879" s="15"/>
    </row>
    <row r="880" spans="3:19" ht="14.25" customHeight="1">
      <c r="C880" s="17"/>
      <c r="D880" s="17"/>
      <c r="E880" s="23"/>
      <c r="F880" s="15"/>
      <c r="G880" s="15"/>
      <c r="H880" s="15"/>
      <c r="I880" s="3"/>
      <c r="J880" s="17"/>
      <c r="K880" s="17"/>
      <c r="L880" s="17"/>
      <c r="M880" s="17"/>
      <c r="N880" s="17"/>
      <c r="O880" s="19"/>
      <c r="P880" s="20"/>
      <c r="Q880" s="20"/>
      <c r="S880" s="15"/>
    </row>
    <row r="881" spans="3:19" ht="14.25" customHeight="1">
      <c r="C881" s="17"/>
      <c r="D881" s="17"/>
      <c r="E881" s="23"/>
      <c r="F881" s="15"/>
      <c r="G881" s="15"/>
      <c r="H881" s="15"/>
      <c r="I881" s="3"/>
      <c r="J881" s="17"/>
      <c r="K881" s="17"/>
      <c r="L881" s="17"/>
      <c r="M881" s="17"/>
      <c r="N881" s="17"/>
      <c r="O881" s="19"/>
      <c r="P881" s="20"/>
      <c r="Q881" s="20"/>
      <c r="S881" s="15"/>
    </row>
    <row r="882" spans="3:19" ht="14.25" customHeight="1">
      <c r="C882" s="17"/>
      <c r="D882" s="17"/>
      <c r="E882" s="23"/>
      <c r="F882" s="15"/>
      <c r="G882" s="15"/>
      <c r="H882" s="15"/>
      <c r="I882" s="3"/>
      <c r="J882" s="17"/>
      <c r="K882" s="17"/>
      <c r="L882" s="17"/>
      <c r="M882" s="17"/>
      <c r="N882" s="17"/>
      <c r="O882" s="19"/>
      <c r="P882" s="20"/>
      <c r="Q882" s="20"/>
      <c r="S882" s="15"/>
    </row>
    <row r="883" spans="3:19" ht="14.25" customHeight="1">
      <c r="C883" s="17"/>
      <c r="D883" s="17"/>
      <c r="E883" s="23"/>
      <c r="F883" s="15"/>
      <c r="G883" s="15"/>
      <c r="H883" s="15"/>
      <c r="I883" s="3"/>
      <c r="J883" s="17"/>
      <c r="K883" s="17"/>
      <c r="L883" s="17"/>
      <c r="M883" s="17"/>
      <c r="N883" s="17"/>
      <c r="O883" s="19"/>
      <c r="P883" s="20"/>
      <c r="Q883" s="20"/>
      <c r="S883" s="15"/>
    </row>
    <row r="884" spans="3:19" ht="14.25" customHeight="1">
      <c r="C884" s="17"/>
      <c r="D884" s="17"/>
      <c r="E884" s="23"/>
      <c r="F884" s="15"/>
      <c r="G884" s="15"/>
      <c r="H884" s="15"/>
      <c r="I884" s="3"/>
      <c r="J884" s="17"/>
      <c r="K884" s="17"/>
      <c r="L884" s="17"/>
      <c r="M884" s="17"/>
      <c r="N884" s="17"/>
      <c r="O884" s="19"/>
      <c r="P884" s="20"/>
      <c r="Q884" s="20"/>
      <c r="S884" s="15"/>
    </row>
    <row r="885" spans="3:19" ht="14.25" customHeight="1">
      <c r="C885" s="17"/>
      <c r="D885" s="17"/>
      <c r="E885" s="23"/>
      <c r="F885" s="15"/>
      <c r="G885" s="15"/>
      <c r="H885" s="15"/>
      <c r="I885" s="3"/>
      <c r="J885" s="17"/>
      <c r="K885" s="17"/>
      <c r="L885" s="17"/>
      <c r="M885" s="17"/>
      <c r="N885" s="17"/>
      <c r="O885" s="19"/>
      <c r="P885" s="20"/>
      <c r="Q885" s="20"/>
      <c r="S885" s="15"/>
    </row>
    <row r="886" spans="3:19" ht="14.25" customHeight="1">
      <c r="C886" s="17"/>
      <c r="D886" s="17"/>
      <c r="E886" s="23"/>
      <c r="F886" s="15"/>
      <c r="G886" s="15"/>
      <c r="H886" s="15"/>
      <c r="I886" s="3"/>
      <c r="J886" s="17"/>
      <c r="K886" s="17"/>
      <c r="L886" s="17"/>
      <c r="M886" s="17"/>
      <c r="N886" s="17"/>
      <c r="O886" s="19"/>
      <c r="P886" s="20"/>
      <c r="Q886" s="20"/>
      <c r="S886" s="15"/>
    </row>
    <row r="887" spans="3:19" ht="14.25" customHeight="1">
      <c r="C887" s="17"/>
      <c r="D887" s="17"/>
      <c r="E887" s="23"/>
      <c r="F887" s="15"/>
      <c r="G887" s="15"/>
      <c r="H887" s="15"/>
      <c r="I887" s="3"/>
      <c r="J887" s="17"/>
      <c r="K887" s="17"/>
      <c r="L887" s="17"/>
      <c r="M887" s="17"/>
      <c r="N887" s="17"/>
      <c r="O887" s="19"/>
      <c r="P887" s="20"/>
      <c r="Q887" s="20"/>
      <c r="S887" s="15"/>
    </row>
    <row r="888" spans="3:19" ht="14.25" customHeight="1">
      <c r="C888" s="17"/>
      <c r="D888" s="17"/>
      <c r="E888" s="23"/>
      <c r="F888" s="15"/>
      <c r="G888" s="15"/>
      <c r="H888" s="15"/>
      <c r="I888" s="3"/>
      <c r="J888" s="17"/>
      <c r="K888" s="17"/>
      <c r="L888" s="17"/>
      <c r="M888" s="17"/>
      <c r="N888" s="17"/>
      <c r="O888" s="19"/>
      <c r="P888" s="20"/>
      <c r="Q888" s="20"/>
      <c r="S888" s="15"/>
    </row>
    <row r="889" spans="3:19" ht="14.25" customHeight="1">
      <c r="C889" s="17"/>
      <c r="D889" s="17"/>
      <c r="E889" s="23"/>
      <c r="F889" s="15"/>
      <c r="G889" s="15"/>
      <c r="H889" s="15"/>
      <c r="I889" s="3"/>
      <c r="J889" s="17"/>
      <c r="K889" s="17"/>
      <c r="L889" s="17"/>
      <c r="M889" s="17"/>
      <c r="N889" s="17"/>
      <c r="O889" s="19"/>
      <c r="P889" s="20"/>
      <c r="Q889" s="20"/>
      <c r="S889" s="15"/>
    </row>
    <row r="890" spans="3:19" ht="14.25" customHeight="1">
      <c r="C890" s="17"/>
      <c r="D890" s="17"/>
      <c r="E890" s="23"/>
      <c r="F890" s="15"/>
      <c r="G890" s="15"/>
      <c r="H890" s="15"/>
      <c r="I890" s="3"/>
      <c r="J890" s="17"/>
      <c r="K890" s="17"/>
      <c r="L890" s="17"/>
      <c r="M890" s="17"/>
      <c r="N890" s="17"/>
      <c r="O890" s="19"/>
      <c r="P890" s="20"/>
      <c r="Q890" s="20"/>
      <c r="S890" s="15"/>
    </row>
    <row r="891" spans="3:19" ht="14.25" customHeight="1">
      <c r="C891" s="17"/>
      <c r="D891" s="17"/>
      <c r="E891" s="23"/>
      <c r="F891" s="15"/>
      <c r="G891" s="15"/>
      <c r="H891" s="15"/>
      <c r="I891" s="3"/>
      <c r="J891" s="17"/>
      <c r="K891" s="17"/>
      <c r="L891" s="17"/>
      <c r="M891" s="17"/>
      <c r="N891" s="17"/>
      <c r="O891" s="19"/>
      <c r="P891" s="20"/>
      <c r="Q891" s="20"/>
      <c r="S891" s="15"/>
    </row>
    <row r="892" spans="3:19" ht="14.25" customHeight="1">
      <c r="C892" s="17"/>
      <c r="D892" s="17"/>
      <c r="E892" s="23"/>
      <c r="F892" s="15"/>
      <c r="G892" s="15"/>
      <c r="H892" s="15"/>
      <c r="I892" s="3"/>
      <c r="J892" s="17"/>
      <c r="K892" s="17"/>
      <c r="L892" s="17"/>
      <c r="M892" s="17"/>
      <c r="N892" s="17"/>
      <c r="O892" s="19"/>
      <c r="P892" s="20"/>
      <c r="Q892" s="20"/>
      <c r="S892" s="15"/>
    </row>
    <row r="893" spans="3:19" ht="14.25" customHeight="1">
      <c r="C893" s="17"/>
      <c r="D893" s="17"/>
      <c r="E893" s="23"/>
      <c r="F893" s="15"/>
      <c r="G893" s="15"/>
      <c r="H893" s="15"/>
      <c r="I893" s="3"/>
      <c r="J893" s="17"/>
      <c r="K893" s="17"/>
      <c r="L893" s="17"/>
      <c r="M893" s="17"/>
      <c r="N893" s="17"/>
      <c r="O893" s="19"/>
      <c r="P893" s="20"/>
      <c r="Q893" s="20"/>
      <c r="S893" s="15"/>
    </row>
    <row r="894" spans="3:19" ht="14.25" customHeight="1">
      <c r="C894" s="17"/>
      <c r="D894" s="17"/>
      <c r="E894" s="23"/>
      <c r="F894" s="15"/>
      <c r="G894" s="15"/>
      <c r="H894" s="15"/>
      <c r="I894" s="3"/>
      <c r="J894" s="17"/>
      <c r="K894" s="17"/>
      <c r="L894" s="17"/>
      <c r="M894" s="17"/>
      <c r="N894" s="17"/>
      <c r="O894" s="19"/>
      <c r="P894" s="20"/>
      <c r="Q894" s="20"/>
      <c r="S894" s="15"/>
    </row>
    <row r="895" spans="3:19" ht="14.25" customHeight="1">
      <c r="C895" s="17"/>
      <c r="D895" s="17"/>
      <c r="E895" s="23"/>
      <c r="F895" s="15"/>
      <c r="G895" s="15"/>
      <c r="H895" s="15"/>
      <c r="I895" s="3"/>
      <c r="J895" s="17"/>
      <c r="K895" s="17"/>
      <c r="L895" s="17"/>
      <c r="M895" s="17"/>
      <c r="N895" s="17"/>
      <c r="O895" s="19"/>
      <c r="P895" s="20"/>
      <c r="Q895" s="20"/>
      <c r="S895" s="15"/>
    </row>
    <row r="896" spans="3:19" ht="14.25" customHeight="1">
      <c r="C896" s="17"/>
      <c r="D896" s="17"/>
      <c r="E896" s="23"/>
      <c r="F896" s="15"/>
      <c r="G896" s="15"/>
      <c r="H896" s="15"/>
      <c r="I896" s="3"/>
      <c r="J896" s="17"/>
      <c r="K896" s="17"/>
      <c r="L896" s="17"/>
      <c r="M896" s="17"/>
      <c r="N896" s="17"/>
      <c r="O896" s="19"/>
      <c r="P896" s="20"/>
      <c r="Q896" s="20"/>
      <c r="S896" s="15"/>
    </row>
    <row r="897" spans="3:19" ht="14.25" customHeight="1">
      <c r="C897" s="17"/>
      <c r="D897" s="17"/>
      <c r="E897" s="23"/>
      <c r="F897" s="15"/>
      <c r="G897" s="15"/>
      <c r="H897" s="15"/>
      <c r="I897" s="3"/>
      <c r="J897" s="17"/>
      <c r="K897" s="17"/>
      <c r="L897" s="17"/>
      <c r="M897" s="17"/>
      <c r="N897" s="17"/>
      <c r="O897" s="19"/>
      <c r="P897" s="20"/>
      <c r="Q897" s="20"/>
      <c r="S897" s="15"/>
    </row>
    <row r="898" spans="3:19" ht="14.25" customHeight="1">
      <c r="C898" s="17"/>
      <c r="D898" s="17"/>
      <c r="E898" s="23"/>
      <c r="F898" s="15"/>
      <c r="G898" s="15"/>
      <c r="H898" s="15"/>
      <c r="I898" s="3"/>
      <c r="J898" s="17"/>
      <c r="K898" s="17"/>
      <c r="L898" s="17"/>
      <c r="M898" s="17"/>
      <c r="N898" s="17"/>
      <c r="O898" s="19"/>
      <c r="P898" s="20"/>
      <c r="Q898" s="20"/>
      <c r="S898" s="15"/>
    </row>
    <row r="899" spans="3:19" ht="14.25" customHeight="1">
      <c r="C899" s="17"/>
      <c r="D899" s="17"/>
      <c r="E899" s="23"/>
      <c r="F899" s="15"/>
      <c r="G899" s="15"/>
      <c r="H899" s="15"/>
      <c r="I899" s="3"/>
      <c r="J899" s="17"/>
      <c r="K899" s="17"/>
      <c r="L899" s="17"/>
      <c r="M899" s="17"/>
      <c r="N899" s="17"/>
      <c r="O899" s="19"/>
      <c r="P899" s="20"/>
      <c r="Q899" s="20"/>
      <c r="S899" s="15"/>
    </row>
    <row r="900" spans="3:19" ht="14.25" customHeight="1">
      <c r="C900" s="17"/>
      <c r="D900" s="17"/>
      <c r="E900" s="23"/>
      <c r="F900" s="15"/>
      <c r="G900" s="15"/>
      <c r="H900" s="15"/>
      <c r="I900" s="3"/>
      <c r="J900" s="17"/>
      <c r="K900" s="17"/>
      <c r="L900" s="17"/>
      <c r="M900" s="17"/>
      <c r="N900" s="17"/>
      <c r="O900" s="19"/>
      <c r="P900" s="20"/>
      <c r="Q900" s="20"/>
      <c r="S900" s="15"/>
    </row>
    <row r="901" spans="3:19" ht="14.25" customHeight="1">
      <c r="C901" s="17"/>
      <c r="D901" s="17"/>
      <c r="E901" s="23"/>
      <c r="F901" s="15"/>
      <c r="G901" s="15"/>
      <c r="H901" s="15"/>
      <c r="I901" s="3"/>
      <c r="J901" s="17"/>
      <c r="K901" s="17"/>
      <c r="L901" s="17"/>
      <c r="M901" s="17"/>
      <c r="N901" s="17"/>
      <c r="O901" s="19"/>
      <c r="P901" s="20"/>
      <c r="Q901" s="20"/>
      <c r="S901" s="15"/>
    </row>
    <row r="902" spans="3:19" ht="14.25" customHeight="1">
      <c r="C902" s="17"/>
      <c r="D902" s="17"/>
      <c r="E902" s="23"/>
      <c r="F902" s="15"/>
      <c r="G902" s="15"/>
      <c r="H902" s="15"/>
      <c r="I902" s="3"/>
      <c r="J902" s="17"/>
      <c r="K902" s="17"/>
      <c r="L902" s="17"/>
      <c r="M902" s="17"/>
      <c r="N902" s="17"/>
      <c r="O902" s="19"/>
      <c r="P902" s="20"/>
      <c r="Q902" s="20"/>
      <c r="S902" s="15"/>
    </row>
    <row r="903" spans="3:19" ht="14.25" customHeight="1">
      <c r="C903" s="17"/>
      <c r="D903" s="17"/>
      <c r="E903" s="23"/>
      <c r="F903" s="15"/>
      <c r="G903" s="15"/>
      <c r="H903" s="15"/>
      <c r="I903" s="3"/>
      <c r="J903" s="17"/>
      <c r="K903" s="17"/>
      <c r="L903" s="17"/>
      <c r="M903" s="17"/>
      <c r="N903" s="17"/>
      <c r="O903" s="19"/>
      <c r="P903" s="20"/>
      <c r="Q903" s="20"/>
      <c r="S903" s="15"/>
    </row>
    <row r="904" spans="3:19" ht="14.25" customHeight="1">
      <c r="C904" s="17"/>
      <c r="D904" s="17"/>
      <c r="E904" s="23"/>
      <c r="F904" s="15"/>
      <c r="G904" s="15"/>
      <c r="H904" s="15"/>
      <c r="I904" s="3"/>
      <c r="J904" s="17"/>
      <c r="K904" s="17"/>
      <c r="L904" s="17"/>
      <c r="M904" s="17"/>
      <c r="N904" s="17"/>
      <c r="O904" s="19"/>
      <c r="P904" s="20"/>
      <c r="Q904" s="20"/>
      <c r="S904" s="15"/>
    </row>
    <row r="905" spans="3:19" ht="14.25" customHeight="1">
      <c r="C905" s="17"/>
      <c r="D905" s="17"/>
      <c r="E905" s="23"/>
      <c r="F905" s="15"/>
      <c r="G905" s="15"/>
      <c r="H905" s="15"/>
      <c r="I905" s="3"/>
      <c r="J905" s="17"/>
      <c r="K905" s="17"/>
      <c r="L905" s="17"/>
      <c r="M905" s="17"/>
      <c r="N905" s="17"/>
      <c r="O905" s="19"/>
      <c r="P905" s="20"/>
      <c r="Q905" s="20"/>
      <c r="S905" s="15"/>
    </row>
    <row r="906" spans="3:19" ht="14.25" customHeight="1">
      <c r="C906" s="17"/>
      <c r="D906" s="17"/>
      <c r="E906" s="23"/>
      <c r="F906" s="15"/>
      <c r="G906" s="15"/>
      <c r="H906" s="15"/>
      <c r="I906" s="3"/>
      <c r="J906" s="17"/>
      <c r="K906" s="17"/>
      <c r="L906" s="17"/>
      <c r="M906" s="17"/>
      <c r="N906" s="17"/>
      <c r="O906" s="19"/>
      <c r="P906" s="20"/>
      <c r="Q906" s="20"/>
      <c r="S906" s="15"/>
    </row>
    <row r="907" spans="3:19" ht="14.25" customHeight="1">
      <c r="C907" s="17"/>
      <c r="D907" s="17"/>
      <c r="E907" s="23"/>
      <c r="F907" s="15"/>
      <c r="G907" s="15"/>
      <c r="H907" s="15"/>
      <c r="I907" s="3"/>
      <c r="J907" s="17"/>
      <c r="K907" s="17"/>
      <c r="L907" s="17"/>
      <c r="M907" s="17"/>
      <c r="N907" s="17"/>
      <c r="O907" s="19"/>
      <c r="P907" s="20"/>
      <c r="Q907" s="20"/>
      <c r="S907" s="15"/>
    </row>
    <row r="908" spans="3:19" ht="14.25" customHeight="1">
      <c r="C908" s="17"/>
      <c r="D908" s="17"/>
      <c r="E908" s="23"/>
      <c r="F908" s="15"/>
      <c r="G908" s="15"/>
      <c r="H908" s="15"/>
      <c r="I908" s="3"/>
      <c r="J908" s="17"/>
      <c r="K908" s="17"/>
      <c r="L908" s="17"/>
      <c r="M908" s="17"/>
      <c r="N908" s="17"/>
      <c r="O908" s="19"/>
      <c r="P908" s="20"/>
      <c r="Q908" s="20"/>
      <c r="S908" s="15"/>
    </row>
    <row r="909" spans="3:19" ht="14.25" customHeight="1">
      <c r="C909" s="17"/>
      <c r="D909" s="17"/>
      <c r="E909" s="23"/>
      <c r="F909" s="15"/>
      <c r="G909" s="15"/>
      <c r="H909" s="15"/>
      <c r="I909" s="3"/>
      <c r="J909" s="17"/>
      <c r="K909" s="17"/>
      <c r="L909" s="17"/>
      <c r="M909" s="17"/>
      <c r="N909" s="17"/>
      <c r="O909" s="19"/>
      <c r="P909" s="20"/>
      <c r="Q909" s="20"/>
      <c r="S909" s="15"/>
    </row>
    <row r="910" spans="3:19" ht="14.25" customHeight="1">
      <c r="C910" s="17"/>
      <c r="D910" s="17"/>
      <c r="E910" s="23"/>
      <c r="F910" s="15"/>
      <c r="G910" s="15"/>
      <c r="H910" s="15"/>
      <c r="I910" s="3"/>
      <c r="J910" s="17"/>
      <c r="K910" s="17"/>
      <c r="L910" s="17"/>
      <c r="M910" s="17"/>
      <c r="N910" s="17"/>
      <c r="O910" s="19"/>
      <c r="P910" s="20"/>
      <c r="Q910" s="20"/>
      <c r="S910" s="15"/>
    </row>
    <row r="911" spans="3:19" ht="14.25" customHeight="1">
      <c r="C911" s="17"/>
      <c r="D911" s="17"/>
      <c r="E911" s="23"/>
      <c r="F911" s="15"/>
      <c r="G911" s="15"/>
      <c r="H911" s="15"/>
      <c r="I911" s="3"/>
      <c r="J911" s="17"/>
      <c r="K911" s="17"/>
      <c r="L911" s="17"/>
      <c r="M911" s="17"/>
      <c r="N911" s="17"/>
      <c r="O911" s="19"/>
      <c r="P911" s="20"/>
      <c r="Q911" s="20"/>
      <c r="S911" s="15"/>
    </row>
    <row r="912" spans="3:19" ht="14.25" customHeight="1">
      <c r="C912" s="17"/>
      <c r="D912" s="17"/>
      <c r="E912" s="23"/>
      <c r="F912" s="15"/>
      <c r="G912" s="15"/>
      <c r="H912" s="15"/>
      <c r="I912" s="3"/>
      <c r="J912" s="17"/>
      <c r="K912" s="17"/>
      <c r="L912" s="17"/>
      <c r="M912" s="17"/>
      <c r="N912" s="17"/>
      <c r="O912" s="19"/>
      <c r="P912" s="20"/>
      <c r="Q912" s="20"/>
      <c r="S912" s="15"/>
    </row>
    <row r="913" spans="3:19" ht="14.25" customHeight="1">
      <c r="C913" s="17"/>
      <c r="D913" s="17"/>
      <c r="E913" s="23"/>
      <c r="F913" s="15"/>
      <c r="G913" s="15"/>
      <c r="H913" s="15"/>
      <c r="I913" s="3"/>
      <c r="J913" s="17"/>
      <c r="K913" s="17"/>
      <c r="L913" s="17"/>
      <c r="M913" s="17"/>
      <c r="N913" s="17"/>
      <c r="O913" s="19"/>
      <c r="P913" s="20"/>
      <c r="Q913" s="20"/>
      <c r="S913" s="15"/>
    </row>
    <row r="914" spans="3:19" ht="14.25" customHeight="1">
      <c r="C914" s="17"/>
      <c r="D914" s="17"/>
      <c r="E914" s="23"/>
      <c r="F914" s="15"/>
      <c r="G914" s="15"/>
      <c r="H914" s="15"/>
      <c r="I914" s="3"/>
      <c r="J914" s="17"/>
      <c r="K914" s="17"/>
      <c r="L914" s="17"/>
      <c r="M914" s="17"/>
      <c r="N914" s="17"/>
      <c r="O914" s="19"/>
      <c r="P914" s="20"/>
      <c r="Q914" s="20"/>
      <c r="S914" s="15"/>
    </row>
    <row r="915" spans="3:19" ht="14.25" customHeight="1">
      <c r="C915" s="17"/>
      <c r="D915" s="17"/>
      <c r="E915" s="23"/>
      <c r="F915" s="15"/>
      <c r="G915" s="15"/>
      <c r="H915" s="15"/>
      <c r="I915" s="3"/>
      <c r="J915" s="17"/>
      <c r="K915" s="17"/>
      <c r="L915" s="17"/>
      <c r="M915" s="17"/>
      <c r="N915" s="17"/>
      <c r="O915" s="19"/>
      <c r="P915" s="20"/>
      <c r="Q915" s="20"/>
      <c r="S915" s="15"/>
    </row>
    <row r="916" spans="3:19" ht="14.25" customHeight="1">
      <c r="C916" s="17"/>
      <c r="D916" s="17"/>
      <c r="E916" s="23"/>
      <c r="F916" s="15"/>
      <c r="G916" s="15"/>
      <c r="H916" s="15"/>
      <c r="I916" s="3"/>
      <c r="J916" s="17"/>
      <c r="K916" s="17"/>
      <c r="L916" s="17"/>
      <c r="M916" s="17"/>
      <c r="N916" s="17"/>
      <c r="O916" s="19"/>
      <c r="P916" s="20"/>
      <c r="Q916" s="20"/>
      <c r="S916" s="15"/>
    </row>
    <row r="917" spans="3:19" ht="14.25" customHeight="1">
      <c r="C917" s="17"/>
      <c r="D917" s="17"/>
      <c r="E917" s="23"/>
      <c r="F917" s="15"/>
      <c r="G917" s="15"/>
      <c r="H917" s="15"/>
      <c r="I917" s="3"/>
      <c r="J917" s="17"/>
      <c r="K917" s="17"/>
      <c r="L917" s="17"/>
      <c r="M917" s="17"/>
      <c r="N917" s="17"/>
      <c r="O917" s="19"/>
      <c r="P917" s="20"/>
      <c r="Q917" s="20"/>
      <c r="S917" s="15"/>
    </row>
    <row r="918" spans="3:19" ht="14.25" customHeight="1">
      <c r="C918" s="17"/>
      <c r="D918" s="17"/>
      <c r="E918" s="23"/>
      <c r="F918" s="15"/>
      <c r="G918" s="15"/>
      <c r="H918" s="15"/>
      <c r="I918" s="3"/>
      <c r="J918" s="17"/>
      <c r="K918" s="17"/>
      <c r="L918" s="17"/>
      <c r="M918" s="17"/>
      <c r="N918" s="17"/>
      <c r="O918" s="19"/>
      <c r="P918" s="20"/>
      <c r="Q918" s="20"/>
      <c r="S918" s="15"/>
    </row>
    <row r="919" spans="3:19" ht="14.25" customHeight="1">
      <c r="C919" s="17"/>
      <c r="D919" s="17"/>
      <c r="E919" s="23"/>
      <c r="F919" s="15"/>
      <c r="G919" s="15"/>
      <c r="H919" s="15"/>
      <c r="I919" s="3"/>
      <c r="J919" s="17"/>
      <c r="K919" s="17"/>
      <c r="L919" s="17"/>
      <c r="M919" s="17"/>
      <c r="N919" s="17"/>
      <c r="O919" s="19"/>
      <c r="P919" s="20"/>
      <c r="Q919" s="20"/>
      <c r="S919" s="15"/>
    </row>
    <row r="920" spans="3:19" ht="14.25" customHeight="1">
      <c r="C920" s="17"/>
      <c r="D920" s="17"/>
      <c r="E920" s="23"/>
      <c r="F920" s="15"/>
      <c r="G920" s="15"/>
      <c r="H920" s="15"/>
      <c r="I920" s="3"/>
      <c r="J920" s="17"/>
      <c r="K920" s="17"/>
      <c r="L920" s="17"/>
      <c r="M920" s="17"/>
      <c r="N920" s="17"/>
      <c r="O920" s="19"/>
      <c r="P920" s="20"/>
      <c r="Q920" s="20"/>
      <c r="S920" s="15"/>
    </row>
    <row r="921" spans="3:19" ht="14.25" customHeight="1">
      <c r="C921" s="17"/>
      <c r="D921" s="17"/>
      <c r="E921" s="23"/>
      <c r="F921" s="15"/>
      <c r="G921" s="15"/>
      <c r="H921" s="15"/>
      <c r="I921" s="3"/>
      <c r="J921" s="17"/>
      <c r="K921" s="17"/>
      <c r="L921" s="17"/>
      <c r="M921" s="17"/>
      <c r="N921" s="17"/>
      <c r="O921" s="19"/>
      <c r="P921" s="20"/>
      <c r="Q921" s="20"/>
      <c r="S921" s="15"/>
    </row>
    <row r="922" spans="3:19" ht="14.25" customHeight="1">
      <c r="C922" s="17"/>
      <c r="D922" s="17"/>
      <c r="E922" s="23"/>
      <c r="F922" s="15"/>
      <c r="G922" s="15"/>
      <c r="H922" s="15"/>
      <c r="I922" s="3"/>
      <c r="J922" s="17"/>
      <c r="K922" s="17"/>
      <c r="L922" s="17"/>
      <c r="M922" s="17"/>
      <c r="N922" s="17"/>
      <c r="O922" s="19"/>
      <c r="P922" s="20"/>
      <c r="Q922" s="20"/>
      <c r="S922" s="15"/>
    </row>
    <row r="923" spans="3:19" ht="14.25" customHeight="1">
      <c r="C923" s="17"/>
      <c r="D923" s="17"/>
      <c r="E923" s="23"/>
      <c r="F923" s="15"/>
      <c r="G923" s="15"/>
      <c r="H923" s="15"/>
      <c r="I923" s="3"/>
      <c r="J923" s="17"/>
      <c r="K923" s="17"/>
      <c r="L923" s="17"/>
      <c r="M923" s="17"/>
      <c r="N923" s="17"/>
      <c r="O923" s="19"/>
      <c r="P923" s="20"/>
      <c r="Q923" s="20"/>
      <c r="S923" s="15"/>
    </row>
    <row r="924" spans="3:19" ht="14.25" customHeight="1">
      <c r="C924" s="17"/>
      <c r="D924" s="17"/>
      <c r="E924" s="23"/>
      <c r="F924" s="15"/>
      <c r="G924" s="15"/>
      <c r="H924" s="15"/>
      <c r="I924" s="3"/>
      <c r="J924" s="17"/>
      <c r="K924" s="17"/>
      <c r="L924" s="17"/>
      <c r="M924" s="17"/>
      <c r="N924" s="17"/>
      <c r="O924" s="19"/>
      <c r="P924" s="20"/>
      <c r="Q924" s="20"/>
      <c r="S924" s="15"/>
    </row>
    <row r="925" spans="3:19" ht="14.25" customHeight="1">
      <c r="C925" s="17"/>
      <c r="D925" s="17"/>
      <c r="E925" s="23"/>
      <c r="F925" s="15"/>
      <c r="G925" s="15"/>
      <c r="H925" s="15"/>
      <c r="I925" s="3"/>
      <c r="J925" s="17"/>
      <c r="K925" s="17"/>
      <c r="L925" s="17"/>
      <c r="M925" s="17"/>
      <c r="N925" s="17"/>
      <c r="O925" s="19"/>
      <c r="P925" s="20"/>
      <c r="Q925" s="20"/>
      <c r="S925" s="15"/>
    </row>
    <row r="926" spans="3:19" ht="14.25" customHeight="1">
      <c r="C926" s="17"/>
      <c r="D926" s="17"/>
      <c r="E926" s="23"/>
      <c r="F926" s="15"/>
      <c r="G926" s="15"/>
      <c r="H926" s="15"/>
      <c r="I926" s="3"/>
      <c r="J926" s="17"/>
      <c r="K926" s="17"/>
      <c r="L926" s="17"/>
      <c r="M926" s="17"/>
      <c r="N926" s="17"/>
      <c r="O926" s="19"/>
      <c r="P926" s="20"/>
      <c r="Q926" s="20"/>
      <c r="S926" s="15"/>
    </row>
    <row r="927" spans="3:19" ht="14.25" customHeight="1">
      <c r="C927" s="17"/>
      <c r="D927" s="17"/>
      <c r="E927" s="23"/>
      <c r="F927" s="15"/>
      <c r="G927" s="15"/>
      <c r="H927" s="15"/>
      <c r="I927" s="3"/>
      <c r="J927" s="17"/>
      <c r="K927" s="17"/>
      <c r="L927" s="17"/>
      <c r="M927" s="17"/>
      <c r="N927" s="17"/>
      <c r="O927" s="19"/>
      <c r="P927" s="20"/>
      <c r="Q927" s="20"/>
      <c r="S927" s="15"/>
    </row>
    <row r="928" spans="3:19" ht="14.25" customHeight="1">
      <c r="C928" s="17"/>
      <c r="D928" s="17"/>
      <c r="E928" s="23"/>
      <c r="F928" s="15"/>
      <c r="G928" s="15"/>
      <c r="H928" s="15"/>
      <c r="I928" s="3"/>
      <c r="J928" s="17"/>
      <c r="K928" s="17"/>
      <c r="L928" s="17"/>
      <c r="M928" s="17"/>
      <c r="N928" s="17"/>
      <c r="O928" s="19"/>
      <c r="P928" s="20"/>
      <c r="Q928" s="20"/>
      <c r="S928" s="15"/>
    </row>
    <row r="929" spans="3:19" ht="14.25" customHeight="1">
      <c r="C929" s="17"/>
      <c r="D929" s="17"/>
      <c r="E929" s="23"/>
      <c r="F929" s="15"/>
      <c r="G929" s="15"/>
      <c r="H929" s="15"/>
      <c r="I929" s="3"/>
      <c r="J929" s="17"/>
      <c r="K929" s="17"/>
      <c r="L929" s="17"/>
      <c r="M929" s="17"/>
      <c r="N929" s="17"/>
      <c r="O929" s="19"/>
      <c r="P929" s="20"/>
      <c r="Q929" s="20"/>
      <c r="S929" s="15"/>
    </row>
    <row r="930" spans="3:19" ht="14.25" customHeight="1">
      <c r="C930" s="17"/>
      <c r="D930" s="17"/>
      <c r="E930" s="23"/>
      <c r="F930" s="15"/>
      <c r="G930" s="15"/>
      <c r="H930" s="15"/>
      <c r="I930" s="3"/>
      <c r="J930" s="17"/>
      <c r="K930" s="17"/>
      <c r="L930" s="17"/>
      <c r="M930" s="17"/>
      <c r="N930" s="17"/>
      <c r="O930" s="19"/>
      <c r="P930" s="20"/>
      <c r="Q930" s="20"/>
      <c r="S930" s="15"/>
    </row>
    <row r="931" spans="3:19" ht="14.25" customHeight="1">
      <c r="C931" s="17"/>
      <c r="D931" s="17"/>
      <c r="E931" s="23"/>
      <c r="F931" s="15"/>
      <c r="G931" s="15"/>
      <c r="H931" s="15"/>
      <c r="I931" s="3"/>
      <c r="J931" s="17"/>
      <c r="K931" s="17"/>
      <c r="L931" s="17"/>
      <c r="M931" s="17"/>
      <c r="N931" s="17"/>
      <c r="O931" s="19"/>
      <c r="P931" s="20"/>
      <c r="Q931" s="20"/>
      <c r="S931" s="15"/>
    </row>
    <row r="932" spans="3:19" ht="14.25" customHeight="1">
      <c r="C932" s="17"/>
      <c r="D932" s="17"/>
      <c r="E932" s="23"/>
      <c r="F932" s="15"/>
      <c r="G932" s="15"/>
      <c r="H932" s="15"/>
      <c r="I932" s="3"/>
      <c r="J932" s="17"/>
      <c r="K932" s="17"/>
      <c r="L932" s="17"/>
      <c r="M932" s="17"/>
      <c r="N932" s="17"/>
      <c r="O932" s="19"/>
      <c r="P932" s="20"/>
      <c r="Q932" s="20"/>
      <c r="S932" s="15"/>
    </row>
    <row r="933" spans="3:19" ht="14.25" customHeight="1">
      <c r="C933" s="17"/>
      <c r="D933" s="17"/>
      <c r="E933" s="23"/>
      <c r="F933" s="15"/>
      <c r="G933" s="15"/>
      <c r="H933" s="15"/>
      <c r="I933" s="3"/>
      <c r="J933" s="17"/>
      <c r="K933" s="17"/>
      <c r="L933" s="17"/>
      <c r="M933" s="17"/>
      <c r="N933" s="17"/>
      <c r="O933" s="19"/>
      <c r="P933" s="20"/>
      <c r="Q933" s="20"/>
      <c r="S933" s="15"/>
    </row>
    <row r="934" spans="3:19" ht="14.25" customHeight="1">
      <c r="C934" s="17"/>
      <c r="D934" s="17"/>
      <c r="E934" s="23"/>
      <c r="F934" s="15"/>
      <c r="G934" s="15"/>
      <c r="H934" s="15"/>
      <c r="I934" s="3"/>
      <c r="J934" s="17"/>
      <c r="K934" s="17"/>
      <c r="L934" s="17"/>
      <c r="M934" s="17"/>
      <c r="N934" s="17"/>
      <c r="O934" s="19"/>
      <c r="P934" s="20"/>
      <c r="Q934" s="20"/>
      <c r="S934" s="15"/>
    </row>
    <row r="935" spans="3:19" ht="14.25" customHeight="1">
      <c r="C935" s="17"/>
      <c r="D935" s="17"/>
      <c r="E935" s="23"/>
      <c r="F935" s="15"/>
      <c r="G935" s="15"/>
      <c r="H935" s="15"/>
      <c r="I935" s="3"/>
      <c r="J935" s="17"/>
      <c r="K935" s="17"/>
      <c r="L935" s="17"/>
      <c r="M935" s="17"/>
      <c r="N935" s="17"/>
      <c r="O935" s="19"/>
      <c r="P935" s="20"/>
      <c r="Q935" s="20"/>
      <c r="S935" s="15"/>
    </row>
    <row r="936" spans="3:19" ht="14.25" customHeight="1">
      <c r="C936" s="17"/>
      <c r="D936" s="17"/>
      <c r="E936" s="23"/>
      <c r="F936" s="15"/>
      <c r="G936" s="15"/>
      <c r="H936" s="15"/>
      <c r="I936" s="3"/>
      <c r="J936" s="17"/>
      <c r="K936" s="17"/>
      <c r="L936" s="17"/>
      <c r="M936" s="17"/>
      <c r="N936" s="17"/>
      <c r="O936" s="19"/>
      <c r="P936" s="20"/>
      <c r="Q936" s="20"/>
      <c r="S936" s="15"/>
    </row>
    <row r="937" spans="3:19" ht="14.25" customHeight="1">
      <c r="C937" s="17"/>
      <c r="D937" s="17"/>
      <c r="E937" s="23"/>
      <c r="F937" s="15"/>
      <c r="G937" s="15"/>
      <c r="H937" s="15"/>
      <c r="I937" s="3"/>
      <c r="J937" s="17"/>
      <c r="K937" s="17"/>
      <c r="L937" s="17"/>
      <c r="M937" s="17"/>
      <c r="N937" s="17"/>
      <c r="O937" s="19"/>
      <c r="P937" s="20"/>
      <c r="Q937" s="20"/>
      <c r="S937" s="15"/>
    </row>
    <row r="938" spans="3:19" ht="14.25" customHeight="1">
      <c r="C938" s="17"/>
      <c r="D938" s="17"/>
      <c r="E938" s="23"/>
      <c r="F938" s="15"/>
      <c r="G938" s="15"/>
      <c r="H938" s="15"/>
      <c r="I938" s="3"/>
      <c r="J938" s="17"/>
      <c r="K938" s="17"/>
      <c r="L938" s="17"/>
      <c r="M938" s="17"/>
      <c r="N938" s="17"/>
      <c r="O938" s="19"/>
      <c r="P938" s="20"/>
      <c r="Q938" s="20"/>
      <c r="S938" s="15"/>
    </row>
    <row r="939" spans="3:19" ht="14.25" customHeight="1">
      <c r="C939" s="17"/>
      <c r="D939" s="17"/>
      <c r="E939" s="23"/>
      <c r="F939" s="15"/>
      <c r="G939" s="15"/>
      <c r="H939" s="15"/>
      <c r="I939" s="3"/>
      <c r="J939" s="17"/>
      <c r="K939" s="17"/>
      <c r="L939" s="17"/>
      <c r="M939" s="17"/>
      <c r="N939" s="17"/>
      <c r="O939" s="19"/>
      <c r="P939" s="20"/>
      <c r="Q939" s="20"/>
      <c r="S939" s="15"/>
    </row>
    <row r="940" spans="3:19" ht="14.25" customHeight="1">
      <c r="C940" s="17"/>
      <c r="D940" s="17"/>
      <c r="E940" s="23"/>
      <c r="F940" s="15"/>
      <c r="G940" s="15"/>
      <c r="H940" s="15"/>
      <c r="I940" s="3"/>
      <c r="J940" s="17"/>
      <c r="K940" s="17"/>
      <c r="L940" s="17"/>
      <c r="M940" s="17"/>
      <c r="N940" s="17"/>
      <c r="O940" s="19"/>
      <c r="P940" s="20"/>
      <c r="Q940" s="20"/>
      <c r="S940" s="15"/>
    </row>
    <row r="941" spans="3:19" ht="14.25" customHeight="1">
      <c r="C941" s="17"/>
      <c r="D941" s="17"/>
      <c r="E941" s="23"/>
      <c r="F941" s="15"/>
      <c r="G941" s="15"/>
      <c r="H941" s="15"/>
      <c r="I941" s="3"/>
      <c r="J941" s="17"/>
      <c r="K941" s="17"/>
      <c r="L941" s="17"/>
      <c r="M941" s="17"/>
      <c r="N941" s="17"/>
      <c r="O941" s="19"/>
      <c r="P941" s="20"/>
      <c r="Q941" s="20"/>
      <c r="S941" s="15"/>
    </row>
    <row r="942" spans="3:19" ht="14.25" customHeight="1">
      <c r="C942" s="17"/>
      <c r="D942" s="17"/>
      <c r="E942" s="23"/>
      <c r="F942" s="15"/>
      <c r="G942" s="15"/>
      <c r="H942" s="15"/>
      <c r="I942" s="3"/>
      <c r="J942" s="17"/>
      <c r="K942" s="17"/>
      <c r="L942" s="17"/>
      <c r="M942" s="17"/>
      <c r="N942" s="17"/>
      <c r="O942" s="19"/>
      <c r="P942" s="20"/>
      <c r="Q942" s="20"/>
      <c r="S942" s="15"/>
    </row>
    <row r="943" spans="3:19" ht="14.25" customHeight="1">
      <c r="C943" s="17"/>
      <c r="D943" s="17"/>
      <c r="E943" s="23"/>
      <c r="F943" s="15"/>
      <c r="G943" s="15"/>
      <c r="H943" s="15"/>
      <c r="I943" s="3"/>
      <c r="J943" s="17"/>
      <c r="K943" s="17"/>
      <c r="L943" s="17"/>
      <c r="M943" s="17"/>
      <c r="N943" s="17"/>
      <c r="O943" s="19"/>
      <c r="P943" s="20"/>
      <c r="Q943" s="20"/>
      <c r="S943" s="15"/>
    </row>
    <row r="944" spans="3:19" ht="14.25" customHeight="1">
      <c r="C944" s="17"/>
      <c r="D944" s="17"/>
      <c r="E944" s="23"/>
      <c r="F944" s="15"/>
      <c r="G944" s="15"/>
      <c r="H944" s="15"/>
      <c r="I944" s="3"/>
      <c r="J944" s="17"/>
      <c r="K944" s="17"/>
      <c r="L944" s="17"/>
      <c r="M944" s="17"/>
      <c r="N944" s="17"/>
      <c r="O944" s="19"/>
      <c r="P944" s="20"/>
      <c r="Q944" s="20"/>
      <c r="S944" s="15"/>
    </row>
    <row r="945" spans="3:19" ht="14.25" customHeight="1">
      <c r="C945" s="17"/>
      <c r="D945" s="17"/>
      <c r="E945" s="23"/>
      <c r="F945" s="15"/>
      <c r="G945" s="15"/>
      <c r="H945" s="15"/>
      <c r="I945" s="3"/>
      <c r="J945" s="17"/>
      <c r="K945" s="17"/>
      <c r="L945" s="17"/>
      <c r="M945" s="17"/>
      <c r="N945" s="17"/>
      <c r="O945" s="19"/>
      <c r="P945" s="20"/>
      <c r="Q945" s="20"/>
      <c r="S945" s="15"/>
    </row>
    <row r="946" spans="3:19" ht="14.25" customHeight="1">
      <c r="C946" s="17"/>
      <c r="D946" s="17"/>
      <c r="E946" s="23"/>
      <c r="F946" s="15"/>
      <c r="G946" s="15"/>
      <c r="H946" s="15"/>
      <c r="I946" s="3"/>
      <c r="J946" s="17"/>
      <c r="K946" s="17"/>
      <c r="L946" s="17"/>
      <c r="M946" s="17"/>
      <c r="N946" s="17"/>
      <c r="O946" s="19"/>
      <c r="P946" s="20"/>
      <c r="Q946" s="20"/>
      <c r="S946" s="15"/>
    </row>
    <row r="947" spans="3:19" ht="14.25" customHeight="1">
      <c r="C947" s="17"/>
      <c r="D947" s="17"/>
      <c r="E947" s="23"/>
      <c r="F947" s="15"/>
      <c r="G947" s="15"/>
      <c r="H947" s="15"/>
      <c r="I947" s="3"/>
      <c r="J947" s="17"/>
      <c r="K947" s="17"/>
      <c r="L947" s="17"/>
      <c r="M947" s="17"/>
      <c r="N947" s="17"/>
      <c r="O947" s="19"/>
      <c r="P947" s="20"/>
      <c r="Q947" s="20"/>
      <c r="S947" s="15"/>
    </row>
    <row r="948" spans="3:19" ht="14.25" customHeight="1">
      <c r="C948" s="17"/>
      <c r="D948" s="17"/>
      <c r="E948" s="23"/>
      <c r="F948" s="15"/>
      <c r="G948" s="15"/>
      <c r="H948" s="15"/>
      <c r="I948" s="3"/>
      <c r="J948" s="17"/>
      <c r="K948" s="17"/>
      <c r="L948" s="17"/>
      <c r="M948" s="17"/>
      <c r="N948" s="17"/>
      <c r="O948" s="19"/>
      <c r="P948" s="20"/>
      <c r="Q948" s="20"/>
      <c r="S948" s="15"/>
    </row>
    <row r="949" spans="3:19" ht="14.25" customHeight="1">
      <c r="C949" s="17"/>
      <c r="D949" s="17"/>
      <c r="E949" s="23"/>
      <c r="F949" s="15"/>
      <c r="G949" s="15"/>
      <c r="H949" s="15"/>
      <c r="I949" s="3"/>
      <c r="J949" s="17"/>
      <c r="K949" s="17"/>
      <c r="L949" s="17"/>
      <c r="M949" s="17"/>
      <c r="N949" s="17"/>
      <c r="O949" s="19"/>
      <c r="P949" s="20"/>
      <c r="Q949" s="20"/>
      <c r="S949" s="15"/>
    </row>
    <row r="950" spans="3:19" ht="14.25" customHeight="1">
      <c r="C950" s="17"/>
      <c r="D950" s="17"/>
      <c r="E950" s="23"/>
      <c r="F950" s="15"/>
      <c r="G950" s="15"/>
      <c r="H950" s="15"/>
      <c r="I950" s="3"/>
      <c r="J950" s="17"/>
      <c r="K950" s="17"/>
      <c r="L950" s="17"/>
      <c r="M950" s="17"/>
      <c r="N950" s="17"/>
      <c r="O950" s="19"/>
      <c r="P950" s="20"/>
      <c r="Q950" s="20"/>
      <c r="S950" s="15"/>
    </row>
    <row r="951" spans="3:19" ht="14.25" customHeight="1">
      <c r="C951" s="17"/>
      <c r="D951" s="17"/>
      <c r="E951" s="23"/>
      <c r="F951" s="15"/>
      <c r="G951" s="15"/>
      <c r="H951" s="15"/>
      <c r="I951" s="3"/>
      <c r="J951" s="17"/>
      <c r="K951" s="17"/>
      <c r="L951" s="17"/>
      <c r="M951" s="17"/>
      <c r="N951" s="17"/>
      <c r="O951" s="19"/>
      <c r="P951" s="20"/>
      <c r="Q951" s="20"/>
      <c r="S951" s="15"/>
    </row>
    <row r="952" spans="3:19" ht="14.25" customHeight="1">
      <c r="C952" s="17"/>
      <c r="D952" s="17"/>
      <c r="E952" s="23"/>
      <c r="F952" s="15"/>
      <c r="G952" s="15"/>
      <c r="H952" s="15"/>
      <c r="I952" s="3"/>
      <c r="J952" s="17"/>
      <c r="K952" s="17"/>
      <c r="L952" s="17"/>
      <c r="M952" s="17"/>
      <c r="N952" s="17"/>
      <c r="O952" s="19"/>
      <c r="P952" s="20"/>
      <c r="Q952" s="20"/>
      <c r="S952" s="15"/>
    </row>
    <row r="953" spans="3:19" ht="14.25" customHeight="1">
      <c r="C953" s="17"/>
      <c r="D953" s="17"/>
      <c r="E953" s="23"/>
      <c r="F953" s="15"/>
      <c r="G953" s="15"/>
      <c r="H953" s="15"/>
      <c r="I953" s="3"/>
      <c r="J953" s="17"/>
      <c r="K953" s="17"/>
      <c r="L953" s="17"/>
      <c r="M953" s="17"/>
      <c r="N953" s="17"/>
      <c r="O953" s="19"/>
      <c r="P953" s="20"/>
      <c r="Q953" s="20"/>
      <c r="S953" s="15"/>
    </row>
    <row r="954" spans="3:19" ht="14.25" customHeight="1">
      <c r="C954" s="17"/>
      <c r="D954" s="17"/>
      <c r="E954" s="23"/>
      <c r="F954" s="15"/>
      <c r="G954" s="15"/>
      <c r="H954" s="15"/>
      <c r="I954" s="3"/>
      <c r="J954" s="17"/>
      <c r="K954" s="17"/>
      <c r="L954" s="17"/>
      <c r="M954" s="17"/>
      <c r="N954" s="17"/>
      <c r="O954" s="19"/>
      <c r="P954" s="20"/>
      <c r="Q954" s="20"/>
      <c r="S954" s="15"/>
    </row>
    <row r="955" spans="3:19" ht="14.25" customHeight="1">
      <c r="C955" s="17"/>
      <c r="D955" s="17"/>
      <c r="E955" s="23"/>
      <c r="F955" s="15"/>
      <c r="G955" s="15"/>
      <c r="H955" s="15"/>
      <c r="I955" s="3"/>
      <c r="J955" s="17"/>
      <c r="K955" s="17"/>
      <c r="L955" s="17"/>
      <c r="M955" s="17"/>
      <c r="N955" s="17"/>
      <c r="O955" s="19"/>
      <c r="P955" s="20"/>
      <c r="Q955" s="20"/>
      <c r="S955" s="15"/>
    </row>
    <row r="956" spans="3:19" ht="14.25" customHeight="1">
      <c r="C956" s="17"/>
      <c r="D956" s="17"/>
      <c r="E956" s="23"/>
      <c r="F956" s="15"/>
      <c r="G956" s="15"/>
      <c r="H956" s="15"/>
      <c r="I956" s="3"/>
      <c r="J956" s="17"/>
      <c r="K956" s="17"/>
      <c r="L956" s="17"/>
      <c r="M956" s="17"/>
      <c r="N956" s="17"/>
      <c r="O956" s="19"/>
      <c r="P956" s="20"/>
      <c r="Q956" s="20"/>
      <c r="S956" s="15"/>
    </row>
    <row r="957" spans="3:19" ht="14.25" customHeight="1">
      <c r="C957" s="17"/>
      <c r="D957" s="17"/>
      <c r="E957" s="23"/>
      <c r="F957" s="15"/>
      <c r="G957" s="15"/>
      <c r="H957" s="15"/>
      <c r="I957" s="3"/>
      <c r="J957" s="17"/>
      <c r="K957" s="17"/>
      <c r="L957" s="17"/>
      <c r="M957" s="17"/>
      <c r="N957" s="17"/>
      <c r="O957" s="19"/>
      <c r="P957" s="20"/>
      <c r="Q957" s="20"/>
      <c r="S957" s="15"/>
    </row>
    <row r="958" spans="3:19" ht="14.25" customHeight="1">
      <c r="C958" s="17"/>
      <c r="D958" s="17"/>
      <c r="E958" s="23"/>
      <c r="F958" s="15"/>
      <c r="G958" s="15"/>
      <c r="H958" s="15"/>
      <c r="I958" s="3"/>
      <c r="J958" s="17"/>
      <c r="K958" s="17"/>
      <c r="L958" s="17"/>
      <c r="M958" s="17"/>
      <c r="N958" s="17"/>
      <c r="O958" s="19"/>
      <c r="P958" s="20"/>
      <c r="Q958" s="20"/>
      <c r="S958" s="15"/>
    </row>
    <row r="959" spans="3:19" ht="14.25" customHeight="1">
      <c r="C959" s="17"/>
      <c r="D959" s="17"/>
      <c r="E959" s="23"/>
      <c r="F959" s="15"/>
      <c r="G959" s="15"/>
      <c r="H959" s="15"/>
      <c r="I959" s="3"/>
      <c r="J959" s="17"/>
      <c r="K959" s="17"/>
      <c r="L959" s="17"/>
      <c r="M959" s="17"/>
      <c r="N959" s="17"/>
      <c r="O959" s="19"/>
      <c r="P959" s="20"/>
      <c r="Q959" s="20"/>
      <c r="S959" s="15"/>
    </row>
    <row r="960" spans="3:19" ht="14.25" customHeight="1">
      <c r="C960" s="17"/>
      <c r="D960" s="17"/>
      <c r="E960" s="23"/>
      <c r="F960" s="15"/>
      <c r="G960" s="15"/>
      <c r="H960" s="15"/>
      <c r="I960" s="3"/>
      <c r="J960" s="17"/>
      <c r="K960" s="17"/>
      <c r="L960" s="17"/>
      <c r="M960" s="17"/>
      <c r="N960" s="17"/>
      <c r="O960" s="19"/>
      <c r="P960" s="20"/>
      <c r="Q960" s="20"/>
      <c r="S960" s="15"/>
    </row>
    <row r="961" spans="3:19" ht="14.25" customHeight="1">
      <c r="C961" s="17"/>
      <c r="D961" s="17"/>
      <c r="E961" s="23"/>
      <c r="F961" s="15"/>
      <c r="G961" s="15"/>
      <c r="H961" s="15"/>
      <c r="I961" s="3"/>
      <c r="J961" s="17"/>
      <c r="K961" s="17"/>
      <c r="L961" s="17"/>
      <c r="M961" s="17"/>
      <c r="N961" s="17"/>
      <c r="O961" s="19"/>
      <c r="P961" s="20"/>
      <c r="Q961" s="20"/>
      <c r="S961" s="15"/>
    </row>
    <row r="962" spans="3:19" ht="14.25" customHeight="1">
      <c r="C962" s="17"/>
      <c r="D962" s="17"/>
      <c r="E962" s="23"/>
      <c r="F962" s="15"/>
      <c r="G962" s="15"/>
      <c r="H962" s="15"/>
      <c r="I962" s="3"/>
      <c r="J962" s="17"/>
      <c r="K962" s="17"/>
      <c r="L962" s="17"/>
      <c r="M962" s="17"/>
      <c r="N962" s="17"/>
      <c r="O962" s="19"/>
      <c r="P962" s="20"/>
      <c r="Q962" s="20"/>
      <c r="S962" s="15"/>
    </row>
    <row r="963" spans="3:19" ht="14.25" customHeight="1">
      <c r="C963" s="17"/>
      <c r="D963" s="17"/>
      <c r="E963" s="23"/>
      <c r="F963" s="15"/>
      <c r="G963" s="15"/>
      <c r="H963" s="15"/>
      <c r="I963" s="3"/>
      <c r="J963" s="17"/>
      <c r="K963" s="17"/>
      <c r="L963" s="17"/>
      <c r="M963" s="17"/>
      <c r="N963" s="17"/>
      <c r="O963" s="19"/>
      <c r="P963" s="20"/>
      <c r="Q963" s="20"/>
      <c r="S963" s="15"/>
    </row>
    <row r="964" spans="3:19" ht="14.25" customHeight="1">
      <c r="C964" s="17"/>
      <c r="D964" s="17"/>
      <c r="E964" s="23"/>
      <c r="F964" s="15"/>
      <c r="G964" s="15"/>
      <c r="H964" s="15"/>
      <c r="I964" s="3"/>
      <c r="J964" s="17"/>
      <c r="K964" s="17"/>
      <c r="L964" s="17"/>
      <c r="M964" s="17"/>
      <c r="N964" s="17"/>
      <c r="O964" s="19"/>
      <c r="P964" s="20"/>
      <c r="Q964" s="20"/>
      <c r="S964" s="15"/>
    </row>
    <row r="965" spans="3:19" ht="14.25" customHeight="1">
      <c r="C965" s="17"/>
      <c r="D965" s="17"/>
      <c r="E965" s="23"/>
      <c r="F965" s="15"/>
      <c r="G965" s="15"/>
      <c r="H965" s="15"/>
      <c r="I965" s="3"/>
      <c r="J965" s="17"/>
      <c r="K965" s="17"/>
      <c r="L965" s="17"/>
      <c r="M965" s="17"/>
      <c r="N965" s="17"/>
      <c r="O965" s="19"/>
      <c r="P965" s="20"/>
      <c r="Q965" s="20"/>
      <c r="S965" s="15"/>
    </row>
    <row r="966" spans="3:19" ht="14.25" customHeight="1">
      <c r="C966" s="17"/>
      <c r="D966" s="17"/>
      <c r="E966" s="23"/>
      <c r="F966" s="15"/>
      <c r="G966" s="15"/>
      <c r="H966" s="15"/>
      <c r="I966" s="3"/>
      <c r="J966" s="17"/>
      <c r="K966" s="17"/>
      <c r="L966" s="17"/>
      <c r="M966" s="17"/>
      <c r="N966" s="17"/>
      <c r="O966" s="19"/>
      <c r="P966" s="20"/>
      <c r="Q966" s="20"/>
      <c r="S966" s="15"/>
    </row>
    <row r="967" spans="3:19" ht="14.25" customHeight="1">
      <c r="C967" s="17"/>
      <c r="D967" s="17"/>
      <c r="E967" s="23"/>
      <c r="F967" s="15"/>
      <c r="G967" s="15"/>
      <c r="H967" s="15"/>
      <c r="I967" s="3"/>
      <c r="J967" s="17"/>
      <c r="K967" s="17"/>
      <c r="L967" s="17"/>
      <c r="M967" s="17"/>
      <c r="N967" s="17"/>
      <c r="O967" s="19"/>
      <c r="P967" s="20"/>
      <c r="Q967" s="20"/>
      <c r="S967" s="15"/>
    </row>
    <row r="968" spans="3:19" ht="14.25" customHeight="1">
      <c r="C968" s="17"/>
      <c r="D968" s="17"/>
      <c r="E968" s="23"/>
      <c r="F968" s="15"/>
      <c r="G968" s="15"/>
      <c r="H968" s="15"/>
      <c r="I968" s="3"/>
      <c r="J968" s="17"/>
      <c r="K968" s="17"/>
      <c r="L968" s="17"/>
      <c r="M968" s="17"/>
      <c r="N968" s="17"/>
      <c r="O968" s="19"/>
      <c r="P968" s="20"/>
      <c r="Q968" s="20"/>
      <c r="S968" s="15"/>
    </row>
    <row r="969" spans="3:19" ht="14.25" customHeight="1">
      <c r="C969" s="17"/>
      <c r="D969" s="17"/>
      <c r="E969" s="23"/>
      <c r="F969" s="15"/>
      <c r="G969" s="15"/>
      <c r="H969" s="15"/>
      <c r="I969" s="3"/>
      <c r="J969" s="17"/>
      <c r="K969" s="17"/>
      <c r="L969" s="17"/>
      <c r="M969" s="17"/>
      <c r="N969" s="17"/>
      <c r="O969" s="19"/>
      <c r="P969" s="20"/>
      <c r="Q969" s="20"/>
      <c r="S969" s="15"/>
    </row>
    <row r="970" spans="3:19" ht="14.25" customHeight="1">
      <c r="C970" s="17"/>
      <c r="D970" s="17"/>
      <c r="E970" s="23"/>
      <c r="F970" s="15"/>
      <c r="G970" s="15"/>
      <c r="H970" s="15"/>
      <c r="I970" s="3"/>
      <c r="J970" s="17"/>
      <c r="K970" s="17"/>
      <c r="L970" s="17"/>
      <c r="M970" s="17"/>
      <c r="N970" s="17"/>
      <c r="O970" s="19"/>
      <c r="P970" s="20"/>
      <c r="Q970" s="20"/>
      <c r="S970" s="15"/>
    </row>
    <row r="971" spans="3:19" ht="14.25" customHeight="1">
      <c r="C971" s="17"/>
      <c r="D971" s="17"/>
      <c r="E971" s="23"/>
      <c r="F971" s="15"/>
      <c r="G971" s="15"/>
      <c r="H971" s="15"/>
      <c r="I971" s="3"/>
      <c r="J971" s="17"/>
      <c r="K971" s="17"/>
      <c r="L971" s="17"/>
      <c r="M971" s="17"/>
      <c r="N971" s="17"/>
      <c r="O971" s="19"/>
      <c r="P971" s="20"/>
      <c r="Q971" s="20"/>
      <c r="S971" s="15"/>
    </row>
    <row r="972" spans="3:19" ht="14.25" customHeight="1">
      <c r="C972" s="17"/>
      <c r="D972" s="17"/>
      <c r="E972" s="23"/>
      <c r="F972" s="15"/>
      <c r="G972" s="15"/>
      <c r="H972" s="15"/>
      <c r="I972" s="3"/>
      <c r="J972" s="17"/>
      <c r="K972" s="17"/>
      <c r="L972" s="17"/>
      <c r="M972" s="17"/>
      <c r="N972" s="17"/>
      <c r="O972" s="19"/>
      <c r="P972" s="20"/>
      <c r="Q972" s="20"/>
      <c r="S972" s="15"/>
    </row>
    <row r="973" spans="3:19" ht="14.25" customHeight="1">
      <c r="C973" s="17"/>
      <c r="D973" s="17"/>
      <c r="E973" s="23"/>
      <c r="F973" s="15"/>
      <c r="G973" s="15"/>
      <c r="H973" s="15"/>
      <c r="I973" s="3"/>
      <c r="J973" s="17"/>
      <c r="K973" s="17"/>
      <c r="L973" s="17"/>
      <c r="M973" s="17"/>
      <c r="N973" s="17"/>
      <c r="O973" s="19"/>
      <c r="P973" s="20"/>
      <c r="Q973" s="20"/>
      <c r="S973" s="15"/>
    </row>
    <row r="974" spans="3:19" ht="14.25" customHeight="1">
      <c r="C974" s="17"/>
      <c r="D974" s="17"/>
      <c r="E974" s="23"/>
      <c r="F974" s="15"/>
      <c r="G974" s="15"/>
      <c r="H974" s="15"/>
      <c r="I974" s="3"/>
      <c r="J974" s="17"/>
      <c r="K974" s="17"/>
      <c r="L974" s="17"/>
      <c r="M974" s="17"/>
      <c r="N974" s="17"/>
      <c r="O974" s="19"/>
      <c r="P974" s="20"/>
      <c r="Q974" s="20"/>
      <c r="S974" s="15"/>
    </row>
    <row r="975" spans="3:19" ht="14.25" customHeight="1">
      <c r="C975" s="17"/>
      <c r="D975" s="17"/>
      <c r="E975" s="23"/>
      <c r="F975" s="15"/>
      <c r="G975" s="15"/>
      <c r="H975" s="15"/>
      <c r="I975" s="3"/>
      <c r="J975" s="17"/>
      <c r="K975" s="17"/>
      <c r="L975" s="17"/>
      <c r="M975" s="17"/>
      <c r="N975" s="17"/>
      <c r="O975" s="19"/>
      <c r="P975" s="20"/>
      <c r="Q975" s="20"/>
      <c r="S975" s="15"/>
    </row>
    <row r="976" spans="3:19" ht="14.25" customHeight="1">
      <c r="C976" s="17"/>
      <c r="D976" s="17"/>
      <c r="E976" s="23"/>
      <c r="F976" s="15"/>
      <c r="G976" s="15"/>
      <c r="H976" s="15"/>
      <c r="I976" s="3"/>
      <c r="J976" s="17"/>
      <c r="K976" s="17"/>
      <c r="L976" s="17"/>
      <c r="M976" s="17"/>
      <c r="N976" s="17"/>
      <c r="O976" s="19"/>
      <c r="P976" s="20"/>
      <c r="Q976" s="20"/>
      <c r="S976" s="15"/>
    </row>
    <row r="977" spans="3:19" ht="14.25" customHeight="1">
      <c r="C977" s="17"/>
      <c r="D977" s="17"/>
      <c r="E977" s="23"/>
      <c r="F977" s="15"/>
      <c r="G977" s="15"/>
      <c r="H977" s="15"/>
      <c r="I977" s="3"/>
      <c r="J977" s="17"/>
      <c r="K977" s="17"/>
      <c r="L977" s="17"/>
      <c r="M977" s="17"/>
      <c r="N977" s="17"/>
      <c r="O977" s="19"/>
      <c r="P977" s="20"/>
      <c r="Q977" s="20"/>
      <c r="S977" s="15"/>
    </row>
    <row r="978" spans="3:19" ht="14.25" customHeight="1">
      <c r="C978" s="17"/>
      <c r="D978" s="17"/>
      <c r="E978" s="23"/>
      <c r="F978" s="15"/>
      <c r="G978" s="15"/>
      <c r="H978" s="15"/>
      <c r="I978" s="3"/>
      <c r="J978" s="17"/>
      <c r="K978" s="17"/>
      <c r="L978" s="17"/>
      <c r="M978" s="17"/>
      <c r="N978" s="17"/>
      <c r="O978" s="19"/>
      <c r="P978" s="20"/>
      <c r="Q978" s="20"/>
      <c r="S978" s="15"/>
    </row>
    <row r="979" spans="3:19" ht="14.25" customHeight="1">
      <c r="C979" s="17"/>
      <c r="D979" s="17"/>
      <c r="E979" s="23"/>
      <c r="F979" s="15"/>
      <c r="G979" s="15"/>
      <c r="H979" s="15"/>
      <c r="I979" s="3"/>
      <c r="J979" s="17"/>
      <c r="K979" s="17"/>
      <c r="L979" s="17"/>
      <c r="M979" s="17"/>
      <c r="N979" s="17"/>
      <c r="O979" s="19"/>
      <c r="P979" s="20"/>
      <c r="Q979" s="20"/>
      <c r="S979" s="15"/>
    </row>
    <row r="980" spans="3:19" ht="14.25" customHeight="1">
      <c r="C980" s="17"/>
      <c r="D980" s="17"/>
      <c r="E980" s="23"/>
      <c r="F980" s="15"/>
      <c r="G980" s="15"/>
      <c r="H980" s="15"/>
      <c r="I980" s="3"/>
      <c r="J980" s="17"/>
      <c r="K980" s="17"/>
      <c r="L980" s="17"/>
      <c r="M980" s="17"/>
      <c r="N980" s="17"/>
      <c r="O980" s="19"/>
      <c r="P980" s="20"/>
      <c r="Q980" s="20"/>
      <c r="S980" s="15"/>
    </row>
    <row r="981" spans="3:19" ht="14.25" customHeight="1">
      <c r="C981" s="17"/>
      <c r="D981" s="17"/>
      <c r="E981" s="23"/>
      <c r="F981" s="15"/>
      <c r="G981" s="15"/>
      <c r="H981" s="15"/>
      <c r="I981" s="3"/>
      <c r="J981" s="17"/>
      <c r="K981" s="17"/>
      <c r="L981" s="17"/>
      <c r="M981" s="17"/>
      <c r="N981" s="17"/>
      <c r="O981" s="19"/>
      <c r="P981" s="20"/>
      <c r="Q981" s="20"/>
      <c r="S981" s="15"/>
    </row>
    <row r="982" spans="3:19" ht="14.25" customHeight="1">
      <c r="C982" s="17"/>
      <c r="D982" s="17"/>
      <c r="E982" s="23"/>
      <c r="F982" s="15"/>
      <c r="G982" s="15"/>
      <c r="H982" s="15"/>
      <c r="I982" s="3"/>
      <c r="J982" s="17"/>
      <c r="K982" s="17"/>
      <c r="L982" s="17"/>
      <c r="M982" s="17"/>
      <c r="N982" s="17"/>
      <c r="O982" s="19"/>
      <c r="P982" s="20"/>
      <c r="Q982" s="20"/>
      <c r="S982" s="15"/>
    </row>
    <row r="983" spans="3:19" ht="14.25" customHeight="1">
      <c r="C983" s="17"/>
      <c r="D983" s="17"/>
      <c r="E983" s="23"/>
      <c r="F983" s="15"/>
      <c r="G983" s="15"/>
      <c r="H983" s="15"/>
      <c r="I983" s="3"/>
      <c r="J983" s="17"/>
      <c r="K983" s="17"/>
      <c r="L983" s="17"/>
      <c r="M983" s="17"/>
      <c r="N983" s="17"/>
      <c r="O983" s="19"/>
      <c r="P983" s="20"/>
      <c r="Q983" s="20"/>
      <c r="S983" s="15"/>
    </row>
    <row r="984" spans="3:19" ht="14.25" customHeight="1">
      <c r="C984" s="17"/>
      <c r="D984" s="17"/>
      <c r="E984" s="23"/>
      <c r="F984" s="15"/>
      <c r="G984" s="15"/>
      <c r="H984" s="15"/>
      <c r="I984" s="3"/>
      <c r="J984" s="17"/>
      <c r="K984" s="17"/>
      <c r="L984" s="17"/>
      <c r="M984" s="17"/>
      <c r="N984" s="17"/>
      <c r="O984" s="19"/>
      <c r="P984" s="20"/>
      <c r="Q984" s="20"/>
      <c r="S984" s="15"/>
    </row>
    <row r="985" spans="3:19" ht="14.25" customHeight="1">
      <c r="C985" s="17"/>
      <c r="D985" s="17"/>
      <c r="E985" s="23"/>
      <c r="F985" s="15"/>
      <c r="G985" s="15"/>
      <c r="H985" s="15"/>
      <c r="I985" s="3"/>
      <c r="J985" s="17"/>
      <c r="K985" s="17"/>
      <c r="L985" s="17"/>
      <c r="M985" s="17"/>
      <c r="N985" s="17"/>
      <c r="O985" s="19"/>
      <c r="P985" s="20"/>
      <c r="Q985" s="20"/>
      <c r="S985" s="15"/>
    </row>
    <row r="986" spans="3:19" ht="14.25" customHeight="1">
      <c r="C986" s="17"/>
      <c r="D986" s="17"/>
      <c r="E986" s="23"/>
      <c r="F986" s="15"/>
      <c r="G986" s="15"/>
      <c r="H986" s="15"/>
      <c r="I986" s="3"/>
      <c r="J986" s="17"/>
      <c r="K986" s="17"/>
      <c r="L986" s="17"/>
      <c r="M986" s="17"/>
      <c r="N986" s="17"/>
      <c r="O986" s="19"/>
      <c r="P986" s="20"/>
      <c r="Q986" s="20"/>
      <c r="S986" s="15"/>
    </row>
    <row r="987" spans="3:19" ht="14.25" customHeight="1">
      <c r="C987" s="17"/>
      <c r="D987" s="17"/>
      <c r="E987" s="23"/>
      <c r="F987" s="15"/>
      <c r="G987" s="15"/>
      <c r="H987" s="15"/>
      <c r="I987" s="3"/>
      <c r="J987" s="17"/>
      <c r="K987" s="17"/>
      <c r="L987" s="17"/>
      <c r="M987" s="17"/>
      <c r="N987" s="17"/>
      <c r="O987" s="19"/>
      <c r="P987" s="20"/>
      <c r="Q987" s="20"/>
      <c r="S987" s="15"/>
    </row>
    <row r="988" spans="3:19" ht="14.25" customHeight="1">
      <c r="C988" s="17"/>
      <c r="D988" s="17"/>
      <c r="E988" s="23"/>
      <c r="F988" s="15"/>
      <c r="G988" s="15"/>
      <c r="H988" s="15"/>
      <c r="I988" s="3"/>
      <c r="J988" s="17"/>
      <c r="K988" s="17"/>
      <c r="L988" s="17"/>
      <c r="M988" s="17"/>
      <c r="N988" s="17"/>
      <c r="O988" s="19"/>
      <c r="P988" s="20"/>
      <c r="Q988" s="20"/>
      <c r="S988" s="15"/>
    </row>
    <row r="989" spans="3:19" ht="14.25" customHeight="1">
      <c r="C989" s="17"/>
      <c r="D989" s="17"/>
      <c r="E989" s="23"/>
      <c r="F989" s="15"/>
      <c r="G989" s="15"/>
      <c r="H989" s="15"/>
      <c r="I989" s="3"/>
      <c r="J989" s="17"/>
      <c r="K989" s="17"/>
      <c r="L989" s="17"/>
      <c r="M989" s="17"/>
      <c r="N989" s="17"/>
      <c r="O989" s="19"/>
      <c r="P989" s="20"/>
      <c r="Q989" s="20"/>
      <c r="S989" s="15"/>
    </row>
    <row r="990" spans="3:19" ht="14.25" customHeight="1">
      <c r="C990" s="17"/>
      <c r="D990" s="17"/>
      <c r="E990" s="23"/>
      <c r="F990" s="15"/>
      <c r="G990" s="15"/>
      <c r="H990" s="15"/>
      <c r="I990" s="3"/>
      <c r="J990" s="17"/>
      <c r="K990" s="17"/>
      <c r="L990" s="17"/>
      <c r="M990" s="17"/>
      <c r="N990" s="17"/>
      <c r="O990" s="19"/>
      <c r="P990" s="20"/>
      <c r="Q990" s="20"/>
      <c r="S990" s="15"/>
    </row>
    <row r="991" spans="3:19" ht="14.25" customHeight="1">
      <c r="C991" s="17"/>
      <c r="D991" s="17"/>
      <c r="E991" s="23"/>
      <c r="F991" s="15"/>
      <c r="G991" s="15"/>
      <c r="H991" s="15"/>
      <c r="I991" s="3"/>
      <c r="J991" s="17"/>
      <c r="K991" s="17"/>
      <c r="L991" s="17"/>
      <c r="M991" s="17"/>
      <c r="N991" s="17"/>
      <c r="O991" s="19"/>
      <c r="P991" s="20"/>
      <c r="Q991" s="20"/>
      <c r="S991" s="15"/>
    </row>
    <row r="992" spans="3:19" ht="14.25" customHeight="1">
      <c r="C992" s="17"/>
      <c r="D992" s="17"/>
      <c r="E992" s="23"/>
      <c r="F992" s="15"/>
      <c r="G992" s="15"/>
      <c r="H992" s="15"/>
      <c r="I992" s="3"/>
      <c r="J992" s="17"/>
      <c r="K992" s="17"/>
      <c r="L992" s="17"/>
      <c r="M992" s="17"/>
      <c r="N992" s="17"/>
      <c r="O992" s="19"/>
      <c r="P992" s="20"/>
      <c r="Q992" s="20"/>
      <c r="S992" s="15"/>
    </row>
    <row r="993" spans="3:19" ht="14.25" customHeight="1">
      <c r="C993" s="17"/>
      <c r="D993" s="17"/>
      <c r="E993" s="23"/>
      <c r="F993" s="15"/>
      <c r="G993" s="15"/>
      <c r="H993" s="15"/>
      <c r="I993" s="3"/>
      <c r="J993" s="17"/>
      <c r="K993" s="17"/>
      <c r="L993" s="17"/>
      <c r="M993" s="17"/>
      <c r="N993" s="17"/>
      <c r="O993" s="19"/>
      <c r="P993" s="20"/>
      <c r="Q993" s="20"/>
      <c r="S993" s="15"/>
    </row>
    <row r="994" spans="3:19" ht="14.25" customHeight="1">
      <c r="C994" s="17"/>
      <c r="D994" s="17"/>
      <c r="E994" s="23"/>
      <c r="F994" s="15"/>
      <c r="G994" s="15"/>
      <c r="H994" s="15"/>
      <c r="I994" s="3"/>
      <c r="J994" s="17"/>
      <c r="K994" s="17"/>
      <c r="L994" s="17"/>
      <c r="M994" s="17"/>
      <c r="N994" s="17"/>
      <c r="O994" s="19"/>
      <c r="P994" s="20"/>
      <c r="Q994" s="20"/>
      <c r="S994" s="15"/>
    </row>
    <row r="995" spans="3:19" ht="14.25" customHeight="1">
      <c r="C995" s="17"/>
      <c r="D995" s="17"/>
      <c r="E995" s="23"/>
      <c r="F995" s="15"/>
      <c r="G995" s="15"/>
      <c r="H995" s="15"/>
      <c r="I995" s="3"/>
      <c r="J995" s="17"/>
      <c r="K995" s="17"/>
      <c r="L995" s="17"/>
      <c r="M995" s="17"/>
      <c r="N995" s="17"/>
      <c r="O995" s="19"/>
      <c r="P995" s="20"/>
      <c r="Q995" s="20"/>
      <c r="S995" s="15"/>
    </row>
    <row r="996" spans="3:19" ht="14.25" customHeight="1">
      <c r="C996" s="17"/>
      <c r="D996" s="17"/>
      <c r="E996" s="23"/>
      <c r="F996" s="15"/>
      <c r="G996" s="15"/>
      <c r="H996" s="15"/>
      <c r="I996" s="3"/>
      <c r="J996" s="17"/>
      <c r="K996" s="17"/>
      <c r="L996" s="17"/>
      <c r="M996" s="17"/>
      <c r="N996" s="17"/>
      <c r="O996" s="19"/>
      <c r="P996" s="20"/>
      <c r="Q996" s="20"/>
      <c r="S996" s="15"/>
    </row>
    <row r="997" spans="3:19" ht="14.25" customHeight="1">
      <c r="C997" s="17"/>
      <c r="D997" s="17"/>
      <c r="E997" s="23"/>
      <c r="F997" s="15"/>
      <c r="G997" s="15"/>
      <c r="H997" s="15"/>
      <c r="I997" s="3"/>
      <c r="J997" s="17"/>
      <c r="K997" s="17"/>
      <c r="L997" s="17"/>
      <c r="M997" s="17"/>
      <c r="N997" s="17"/>
      <c r="O997" s="19"/>
      <c r="P997" s="20"/>
      <c r="Q997" s="20"/>
      <c r="S997" s="15"/>
    </row>
    <row r="998" spans="3:19" ht="14.25" customHeight="1">
      <c r="C998" s="17"/>
      <c r="D998" s="17"/>
      <c r="E998" s="23"/>
      <c r="F998" s="15"/>
      <c r="G998" s="15"/>
      <c r="H998" s="15"/>
      <c r="I998" s="3"/>
      <c r="J998" s="17"/>
      <c r="K998" s="17"/>
      <c r="L998" s="17"/>
      <c r="M998" s="17"/>
      <c r="N998" s="17"/>
      <c r="O998" s="19"/>
      <c r="P998" s="20"/>
      <c r="Q998" s="20"/>
      <c r="S998" s="15"/>
    </row>
    <row r="999" spans="3:19" ht="14.25" customHeight="1">
      <c r="C999" s="17"/>
      <c r="D999" s="17"/>
      <c r="E999" s="23"/>
      <c r="F999" s="15"/>
      <c r="G999" s="15"/>
      <c r="H999" s="15"/>
      <c r="I999" s="3"/>
      <c r="J999" s="17"/>
      <c r="K999" s="17"/>
      <c r="L999" s="17"/>
      <c r="M999" s="17"/>
      <c r="N999" s="17"/>
      <c r="O999" s="19"/>
      <c r="P999" s="20"/>
      <c r="Q999" s="20"/>
      <c r="S999" s="15"/>
    </row>
    <row r="1000" spans="3:19" ht="14.25" customHeight="1">
      <c r="C1000" s="17"/>
      <c r="D1000" s="17"/>
      <c r="E1000" s="23"/>
      <c r="F1000" s="15"/>
      <c r="G1000" s="15"/>
      <c r="H1000" s="15"/>
      <c r="I1000" s="3"/>
      <c r="J1000" s="17"/>
      <c r="K1000" s="17"/>
      <c r="L1000" s="17"/>
      <c r="M1000" s="17"/>
      <c r="N1000" s="17"/>
      <c r="O1000" s="19"/>
      <c r="P1000" s="20"/>
      <c r="Q1000" s="20"/>
      <c r="S1000" s="15"/>
    </row>
    <row r="1001" spans="3:19" ht="14.25" customHeight="1">
      <c r="C1001" s="17"/>
      <c r="D1001" s="17"/>
      <c r="E1001" s="23"/>
      <c r="F1001" s="15"/>
      <c r="G1001" s="15"/>
      <c r="H1001" s="15"/>
      <c r="O1001" s="19"/>
      <c r="P1001" s="20"/>
      <c r="Q1001" s="20"/>
      <c r="S1001" s="15"/>
    </row>
    <row r="1002" spans="3:19" ht="14.25" customHeight="1">
      <c r="C1002" s="17"/>
      <c r="D1002" s="17"/>
      <c r="E1002" s="23"/>
      <c r="F1002" s="15"/>
      <c r="G1002" s="15"/>
      <c r="H1002" s="15"/>
      <c r="O1002" s="19"/>
      <c r="P1002" s="20"/>
      <c r="Q1002" s="20"/>
      <c r="S1002" s="15"/>
    </row>
    <row r="1003" spans="3:19" ht="14.25" customHeight="1">
      <c r="C1003" s="17"/>
      <c r="D1003" s="17"/>
      <c r="E1003" s="23"/>
      <c r="F1003" s="15"/>
      <c r="G1003" s="15"/>
      <c r="H1003" s="15"/>
      <c r="O1003" s="19"/>
      <c r="P1003" s="20"/>
      <c r="Q1003" s="20"/>
      <c r="S1003" s="15"/>
    </row>
    <row r="1004" spans="3:19" ht="14.25" customHeight="1">
      <c r="C1004" s="17"/>
      <c r="D1004" s="17"/>
      <c r="E1004" s="23"/>
      <c r="F1004" s="15"/>
      <c r="G1004" s="15"/>
      <c r="H1004" s="15"/>
      <c r="O1004" s="19"/>
      <c r="P1004" s="20"/>
      <c r="Q1004" s="20"/>
      <c r="S1004" s="15"/>
    </row>
    <row r="1005" spans="3:19" ht="14.25" customHeight="1">
      <c r="C1005" s="17"/>
      <c r="D1005" s="17"/>
      <c r="E1005" s="23"/>
      <c r="F1005" s="15"/>
      <c r="G1005" s="15"/>
      <c r="H1005" s="15"/>
      <c r="O1005" s="19"/>
      <c r="P1005" s="20"/>
      <c r="Q1005" s="20"/>
      <c r="S1005" s="15"/>
    </row>
    <row r="1006" spans="3:19" ht="14.25" customHeight="1">
      <c r="C1006" s="17"/>
      <c r="D1006" s="17"/>
      <c r="E1006" s="23"/>
      <c r="F1006" s="15"/>
      <c r="G1006" s="15"/>
      <c r="H1006" s="15"/>
      <c r="O1006" s="19"/>
      <c r="P1006" s="20"/>
      <c r="Q1006" s="20"/>
      <c r="S1006" s="15"/>
    </row>
    <row r="1007" spans="3:19" ht="14.25" customHeight="1">
      <c r="C1007" s="17"/>
      <c r="D1007" s="17"/>
      <c r="E1007" s="23"/>
      <c r="F1007" s="15"/>
      <c r="G1007" s="15"/>
      <c r="H1007" s="15"/>
      <c r="O1007" s="19"/>
      <c r="P1007" s="20"/>
      <c r="Q1007" s="20"/>
      <c r="S1007" s="15"/>
    </row>
    <row r="1008" spans="3:19" ht="14.25" customHeight="1">
      <c r="C1008" s="17"/>
      <c r="D1008" s="17"/>
      <c r="E1008" s="23"/>
      <c r="F1008" s="15"/>
      <c r="G1008" s="15"/>
      <c r="H1008" s="15"/>
      <c r="O1008" s="19"/>
      <c r="P1008" s="20"/>
      <c r="Q1008" s="20"/>
      <c r="S1008" s="15"/>
    </row>
    <row r="1009" spans="3:19" ht="14.25" customHeight="1">
      <c r="C1009" s="17"/>
      <c r="D1009" s="17"/>
      <c r="E1009" s="23"/>
      <c r="F1009" s="15"/>
      <c r="G1009" s="15"/>
      <c r="H1009" s="15"/>
      <c r="O1009" s="19"/>
      <c r="P1009" s="20"/>
      <c r="Q1009" s="20"/>
      <c r="S1009" s="15"/>
    </row>
    <row r="1010" spans="3:19" ht="14.25" customHeight="1">
      <c r="C1010" s="17"/>
      <c r="D1010" s="17"/>
      <c r="E1010" s="23"/>
      <c r="F1010" s="15"/>
      <c r="G1010" s="15"/>
      <c r="H1010" s="15"/>
      <c r="O1010" s="19"/>
      <c r="P1010" s="20"/>
      <c r="Q1010" s="20"/>
      <c r="S1010" s="15"/>
    </row>
    <row r="1011" spans="3:19" ht="14.25" customHeight="1">
      <c r="C1011" s="17"/>
      <c r="D1011" s="17"/>
      <c r="E1011" s="23"/>
      <c r="F1011" s="15"/>
      <c r="G1011" s="15"/>
      <c r="H1011" s="15"/>
      <c r="O1011" s="19"/>
      <c r="P1011" s="20"/>
      <c r="Q1011" s="20"/>
      <c r="S1011" s="15"/>
    </row>
    <row r="1012" spans="3:19" ht="14.25" customHeight="1">
      <c r="C1012" s="17"/>
      <c r="D1012" s="17"/>
      <c r="E1012" s="23"/>
      <c r="F1012" s="15"/>
      <c r="G1012" s="15"/>
      <c r="H1012" s="15"/>
      <c r="O1012" s="19"/>
      <c r="P1012" s="20"/>
      <c r="Q1012" s="20"/>
      <c r="S1012" s="15"/>
    </row>
    <row r="1013" spans="3:19" ht="14.25" customHeight="1">
      <c r="C1013" s="17"/>
      <c r="D1013" s="17"/>
      <c r="E1013" s="23"/>
      <c r="F1013" s="15"/>
      <c r="G1013" s="15"/>
      <c r="H1013" s="15"/>
      <c r="O1013" s="19"/>
      <c r="P1013" s="20"/>
      <c r="Q1013" s="20"/>
      <c r="S1013" s="15"/>
    </row>
    <row r="1014" spans="3:19" ht="14.25" customHeight="1">
      <c r="C1014" s="17"/>
      <c r="D1014" s="17"/>
      <c r="E1014" s="23"/>
      <c r="F1014" s="15"/>
      <c r="G1014" s="15"/>
      <c r="H1014" s="15"/>
      <c r="O1014" s="15"/>
      <c r="P1014" s="20"/>
      <c r="Q1014" s="20"/>
      <c r="S1014" s="15"/>
    </row>
    <row r="1015" spans="3:19" ht="14.25" customHeight="1">
      <c r="C1015" s="17"/>
      <c r="D1015" s="17"/>
      <c r="E1015" s="23"/>
      <c r="F1015" s="15"/>
      <c r="G1015" s="15"/>
      <c r="H1015" s="15"/>
      <c r="O1015" s="15"/>
      <c r="P1015" s="20"/>
      <c r="Q1015" s="20"/>
      <c r="S1015" s="15"/>
    </row>
    <row r="1016" spans="3:19" ht="14.25" customHeight="1">
      <c r="C1016" s="17"/>
      <c r="D1016" s="17"/>
      <c r="E1016" s="23"/>
      <c r="F1016" s="15"/>
      <c r="G1016" s="15"/>
      <c r="H1016" s="15"/>
      <c r="O1016" s="15"/>
      <c r="P1016" s="20"/>
      <c r="Q1016" s="20"/>
      <c r="S1016" s="15"/>
    </row>
  </sheetData>
  <mergeCells count="1">
    <mergeCell ref="J16:K16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1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/>
  <cols>
    <col min="1" max="1" width="8.88671875" customWidth="1"/>
    <col min="2" max="2" width="15.44140625" customWidth="1"/>
    <col min="3" max="3" width="12.5546875" customWidth="1"/>
    <col min="4" max="4" width="13.33203125" customWidth="1"/>
    <col min="5" max="5" width="11.6640625" customWidth="1"/>
    <col min="6" max="7" width="8" customWidth="1"/>
    <col min="8" max="8" width="9.33203125" customWidth="1"/>
    <col min="9" max="9" width="6.6640625" customWidth="1"/>
    <col min="10" max="10" width="4.88671875" customWidth="1"/>
    <col min="11" max="12" width="16.33203125" customWidth="1"/>
    <col min="13" max="13" width="11" customWidth="1"/>
    <col min="14" max="14" width="10.6640625" customWidth="1"/>
    <col min="15" max="29" width="8.88671875" customWidth="1"/>
  </cols>
  <sheetData>
    <row r="1" spans="1:29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4" t="s">
        <v>355</v>
      </c>
      <c r="G1" s="24" t="s">
        <v>356</v>
      </c>
      <c r="H1" s="24" t="s">
        <v>357</v>
      </c>
      <c r="I1" s="25"/>
      <c r="J1" s="1" t="s">
        <v>358</v>
      </c>
      <c r="K1" s="1" t="s">
        <v>9</v>
      </c>
      <c r="L1" s="1" t="s">
        <v>2</v>
      </c>
      <c r="M1" s="1" t="s">
        <v>3</v>
      </c>
      <c r="N1" s="1" t="s">
        <v>4</v>
      </c>
      <c r="O1" s="24" t="s">
        <v>355</v>
      </c>
      <c r="P1" s="24" t="s">
        <v>356</v>
      </c>
      <c r="Q1" s="24" t="s">
        <v>357</v>
      </c>
      <c r="R1" s="17"/>
      <c r="S1" s="17"/>
      <c r="T1" s="17"/>
      <c r="U1" s="17"/>
      <c r="V1" s="17"/>
      <c r="W1" s="8"/>
      <c r="X1" s="8"/>
      <c r="Y1" s="8"/>
      <c r="Z1" s="8"/>
      <c r="AA1" s="8"/>
      <c r="AB1" s="8"/>
      <c r="AC1" s="8"/>
    </row>
    <row r="2" spans="1:29" ht="14.25" customHeight="1">
      <c r="A2" s="9">
        <v>10101</v>
      </c>
      <c r="B2" s="9" t="s">
        <v>11</v>
      </c>
      <c r="C2" s="10">
        <v>10544</v>
      </c>
      <c r="D2" s="10">
        <v>3922.4445444941521</v>
      </c>
      <c r="E2" s="10">
        <v>289815</v>
      </c>
      <c r="F2" s="26">
        <f t="shared" ref="F2:F256" si="0">C2/E2</f>
        <v>3.6381829787968188E-2</v>
      </c>
      <c r="G2" s="26">
        <f t="shared" ref="G2:G256" si="1">D2/C2</f>
        <v>0.3720072595309325</v>
      </c>
      <c r="H2" s="26">
        <f t="shared" ref="H2:H256" si="2">F2*G2</f>
        <v>1.3534304796142893E-2</v>
      </c>
      <c r="I2" s="25"/>
      <c r="J2" s="10">
        <v>1</v>
      </c>
      <c r="K2" s="16" t="s">
        <v>12</v>
      </c>
      <c r="L2" s="10">
        <v>86414</v>
      </c>
      <c r="M2" s="10">
        <v>34591</v>
      </c>
      <c r="N2" s="10">
        <v>592741</v>
      </c>
      <c r="O2" s="27">
        <f t="shared" ref="O2:O10" si="3">L2/N2</f>
        <v>0.14578711443952755</v>
      </c>
      <c r="P2" s="27">
        <f t="shared" ref="P2:P10" si="4">M2/L2</f>
        <v>0.4002939338533108</v>
      </c>
      <c r="Q2" s="27">
        <f t="shared" ref="Q2:Q10" si="5">O2*P2</f>
        <v>5.835769754412129E-2</v>
      </c>
      <c r="R2" s="17"/>
      <c r="S2" s="17"/>
      <c r="T2" s="17"/>
      <c r="U2" s="17"/>
      <c r="V2" s="17"/>
    </row>
    <row r="3" spans="1:29" ht="14.25" customHeight="1">
      <c r="A3" s="9">
        <v>10102</v>
      </c>
      <c r="B3" s="9" t="s">
        <v>13</v>
      </c>
      <c r="C3" s="10">
        <v>702</v>
      </c>
      <c r="D3" s="10">
        <v>257.77778449654579</v>
      </c>
      <c r="E3" s="10">
        <v>8980</v>
      </c>
      <c r="F3" s="26">
        <f t="shared" si="0"/>
        <v>7.8173719376391976E-2</v>
      </c>
      <c r="G3" s="26">
        <f t="shared" si="1"/>
        <v>0.36720482122015069</v>
      </c>
      <c r="H3" s="26">
        <f t="shared" si="2"/>
        <v>2.8705766647722245E-2</v>
      </c>
      <c r="I3" s="25"/>
      <c r="J3" s="10">
        <v>2</v>
      </c>
      <c r="K3" s="16" t="s">
        <v>14</v>
      </c>
      <c r="L3" s="10">
        <v>218727</v>
      </c>
      <c r="M3" s="10">
        <v>81296</v>
      </c>
      <c r="N3" s="10">
        <v>2971244</v>
      </c>
      <c r="O3" s="27">
        <f t="shared" si="3"/>
        <v>7.3614620677399767E-2</v>
      </c>
      <c r="P3" s="27">
        <f t="shared" si="4"/>
        <v>0.3716779364230296</v>
      </c>
      <c r="Q3" s="27">
        <f t="shared" si="5"/>
        <v>2.7360930303940031E-2</v>
      </c>
      <c r="R3" s="17"/>
      <c r="S3" s="17"/>
      <c r="T3" s="17"/>
      <c r="U3" s="17"/>
      <c r="V3" s="17"/>
    </row>
    <row r="4" spans="1:29" ht="14.25" customHeight="1">
      <c r="A4" s="9">
        <v>10103</v>
      </c>
      <c r="B4" s="9" t="s">
        <v>15</v>
      </c>
      <c r="C4" s="10">
        <v>7304</v>
      </c>
      <c r="D4" s="10">
        <v>3033.1111873984337</v>
      </c>
      <c r="E4" s="10">
        <v>13607</v>
      </c>
      <c r="F4" s="26">
        <f t="shared" si="0"/>
        <v>0.5367825383993533</v>
      </c>
      <c r="G4" s="26">
        <f t="shared" si="1"/>
        <v>0.41526713956714589</v>
      </c>
      <c r="H4" s="26">
        <f t="shared" si="2"/>
        <v>0.22290814929069111</v>
      </c>
      <c r="I4" s="25"/>
      <c r="J4" s="10">
        <v>3</v>
      </c>
      <c r="K4" s="16" t="s">
        <v>16</v>
      </c>
      <c r="L4" s="10">
        <v>203419</v>
      </c>
      <c r="M4" s="10">
        <v>75821</v>
      </c>
      <c r="N4" s="10">
        <v>1982027</v>
      </c>
      <c r="O4" s="27">
        <f t="shared" si="3"/>
        <v>0.1026318006767819</v>
      </c>
      <c r="P4" s="27">
        <f t="shared" si="4"/>
        <v>0.37273312719067542</v>
      </c>
      <c r="Q4" s="27">
        <f t="shared" si="5"/>
        <v>3.8254272015466995E-2</v>
      </c>
      <c r="R4" s="17"/>
      <c r="S4" s="17"/>
      <c r="T4" s="17"/>
      <c r="U4" s="17"/>
      <c r="V4" s="17"/>
    </row>
    <row r="5" spans="1:29" ht="14.25" customHeight="1">
      <c r="A5" s="9">
        <v>10201</v>
      </c>
      <c r="B5" s="9" t="s">
        <v>17</v>
      </c>
      <c r="C5" s="10">
        <v>3490</v>
      </c>
      <c r="D5" s="10">
        <v>1466.444479227066</v>
      </c>
      <c r="E5" s="10">
        <v>7839</v>
      </c>
      <c r="F5" s="26">
        <f t="shared" si="0"/>
        <v>0.44520984819492282</v>
      </c>
      <c r="G5" s="26">
        <f t="shared" si="1"/>
        <v>0.42018466453497594</v>
      </c>
      <c r="H5" s="26">
        <f t="shared" si="2"/>
        <v>0.1870703507114512</v>
      </c>
      <c r="I5" s="25"/>
      <c r="J5" s="10">
        <v>4</v>
      </c>
      <c r="K5" s="16" t="s">
        <v>18</v>
      </c>
      <c r="L5" s="10">
        <v>57046</v>
      </c>
      <c r="M5" s="10">
        <v>21002</v>
      </c>
      <c r="N5" s="10">
        <v>559763</v>
      </c>
      <c r="O5" s="27">
        <f t="shared" si="3"/>
        <v>0.10191098732856584</v>
      </c>
      <c r="P5" s="27">
        <f t="shared" si="4"/>
        <v>0.36815902955509588</v>
      </c>
      <c r="Q5" s="27">
        <f t="shared" si="5"/>
        <v>3.751945019588647E-2</v>
      </c>
      <c r="R5" s="17"/>
      <c r="S5" s="17"/>
      <c r="T5" s="17"/>
      <c r="U5" s="17"/>
      <c r="V5" s="17"/>
    </row>
    <row r="6" spans="1:29" ht="14.25" customHeight="1">
      <c r="A6" s="9">
        <v>10202</v>
      </c>
      <c r="B6" s="9" t="s">
        <v>19</v>
      </c>
      <c r="C6" s="10">
        <v>5476</v>
      </c>
      <c r="D6" s="10">
        <v>2217.6667236089706</v>
      </c>
      <c r="E6" s="10">
        <v>16715</v>
      </c>
      <c r="F6" s="26">
        <f t="shared" si="0"/>
        <v>0.32760993119952136</v>
      </c>
      <c r="G6" s="26">
        <f t="shared" si="1"/>
        <v>0.4049793140264738</v>
      </c>
      <c r="H6" s="26">
        <f t="shared" si="2"/>
        <v>0.13267524520544244</v>
      </c>
      <c r="I6" s="25"/>
      <c r="J6" s="10">
        <v>5</v>
      </c>
      <c r="K6" s="16" t="s">
        <v>20</v>
      </c>
      <c r="L6" s="10">
        <v>139362</v>
      </c>
      <c r="M6" s="10">
        <v>53800</v>
      </c>
      <c r="N6" s="10">
        <v>846238</v>
      </c>
      <c r="O6" s="27">
        <f t="shared" si="3"/>
        <v>0.16468416686558629</v>
      </c>
      <c r="P6" s="27">
        <f t="shared" si="4"/>
        <v>0.38604497639241686</v>
      </c>
      <c r="Q6" s="27">
        <f t="shared" si="5"/>
        <v>6.3575495309830102E-2</v>
      </c>
      <c r="R6" s="17"/>
      <c r="S6" s="17"/>
      <c r="T6" s="17"/>
      <c r="U6" s="17"/>
      <c r="V6" s="17"/>
    </row>
    <row r="7" spans="1:29" ht="14.25" customHeight="1">
      <c r="A7" s="9">
        <v>10301</v>
      </c>
      <c r="B7" s="9" t="s">
        <v>21</v>
      </c>
      <c r="C7" s="10">
        <v>2898</v>
      </c>
      <c r="D7" s="10">
        <v>1110.8889169991016</v>
      </c>
      <c r="E7" s="10">
        <v>13563</v>
      </c>
      <c r="F7" s="26">
        <f t="shared" si="0"/>
        <v>0.21366954213669542</v>
      </c>
      <c r="G7" s="26">
        <f t="shared" si="1"/>
        <v>0.38332950897139462</v>
      </c>
      <c r="H7" s="26">
        <f t="shared" si="2"/>
        <v>8.1905840669402166E-2</v>
      </c>
      <c r="I7" s="25"/>
      <c r="J7" s="10">
        <v>6</v>
      </c>
      <c r="K7" s="16" t="s">
        <v>22</v>
      </c>
      <c r="L7" s="10">
        <v>24899</v>
      </c>
      <c r="M7" s="10">
        <v>9295</v>
      </c>
      <c r="N7" s="10">
        <v>523255</v>
      </c>
      <c r="O7" s="27">
        <f t="shared" si="3"/>
        <v>4.7584829576401561E-2</v>
      </c>
      <c r="P7" s="27">
        <f t="shared" si="4"/>
        <v>0.37330816498654562</v>
      </c>
      <c r="Q7" s="27">
        <f t="shared" si="5"/>
        <v>1.7763805410363969E-2</v>
      </c>
      <c r="R7" s="17"/>
      <c r="S7" s="17"/>
      <c r="T7" s="17"/>
      <c r="U7" s="17"/>
      <c r="V7" s="17"/>
    </row>
    <row r="8" spans="1:29" ht="14.25" customHeight="1">
      <c r="A8" s="9">
        <v>10302</v>
      </c>
      <c r="B8" s="9" t="s">
        <v>23</v>
      </c>
      <c r="C8" s="10">
        <v>4027</v>
      </c>
      <c r="D8" s="10">
        <v>1638.5555974841118</v>
      </c>
      <c r="E8" s="10">
        <v>12477</v>
      </c>
      <c r="F8" s="26">
        <f t="shared" si="0"/>
        <v>0.32275386711549253</v>
      </c>
      <c r="G8" s="26">
        <f t="shared" si="1"/>
        <v>0.40689237583414745</v>
      </c>
      <c r="H8" s="26">
        <f t="shared" si="2"/>
        <v>0.13132608780028146</v>
      </c>
      <c r="I8" s="25"/>
      <c r="J8" s="10">
        <v>7</v>
      </c>
      <c r="K8" s="16" t="s">
        <v>24</v>
      </c>
      <c r="L8" s="10">
        <v>143616</v>
      </c>
      <c r="M8" s="10">
        <v>52200</v>
      </c>
      <c r="N8" s="10">
        <v>3056077</v>
      </c>
      <c r="O8" s="27">
        <f t="shared" si="3"/>
        <v>4.6993580331909174E-2</v>
      </c>
      <c r="P8" s="27">
        <f t="shared" si="4"/>
        <v>0.36346925133689839</v>
      </c>
      <c r="Q8" s="27">
        <f t="shared" si="5"/>
        <v>1.7080721460879422E-2</v>
      </c>
      <c r="R8" s="17"/>
      <c r="S8" s="17"/>
      <c r="T8" s="17"/>
      <c r="U8" s="17"/>
      <c r="V8" s="17"/>
    </row>
    <row r="9" spans="1:29" ht="14.25" customHeight="1">
      <c r="A9" s="9">
        <v>10303</v>
      </c>
      <c r="B9" s="9" t="s">
        <v>25</v>
      </c>
      <c r="C9" s="10">
        <v>1743</v>
      </c>
      <c r="D9" s="10">
        <v>665.66668322682381</v>
      </c>
      <c r="E9" s="10">
        <v>9020</v>
      </c>
      <c r="F9" s="26">
        <f t="shared" si="0"/>
        <v>0.19323725055432373</v>
      </c>
      <c r="G9" s="26">
        <f t="shared" si="1"/>
        <v>0.38190859622881457</v>
      </c>
      <c r="H9" s="26">
        <f t="shared" si="2"/>
        <v>7.37989670983175E-2</v>
      </c>
      <c r="I9" s="25"/>
      <c r="J9" s="10">
        <v>8</v>
      </c>
      <c r="K9" s="16" t="s">
        <v>26</v>
      </c>
      <c r="L9" s="10">
        <v>87229</v>
      </c>
      <c r="M9" s="10">
        <v>34562</v>
      </c>
      <c r="N9" s="10">
        <v>474591</v>
      </c>
      <c r="O9" s="27">
        <f t="shared" si="3"/>
        <v>0.18379825997543148</v>
      </c>
      <c r="P9" s="27">
        <f t="shared" si="4"/>
        <v>0.39622144011739213</v>
      </c>
      <c r="Q9" s="27">
        <f t="shared" si="5"/>
        <v>7.2824811258536293E-2</v>
      </c>
      <c r="R9" s="17"/>
      <c r="S9" s="17"/>
      <c r="T9" s="17"/>
      <c r="U9" s="17"/>
      <c r="V9" s="17"/>
    </row>
    <row r="10" spans="1:29" ht="14.25" customHeight="1">
      <c r="A10" s="9">
        <v>10304</v>
      </c>
      <c r="B10" s="9" t="s">
        <v>27</v>
      </c>
      <c r="C10" s="10">
        <v>2488</v>
      </c>
      <c r="D10" s="10">
        <v>981.33335813879967</v>
      </c>
      <c r="E10" s="10">
        <v>9126</v>
      </c>
      <c r="F10" s="26">
        <f t="shared" si="0"/>
        <v>0.27262765724304183</v>
      </c>
      <c r="G10" s="26">
        <f t="shared" si="1"/>
        <v>0.39442659089180049</v>
      </c>
      <c r="H10" s="26">
        <f t="shared" si="2"/>
        <v>0.10753159742919127</v>
      </c>
      <c r="I10" s="25"/>
      <c r="J10" s="10">
        <v>9</v>
      </c>
      <c r="K10" s="16" t="s">
        <v>28</v>
      </c>
      <c r="L10" s="10">
        <v>16872</v>
      </c>
      <c r="M10" s="10">
        <v>6337</v>
      </c>
      <c r="N10" s="10">
        <v>128194</v>
      </c>
      <c r="O10" s="27">
        <f t="shared" si="3"/>
        <v>0.13161302401048411</v>
      </c>
      <c r="P10" s="27">
        <f t="shared" si="4"/>
        <v>0.37559269796111899</v>
      </c>
      <c r="Q10" s="27">
        <f t="shared" si="5"/>
        <v>4.9432890774919261E-2</v>
      </c>
      <c r="R10" s="17"/>
      <c r="S10" s="17"/>
      <c r="T10" s="17"/>
      <c r="U10" s="17"/>
      <c r="V10" s="17"/>
    </row>
    <row r="11" spans="1:29" ht="14.25" customHeight="1">
      <c r="A11" s="9">
        <v>10401</v>
      </c>
      <c r="B11" s="9" t="s">
        <v>29</v>
      </c>
      <c r="C11" s="10">
        <v>1573</v>
      </c>
      <c r="D11" s="10">
        <v>599.2222363948822</v>
      </c>
      <c r="E11" s="10">
        <v>9058</v>
      </c>
      <c r="F11" s="26">
        <f t="shared" si="0"/>
        <v>0.17365864429233827</v>
      </c>
      <c r="G11" s="26">
        <f t="shared" si="1"/>
        <v>0.38094229904315463</v>
      </c>
      <c r="H11" s="26">
        <f t="shared" si="2"/>
        <v>6.6153923205440737E-2</v>
      </c>
      <c r="I11" s="25"/>
      <c r="J11" s="9">
        <v>10</v>
      </c>
      <c r="K11" s="9" t="s">
        <v>30</v>
      </c>
      <c r="L11" s="11">
        <v>7911</v>
      </c>
      <c r="M11" s="11">
        <v>2960.1111866533756</v>
      </c>
      <c r="N11" s="11">
        <v>154916</v>
      </c>
      <c r="O11" s="27">
        <v>5.1066384363138734E-2</v>
      </c>
      <c r="P11" s="27">
        <v>0.37417661315299905</v>
      </c>
      <c r="Q11" s="27">
        <v>1.9107846746968523E-2</v>
      </c>
      <c r="R11" s="17"/>
      <c r="S11" s="17"/>
      <c r="T11" s="17"/>
      <c r="U11" s="17"/>
      <c r="V11" s="17"/>
    </row>
    <row r="12" spans="1:29" ht="14.25" customHeight="1">
      <c r="A12" s="9">
        <v>10402</v>
      </c>
      <c r="B12" s="9" t="s">
        <v>31</v>
      </c>
      <c r="C12" s="10">
        <v>1413</v>
      </c>
      <c r="D12" s="10">
        <v>542.44445776939392</v>
      </c>
      <c r="E12" s="10">
        <v>8446</v>
      </c>
      <c r="F12" s="26">
        <f t="shared" si="0"/>
        <v>0.16729812929197252</v>
      </c>
      <c r="G12" s="26">
        <f t="shared" si="1"/>
        <v>0.38389558228548754</v>
      </c>
      <c r="H12" s="26">
        <f t="shared" si="2"/>
        <v>6.422501275981457E-2</v>
      </c>
      <c r="I12" s="25"/>
      <c r="J12" s="9">
        <v>11</v>
      </c>
      <c r="K12" s="9" t="s">
        <v>32</v>
      </c>
      <c r="L12" s="11">
        <v>977584</v>
      </c>
      <c r="M12" s="11">
        <v>368902.45374235511</v>
      </c>
      <c r="N12" s="11">
        <v>11134130</v>
      </c>
      <c r="O12" s="27">
        <v>8.7800663365705273E-2</v>
      </c>
      <c r="P12" s="27">
        <v>0.37736138658402257</v>
      </c>
      <c r="Q12" s="27">
        <v>3.3132580070679533E-2</v>
      </c>
      <c r="R12" s="17"/>
      <c r="S12" s="17"/>
      <c r="T12" s="17"/>
      <c r="U12" s="17"/>
      <c r="V12" s="17"/>
    </row>
    <row r="13" spans="1:29" ht="14.25" customHeight="1">
      <c r="A13" s="9">
        <v>10403</v>
      </c>
      <c r="B13" s="9" t="s">
        <v>33</v>
      </c>
      <c r="C13" s="10">
        <v>2510</v>
      </c>
      <c r="D13" s="10">
        <v>1017.3333584964275</v>
      </c>
      <c r="E13" s="10">
        <v>6901</v>
      </c>
      <c r="F13" s="26">
        <f t="shared" si="0"/>
        <v>0.36371540356470078</v>
      </c>
      <c r="G13" s="26">
        <f t="shared" si="1"/>
        <v>0.40531209501849702</v>
      </c>
      <c r="H13" s="26">
        <f t="shared" si="2"/>
        <v>0.14741825220930699</v>
      </c>
      <c r="I13" s="25"/>
      <c r="J13" s="25"/>
      <c r="K13" s="17"/>
      <c r="L13" s="17"/>
      <c r="M13" s="28"/>
      <c r="N13" s="28"/>
      <c r="O13" s="3"/>
      <c r="P13" s="3"/>
      <c r="Q13" s="3"/>
      <c r="R13" s="17"/>
      <c r="S13" s="17"/>
      <c r="T13" s="17"/>
      <c r="U13" s="17"/>
      <c r="V13" s="17"/>
    </row>
    <row r="14" spans="1:29" ht="14.25" customHeight="1">
      <c r="A14" s="9">
        <v>10404</v>
      </c>
      <c r="B14" s="9" t="s">
        <v>34</v>
      </c>
      <c r="C14" s="10">
        <v>346</v>
      </c>
      <c r="D14" s="10">
        <v>128.66667014360428</v>
      </c>
      <c r="E14" s="10">
        <v>3756</v>
      </c>
      <c r="F14" s="26">
        <f t="shared" si="0"/>
        <v>9.2119275825346111E-2</v>
      </c>
      <c r="G14" s="26">
        <f t="shared" si="1"/>
        <v>0.3718689888543476</v>
      </c>
      <c r="H14" s="26">
        <f t="shared" si="2"/>
        <v>3.4256301955166206E-2</v>
      </c>
      <c r="I14" s="25"/>
      <c r="J14" s="25"/>
      <c r="K14" s="17"/>
      <c r="L14" s="17"/>
      <c r="M14" s="28"/>
      <c r="N14" s="28"/>
      <c r="O14" s="3"/>
      <c r="P14" s="3"/>
      <c r="Q14" s="3"/>
      <c r="R14" s="17"/>
      <c r="S14" s="17"/>
      <c r="T14" s="17"/>
      <c r="U14" s="17"/>
      <c r="V14" s="17"/>
    </row>
    <row r="15" spans="1:29" ht="14.25" customHeight="1">
      <c r="A15" s="9">
        <v>10405</v>
      </c>
      <c r="B15" s="9" t="s">
        <v>35</v>
      </c>
      <c r="C15" s="10">
        <v>1288</v>
      </c>
      <c r="D15" s="10">
        <v>505.66667875647545</v>
      </c>
      <c r="E15" s="10">
        <v>5639</v>
      </c>
      <c r="F15" s="26">
        <f t="shared" si="0"/>
        <v>0.22840929242773542</v>
      </c>
      <c r="G15" s="26">
        <f t="shared" si="1"/>
        <v>0.39259835307179769</v>
      </c>
      <c r="H15" s="26">
        <f t="shared" si="2"/>
        <v>8.9673112033423555E-2</v>
      </c>
      <c r="I15" s="25"/>
      <c r="J15" s="25"/>
      <c r="K15" s="17"/>
      <c r="L15" s="17"/>
      <c r="M15" s="28"/>
      <c r="N15" s="28"/>
      <c r="O15" s="3"/>
      <c r="P15" s="3"/>
      <c r="Q15" s="3"/>
      <c r="R15" s="17"/>
      <c r="S15" s="17"/>
      <c r="T15" s="17"/>
      <c r="U15" s="17"/>
      <c r="V15" s="17"/>
    </row>
    <row r="16" spans="1:29" ht="14.25" customHeight="1">
      <c r="A16" s="9">
        <v>10501</v>
      </c>
      <c r="B16" s="9" t="s">
        <v>36</v>
      </c>
      <c r="C16" s="10">
        <v>2692</v>
      </c>
      <c r="D16" s="10">
        <v>1039.7778040468693</v>
      </c>
      <c r="E16" s="10">
        <v>24168</v>
      </c>
      <c r="F16" s="26">
        <f t="shared" si="0"/>
        <v>0.11138695796094009</v>
      </c>
      <c r="G16" s="26">
        <f t="shared" si="1"/>
        <v>0.38624732691191282</v>
      </c>
      <c r="H16" s="26">
        <f t="shared" si="2"/>
        <v>4.3022914765262717E-2</v>
      </c>
      <c r="I16" s="25"/>
      <c r="J16" s="25"/>
      <c r="K16" s="17"/>
      <c r="L16" s="17"/>
      <c r="M16" s="3"/>
      <c r="N16" s="3"/>
      <c r="O16" s="3"/>
      <c r="P16" s="3"/>
      <c r="Q16" s="3"/>
      <c r="R16" s="17"/>
      <c r="S16" s="17"/>
      <c r="T16" s="17"/>
      <c r="U16" s="17"/>
      <c r="V16" s="17"/>
    </row>
    <row r="17" spans="1:22" ht="14.25" customHeight="1">
      <c r="A17" s="9">
        <v>10502</v>
      </c>
      <c r="B17" s="9" t="s">
        <v>38</v>
      </c>
      <c r="C17" s="10">
        <v>1326</v>
      </c>
      <c r="D17" s="10">
        <v>499.44445639848709</v>
      </c>
      <c r="E17" s="10">
        <v>7063</v>
      </c>
      <c r="F17" s="26">
        <f t="shared" si="0"/>
        <v>0.18773892113832649</v>
      </c>
      <c r="G17" s="26">
        <f t="shared" si="1"/>
        <v>0.37665494449358</v>
      </c>
      <c r="H17" s="26">
        <f t="shared" si="2"/>
        <v>7.0712792920640963E-2</v>
      </c>
      <c r="I17" s="25"/>
      <c r="J17" s="25"/>
      <c r="K17" s="17"/>
      <c r="L17" s="17"/>
      <c r="M17" s="3"/>
      <c r="N17" s="25"/>
      <c r="O17" s="3"/>
      <c r="P17" s="3"/>
      <c r="Q17" s="3"/>
      <c r="R17" s="17"/>
      <c r="S17" s="17"/>
      <c r="T17" s="17"/>
      <c r="U17" s="17"/>
      <c r="V17" s="17"/>
    </row>
    <row r="18" spans="1:22" ht="14.25" customHeight="1">
      <c r="A18" s="9">
        <v>10601</v>
      </c>
      <c r="B18" s="9" t="s">
        <v>40</v>
      </c>
      <c r="C18" s="10">
        <v>3094</v>
      </c>
      <c r="D18" s="10">
        <v>1190.4444745481014</v>
      </c>
      <c r="E18" s="10">
        <v>13151</v>
      </c>
      <c r="F18" s="26">
        <f t="shared" si="0"/>
        <v>0.2352672800547487</v>
      </c>
      <c r="G18" s="26">
        <f t="shared" si="1"/>
        <v>0.38475904154754409</v>
      </c>
      <c r="H18" s="26">
        <f t="shared" si="2"/>
        <v>9.0521213181362747E-2</v>
      </c>
      <c r="I18" s="25"/>
      <c r="J18" s="25"/>
      <c r="K18" s="17"/>
      <c r="L18" s="17"/>
      <c r="M18" s="3"/>
      <c r="N18" s="25"/>
      <c r="O18" s="3"/>
      <c r="P18" s="3"/>
      <c r="Q18" s="3"/>
      <c r="R18" s="17"/>
      <c r="S18" s="17"/>
      <c r="T18" s="17"/>
      <c r="U18" s="17"/>
      <c r="V18" s="17"/>
    </row>
    <row r="19" spans="1:22" ht="14.25" customHeight="1">
      <c r="A19" s="9">
        <v>10602</v>
      </c>
      <c r="B19" s="9" t="s">
        <v>42</v>
      </c>
      <c r="C19" s="10">
        <v>1569</v>
      </c>
      <c r="D19" s="10">
        <v>591.88890334963799</v>
      </c>
      <c r="E19" s="10">
        <v>8426</v>
      </c>
      <c r="F19" s="26">
        <f t="shared" si="0"/>
        <v>0.18620935200569666</v>
      </c>
      <c r="G19" s="26">
        <f t="shared" si="1"/>
        <v>0.37723958148479159</v>
      </c>
      <c r="H19" s="26">
        <f t="shared" si="2"/>
        <v>7.0245538019183248E-2</v>
      </c>
      <c r="I19" s="25"/>
      <c r="J19" s="25"/>
      <c r="K19" s="17"/>
      <c r="L19" s="17"/>
      <c r="M19" s="3"/>
      <c r="N19" s="25"/>
      <c r="O19" s="3"/>
      <c r="P19" s="3"/>
      <c r="Q19" s="3"/>
      <c r="R19" s="17"/>
      <c r="S19" s="17"/>
      <c r="T19" s="17"/>
      <c r="U19" s="17"/>
      <c r="V19" s="17"/>
    </row>
    <row r="20" spans="1:22" ht="14.25" customHeight="1">
      <c r="A20" s="9">
        <v>10701</v>
      </c>
      <c r="B20" s="9" t="s">
        <v>44</v>
      </c>
      <c r="C20" s="10">
        <v>1705</v>
      </c>
      <c r="D20" s="10">
        <v>641.00001502037048</v>
      </c>
      <c r="E20" s="10">
        <v>14306</v>
      </c>
      <c r="F20" s="26">
        <f t="shared" si="0"/>
        <v>0.11918076331609115</v>
      </c>
      <c r="G20" s="26">
        <f t="shared" si="1"/>
        <v>0.37595308798848709</v>
      </c>
      <c r="H20" s="26">
        <f t="shared" si="2"/>
        <v>4.4806375997509466E-2</v>
      </c>
      <c r="I20" s="25"/>
      <c r="J20" s="25"/>
      <c r="K20" s="17"/>
      <c r="L20" s="17"/>
      <c r="M20" s="3"/>
      <c r="N20" s="25"/>
      <c r="O20" s="3"/>
      <c r="P20" s="3"/>
      <c r="Q20" s="3"/>
      <c r="R20" s="17"/>
      <c r="S20" s="17"/>
      <c r="T20" s="17"/>
      <c r="U20" s="17"/>
      <c r="V20" s="17"/>
    </row>
    <row r="21" spans="1:22" ht="14.25" customHeight="1">
      <c r="A21" s="9">
        <v>10702</v>
      </c>
      <c r="B21" s="9" t="s">
        <v>45</v>
      </c>
      <c r="C21" s="10">
        <v>8261</v>
      </c>
      <c r="D21" s="10">
        <v>3347.8889741301537</v>
      </c>
      <c r="E21" s="10">
        <v>26602</v>
      </c>
      <c r="F21" s="26">
        <f t="shared" si="0"/>
        <v>0.31054056086008569</v>
      </c>
      <c r="G21" s="26">
        <f t="shared" si="1"/>
        <v>0.40526437164146639</v>
      </c>
      <c r="H21" s="26">
        <f t="shared" si="2"/>
        <v>0.12585102526615119</v>
      </c>
      <c r="I21" s="25"/>
      <c r="J21" s="25"/>
      <c r="K21" s="17"/>
      <c r="L21" s="17"/>
      <c r="M21" s="3"/>
      <c r="N21" s="25"/>
      <c r="O21" s="3"/>
      <c r="P21" s="3"/>
      <c r="Q21" s="3"/>
      <c r="R21" s="17"/>
      <c r="S21" s="17"/>
      <c r="T21" s="17"/>
      <c r="U21" s="17"/>
      <c r="V21" s="17"/>
    </row>
    <row r="22" spans="1:22" ht="14.25" customHeight="1">
      <c r="A22" s="9">
        <v>10703</v>
      </c>
      <c r="B22" s="9" t="s">
        <v>47</v>
      </c>
      <c r="C22" s="10">
        <v>7111</v>
      </c>
      <c r="D22" s="10">
        <v>3073.8889670372009</v>
      </c>
      <c r="E22" s="10">
        <v>16095</v>
      </c>
      <c r="F22" s="26">
        <f t="shared" si="0"/>
        <v>0.44181422802112458</v>
      </c>
      <c r="G22" s="26">
        <f t="shared" si="1"/>
        <v>0.43227239024570396</v>
      </c>
      <c r="H22" s="26">
        <f t="shared" si="2"/>
        <v>0.190984092391252</v>
      </c>
      <c r="I22" s="25"/>
      <c r="J22" s="25"/>
      <c r="K22" s="17"/>
      <c r="L22" s="17"/>
      <c r="M22" s="3"/>
      <c r="N22" s="25"/>
      <c r="O22" s="3"/>
      <c r="P22" s="3"/>
      <c r="Q22" s="3"/>
      <c r="R22" s="17"/>
      <c r="S22" s="17"/>
      <c r="T22" s="17"/>
      <c r="U22" s="17"/>
      <c r="V22" s="17"/>
    </row>
    <row r="23" spans="1:22" ht="14.25" customHeight="1">
      <c r="A23" s="9">
        <v>10704</v>
      </c>
      <c r="B23" s="9" t="s">
        <v>48</v>
      </c>
      <c r="C23" s="10">
        <v>4901</v>
      </c>
      <c r="D23" s="10">
        <v>2147.4445002377033</v>
      </c>
      <c r="E23" s="10">
        <v>14211</v>
      </c>
      <c r="F23" s="26">
        <f t="shared" si="0"/>
        <v>0.34487368939553864</v>
      </c>
      <c r="G23" s="26">
        <f t="shared" si="1"/>
        <v>0.43816455830191864</v>
      </c>
      <c r="H23" s="26">
        <f t="shared" si="2"/>
        <v>0.15111142778394926</v>
      </c>
      <c r="I23" s="25"/>
      <c r="J23" s="25"/>
      <c r="K23" s="17"/>
      <c r="L23" s="17"/>
      <c r="M23" s="3"/>
      <c r="N23" s="25"/>
      <c r="O23" s="3"/>
      <c r="P23" s="3"/>
      <c r="Q23" s="3"/>
      <c r="R23" s="17"/>
      <c r="S23" s="17"/>
      <c r="T23" s="17"/>
      <c r="U23" s="17"/>
      <c r="V23" s="17"/>
    </row>
    <row r="24" spans="1:22" ht="14.25" customHeight="1">
      <c r="A24" s="9">
        <v>10801</v>
      </c>
      <c r="B24" s="9" t="s">
        <v>49</v>
      </c>
      <c r="C24" s="10">
        <v>1286</v>
      </c>
      <c r="D24" s="10">
        <v>499.33334517478943</v>
      </c>
      <c r="E24" s="10">
        <v>8992</v>
      </c>
      <c r="F24" s="26">
        <f t="shared" si="0"/>
        <v>0.14301601423487545</v>
      </c>
      <c r="G24" s="26">
        <f t="shared" si="1"/>
        <v>0.38828409422611931</v>
      </c>
      <c r="H24" s="26">
        <f t="shared" si="2"/>
        <v>5.5530843547018399E-2</v>
      </c>
      <c r="I24" s="25"/>
      <c r="J24" s="25"/>
      <c r="K24" s="17"/>
      <c r="L24" s="17"/>
      <c r="M24" s="3"/>
      <c r="N24" s="25"/>
      <c r="O24" s="3"/>
      <c r="P24" s="3"/>
      <c r="Q24" s="3"/>
      <c r="R24" s="17"/>
      <c r="S24" s="17"/>
      <c r="T24" s="17"/>
      <c r="U24" s="17"/>
      <c r="V24" s="17"/>
    </row>
    <row r="25" spans="1:22" ht="14.25" customHeight="1">
      <c r="A25" s="9">
        <v>10901</v>
      </c>
      <c r="B25" s="9" t="s">
        <v>50</v>
      </c>
      <c r="C25" s="10">
        <v>716</v>
      </c>
      <c r="D25" s="10">
        <v>274.33334004878998</v>
      </c>
      <c r="E25" s="10">
        <v>5294</v>
      </c>
      <c r="F25" s="26">
        <f t="shared" si="0"/>
        <v>0.13524744994333207</v>
      </c>
      <c r="G25" s="26">
        <f t="shared" si="1"/>
        <v>0.38314712297317038</v>
      </c>
      <c r="H25" s="26">
        <f t="shared" si="2"/>
        <v>5.1819671335245558E-2</v>
      </c>
      <c r="I25" s="25"/>
      <c r="J25" s="25"/>
      <c r="K25" s="17"/>
      <c r="L25" s="17"/>
      <c r="M25" s="3"/>
      <c r="N25" s="25"/>
      <c r="O25" s="3"/>
      <c r="P25" s="3"/>
      <c r="Q25" s="3"/>
      <c r="R25" s="17"/>
      <c r="S25" s="17"/>
      <c r="T25" s="17"/>
      <c r="U25" s="17"/>
      <c r="V25" s="17"/>
    </row>
    <row r="26" spans="1:22" ht="14.25" customHeight="1">
      <c r="A26" s="9">
        <v>10902</v>
      </c>
      <c r="B26" s="9" t="s">
        <v>51</v>
      </c>
      <c r="C26" s="10">
        <v>4396</v>
      </c>
      <c r="D26" s="10">
        <v>1783.6667112112045</v>
      </c>
      <c r="E26" s="10">
        <v>14799</v>
      </c>
      <c r="F26" s="26">
        <f t="shared" si="0"/>
        <v>0.29704709777687682</v>
      </c>
      <c r="G26" s="26">
        <f t="shared" si="1"/>
        <v>0.40574765951119302</v>
      </c>
      <c r="H26" s="26">
        <f t="shared" si="2"/>
        <v>0.12052616468756028</v>
      </c>
      <c r="I26" s="25"/>
      <c r="J26" s="25"/>
      <c r="K26" s="17"/>
      <c r="L26" s="17"/>
      <c r="M26" s="28"/>
      <c r="N26" s="28"/>
      <c r="O26" s="3"/>
      <c r="P26" s="3"/>
      <c r="Q26" s="3"/>
      <c r="R26" s="17"/>
      <c r="S26" s="17"/>
      <c r="T26" s="17"/>
      <c r="U26" s="17"/>
      <c r="V26" s="17"/>
    </row>
    <row r="27" spans="1:22" ht="14.25" customHeight="1">
      <c r="A27" s="9">
        <v>10903</v>
      </c>
      <c r="B27" s="9" t="s">
        <v>52</v>
      </c>
      <c r="C27" s="10">
        <v>735</v>
      </c>
      <c r="D27" s="10">
        <v>289.22222998738289</v>
      </c>
      <c r="E27" s="10">
        <v>4979</v>
      </c>
      <c r="F27" s="26">
        <f t="shared" si="0"/>
        <v>0.14762000401687086</v>
      </c>
      <c r="G27" s="26">
        <f t="shared" si="1"/>
        <v>0.3934996326358951</v>
      </c>
      <c r="H27" s="26">
        <f t="shared" si="2"/>
        <v>5.8088417350348046E-2</v>
      </c>
      <c r="I27" s="25"/>
      <c r="J27" s="25"/>
      <c r="K27" s="17"/>
      <c r="L27" s="17"/>
      <c r="M27" s="28"/>
      <c r="N27" s="28"/>
      <c r="O27" s="3"/>
      <c r="P27" s="3"/>
      <c r="Q27" s="3"/>
      <c r="R27" s="17"/>
      <c r="S27" s="17"/>
      <c r="T27" s="17"/>
      <c r="U27" s="17"/>
      <c r="V27" s="17"/>
    </row>
    <row r="28" spans="1:22" ht="14.25" customHeight="1">
      <c r="A28" s="9">
        <v>11001</v>
      </c>
      <c r="B28" s="9" t="s">
        <v>53</v>
      </c>
      <c r="C28" s="10">
        <v>2069</v>
      </c>
      <c r="D28" s="10">
        <v>846.77779880166054</v>
      </c>
      <c r="E28" s="10">
        <v>10634</v>
      </c>
      <c r="F28" s="26">
        <f t="shared" si="0"/>
        <v>0.19456460410005641</v>
      </c>
      <c r="G28" s="26">
        <f t="shared" si="1"/>
        <v>0.40926911493555368</v>
      </c>
      <c r="H28" s="26">
        <f t="shared" si="2"/>
        <v>7.962928331781649E-2</v>
      </c>
      <c r="I28" s="25"/>
      <c r="J28" s="25"/>
      <c r="K28" s="17"/>
      <c r="L28" s="17"/>
      <c r="M28" s="28"/>
      <c r="N28" s="28"/>
      <c r="O28" s="3"/>
      <c r="P28" s="3"/>
      <c r="Q28" s="3"/>
      <c r="R28" s="17"/>
      <c r="S28" s="17"/>
      <c r="T28" s="17"/>
      <c r="U28" s="17"/>
      <c r="V28" s="17"/>
    </row>
    <row r="29" spans="1:22" ht="14.25" customHeight="1">
      <c r="A29" s="9">
        <v>11002</v>
      </c>
      <c r="B29" s="9" t="s">
        <v>54</v>
      </c>
      <c r="C29" s="10">
        <v>200</v>
      </c>
      <c r="D29" s="10">
        <v>74.555557638406754</v>
      </c>
      <c r="E29" s="10">
        <v>2538</v>
      </c>
      <c r="F29" s="26">
        <f t="shared" si="0"/>
        <v>7.8802206461780933E-2</v>
      </c>
      <c r="G29" s="26">
        <f t="shared" si="1"/>
        <v>0.37277778819203378</v>
      </c>
      <c r="H29" s="26">
        <f t="shared" si="2"/>
        <v>2.9375712229474688E-2</v>
      </c>
      <c r="I29" s="25"/>
      <c r="J29" s="25"/>
      <c r="K29" s="17"/>
      <c r="L29" s="17"/>
      <c r="M29" s="28"/>
      <c r="N29" s="28"/>
      <c r="O29" s="3"/>
      <c r="P29" s="3"/>
      <c r="Q29" s="3"/>
      <c r="R29" s="17"/>
      <c r="S29" s="17"/>
      <c r="T29" s="17"/>
      <c r="U29" s="17"/>
      <c r="V29" s="17"/>
    </row>
    <row r="30" spans="1:22" ht="14.25" customHeight="1">
      <c r="A30" s="9">
        <v>11003</v>
      </c>
      <c r="B30" s="9" t="s">
        <v>55</v>
      </c>
      <c r="C30" s="10">
        <v>551</v>
      </c>
      <c r="D30" s="10">
        <v>204.55556085705757</v>
      </c>
      <c r="E30" s="10">
        <v>6541</v>
      </c>
      <c r="F30" s="26">
        <f t="shared" si="0"/>
        <v>8.4237884115578657E-2</v>
      </c>
      <c r="G30" s="26">
        <f t="shared" si="1"/>
        <v>0.37124421208177416</v>
      </c>
      <c r="H30" s="26">
        <f t="shared" si="2"/>
        <v>3.1272826915923799E-2</v>
      </c>
      <c r="I30" s="25"/>
      <c r="J30" s="25"/>
      <c r="K30" s="17"/>
      <c r="L30" s="17"/>
      <c r="M30" s="28"/>
      <c r="N30" s="28"/>
      <c r="O30" s="3"/>
      <c r="P30" s="3"/>
      <c r="Q30" s="3"/>
      <c r="R30" s="17"/>
      <c r="S30" s="17"/>
      <c r="T30" s="17"/>
      <c r="U30" s="17"/>
      <c r="V30" s="17"/>
    </row>
    <row r="31" spans="1:22" ht="14.25" customHeight="1">
      <c r="A31" s="9">
        <v>20101</v>
      </c>
      <c r="B31" s="9" t="s">
        <v>56</v>
      </c>
      <c r="C31" s="10">
        <v>5318</v>
      </c>
      <c r="D31" s="10">
        <v>1917.4444940388203</v>
      </c>
      <c r="E31" s="10">
        <v>730126</v>
      </c>
      <c r="F31" s="26">
        <f t="shared" si="0"/>
        <v>7.2836743247055987E-3</v>
      </c>
      <c r="G31" s="26">
        <f t="shared" si="1"/>
        <v>0.36055744528748029</v>
      </c>
      <c r="H31" s="26">
        <f t="shared" si="2"/>
        <v>2.6261830068218641E-3</v>
      </c>
      <c r="I31" s="25"/>
      <c r="J31" s="25"/>
      <c r="K31" s="17"/>
      <c r="L31" s="17"/>
      <c r="M31" s="28"/>
      <c r="N31" s="28"/>
      <c r="O31" s="3"/>
      <c r="P31" s="3"/>
      <c r="Q31" s="3"/>
      <c r="R31" s="17"/>
      <c r="S31" s="17"/>
      <c r="T31" s="17"/>
      <c r="U31" s="17"/>
      <c r="V31" s="17"/>
    </row>
    <row r="32" spans="1:22" ht="14.25" customHeight="1">
      <c r="A32" s="9">
        <v>20102</v>
      </c>
      <c r="B32" s="9" t="s">
        <v>57</v>
      </c>
      <c r="C32" s="10">
        <v>3254</v>
      </c>
      <c r="D32" s="10">
        <v>1208.0000305473804</v>
      </c>
      <c r="E32" s="10">
        <v>21655</v>
      </c>
      <c r="F32" s="26">
        <f t="shared" si="0"/>
        <v>0.15026552759178019</v>
      </c>
      <c r="G32" s="26">
        <f t="shared" si="1"/>
        <v>0.37123541196907822</v>
      </c>
      <c r="H32" s="26">
        <f t="shared" si="2"/>
        <v>5.5783885040285412E-2</v>
      </c>
      <c r="I32" s="25"/>
      <c r="J32" s="25"/>
      <c r="K32" s="17"/>
      <c r="L32" s="17"/>
      <c r="M32" s="28"/>
      <c r="N32" s="28"/>
      <c r="O32" s="3"/>
      <c r="P32" s="3"/>
      <c r="Q32" s="3"/>
      <c r="R32" s="17"/>
      <c r="S32" s="17"/>
      <c r="T32" s="17"/>
      <c r="U32" s="17"/>
      <c r="V32" s="17"/>
    </row>
    <row r="33" spans="1:22" ht="14.25" customHeight="1">
      <c r="A33" s="9">
        <v>20103</v>
      </c>
      <c r="B33" s="9" t="s">
        <v>58</v>
      </c>
      <c r="C33" s="10">
        <v>1684</v>
      </c>
      <c r="D33" s="10">
        <v>616.66668212413788</v>
      </c>
      <c r="E33" s="10">
        <v>20356</v>
      </c>
      <c r="F33" s="26">
        <f t="shared" si="0"/>
        <v>8.2727451365690707E-2</v>
      </c>
      <c r="G33" s="26">
        <f t="shared" si="1"/>
        <v>0.36619161646326476</v>
      </c>
      <c r="H33" s="26">
        <f t="shared" si="2"/>
        <v>3.0294099141488399E-2</v>
      </c>
      <c r="I33" s="25"/>
      <c r="J33" s="25"/>
      <c r="K33" s="17"/>
      <c r="L33" s="17"/>
      <c r="M33" s="28"/>
      <c r="N33" s="28"/>
      <c r="O33" s="3"/>
      <c r="P33" s="3"/>
      <c r="Q33" s="3"/>
      <c r="R33" s="17"/>
      <c r="S33" s="17"/>
      <c r="T33" s="17"/>
      <c r="U33" s="17"/>
      <c r="V33" s="17"/>
    </row>
    <row r="34" spans="1:22" ht="14.25" customHeight="1">
      <c r="A34" s="9">
        <v>20104</v>
      </c>
      <c r="B34" s="9" t="s">
        <v>59</v>
      </c>
      <c r="C34" s="10">
        <v>5352</v>
      </c>
      <c r="D34" s="10">
        <v>1922.6667162179947</v>
      </c>
      <c r="E34" s="10">
        <v>44701</v>
      </c>
      <c r="F34" s="26">
        <f t="shared" si="0"/>
        <v>0.11972886512605982</v>
      </c>
      <c r="G34" s="26">
        <f t="shared" si="1"/>
        <v>0.35924265998094074</v>
      </c>
      <c r="H34" s="26">
        <f t="shared" si="2"/>
        <v>4.3011715984385024E-2</v>
      </c>
      <c r="I34" s="25"/>
      <c r="J34" s="25"/>
      <c r="K34" s="17"/>
      <c r="L34" s="17"/>
      <c r="M34" s="28"/>
      <c r="N34" s="28"/>
      <c r="O34" s="3"/>
      <c r="P34" s="3"/>
      <c r="Q34" s="3"/>
      <c r="R34" s="17"/>
      <c r="S34" s="17"/>
      <c r="T34" s="17"/>
      <c r="U34" s="17"/>
      <c r="V34" s="17"/>
    </row>
    <row r="35" spans="1:22" ht="14.25" customHeight="1">
      <c r="A35" s="9">
        <v>20105</v>
      </c>
      <c r="B35" s="9" t="s">
        <v>60</v>
      </c>
      <c r="C35" s="10">
        <v>13743</v>
      </c>
      <c r="D35" s="10">
        <v>4904.444571018219</v>
      </c>
      <c r="E35" s="10">
        <v>877537</v>
      </c>
      <c r="F35" s="26">
        <f t="shared" si="0"/>
        <v>1.5660878116820147E-2</v>
      </c>
      <c r="G35" s="26">
        <f t="shared" si="1"/>
        <v>0.35686855643005305</v>
      </c>
      <c r="H35" s="26">
        <f t="shared" si="2"/>
        <v>5.5888749659766136E-3</v>
      </c>
      <c r="I35" s="25"/>
      <c r="J35" s="25"/>
      <c r="K35" s="17"/>
      <c r="L35" s="17"/>
      <c r="M35" s="28"/>
      <c r="N35" s="28"/>
      <c r="O35" s="3"/>
      <c r="P35" s="3"/>
      <c r="Q35" s="3"/>
      <c r="R35" s="17"/>
      <c r="S35" s="17"/>
      <c r="T35" s="17"/>
      <c r="U35" s="17"/>
      <c r="V35" s="17"/>
    </row>
    <row r="36" spans="1:22" ht="14.25" customHeight="1">
      <c r="A36" s="9">
        <v>20201</v>
      </c>
      <c r="B36" s="9" t="s">
        <v>61</v>
      </c>
      <c r="C36" s="10">
        <v>4413</v>
      </c>
      <c r="D36" s="10">
        <v>1623.3333746194839</v>
      </c>
      <c r="E36" s="10">
        <v>46737</v>
      </c>
      <c r="F36" s="26">
        <f t="shared" si="0"/>
        <v>9.4421978304127352E-2</v>
      </c>
      <c r="G36" s="26">
        <f t="shared" si="1"/>
        <v>0.36785256619521506</v>
      </c>
      <c r="H36" s="26">
        <f t="shared" si="2"/>
        <v>3.4733367024402169E-2</v>
      </c>
      <c r="I36" s="25"/>
      <c r="J36" s="25"/>
      <c r="K36" s="17"/>
      <c r="L36" s="17"/>
      <c r="M36" s="28"/>
      <c r="N36" s="28"/>
      <c r="O36" s="3"/>
      <c r="P36" s="3"/>
      <c r="Q36" s="3"/>
      <c r="R36" s="17"/>
      <c r="S36" s="17"/>
      <c r="T36" s="17"/>
      <c r="U36" s="17"/>
      <c r="V36" s="17"/>
    </row>
    <row r="37" spans="1:22" ht="14.25" customHeight="1">
      <c r="A37" s="9">
        <v>20202</v>
      </c>
      <c r="B37" s="9" t="s">
        <v>62</v>
      </c>
      <c r="C37" s="10">
        <v>2951</v>
      </c>
      <c r="D37" s="10">
        <v>1086.5555830299854</v>
      </c>
      <c r="E37" s="10">
        <v>16869</v>
      </c>
      <c r="F37" s="26">
        <f t="shared" si="0"/>
        <v>0.17493627363803427</v>
      </c>
      <c r="G37" s="26">
        <f t="shared" si="1"/>
        <v>0.36819911319213333</v>
      </c>
      <c r="H37" s="26">
        <f t="shared" si="2"/>
        <v>6.4411380818660588E-2</v>
      </c>
      <c r="I37" s="25"/>
      <c r="J37" s="25"/>
      <c r="K37" s="17"/>
      <c r="L37" s="17"/>
      <c r="M37" s="28"/>
      <c r="N37" s="28"/>
      <c r="O37" s="3"/>
      <c r="P37" s="3"/>
      <c r="Q37" s="3"/>
      <c r="R37" s="17"/>
      <c r="S37" s="17"/>
      <c r="T37" s="17"/>
      <c r="U37" s="17"/>
      <c r="V37" s="17"/>
    </row>
    <row r="38" spans="1:22" ht="14.25" customHeight="1">
      <c r="A38" s="9">
        <v>20203</v>
      </c>
      <c r="B38" s="9" t="s">
        <v>63</v>
      </c>
      <c r="C38" s="10">
        <v>673</v>
      </c>
      <c r="D38" s="10">
        <v>246.22222837805748</v>
      </c>
      <c r="E38" s="10">
        <v>6889</v>
      </c>
      <c r="F38" s="26">
        <f t="shared" si="0"/>
        <v>9.7691972710117578E-2</v>
      </c>
      <c r="G38" s="26">
        <f t="shared" si="1"/>
        <v>0.36585769446962479</v>
      </c>
      <c r="H38" s="26">
        <f t="shared" si="2"/>
        <v>3.5741359903913118E-2</v>
      </c>
      <c r="I38" s="25"/>
      <c r="J38" s="25"/>
      <c r="K38" s="17"/>
      <c r="L38" s="17"/>
      <c r="M38" s="28"/>
      <c r="N38" s="28"/>
      <c r="O38" s="3"/>
      <c r="P38" s="3"/>
      <c r="Q38" s="3"/>
      <c r="R38" s="17"/>
      <c r="S38" s="17"/>
      <c r="T38" s="17"/>
      <c r="U38" s="17"/>
      <c r="V38" s="17"/>
    </row>
    <row r="39" spans="1:22" ht="14.25" customHeight="1">
      <c r="A39" s="9">
        <v>20204</v>
      </c>
      <c r="B39" s="9" t="s">
        <v>64</v>
      </c>
      <c r="C39" s="10">
        <v>867</v>
      </c>
      <c r="D39" s="10">
        <v>313.33334121108055</v>
      </c>
      <c r="E39" s="10">
        <v>8589</v>
      </c>
      <c r="F39" s="26">
        <f t="shared" si="0"/>
        <v>0.10094306671323786</v>
      </c>
      <c r="G39" s="26">
        <f t="shared" si="1"/>
        <v>0.36139947083169616</v>
      </c>
      <c r="H39" s="26">
        <f t="shared" si="2"/>
        <v>3.6480770894292761E-2</v>
      </c>
      <c r="I39" s="25"/>
      <c r="J39" s="25"/>
      <c r="K39" s="17"/>
      <c r="L39" s="17"/>
      <c r="M39" s="28"/>
      <c r="N39" s="28"/>
      <c r="O39" s="3"/>
      <c r="P39" s="3"/>
      <c r="Q39" s="3"/>
      <c r="R39" s="17"/>
      <c r="S39" s="17"/>
      <c r="T39" s="17"/>
      <c r="U39" s="17"/>
      <c r="V39" s="17"/>
    </row>
    <row r="40" spans="1:22" ht="14.25" customHeight="1">
      <c r="A40" s="9">
        <v>20205</v>
      </c>
      <c r="B40" s="9" t="s">
        <v>65</v>
      </c>
      <c r="C40" s="10">
        <v>788</v>
      </c>
      <c r="D40" s="10">
        <v>291.55556285381317</v>
      </c>
      <c r="E40" s="10">
        <v>9233</v>
      </c>
      <c r="F40" s="26">
        <f t="shared" si="0"/>
        <v>8.5346041373334777E-2</v>
      </c>
      <c r="G40" s="26">
        <f t="shared" si="1"/>
        <v>0.36999436910382383</v>
      </c>
      <c r="H40" s="26">
        <f t="shared" si="2"/>
        <v>3.1577554733435848E-2</v>
      </c>
      <c r="I40" s="25"/>
      <c r="J40" s="25"/>
      <c r="K40" s="17"/>
      <c r="L40" s="17"/>
      <c r="M40" s="28"/>
      <c r="N40" s="28"/>
      <c r="O40" s="3"/>
      <c r="P40" s="3"/>
      <c r="Q40" s="3"/>
      <c r="R40" s="17"/>
      <c r="S40" s="17"/>
      <c r="T40" s="17"/>
      <c r="U40" s="17"/>
      <c r="V40" s="17"/>
    </row>
    <row r="41" spans="1:22" ht="14.25" customHeight="1">
      <c r="A41" s="9">
        <v>20206</v>
      </c>
      <c r="B41" s="9" t="s">
        <v>66</v>
      </c>
      <c r="C41" s="10">
        <v>289</v>
      </c>
      <c r="D41" s="10">
        <v>104.88889154791832</v>
      </c>
      <c r="E41" s="10">
        <v>5034</v>
      </c>
      <c r="F41" s="26">
        <f t="shared" si="0"/>
        <v>5.7409614620580057E-2</v>
      </c>
      <c r="G41" s="26">
        <f t="shared" si="1"/>
        <v>0.36293734099625719</v>
      </c>
      <c r="H41" s="26">
        <f t="shared" si="2"/>
        <v>2.0836092878013177E-2</v>
      </c>
      <c r="I41" s="25"/>
      <c r="J41" s="25"/>
      <c r="K41" s="17"/>
      <c r="L41" s="17"/>
      <c r="M41" s="28"/>
      <c r="N41" s="28"/>
      <c r="O41" s="3"/>
      <c r="P41" s="3"/>
      <c r="Q41" s="3"/>
      <c r="R41" s="17"/>
      <c r="S41" s="17"/>
      <c r="T41" s="17"/>
      <c r="U41" s="17"/>
      <c r="V41" s="17"/>
    </row>
    <row r="42" spans="1:22" ht="14.25" customHeight="1">
      <c r="A42" s="9">
        <v>20301</v>
      </c>
      <c r="B42" s="9" t="s">
        <v>67</v>
      </c>
      <c r="C42" s="10">
        <v>3138</v>
      </c>
      <c r="D42" s="10">
        <v>1176.7778068482876</v>
      </c>
      <c r="E42" s="10">
        <v>13224</v>
      </c>
      <c r="F42" s="26">
        <f t="shared" si="0"/>
        <v>0.23729582577132485</v>
      </c>
      <c r="G42" s="26">
        <f t="shared" si="1"/>
        <v>0.37500886132832617</v>
      </c>
      <c r="H42" s="26">
        <f t="shared" si="2"/>
        <v>8.8988037420469415E-2</v>
      </c>
      <c r="I42" s="25"/>
      <c r="J42" s="25"/>
      <c r="K42" s="17"/>
      <c r="L42" s="17"/>
      <c r="M42" s="28"/>
      <c r="N42" s="28"/>
      <c r="O42" s="3"/>
      <c r="P42" s="3"/>
      <c r="Q42" s="3"/>
      <c r="R42" s="17"/>
      <c r="S42" s="17"/>
      <c r="T42" s="17"/>
      <c r="U42" s="17"/>
      <c r="V42" s="17"/>
    </row>
    <row r="43" spans="1:22" ht="14.25" customHeight="1">
      <c r="A43" s="9">
        <v>20302</v>
      </c>
      <c r="B43" s="9" t="s">
        <v>68</v>
      </c>
      <c r="C43" s="10">
        <v>2287</v>
      </c>
      <c r="D43" s="10">
        <v>837.66668701171875</v>
      </c>
      <c r="E43" s="10">
        <v>15438</v>
      </c>
      <c r="F43" s="26">
        <f t="shared" si="0"/>
        <v>0.14814095090037568</v>
      </c>
      <c r="G43" s="26">
        <f t="shared" si="1"/>
        <v>0.36627314692248308</v>
      </c>
      <c r="H43" s="26">
        <f t="shared" si="2"/>
        <v>5.4260052274369655E-2</v>
      </c>
      <c r="I43" s="25"/>
      <c r="J43" s="25"/>
      <c r="K43" s="17"/>
      <c r="L43" s="17"/>
      <c r="M43" s="28"/>
      <c r="N43" s="28"/>
      <c r="O43" s="3"/>
      <c r="P43" s="3"/>
      <c r="Q43" s="3"/>
      <c r="R43" s="17"/>
      <c r="S43" s="17"/>
      <c r="T43" s="17"/>
      <c r="U43" s="17"/>
      <c r="V43" s="17"/>
    </row>
    <row r="44" spans="1:22" ht="14.25" customHeight="1">
      <c r="A44" s="9">
        <v>20303</v>
      </c>
      <c r="B44" s="9" t="s">
        <v>69</v>
      </c>
      <c r="C44" s="10">
        <v>3179</v>
      </c>
      <c r="D44" s="10">
        <v>1184.3333615064621</v>
      </c>
      <c r="E44" s="10">
        <v>12187</v>
      </c>
      <c r="F44" s="26">
        <f t="shared" si="0"/>
        <v>0.26085172725034872</v>
      </c>
      <c r="G44" s="26">
        <f t="shared" si="1"/>
        <v>0.37254902847010446</v>
      </c>
      <c r="H44" s="26">
        <f t="shared" si="2"/>
        <v>9.7180057561866082E-2</v>
      </c>
      <c r="I44" s="25"/>
      <c r="J44" s="25"/>
      <c r="K44" s="17"/>
      <c r="L44" s="17"/>
      <c r="M44" s="28"/>
      <c r="N44" s="28"/>
      <c r="O44" s="3"/>
      <c r="P44" s="3"/>
      <c r="Q44" s="3"/>
      <c r="R44" s="17"/>
      <c r="S44" s="17"/>
      <c r="T44" s="17"/>
      <c r="U44" s="17"/>
      <c r="V44" s="17"/>
    </row>
    <row r="45" spans="1:22" ht="14.25" customHeight="1">
      <c r="A45" s="9">
        <v>20304</v>
      </c>
      <c r="B45" s="9" t="s">
        <v>70</v>
      </c>
      <c r="C45" s="10">
        <v>549</v>
      </c>
      <c r="D45" s="10">
        <v>196.88889399170876</v>
      </c>
      <c r="E45" s="10">
        <v>5224</v>
      </c>
      <c r="F45" s="26">
        <f t="shared" si="0"/>
        <v>0.10509188361408882</v>
      </c>
      <c r="G45" s="26">
        <f t="shared" si="1"/>
        <v>0.35863186519436929</v>
      </c>
      <c r="H45" s="26">
        <f t="shared" si="2"/>
        <v>3.7689298237310251E-2</v>
      </c>
      <c r="I45" s="25"/>
      <c r="J45" s="25"/>
      <c r="K45" s="17"/>
      <c r="L45" s="17"/>
      <c r="M45" s="28"/>
      <c r="N45" s="28"/>
      <c r="O45" s="3"/>
      <c r="P45" s="3"/>
      <c r="Q45" s="3"/>
      <c r="R45" s="17"/>
      <c r="S45" s="17"/>
      <c r="T45" s="17"/>
      <c r="U45" s="17"/>
      <c r="V45" s="17"/>
    </row>
    <row r="46" spans="1:22" ht="14.25" customHeight="1">
      <c r="A46" s="9">
        <v>20305</v>
      </c>
      <c r="B46" s="9" t="s">
        <v>71</v>
      </c>
      <c r="C46" s="10">
        <v>1394</v>
      </c>
      <c r="D46" s="10">
        <v>523.44445717334747</v>
      </c>
      <c r="E46" s="10">
        <v>4123</v>
      </c>
      <c r="F46" s="26">
        <f t="shared" si="0"/>
        <v>0.338103322823187</v>
      </c>
      <c r="G46" s="26">
        <f t="shared" si="1"/>
        <v>0.37549817587758066</v>
      </c>
      <c r="H46" s="26">
        <f t="shared" si="2"/>
        <v>0.12695718097825551</v>
      </c>
      <c r="I46" s="25"/>
      <c r="J46" s="25"/>
      <c r="K46" s="17"/>
      <c r="L46" s="17"/>
      <c r="M46" s="28"/>
      <c r="N46" s="28"/>
      <c r="O46" s="3"/>
      <c r="P46" s="3"/>
      <c r="Q46" s="3"/>
      <c r="R46" s="17"/>
      <c r="S46" s="17"/>
      <c r="T46" s="17"/>
      <c r="U46" s="17"/>
      <c r="V46" s="17"/>
    </row>
    <row r="47" spans="1:22" ht="14.25" customHeight="1">
      <c r="A47" s="9">
        <v>20306</v>
      </c>
      <c r="B47" s="9" t="s">
        <v>72</v>
      </c>
      <c r="C47" s="10">
        <v>1159</v>
      </c>
      <c r="D47" s="10">
        <v>429.88889995217323</v>
      </c>
      <c r="E47" s="10">
        <v>6072</v>
      </c>
      <c r="F47" s="26">
        <f t="shared" si="0"/>
        <v>0.19087615283267456</v>
      </c>
      <c r="G47" s="26">
        <f t="shared" si="1"/>
        <v>0.37091363240049458</v>
      </c>
      <c r="H47" s="26">
        <f t="shared" si="2"/>
        <v>7.0798567185799272E-2</v>
      </c>
      <c r="I47" s="25"/>
      <c r="J47" s="25"/>
      <c r="K47" s="17"/>
      <c r="L47" s="17"/>
      <c r="M47" s="28"/>
      <c r="N47" s="28"/>
      <c r="O47" s="3"/>
      <c r="P47" s="3"/>
      <c r="Q47" s="3"/>
      <c r="R47" s="17"/>
      <c r="S47" s="17"/>
      <c r="T47" s="17"/>
      <c r="U47" s="17"/>
      <c r="V47" s="17"/>
    </row>
    <row r="48" spans="1:22" ht="14.25" customHeight="1">
      <c r="A48" s="9">
        <v>20307</v>
      </c>
      <c r="B48" s="9" t="s">
        <v>73</v>
      </c>
      <c r="C48" s="10">
        <v>793</v>
      </c>
      <c r="D48" s="10">
        <v>289.33334019780159</v>
      </c>
      <c r="E48" s="10">
        <v>4017</v>
      </c>
      <c r="F48" s="26">
        <f t="shared" si="0"/>
        <v>0.19741100323624594</v>
      </c>
      <c r="G48" s="26">
        <f t="shared" si="1"/>
        <v>0.36485919318764387</v>
      </c>
      <c r="H48" s="26">
        <f t="shared" si="2"/>
        <v>7.2027219367140044E-2</v>
      </c>
      <c r="I48" s="25"/>
      <c r="J48" s="25"/>
      <c r="K48" s="17"/>
      <c r="L48" s="17"/>
      <c r="M48" s="28"/>
      <c r="N48" s="28"/>
      <c r="O48" s="3"/>
      <c r="P48" s="3"/>
      <c r="Q48" s="3"/>
      <c r="R48" s="17"/>
      <c r="S48" s="17"/>
      <c r="T48" s="17"/>
      <c r="U48" s="17"/>
      <c r="V48" s="17"/>
    </row>
    <row r="49" spans="1:22" ht="14.25" customHeight="1">
      <c r="A49" s="9">
        <v>20308</v>
      </c>
      <c r="B49" s="9" t="s">
        <v>74</v>
      </c>
      <c r="C49" s="10">
        <v>2883</v>
      </c>
      <c r="D49" s="10">
        <v>1069.5555812120438</v>
      </c>
      <c r="E49" s="10">
        <v>8013</v>
      </c>
      <c r="F49" s="26">
        <f t="shared" si="0"/>
        <v>0.35979034069636839</v>
      </c>
      <c r="G49" s="26">
        <f t="shared" si="1"/>
        <v>0.37098702088520424</v>
      </c>
      <c r="H49" s="26">
        <f t="shared" si="2"/>
        <v>0.13347754663821837</v>
      </c>
      <c r="I49" s="25"/>
      <c r="J49" s="25"/>
      <c r="K49" s="17"/>
      <c r="L49" s="17"/>
      <c r="M49" s="28"/>
      <c r="N49" s="28"/>
      <c r="O49" s="3"/>
      <c r="P49" s="3"/>
      <c r="Q49" s="3"/>
      <c r="R49" s="17"/>
      <c r="S49" s="17"/>
      <c r="T49" s="17"/>
      <c r="U49" s="17"/>
      <c r="V49" s="17"/>
    </row>
    <row r="50" spans="1:22" ht="14.25" customHeight="1">
      <c r="A50" s="9">
        <v>20401</v>
      </c>
      <c r="B50" s="9" t="s">
        <v>75</v>
      </c>
      <c r="C50" s="10">
        <v>3483</v>
      </c>
      <c r="D50" s="10">
        <v>1293.0000313520432</v>
      </c>
      <c r="E50" s="10">
        <v>13968</v>
      </c>
      <c r="F50" s="26">
        <f t="shared" si="0"/>
        <v>0.24935567010309279</v>
      </c>
      <c r="G50" s="26">
        <f t="shared" si="1"/>
        <v>0.37123170581454007</v>
      </c>
      <c r="H50" s="26">
        <f t="shared" si="2"/>
        <v>9.2568730766898852E-2</v>
      </c>
      <c r="I50" s="25"/>
      <c r="J50" s="25"/>
      <c r="K50" s="17"/>
      <c r="L50" s="17"/>
      <c r="M50" s="28"/>
      <c r="N50" s="28"/>
      <c r="O50" s="3"/>
      <c r="P50" s="3"/>
      <c r="Q50" s="3"/>
      <c r="R50" s="17"/>
      <c r="S50" s="17"/>
      <c r="T50" s="17"/>
      <c r="U50" s="17"/>
      <c r="V50" s="17"/>
    </row>
    <row r="51" spans="1:22" ht="14.25" customHeight="1">
      <c r="A51" s="9">
        <v>20402</v>
      </c>
      <c r="B51" s="9" t="s">
        <v>76</v>
      </c>
      <c r="C51" s="10">
        <v>3164</v>
      </c>
      <c r="D51" s="10">
        <v>1176.4444741606712</v>
      </c>
      <c r="E51" s="10">
        <v>17730</v>
      </c>
      <c r="F51" s="26">
        <f t="shared" si="0"/>
        <v>0.17845459672870839</v>
      </c>
      <c r="G51" s="26">
        <f t="shared" si="1"/>
        <v>0.37182189448820202</v>
      </c>
      <c r="H51" s="26">
        <f t="shared" si="2"/>
        <v>6.6353326235796456E-2</v>
      </c>
      <c r="I51" s="25"/>
      <c r="J51" s="25"/>
      <c r="K51" s="17"/>
      <c r="L51" s="17"/>
      <c r="M51" s="28"/>
      <c r="N51" s="28"/>
      <c r="O51" s="3"/>
      <c r="P51" s="3"/>
      <c r="Q51" s="3"/>
      <c r="R51" s="17"/>
      <c r="S51" s="17"/>
      <c r="T51" s="17"/>
      <c r="U51" s="17"/>
      <c r="V51" s="17"/>
    </row>
    <row r="52" spans="1:22" ht="14.25" customHeight="1">
      <c r="A52" s="9">
        <v>20403</v>
      </c>
      <c r="B52" s="9" t="s">
        <v>77</v>
      </c>
      <c r="C52" s="10">
        <v>3057</v>
      </c>
      <c r="D52" s="10">
        <v>1116.0000283718109</v>
      </c>
      <c r="E52" s="10">
        <v>17034</v>
      </c>
      <c r="F52" s="26">
        <f t="shared" si="0"/>
        <v>0.17946460021134203</v>
      </c>
      <c r="G52" s="26">
        <f t="shared" si="1"/>
        <v>0.36506379730841049</v>
      </c>
      <c r="H52" s="26">
        <f t="shared" si="2"/>
        <v>6.5516028435588292E-2</v>
      </c>
      <c r="I52" s="25"/>
      <c r="J52" s="25"/>
      <c r="K52" s="17"/>
      <c r="L52" s="17"/>
      <c r="M52" s="28"/>
      <c r="N52" s="28"/>
      <c r="O52" s="3"/>
      <c r="P52" s="3"/>
      <c r="Q52" s="3"/>
      <c r="R52" s="17"/>
      <c r="S52" s="17"/>
      <c r="T52" s="17"/>
      <c r="U52" s="17"/>
      <c r="V52" s="17"/>
    </row>
    <row r="53" spans="1:22" ht="14.25" customHeight="1">
      <c r="A53" s="9">
        <v>20404</v>
      </c>
      <c r="B53" s="9" t="s">
        <v>78</v>
      </c>
      <c r="C53" s="10">
        <v>1529</v>
      </c>
      <c r="D53" s="10">
        <v>587.22223699092865</v>
      </c>
      <c r="E53" s="10">
        <v>5651</v>
      </c>
      <c r="F53" s="26">
        <f t="shared" si="0"/>
        <v>0.27057158025128297</v>
      </c>
      <c r="G53" s="26">
        <f t="shared" si="1"/>
        <v>0.38405640090969828</v>
      </c>
      <c r="H53" s="26">
        <f t="shared" si="2"/>
        <v>0.10391474729975733</v>
      </c>
      <c r="I53" s="25"/>
      <c r="J53" s="25"/>
      <c r="K53" s="17"/>
      <c r="L53" s="17"/>
      <c r="M53" s="28"/>
      <c r="N53" s="28"/>
      <c r="O53" s="3"/>
      <c r="P53" s="3"/>
      <c r="Q53" s="3"/>
      <c r="R53" s="17"/>
      <c r="S53" s="17"/>
      <c r="T53" s="17"/>
      <c r="U53" s="17"/>
      <c r="V53" s="17"/>
    </row>
    <row r="54" spans="1:22" ht="14.25" customHeight="1">
      <c r="A54" s="9">
        <v>20405</v>
      </c>
      <c r="B54" s="9" t="s">
        <v>79</v>
      </c>
      <c r="C54" s="10">
        <v>1974</v>
      </c>
      <c r="D54" s="10">
        <v>741.66668471693993</v>
      </c>
      <c r="E54" s="10">
        <v>8812</v>
      </c>
      <c r="F54" s="26">
        <f t="shared" si="0"/>
        <v>0.22401270994098957</v>
      </c>
      <c r="G54" s="26">
        <f t="shared" si="1"/>
        <v>0.37571767209571427</v>
      </c>
      <c r="H54" s="26">
        <f t="shared" si="2"/>
        <v>8.4165533898881068E-2</v>
      </c>
      <c r="I54" s="25"/>
      <c r="J54" s="25"/>
      <c r="K54" s="17"/>
      <c r="L54" s="17"/>
      <c r="M54" s="28"/>
      <c r="N54" s="28"/>
      <c r="O54" s="3"/>
      <c r="P54" s="3"/>
      <c r="Q54" s="3"/>
      <c r="R54" s="17"/>
      <c r="S54" s="17"/>
      <c r="T54" s="17"/>
      <c r="U54" s="17"/>
      <c r="V54" s="17"/>
    </row>
    <row r="55" spans="1:22" ht="14.25" customHeight="1">
      <c r="A55" s="9">
        <v>20501</v>
      </c>
      <c r="B55" s="9" t="s">
        <v>80</v>
      </c>
      <c r="C55" s="10">
        <v>2598</v>
      </c>
      <c r="D55" s="10">
        <v>974.44446882605553</v>
      </c>
      <c r="E55" s="10">
        <v>17787</v>
      </c>
      <c r="F55" s="26">
        <f t="shared" si="0"/>
        <v>0.14606173047731488</v>
      </c>
      <c r="G55" s="26">
        <f t="shared" si="1"/>
        <v>0.37507485328177659</v>
      </c>
      <c r="H55" s="26">
        <f t="shared" si="2"/>
        <v>5.4784082128861274E-2</v>
      </c>
      <c r="I55" s="25"/>
      <c r="J55" s="25"/>
      <c r="K55" s="17"/>
      <c r="L55" s="17"/>
      <c r="M55" s="28"/>
      <c r="N55" s="28"/>
      <c r="O55" s="3"/>
      <c r="P55" s="3"/>
      <c r="Q55" s="3"/>
      <c r="R55" s="17"/>
      <c r="S55" s="17"/>
      <c r="T55" s="17"/>
      <c r="U55" s="17"/>
      <c r="V55" s="17"/>
    </row>
    <row r="56" spans="1:22" ht="14.25" customHeight="1">
      <c r="A56" s="9">
        <v>20502</v>
      </c>
      <c r="B56" s="9" t="s">
        <v>81</v>
      </c>
      <c r="C56" s="10">
        <v>1942</v>
      </c>
      <c r="D56" s="10">
        <v>739.77779659628868</v>
      </c>
      <c r="E56" s="10">
        <v>9010</v>
      </c>
      <c r="F56" s="26">
        <f t="shared" si="0"/>
        <v>0.21553829078801331</v>
      </c>
      <c r="G56" s="26">
        <f t="shared" si="1"/>
        <v>0.38093604356142569</v>
      </c>
      <c r="H56" s="26">
        <f t="shared" si="2"/>
        <v>8.2106303728777877E-2</v>
      </c>
      <c r="I56" s="25"/>
      <c r="J56" s="25"/>
      <c r="K56" s="17"/>
      <c r="L56" s="17"/>
      <c r="M56" s="28"/>
      <c r="N56" s="28"/>
      <c r="O56" s="3"/>
      <c r="P56" s="3"/>
      <c r="Q56" s="3"/>
      <c r="R56" s="17"/>
      <c r="S56" s="17"/>
      <c r="T56" s="17"/>
      <c r="U56" s="17"/>
      <c r="V56" s="17"/>
    </row>
    <row r="57" spans="1:22" ht="14.25" customHeight="1">
      <c r="A57" s="9">
        <v>20503</v>
      </c>
      <c r="B57" s="9" t="s">
        <v>82</v>
      </c>
      <c r="C57" s="10">
        <v>1276</v>
      </c>
      <c r="D57" s="10">
        <v>484.55556806921959</v>
      </c>
      <c r="E57" s="10">
        <v>6452</v>
      </c>
      <c r="F57" s="26">
        <f t="shared" si="0"/>
        <v>0.19776813391196529</v>
      </c>
      <c r="G57" s="26">
        <f t="shared" si="1"/>
        <v>0.37974574300095582</v>
      </c>
      <c r="H57" s="26">
        <f t="shared" si="2"/>
        <v>7.5101606954311784E-2</v>
      </c>
      <c r="I57" s="25"/>
      <c r="J57" s="25"/>
      <c r="K57" s="17"/>
      <c r="L57" s="17"/>
      <c r="M57" s="28"/>
      <c r="N57" s="28"/>
      <c r="O57" s="3"/>
      <c r="P57" s="3"/>
      <c r="Q57" s="3"/>
      <c r="R57" s="17"/>
      <c r="S57" s="17"/>
      <c r="T57" s="17"/>
      <c r="U57" s="17"/>
      <c r="V57" s="17"/>
    </row>
    <row r="58" spans="1:22" ht="14.25" customHeight="1">
      <c r="A58" s="9">
        <v>20601</v>
      </c>
      <c r="B58" s="9" t="s">
        <v>83</v>
      </c>
      <c r="C58" s="10">
        <v>4391</v>
      </c>
      <c r="D58" s="10">
        <v>1611.3333742916584</v>
      </c>
      <c r="E58" s="10">
        <v>29801</v>
      </c>
      <c r="F58" s="26">
        <f t="shared" si="0"/>
        <v>0.14734404885742089</v>
      </c>
      <c r="G58" s="26">
        <f t="shared" si="1"/>
        <v>0.3669627361174353</v>
      </c>
      <c r="H58" s="26">
        <f t="shared" si="2"/>
        <v>5.4069775319340235E-2</v>
      </c>
      <c r="I58" s="25"/>
      <c r="J58" s="25"/>
      <c r="K58" s="17"/>
      <c r="L58" s="17"/>
      <c r="M58" s="28"/>
      <c r="N58" s="28"/>
      <c r="O58" s="3"/>
      <c r="P58" s="3"/>
      <c r="Q58" s="3"/>
      <c r="R58" s="17"/>
      <c r="S58" s="17"/>
      <c r="T58" s="17"/>
      <c r="U58" s="17"/>
      <c r="V58" s="17"/>
    </row>
    <row r="59" spans="1:22" ht="14.25" customHeight="1">
      <c r="A59" s="9">
        <v>20602</v>
      </c>
      <c r="B59" s="9" t="s">
        <v>84</v>
      </c>
      <c r="C59" s="10">
        <v>1988</v>
      </c>
      <c r="D59" s="10">
        <v>746.11112904548645</v>
      </c>
      <c r="E59" s="10">
        <v>16043</v>
      </c>
      <c r="F59" s="26">
        <f t="shared" si="0"/>
        <v>0.12391697313470049</v>
      </c>
      <c r="G59" s="26">
        <f t="shared" si="1"/>
        <v>0.37530740897660286</v>
      </c>
      <c r="H59" s="26">
        <f t="shared" si="2"/>
        <v>4.6506958115407747E-2</v>
      </c>
      <c r="I59" s="25"/>
      <c r="J59" s="25"/>
      <c r="K59" s="17"/>
      <c r="L59" s="17"/>
      <c r="M59" s="28"/>
      <c r="N59" s="28"/>
      <c r="O59" s="3"/>
      <c r="P59" s="3"/>
      <c r="Q59" s="3"/>
      <c r="R59" s="17"/>
      <c r="S59" s="17"/>
      <c r="T59" s="17"/>
      <c r="U59" s="17"/>
      <c r="V59" s="17"/>
    </row>
    <row r="60" spans="1:22" ht="14.25" customHeight="1">
      <c r="A60" s="9">
        <v>20603</v>
      </c>
      <c r="B60" s="9" t="s">
        <v>85</v>
      </c>
      <c r="C60" s="10">
        <v>1814</v>
      </c>
      <c r="D60" s="10">
        <v>682.00001728534698</v>
      </c>
      <c r="E60" s="10">
        <v>9515</v>
      </c>
      <c r="F60" s="26">
        <f t="shared" si="0"/>
        <v>0.19064634787178139</v>
      </c>
      <c r="G60" s="26">
        <f t="shared" si="1"/>
        <v>0.37596472838221995</v>
      </c>
      <c r="H60" s="26">
        <f t="shared" si="2"/>
        <v>7.1676302394676511E-2</v>
      </c>
      <c r="I60" s="25"/>
      <c r="J60" s="25"/>
      <c r="K60" s="17"/>
      <c r="L60" s="17"/>
      <c r="M60" s="28"/>
      <c r="N60" s="28"/>
      <c r="O60" s="3"/>
      <c r="P60" s="3"/>
      <c r="Q60" s="3"/>
      <c r="R60" s="17"/>
      <c r="S60" s="17"/>
      <c r="T60" s="17"/>
      <c r="U60" s="17"/>
      <c r="V60" s="17"/>
    </row>
    <row r="61" spans="1:22" ht="14.25" customHeight="1">
      <c r="A61" s="9">
        <v>20604</v>
      </c>
      <c r="B61" s="9" t="s">
        <v>86</v>
      </c>
      <c r="C61" s="10">
        <v>982</v>
      </c>
      <c r="D61" s="10">
        <v>371.88889810442924</v>
      </c>
      <c r="E61" s="10">
        <v>4137</v>
      </c>
      <c r="F61" s="26">
        <f t="shared" si="0"/>
        <v>0.23737007493352671</v>
      </c>
      <c r="G61" s="26">
        <f t="shared" si="1"/>
        <v>0.37870559888434752</v>
      </c>
      <c r="H61" s="26">
        <f t="shared" si="2"/>
        <v>8.9893376384923687E-2</v>
      </c>
      <c r="I61" s="25"/>
      <c r="J61" s="25"/>
      <c r="K61" s="17"/>
      <c r="L61" s="17"/>
      <c r="M61" s="28"/>
      <c r="N61" s="28"/>
      <c r="O61" s="3"/>
      <c r="P61" s="3"/>
      <c r="Q61" s="3"/>
      <c r="R61" s="17"/>
      <c r="S61" s="17"/>
      <c r="T61" s="17"/>
      <c r="U61" s="17"/>
      <c r="V61" s="17"/>
    </row>
    <row r="62" spans="1:22" ht="14.25" customHeight="1">
      <c r="A62" s="9">
        <v>20605</v>
      </c>
      <c r="B62" s="9" t="s">
        <v>87</v>
      </c>
      <c r="C62" s="10">
        <v>607</v>
      </c>
      <c r="D62" s="10">
        <v>228.77778276801109</v>
      </c>
      <c r="E62" s="10">
        <v>3517</v>
      </c>
      <c r="F62" s="26">
        <f t="shared" si="0"/>
        <v>0.17259027580324141</v>
      </c>
      <c r="G62" s="26">
        <f t="shared" si="1"/>
        <v>0.37689914788799189</v>
      </c>
      <c r="H62" s="26">
        <f t="shared" si="2"/>
        <v>6.5049127883995195E-2</v>
      </c>
      <c r="I62" s="25"/>
      <c r="J62" s="25"/>
      <c r="K62" s="17"/>
      <c r="L62" s="17"/>
      <c r="M62" s="28"/>
      <c r="N62" s="28"/>
      <c r="O62" s="3"/>
      <c r="P62" s="3"/>
      <c r="Q62" s="3"/>
      <c r="R62" s="17"/>
      <c r="S62" s="17"/>
      <c r="T62" s="17"/>
      <c r="U62" s="17"/>
      <c r="V62" s="17"/>
    </row>
    <row r="63" spans="1:22" ht="14.25" customHeight="1">
      <c r="A63" s="9">
        <v>20606</v>
      </c>
      <c r="B63" s="9" t="s">
        <v>88</v>
      </c>
      <c r="C63" s="10">
        <v>603</v>
      </c>
      <c r="D63" s="10">
        <v>214.66667199134827</v>
      </c>
      <c r="E63" s="10">
        <v>7572</v>
      </c>
      <c r="F63" s="26">
        <f t="shared" si="0"/>
        <v>7.9635499207606972E-2</v>
      </c>
      <c r="G63" s="26">
        <f t="shared" si="1"/>
        <v>0.35599779766392747</v>
      </c>
      <c r="H63" s="26">
        <f t="shared" si="2"/>
        <v>2.8350062333775523E-2</v>
      </c>
      <c r="I63" s="25"/>
      <c r="J63" s="25"/>
      <c r="K63" s="17"/>
      <c r="L63" s="17"/>
      <c r="M63" s="28"/>
      <c r="N63" s="28"/>
      <c r="O63" s="3"/>
      <c r="P63" s="3"/>
      <c r="Q63" s="3"/>
      <c r="R63" s="17"/>
      <c r="S63" s="17"/>
      <c r="T63" s="17"/>
      <c r="U63" s="17"/>
      <c r="V63" s="17"/>
    </row>
    <row r="64" spans="1:22" ht="14.25" customHeight="1">
      <c r="A64" s="9">
        <v>20607</v>
      </c>
      <c r="B64" s="9" t="s">
        <v>89</v>
      </c>
      <c r="C64" s="10">
        <v>1190</v>
      </c>
      <c r="D64" s="10">
        <v>442.55556654930115</v>
      </c>
      <c r="E64" s="10">
        <v>20099</v>
      </c>
      <c r="F64" s="26">
        <f t="shared" si="0"/>
        <v>5.9206925717697395E-2</v>
      </c>
      <c r="G64" s="26">
        <f t="shared" si="1"/>
        <v>0.371895434075043</v>
      </c>
      <c r="H64" s="26">
        <f t="shared" si="2"/>
        <v>2.2018785340031901E-2</v>
      </c>
      <c r="I64" s="25"/>
      <c r="J64" s="25"/>
      <c r="K64" s="17"/>
      <c r="L64" s="17"/>
      <c r="M64" s="28"/>
      <c r="N64" s="28"/>
      <c r="O64" s="3"/>
      <c r="P64" s="3"/>
      <c r="Q64" s="3"/>
      <c r="R64" s="17"/>
      <c r="S64" s="17"/>
      <c r="T64" s="17"/>
      <c r="U64" s="17"/>
      <c r="V64" s="17"/>
    </row>
    <row r="65" spans="1:22" ht="14.25" customHeight="1">
      <c r="A65" s="9">
        <v>20608</v>
      </c>
      <c r="B65" s="9" t="s">
        <v>90</v>
      </c>
      <c r="C65" s="10">
        <v>2849</v>
      </c>
      <c r="D65" s="10">
        <v>1071.2222485244274</v>
      </c>
      <c r="E65" s="10">
        <v>12947</v>
      </c>
      <c r="F65" s="26">
        <f t="shared" si="0"/>
        <v>0.22005097706032287</v>
      </c>
      <c r="G65" s="26">
        <f t="shared" si="1"/>
        <v>0.37599938523145926</v>
      </c>
      <c r="H65" s="26">
        <f t="shared" si="2"/>
        <v>8.2739032094263337E-2</v>
      </c>
      <c r="I65" s="25"/>
      <c r="J65" s="25"/>
      <c r="K65" s="17"/>
      <c r="L65" s="17"/>
      <c r="M65" s="28"/>
      <c r="N65" s="28"/>
      <c r="O65" s="3"/>
      <c r="P65" s="3"/>
      <c r="Q65" s="3"/>
      <c r="R65" s="17"/>
      <c r="S65" s="17"/>
      <c r="T65" s="17"/>
      <c r="U65" s="17"/>
      <c r="V65" s="17"/>
    </row>
    <row r="66" spans="1:22" ht="14.25" customHeight="1">
      <c r="A66" s="9">
        <v>20701</v>
      </c>
      <c r="B66" s="9" t="s">
        <v>91</v>
      </c>
      <c r="C66" s="10">
        <v>3942</v>
      </c>
      <c r="D66" s="10">
        <v>1585.0000407397747</v>
      </c>
      <c r="E66" s="10">
        <v>18472</v>
      </c>
      <c r="F66" s="26">
        <f t="shared" si="0"/>
        <v>0.21340407102641837</v>
      </c>
      <c r="G66" s="26">
        <f t="shared" si="1"/>
        <v>0.4020801726889332</v>
      </c>
      <c r="H66" s="26">
        <f t="shared" si="2"/>
        <v>8.5805545730823662E-2</v>
      </c>
      <c r="I66" s="25"/>
      <c r="J66" s="25"/>
      <c r="K66" s="17"/>
      <c r="L66" s="17"/>
      <c r="M66" s="28"/>
      <c r="N66" s="28"/>
      <c r="O66" s="3"/>
      <c r="P66" s="3"/>
      <c r="Q66" s="3"/>
      <c r="R66" s="17"/>
      <c r="S66" s="17"/>
      <c r="T66" s="17"/>
      <c r="U66" s="17"/>
      <c r="V66" s="17"/>
    </row>
    <row r="67" spans="1:22" ht="14.25" customHeight="1">
      <c r="A67" s="9">
        <v>20702</v>
      </c>
      <c r="B67" s="9" t="s">
        <v>92</v>
      </c>
      <c r="C67" s="10">
        <v>1210</v>
      </c>
      <c r="D67" s="10">
        <v>443.00001102685928</v>
      </c>
      <c r="E67" s="10">
        <v>8489</v>
      </c>
      <c r="F67" s="26">
        <f t="shared" si="0"/>
        <v>0.14253740134291437</v>
      </c>
      <c r="G67" s="26">
        <f t="shared" si="1"/>
        <v>0.36611571159244571</v>
      </c>
      <c r="H67" s="26">
        <f t="shared" si="2"/>
        <v>5.2185182121199124E-2</v>
      </c>
      <c r="I67" s="25"/>
      <c r="J67" s="25"/>
      <c r="K67" s="17"/>
      <c r="L67" s="17"/>
      <c r="M67" s="28"/>
      <c r="N67" s="28"/>
      <c r="O67" s="3"/>
      <c r="P67" s="3"/>
      <c r="Q67" s="3"/>
      <c r="R67" s="17"/>
      <c r="S67" s="17"/>
      <c r="T67" s="17"/>
      <c r="U67" s="17"/>
      <c r="V67" s="17"/>
    </row>
    <row r="68" spans="1:22" ht="14.25" customHeight="1">
      <c r="A68" s="9">
        <v>20801</v>
      </c>
      <c r="B68" s="9" t="s">
        <v>93</v>
      </c>
      <c r="C68" s="10">
        <v>6649</v>
      </c>
      <c r="D68" s="10">
        <v>2405.8889497816563</v>
      </c>
      <c r="E68" s="10">
        <v>111001</v>
      </c>
      <c r="F68" s="26">
        <f t="shared" si="0"/>
        <v>5.9900361258006685E-2</v>
      </c>
      <c r="G68" s="26">
        <f t="shared" si="1"/>
        <v>0.36184222436180724</v>
      </c>
      <c r="H68" s="26">
        <f t="shared" si="2"/>
        <v>2.1674479957672962E-2</v>
      </c>
      <c r="I68" s="25"/>
      <c r="J68" s="25"/>
      <c r="K68" s="17"/>
      <c r="L68" s="17"/>
      <c r="M68" s="28"/>
      <c r="N68" s="28"/>
      <c r="O68" s="3"/>
      <c r="P68" s="3"/>
      <c r="Q68" s="3"/>
      <c r="R68" s="17"/>
      <c r="S68" s="17"/>
      <c r="T68" s="17"/>
      <c r="U68" s="17"/>
      <c r="V68" s="17"/>
    </row>
    <row r="69" spans="1:22" ht="14.25" customHeight="1">
      <c r="A69" s="9">
        <v>20802</v>
      </c>
      <c r="B69" s="9" t="s">
        <v>94</v>
      </c>
      <c r="C69" s="10">
        <v>636</v>
      </c>
      <c r="D69" s="10">
        <v>231.11111700534821</v>
      </c>
      <c r="E69" s="10">
        <v>8160</v>
      </c>
      <c r="F69" s="26">
        <f t="shared" si="0"/>
        <v>7.7941176470588236E-2</v>
      </c>
      <c r="G69" s="26">
        <f t="shared" si="1"/>
        <v>0.3633822594423714</v>
      </c>
      <c r="H69" s="26">
        <f t="shared" si="2"/>
        <v>2.8322440809478946E-2</v>
      </c>
      <c r="I69" s="25"/>
      <c r="J69" s="25"/>
      <c r="K69" s="17"/>
      <c r="L69" s="17"/>
      <c r="M69" s="28"/>
      <c r="N69" s="28"/>
      <c r="O69" s="3"/>
      <c r="P69" s="3"/>
      <c r="Q69" s="3"/>
      <c r="R69" s="17"/>
      <c r="S69" s="17"/>
      <c r="T69" s="17"/>
      <c r="U69" s="17"/>
      <c r="V69" s="17"/>
    </row>
    <row r="70" spans="1:22" ht="14.25" customHeight="1">
      <c r="A70" s="9">
        <v>20803</v>
      </c>
      <c r="B70" s="9" t="s">
        <v>95</v>
      </c>
      <c r="C70" s="10">
        <v>2667</v>
      </c>
      <c r="D70" s="10">
        <v>1035.7778027355671</v>
      </c>
      <c r="E70" s="10">
        <v>13621</v>
      </c>
      <c r="F70" s="26">
        <f t="shared" si="0"/>
        <v>0.19580060201159974</v>
      </c>
      <c r="G70" s="26">
        <f t="shared" si="1"/>
        <v>0.38836813000958648</v>
      </c>
      <c r="H70" s="26">
        <f t="shared" si="2"/>
        <v>7.6042713657996266E-2</v>
      </c>
      <c r="I70" s="25"/>
      <c r="J70" s="25"/>
      <c r="K70" s="17"/>
      <c r="L70" s="17"/>
      <c r="M70" s="28"/>
      <c r="N70" s="28"/>
      <c r="O70" s="3"/>
      <c r="P70" s="3"/>
      <c r="Q70" s="3"/>
      <c r="R70" s="17"/>
      <c r="S70" s="17"/>
      <c r="T70" s="17"/>
      <c r="U70" s="17"/>
      <c r="V70" s="17"/>
    </row>
    <row r="71" spans="1:22" ht="14.25" customHeight="1">
      <c r="A71" s="9">
        <v>20804</v>
      </c>
      <c r="B71" s="9" t="s">
        <v>96</v>
      </c>
      <c r="C71" s="10">
        <v>294</v>
      </c>
      <c r="D71" s="10">
        <v>105.88889157772064</v>
      </c>
      <c r="E71" s="10">
        <v>7763</v>
      </c>
      <c r="F71" s="26">
        <f t="shared" si="0"/>
        <v>3.787195671776375E-2</v>
      </c>
      <c r="G71" s="26">
        <f t="shared" si="1"/>
        <v>0.36016629788340354</v>
      </c>
      <c r="H71" s="26">
        <f t="shared" si="2"/>
        <v>1.3640202444637465E-2</v>
      </c>
      <c r="I71" s="25"/>
      <c r="J71" s="25"/>
      <c r="K71" s="17"/>
      <c r="L71" s="17"/>
      <c r="M71" s="28"/>
      <c r="N71" s="28"/>
      <c r="O71" s="3"/>
      <c r="P71" s="3"/>
      <c r="Q71" s="3"/>
      <c r="R71" s="17"/>
      <c r="S71" s="17"/>
      <c r="T71" s="17"/>
      <c r="U71" s="17"/>
      <c r="V71" s="17"/>
    </row>
    <row r="72" spans="1:22" ht="14.25" customHeight="1">
      <c r="A72" s="9">
        <v>20805</v>
      </c>
      <c r="B72" s="9" t="s">
        <v>97</v>
      </c>
      <c r="C72" s="10">
        <v>1221</v>
      </c>
      <c r="D72" s="10">
        <v>450.00001099705696</v>
      </c>
      <c r="E72" s="10">
        <v>7874</v>
      </c>
      <c r="F72" s="26">
        <f t="shared" si="0"/>
        <v>0.15506731013462027</v>
      </c>
      <c r="G72" s="26">
        <f t="shared" si="1"/>
        <v>0.36855037755696723</v>
      </c>
      <c r="H72" s="26">
        <f t="shared" si="2"/>
        <v>5.7150115696857635E-2</v>
      </c>
      <c r="I72" s="25"/>
      <c r="J72" s="25"/>
      <c r="K72" s="17"/>
      <c r="L72" s="17"/>
      <c r="M72" s="28"/>
      <c r="N72" s="28"/>
      <c r="O72" s="3"/>
      <c r="P72" s="3"/>
      <c r="Q72" s="3"/>
      <c r="R72" s="17"/>
      <c r="S72" s="17"/>
      <c r="T72" s="17"/>
      <c r="U72" s="17"/>
      <c r="V72" s="17"/>
    </row>
    <row r="73" spans="1:22" ht="14.25" customHeight="1">
      <c r="A73" s="9">
        <v>20806</v>
      </c>
      <c r="B73" s="9" t="s">
        <v>98</v>
      </c>
      <c r="C73" s="10">
        <v>2091</v>
      </c>
      <c r="D73" s="10">
        <v>768.00001946091652</v>
      </c>
      <c r="E73" s="10">
        <v>16938</v>
      </c>
      <c r="F73" s="26">
        <f t="shared" si="0"/>
        <v>0.12345023025150549</v>
      </c>
      <c r="G73" s="26">
        <f t="shared" si="1"/>
        <v>0.3672883880731308</v>
      </c>
      <c r="H73" s="26">
        <f t="shared" si="2"/>
        <v>4.5341836076332298E-2</v>
      </c>
      <c r="I73" s="25"/>
      <c r="J73" s="25"/>
      <c r="K73" s="17"/>
      <c r="L73" s="17"/>
      <c r="M73" s="28"/>
      <c r="N73" s="28"/>
      <c r="O73" s="3"/>
      <c r="P73" s="3"/>
      <c r="Q73" s="3"/>
      <c r="R73" s="17"/>
      <c r="S73" s="17"/>
      <c r="T73" s="17"/>
      <c r="U73" s="17"/>
      <c r="V73" s="17"/>
    </row>
    <row r="74" spans="1:22" ht="14.25" customHeight="1">
      <c r="A74" s="9">
        <v>20807</v>
      </c>
      <c r="B74" s="9" t="s">
        <v>99</v>
      </c>
      <c r="C74" s="10">
        <v>848</v>
      </c>
      <c r="D74" s="10">
        <v>308.55556309223175</v>
      </c>
      <c r="E74" s="10">
        <v>7450</v>
      </c>
      <c r="F74" s="26">
        <f t="shared" si="0"/>
        <v>0.1138255033557047</v>
      </c>
      <c r="G74" s="26">
        <f t="shared" si="1"/>
        <v>0.36386269232574497</v>
      </c>
      <c r="H74" s="26">
        <f t="shared" si="2"/>
        <v>4.1416854106339829E-2</v>
      </c>
      <c r="I74" s="25"/>
      <c r="J74" s="25"/>
      <c r="K74" s="17"/>
      <c r="L74" s="17"/>
      <c r="M74" s="28"/>
      <c r="N74" s="28"/>
      <c r="O74" s="3"/>
      <c r="P74" s="3"/>
      <c r="Q74" s="3"/>
      <c r="R74" s="17"/>
      <c r="S74" s="17"/>
      <c r="T74" s="17"/>
      <c r="U74" s="17"/>
      <c r="V74" s="17"/>
    </row>
    <row r="75" spans="1:22" ht="14.25" customHeight="1">
      <c r="A75" s="9">
        <v>20901</v>
      </c>
      <c r="B75" s="9" t="s">
        <v>100</v>
      </c>
      <c r="C75" s="10">
        <v>1199</v>
      </c>
      <c r="D75" s="10">
        <v>438.88889992237091</v>
      </c>
      <c r="E75" s="10">
        <v>10652</v>
      </c>
      <c r="F75" s="26">
        <f t="shared" si="0"/>
        <v>0.1125610214044311</v>
      </c>
      <c r="G75" s="26">
        <f t="shared" si="1"/>
        <v>0.36604578809205246</v>
      </c>
      <c r="H75" s="26">
        <f t="shared" si="2"/>
        <v>4.1202487788431365E-2</v>
      </c>
      <c r="I75" s="25"/>
      <c r="J75" s="25"/>
      <c r="K75" s="17"/>
      <c r="L75" s="17"/>
      <c r="M75" s="28"/>
      <c r="N75" s="28"/>
      <c r="O75" s="3"/>
      <c r="P75" s="3"/>
      <c r="Q75" s="3"/>
      <c r="R75" s="17"/>
      <c r="S75" s="17"/>
      <c r="T75" s="17"/>
      <c r="U75" s="17"/>
      <c r="V75" s="17"/>
    </row>
    <row r="76" spans="1:22" ht="14.25" customHeight="1">
      <c r="A76" s="9">
        <v>20902</v>
      </c>
      <c r="B76" s="9" t="s">
        <v>101</v>
      </c>
      <c r="C76" s="10">
        <v>2336</v>
      </c>
      <c r="D76" s="10">
        <v>862.00002184510231</v>
      </c>
      <c r="E76" s="10">
        <v>16475</v>
      </c>
      <c r="F76" s="26">
        <f t="shared" si="0"/>
        <v>0.14179059180576631</v>
      </c>
      <c r="G76" s="26">
        <f t="shared" si="1"/>
        <v>0.36900685866656779</v>
      </c>
      <c r="H76" s="26">
        <f t="shared" si="2"/>
        <v>5.2321700870719412E-2</v>
      </c>
      <c r="I76" s="25"/>
      <c r="J76" s="25"/>
      <c r="K76" s="17"/>
      <c r="L76" s="17"/>
      <c r="M76" s="28"/>
      <c r="N76" s="28"/>
      <c r="O76" s="3"/>
      <c r="P76" s="3"/>
      <c r="Q76" s="3"/>
      <c r="R76" s="17"/>
      <c r="S76" s="17"/>
      <c r="T76" s="17"/>
      <c r="U76" s="17"/>
      <c r="V76" s="17"/>
    </row>
    <row r="77" spans="1:22" ht="14.25" customHeight="1">
      <c r="A77" s="9">
        <v>20903</v>
      </c>
      <c r="B77" s="9" t="s">
        <v>102</v>
      </c>
      <c r="C77" s="10">
        <v>2967</v>
      </c>
      <c r="D77" s="10">
        <v>1130.0000279247761</v>
      </c>
      <c r="E77" s="10">
        <v>12218</v>
      </c>
      <c r="F77" s="26">
        <f t="shared" si="0"/>
        <v>0.24283843509576036</v>
      </c>
      <c r="G77" s="26">
        <f t="shared" si="1"/>
        <v>0.3808560929979023</v>
      </c>
      <c r="H77" s="26">
        <f t="shared" si="2"/>
        <v>9.2486497620295968E-2</v>
      </c>
      <c r="I77" s="25"/>
      <c r="J77" s="25"/>
      <c r="K77" s="17"/>
      <c r="L77" s="17"/>
      <c r="M77" s="28"/>
      <c r="N77" s="28"/>
      <c r="O77" s="3"/>
      <c r="P77" s="3"/>
      <c r="Q77" s="3"/>
      <c r="R77" s="17"/>
      <c r="S77" s="17"/>
      <c r="T77" s="17"/>
      <c r="U77" s="17"/>
      <c r="V77" s="17"/>
    </row>
    <row r="78" spans="1:22" ht="14.25" customHeight="1">
      <c r="A78" s="9">
        <v>20904</v>
      </c>
      <c r="B78" s="9" t="s">
        <v>103</v>
      </c>
      <c r="C78" s="10">
        <v>1169</v>
      </c>
      <c r="D78" s="10">
        <v>442.88890027999878</v>
      </c>
      <c r="E78" s="10">
        <v>5234</v>
      </c>
      <c r="F78" s="26">
        <f t="shared" si="0"/>
        <v>0.22334734428735192</v>
      </c>
      <c r="G78" s="26">
        <f t="shared" si="1"/>
        <v>0.37886133471342925</v>
      </c>
      <c r="H78" s="26">
        <f t="shared" si="2"/>
        <v>8.461767296140596E-2</v>
      </c>
      <c r="I78" s="25"/>
      <c r="J78" s="25"/>
      <c r="K78" s="17"/>
      <c r="L78" s="17"/>
      <c r="M78" s="28"/>
      <c r="N78" s="28"/>
      <c r="O78" s="3"/>
      <c r="P78" s="3"/>
      <c r="Q78" s="3"/>
      <c r="R78" s="17"/>
      <c r="S78" s="17"/>
      <c r="T78" s="17"/>
      <c r="U78" s="17"/>
      <c r="V78" s="17"/>
    </row>
    <row r="79" spans="1:22" ht="14.25" customHeight="1">
      <c r="A79" s="9">
        <v>20905</v>
      </c>
      <c r="B79" s="9" t="s">
        <v>104</v>
      </c>
      <c r="C79" s="10">
        <v>2241</v>
      </c>
      <c r="D79" s="10">
        <v>833.00002029538155</v>
      </c>
      <c r="E79" s="10">
        <v>13565</v>
      </c>
      <c r="F79" s="26">
        <f t="shared" si="0"/>
        <v>0.16520457058606708</v>
      </c>
      <c r="G79" s="26">
        <f t="shared" si="1"/>
        <v>0.37170906751244154</v>
      </c>
      <c r="H79" s="26">
        <f t="shared" si="2"/>
        <v>6.1408036881340319E-2</v>
      </c>
      <c r="I79" s="25"/>
      <c r="J79" s="25"/>
      <c r="K79" s="17"/>
      <c r="L79" s="17"/>
      <c r="M79" s="28"/>
      <c r="N79" s="28"/>
      <c r="O79" s="3"/>
      <c r="P79" s="3"/>
      <c r="Q79" s="3"/>
      <c r="R79" s="17"/>
      <c r="S79" s="17"/>
      <c r="T79" s="17"/>
      <c r="U79" s="17"/>
      <c r="V79" s="17"/>
    </row>
    <row r="80" spans="1:22" ht="14.25" customHeight="1">
      <c r="A80" s="9">
        <v>21001</v>
      </c>
      <c r="B80" s="9" t="s">
        <v>105</v>
      </c>
      <c r="C80" s="10">
        <v>5023</v>
      </c>
      <c r="D80" s="10">
        <v>1892.222267895937</v>
      </c>
      <c r="E80" s="10">
        <v>18648</v>
      </c>
      <c r="F80" s="26">
        <f t="shared" si="0"/>
        <v>0.26935864435864437</v>
      </c>
      <c r="G80" s="26">
        <f t="shared" si="1"/>
        <v>0.37671158030976248</v>
      </c>
      <c r="H80" s="26">
        <f t="shared" si="2"/>
        <v>0.10147052058644021</v>
      </c>
      <c r="I80" s="25"/>
      <c r="J80" s="25"/>
      <c r="K80" s="17"/>
      <c r="L80" s="17"/>
      <c r="M80" s="28"/>
      <c r="N80" s="28"/>
      <c r="O80" s="3"/>
      <c r="P80" s="3"/>
      <c r="Q80" s="3"/>
      <c r="R80" s="17"/>
      <c r="S80" s="17"/>
      <c r="T80" s="17"/>
      <c r="U80" s="17"/>
      <c r="V80" s="17"/>
    </row>
    <row r="81" spans="1:22" ht="14.25" customHeight="1">
      <c r="A81" s="9">
        <v>21002</v>
      </c>
      <c r="B81" s="9" t="s">
        <v>106</v>
      </c>
      <c r="C81" s="10">
        <v>1434</v>
      </c>
      <c r="D81" s="10">
        <v>540.00001281499863</v>
      </c>
      <c r="E81" s="10">
        <v>10118</v>
      </c>
      <c r="F81" s="26">
        <f t="shared" si="0"/>
        <v>0.14172761415299467</v>
      </c>
      <c r="G81" s="26">
        <f t="shared" si="1"/>
        <v>0.37656904659344398</v>
      </c>
      <c r="H81" s="26">
        <f t="shared" si="2"/>
        <v>5.3370232537556704E-2</v>
      </c>
      <c r="I81" s="25"/>
      <c r="J81" s="25"/>
      <c r="K81" s="17"/>
      <c r="L81" s="17"/>
      <c r="M81" s="28"/>
      <c r="N81" s="28"/>
      <c r="O81" s="3"/>
      <c r="P81" s="3"/>
      <c r="Q81" s="3"/>
      <c r="R81" s="17"/>
      <c r="S81" s="17"/>
      <c r="T81" s="17"/>
      <c r="U81" s="17"/>
      <c r="V81" s="17"/>
    </row>
    <row r="82" spans="1:22" ht="14.25" customHeight="1">
      <c r="A82" s="9">
        <v>21003</v>
      </c>
      <c r="B82" s="9" t="s">
        <v>107</v>
      </c>
      <c r="C82" s="10">
        <v>1503</v>
      </c>
      <c r="D82" s="10">
        <v>557.66668021678925</v>
      </c>
      <c r="E82" s="10">
        <v>15424</v>
      </c>
      <c r="F82" s="26">
        <f t="shared" si="0"/>
        <v>9.7445539419087138E-2</v>
      </c>
      <c r="G82" s="26">
        <f t="shared" si="1"/>
        <v>0.37103571538043195</v>
      </c>
      <c r="H82" s="26">
        <f t="shared" si="2"/>
        <v>3.6155775428993078E-2</v>
      </c>
      <c r="I82" s="25"/>
      <c r="J82" s="25"/>
      <c r="K82" s="17"/>
      <c r="L82" s="17"/>
      <c r="M82" s="28"/>
      <c r="N82" s="28"/>
      <c r="O82" s="3"/>
      <c r="P82" s="3"/>
      <c r="Q82" s="3"/>
      <c r="R82" s="17"/>
      <c r="S82" s="17"/>
      <c r="T82" s="17"/>
      <c r="U82" s="17"/>
      <c r="V82" s="17"/>
    </row>
    <row r="83" spans="1:22" ht="14.25" customHeight="1">
      <c r="A83" s="9">
        <v>21004</v>
      </c>
      <c r="B83" s="9" t="s">
        <v>108</v>
      </c>
      <c r="C83" s="10">
        <v>3805</v>
      </c>
      <c r="D83" s="10">
        <v>1403.4444798529148</v>
      </c>
      <c r="E83" s="10">
        <v>23062</v>
      </c>
      <c r="F83" s="26">
        <f t="shared" si="0"/>
        <v>0.16499002688405168</v>
      </c>
      <c r="G83" s="26">
        <f t="shared" si="1"/>
        <v>0.36884217604544411</v>
      </c>
      <c r="H83" s="26">
        <f t="shared" si="2"/>
        <v>6.0855280541709945E-2</v>
      </c>
      <c r="I83" s="25"/>
      <c r="J83" s="25"/>
      <c r="K83" s="17"/>
      <c r="L83" s="17"/>
      <c r="M83" s="28"/>
      <c r="N83" s="28"/>
      <c r="O83" s="3"/>
      <c r="P83" s="3"/>
      <c r="Q83" s="3"/>
      <c r="R83" s="17"/>
      <c r="S83" s="17"/>
      <c r="T83" s="17"/>
      <c r="U83" s="17"/>
      <c r="V83" s="17"/>
    </row>
    <row r="84" spans="1:22" ht="14.25" customHeight="1">
      <c r="A84" s="9">
        <v>21005</v>
      </c>
      <c r="B84" s="9" t="s">
        <v>109</v>
      </c>
      <c r="C84" s="10">
        <v>3624</v>
      </c>
      <c r="D84" s="10">
        <v>1371.0000329315662</v>
      </c>
      <c r="E84" s="10">
        <v>9524</v>
      </c>
      <c r="F84" s="26">
        <f t="shared" si="0"/>
        <v>0.38051238975220497</v>
      </c>
      <c r="G84" s="26">
        <f t="shared" si="1"/>
        <v>0.37831126736522247</v>
      </c>
      <c r="H84" s="26">
        <f t="shared" si="2"/>
        <v>0.14395212441532615</v>
      </c>
      <c r="I84" s="25"/>
      <c r="J84" s="25"/>
      <c r="K84" s="17"/>
      <c r="L84" s="17"/>
      <c r="M84" s="28"/>
      <c r="N84" s="28"/>
      <c r="O84" s="3"/>
      <c r="P84" s="3"/>
      <c r="Q84" s="3"/>
      <c r="R84" s="17"/>
      <c r="S84" s="17"/>
      <c r="T84" s="17"/>
      <c r="U84" s="17"/>
      <c r="V84" s="17"/>
    </row>
    <row r="85" spans="1:22" ht="14.25" customHeight="1">
      <c r="A85" s="9">
        <v>21006</v>
      </c>
      <c r="B85" s="9" t="s">
        <v>110</v>
      </c>
      <c r="C85" s="10">
        <v>1169</v>
      </c>
      <c r="D85" s="10">
        <v>446.0000097155571</v>
      </c>
      <c r="E85" s="10">
        <v>7835</v>
      </c>
      <c r="F85" s="26">
        <f t="shared" si="0"/>
        <v>0.14920229738353541</v>
      </c>
      <c r="G85" s="26">
        <f t="shared" si="1"/>
        <v>0.381522677258817</v>
      </c>
      <c r="H85" s="26">
        <f t="shared" si="2"/>
        <v>5.6924059950932616E-2</v>
      </c>
      <c r="I85" s="25"/>
      <c r="J85" s="25"/>
      <c r="K85" s="17"/>
      <c r="L85" s="17"/>
      <c r="M85" s="28"/>
      <c r="N85" s="28"/>
      <c r="O85" s="3"/>
      <c r="P85" s="3"/>
      <c r="Q85" s="3"/>
      <c r="R85" s="17"/>
      <c r="S85" s="17"/>
      <c r="T85" s="17"/>
      <c r="U85" s="17"/>
      <c r="V85" s="17"/>
    </row>
    <row r="86" spans="1:22" ht="14.25" customHeight="1">
      <c r="A86" s="9">
        <v>21101</v>
      </c>
      <c r="B86" s="9" t="s">
        <v>111</v>
      </c>
      <c r="C86" s="10">
        <v>973</v>
      </c>
      <c r="D86" s="10">
        <v>353.22223180532455</v>
      </c>
      <c r="E86" s="10">
        <v>18121</v>
      </c>
      <c r="F86" s="26">
        <f t="shared" si="0"/>
        <v>5.3694608465316485E-2</v>
      </c>
      <c r="G86" s="26">
        <f t="shared" si="1"/>
        <v>0.36302387647001494</v>
      </c>
      <c r="H86" s="26">
        <f t="shared" si="2"/>
        <v>1.949242491061887E-2</v>
      </c>
      <c r="I86" s="25"/>
      <c r="J86" s="25"/>
      <c r="K86" s="17"/>
      <c r="L86" s="17"/>
      <c r="M86" s="28"/>
      <c r="N86" s="28"/>
      <c r="O86" s="3"/>
      <c r="P86" s="3"/>
      <c r="Q86" s="3"/>
      <c r="R86" s="17"/>
      <c r="S86" s="17"/>
      <c r="T86" s="17"/>
      <c r="U86" s="17"/>
      <c r="V86" s="17"/>
    </row>
    <row r="87" spans="1:22" ht="14.25" customHeight="1">
      <c r="A87" s="9">
        <v>21102</v>
      </c>
      <c r="B87" s="9" t="s">
        <v>112</v>
      </c>
      <c r="C87" s="10">
        <v>2678</v>
      </c>
      <c r="D87" s="10">
        <v>978.11113497614861</v>
      </c>
      <c r="E87" s="10">
        <v>22051</v>
      </c>
      <c r="F87" s="26">
        <f t="shared" si="0"/>
        <v>0.12144573942224843</v>
      </c>
      <c r="G87" s="26">
        <f t="shared" si="1"/>
        <v>0.36523940813149686</v>
      </c>
      <c r="H87" s="26">
        <f t="shared" si="2"/>
        <v>4.4356769986674011E-2</v>
      </c>
      <c r="I87" s="25"/>
      <c r="J87" s="25"/>
      <c r="K87" s="17"/>
      <c r="L87" s="17"/>
      <c r="M87" s="28"/>
      <c r="N87" s="28"/>
      <c r="O87" s="3"/>
      <c r="P87" s="3"/>
      <c r="Q87" s="3"/>
      <c r="R87" s="17"/>
      <c r="S87" s="17"/>
      <c r="T87" s="17"/>
      <c r="U87" s="17"/>
      <c r="V87" s="17"/>
    </row>
    <row r="88" spans="1:22" ht="14.25" customHeight="1">
      <c r="A88" s="9">
        <v>21103</v>
      </c>
      <c r="B88" s="9" t="s">
        <v>113</v>
      </c>
      <c r="C88" s="10">
        <v>422</v>
      </c>
      <c r="D88" s="10">
        <v>150.11111515760422</v>
      </c>
      <c r="E88" s="10">
        <v>7412</v>
      </c>
      <c r="F88" s="26">
        <f t="shared" si="0"/>
        <v>5.6934700485698868E-2</v>
      </c>
      <c r="G88" s="26">
        <f t="shared" si="1"/>
        <v>0.35571354302749814</v>
      </c>
      <c r="H88" s="26">
        <f t="shared" si="2"/>
        <v>2.0252444030977364E-2</v>
      </c>
      <c r="I88" s="25"/>
      <c r="J88" s="25"/>
      <c r="K88" s="17"/>
      <c r="L88" s="17"/>
      <c r="M88" s="28"/>
      <c r="N88" s="28"/>
      <c r="O88" s="3"/>
      <c r="P88" s="3"/>
      <c r="Q88" s="3"/>
      <c r="R88" s="17"/>
      <c r="S88" s="17"/>
      <c r="T88" s="17"/>
      <c r="U88" s="17"/>
      <c r="V88" s="17"/>
    </row>
    <row r="89" spans="1:22" ht="14.25" customHeight="1">
      <c r="A89" s="9">
        <v>21104</v>
      </c>
      <c r="B89" s="9" t="s">
        <v>114</v>
      </c>
      <c r="C89" s="10">
        <v>5776</v>
      </c>
      <c r="D89" s="10">
        <v>2179.8889429867268</v>
      </c>
      <c r="E89" s="10">
        <v>27002</v>
      </c>
      <c r="F89" s="26">
        <f t="shared" si="0"/>
        <v>0.21391008073476039</v>
      </c>
      <c r="G89" s="26">
        <f t="shared" si="1"/>
        <v>0.37740459539243887</v>
      </c>
      <c r="H89" s="26">
        <f t="shared" si="2"/>
        <v>8.0730647470066183E-2</v>
      </c>
      <c r="I89" s="25"/>
      <c r="J89" s="25"/>
      <c r="K89" s="17"/>
      <c r="L89" s="17"/>
      <c r="M89" s="28"/>
      <c r="N89" s="28"/>
      <c r="O89" s="3"/>
      <c r="P89" s="3"/>
      <c r="Q89" s="3"/>
      <c r="R89" s="17"/>
      <c r="S89" s="17"/>
      <c r="T89" s="17"/>
      <c r="U89" s="17"/>
      <c r="V89" s="17"/>
    </row>
    <row r="90" spans="1:22" ht="14.25" customHeight="1">
      <c r="A90" s="9">
        <v>21105</v>
      </c>
      <c r="B90" s="9" t="s">
        <v>115</v>
      </c>
      <c r="C90" s="10">
        <v>8992</v>
      </c>
      <c r="D90" s="10">
        <v>3396.3334143161774</v>
      </c>
      <c r="E90" s="10">
        <v>45262</v>
      </c>
      <c r="F90" s="26">
        <f t="shared" si="0"/>
        <v>0.19866554725818567</v>
      </c>
      <c r="G90" s="26">
        <f t="shared" si="1"/>
        <v>0.37770611814014426</v>
      </c>
      <c r="H90" s="26">
        <f t="shared" si="2"/>
        <v>7.5037192663076693E-2</v>
      </c>
      <c r="I90" s="25"/>
      <c r="J90" s="25"/>
      <c r="K90" s="17"/>
      <c r="L90" s="17"/>
      <c r="M90" s="28"/>
      <c r="N90" s="28"/>
      <c r="O90" s="3"/>
      <c r="P90" s="3"/>
      <c r="Q90" s="3"/>
      <c r="R90" s="17"/>
      <c r="S90" s="17"/>
      <c r="T90" s="17"/>
      <c r="U90" s="17"/>
      <c r="V90" s="17"/>
    </row>
    <row r="91" spans="1:22" ht="14.25" customHeight="1">
      <c r="A91" s="9">
        <v>21201</v>
      </c>
      <c r="B91" s="9" t="s">
        <v>116</v>
      </c>
      <c r="C91" s="10">
        <v>7633</v>
      </c>
      <c r="D91" s="10">
        <v>2816.5556247830391</v>
      </c>
      <c r="E91" s="10">
        <v>49615</v>
      </c>
      <c r="F91" s="26">
        <f t="shared" si="0"/>
        <v>0.15384460344653836</v>
      </c>
      <c r="G91" s="26">
        <f t="shared" si="1"/>
        <v>0.36899719963094968</v>
      </c>
      <c r="H91" s="26">
        <f t="shared" si="2"/>
        <v>5.6768227850106601E-2</v>
      </c>
      <c r="I91" s="25"/>
      <c r="J91" s="25"/>
      <c r="K91" s="17"/>
      <c r="L91" s="17"/>
      <c r="M91" s="28"/>
      <c r="N91" s="28"/>
      <c r="O91" s="3"/>
      <c r="P91" s="3"/>
      <c r="Q91" s="3"/>
      <c r="R91" s="17"/>
      <c r="S91" s="17"/>
      <c r="T91" s="17"/>
      <c r="U91" s="17"/>
      <c r="V91" s="17"/>
    </row>
    <row r="92" spans="1:22" ht="14.25" customHeight="1">
      <c r="A92" s="9">
        <v>21202</v>
      </c>
      <c r="B92" s="9" t="s">
        <v>117</v>
      </c>
      <c r="C92" s="10">
        <v>4992</v>
      </c>
      <c r="D92" s="10">
        <v>1829.5556018948555</v>
      </c>
      <c r="E92" s="10">
        <v>38520</v>
      </c>
      <c r="F92" s="26">
        <f t="shared" si="0"/>
        <v>0.129595015576324</v>
      </c>
      <c r="G92" s="26">
        <f t="shared" si="1"/>
        <v>0.36649751640521944</v>
      </c>
      <c r="H92" s="26">
        <f t="shared" si="2"/>
        <v>4.7496251347218472E-2</v>
      </c>
      <c r="I92" s="25"/>
      <c r="J92" s="25"/>
      <c r="K92" s="17"/>
      <c r="L92" s="17"/>
      <c r="M92" s="28"/>
      <c r="N92" s="28"/>
      <c r="O92" s="3"/>
      <c r="P92" s="3"/>
      <c r="Q92" s="3"/>
      <c r="R92" s="17"/>
      <c r="S92" s="17"/>
      <c r="T92" s="17"/>
      <c r="U92" s="17"/>
      <c r="V92" s="17"/>
    </row>
    <row r="93" spans="1:22" ht="14.25" customHeight="1">
      <c r="A93" s="9">
        <v>21203</v>
      </c>
      <c r="B93" s="9" t="s">
        <v>118</v>
      </c>
      <c r="C93" s="10">
        <v>2660</v>
      </c>
      <c r="D93" s="10">
        <v>976.66669034957886</v>
      </c>
      <c r="E93" s="10">
        <v>20533</v>
      </c>
      <c r="F93" s="26">
        <f t="shared" si="0"/>
        <v>0.12954755759022063</v>
      </c>
      <c r="G93" s="26">
        <f t="shared" si="1"/>
        <v>0.3671679287028492</v>
      </c>
      <c r="H93" s="26">
        <f t="shared" si="2"/>
        <v>4.7565708388914378E-2</v>
      </c>
      <c r="I93" s="25"/>
      <c r="J93" s="25"/>
      <c r="K93" s="17"/>
      <c r="L93" s="17"/>
      <c r="M93" s="28"/>
      <c r="N93" s="28"/>
      <c r="O93" s="3"/>
      <c r="P93" s="3"/>
      <c r="Q93" s="3"/>
      <c r="R93" s="17"/>
      <c r="S93" s="17"/>
      <c r="T93" s="17"/>
      <c r="U93" s="17"/>
      <c r="V93" s="17"/>
    </row>
    <row r="94" spans="1:22" ht="14.25" customHeight="1">
      <c r="A94" s="9">
        <v>21204</v>
      </c>
      <c r="B94" s="9" t="s">
        <v>119</v>
      </c>
      <c r="C94" s="10">
        <v>1155</v>
      </c>
      <c r="D94" s="10">
        <v>421.44445487856865</v>
      </c>
      <c r="E94" s="10">
        <v>7821</v>
      </c>
      <c r="F94" s="26">
        <f t="shared" si="0"/>
        <v>0.14767932489451477</v>
      </c>
      <c r="G94" s="26">
        <f t="shared" si="1"/>
        <v>0.36488697392083863</v>
      </c>
      <c r="H94" s="26">
        <f t="shared" si="2"/>
        <v>5.3886261971431863E-2</v>
      </c>
      <c r="I94" s="25"/>
      <c r="J94" s="25"/>
      <c r="K94" s="17"/>
      <c r="L94" s="17"/>
      <c r="M94" s="28"/>
      <c r="N94" s="28"/>
      <c r="O94" s="3"/>
      <c r="P94" s="3"/>
      <c r="Q94" s="3"/>
      <c r="R94" s="17"/>
      <c r="S94" s="17"/>
      <c r="T94" s="17"/>
      <c r="U94" s="17"/>
      <c r="V94" s="17"/>
    </row>
    <row r="95" spans="1:22" ht="14.25" customHeight="1">
      <c r="A95" s="9">
        <v>21301</v>
      </c>
      <c r="B95" s="9" t="s">
        <v>120</v>
      </c>
      <c r="C95" s="10">
        <v>6022</v>
      </c>
      <c r="D95" s="10">
        <v>2281.2222777307034</v>
      </c>
      <c r="E95" s="10">
        <v>33784</v>
      </c>
      <c r="F95" s="26">
        <f t="shared" si="0"/>
        <v>0.17825005919962111</v>
      </c>
      <c r="G95" s="26">
        <f t="shared" si="1"/>
        <v>0.37881472562781526</v>
      </c>
      <c r="H95" s="26">
        <f t="shared" si="2"/>
        <v>6.7523747268846301E-2</v>
      </c>
      <c r="I95" s="25"/>
      <c r="J95" s="25"/>
      <c r="K95" s="17"/>
      <c r="L95" s="17"/>
      <c r="M95" s="28"/>
      <c r="N95" s="28"/>
      <c r="O95" s="3"/>
      <c r="P95" s="3"/>
      <c r="Q95" s="3"/>
      <c r="R95" s="17"/>
      <c r="S95" s="17"/>
      <c r="T95" s="17"/>
      <c r="U95" s="17"/>
      <c r="V95" s="17"/>
    </row>
    <row r="96" spans="1:22" ht="14.25" customHeight="1">
      <c r="A96" s="9">
        <v>21302</v>
      </c>
      <c r="B96" s="9" t="s">
        <v>121</v>
      </c>
      <c r="C96" s="10">
        <v>1411</v>
      </c>
      <c r="D96" s="10">
        <v>516.66667866706848</v>
      </c>
      <c r="E96" s="10">
        <v>9076</v>
      </c>
      <c r="F96" s="26">
        <f t="shared" si="0"/>
        <v>0.15546496253856323</v>
      </c>
      <c r="G96" s="26">
        <f t="shared" si="1"/>
        <v>0.36617057311627815</v>
      </c>
      <c r="H96" s="26">
        <f t="shared" si="2"/>
        <v>5.6926694432246412E-2</v>
      </c>
      <c r="I96" s="25"/>
      <c r="J96" s="25"/>
      <c r="K96" s="17"/>
      <c r="L96" s="17"/>
      <c r="M96" s="28"/>
      <c r="N96" s="28"/>
      <c r="O96" s="3"/>
      <c r="P96" s="3"/>
      <c r="Q96" s="3"/>
      <c r="R96" s="17"/>
      <c r="S96" s="17"/>
      <c r="T96" s="17"/>
      <c r="U96" s="17"/>
      <c r="V96" s="17"/>
    </row>
    <row r="97" spans="1:22" ht="14.25" customHeight="1">
      <c r="A97" s="9">
        <v>21303</v>
      </c>
      <c r="B97" s="9" t="s">
        <v>122</v>
      </c>
      <c r="C97" s="10">
        <v>2802</v>
      </c>
      <c r="D97" s="10">
        <v>1032.5555811524391</v>
      </c>
      <c r="E97" s="10">
        <v>11242</v>
      </c>
      <c r="F97" s="26">
        <f t="shared" si="0"/>
        <v>0.24924390677815336</v>
      </c>
      <c r="G97" s="26">
        <f t="shared" si="1"/>
        <v>0.36850663138916456</v>
      </c>
      <c r="H97" s="26">
        <f t="shared" si="2"/>
        <v>9.1848032481092259E-2</v>
      </c>
      <c r="I97" s="25"/>
      <c r="J97" s="25"/>
      <c r="K97" s="17"/>
      <c r="L97" s="17"/>
      <c r="M97" s="28"/>
      <c r="N97" s="28"/>
      <c r="O97" s="3"/>
      <c r="P97" s="3"/>
      <c r="Q97" s="3"/>
      <c r="R97" s="17"/>
      <c r="S97" s="17"/>
      <c r="T97" s="17"/>
      <c r="U97" s="17"/>
      <c r="V97" s="17"/>
    </row>
    <row r="98" spans="1:22" ht="14.25" customHeight="1">
      <c r="A98" s="9">
        <v>21304</v>
      </c>
      <c r="B98" s="9" t="s">
        <v>123</v>
      </c>
      <c r="C98" s="10">
        <v>1827</v>
      </c>
      <c r="D98" s="10">
        <v>669.55557307600975</v>
      </c>
      <c r="E98" s="10">
        <v>15249</v>
      </c>
      <c r="F98" s="26">
        <f t="shared" si="0"/>
        <v>0.11981113515640369</v>
      </c>
      <c r="G98" s="26">
        <f t="shared" si="1"/>
        <v>0.36647814618281871</v>
      </c>
      <c r="H98" s="26">
        <f t="shared" si="2"/>
        <v>4.3908162704177967E-2</v>
      </c>
      <c r="I98" s="25"/>
      <c r="J98" s="25"/>
      <c r="K98" s="17"/>
      <c r="L98" s="17"/>
      <c r="M98" s="28"/>
      <c r="N98" s="28"/>
      <c r="O98" s="3"/>
      <c r="P98" s="3"/>
      <c r="Q98" s="3"/>
      <c r="R98" s="17"/>
      <c r="S98" s="17"/>
      <c r="T98" s="17"/>
      <c r="U98" s="17"/>
      <c r="V98" s="17"/>
    </row>
    <row r="99" spans="1:22" ht="14.25" customHeight="1">
      <c r="A99" s="9">
        <v>21305</v>
      </c>
      <c r="B99" s="9" t="s">
        <v>124</v>
      </c>
      <c r="C99" s="10">
        <v>2581</v>
      </c>
      <c r="D99" s="10">
        <v>938.2222458422184</v>
      </c>
      <c r="E99" s="10">
        <v>24462</v>
      </c>
      <c r="F99" s="26">
        <f t="shared" si="0"/>
        <v>0.10551058785054369</v>
      </c>
      <c r="G99" s="26">
        <f t="shared" si="1"/>
        <v>0.36351113748245578</v>
      </c>
      <c r="H99" s="26">
        <f t="shared" si="2"/>
        <v>3.8354273805993717E-2</v>
      </c>
      <c r="I99" s="25"/>
      <c r="J99" s="25"/>
      <c r="K99" s="17"/>
      <c r="L99" s="17"/>
      <c r="M99" s="28"/>
      <c r="N99" s="28"/>
      <c r="O99" s="3"/>
      <c r="P99" s="3"/>
      <c r="Q99" s="3"/>
      <c r="R99" s="17"/>
      <c r="S99" s="17"/>
      <c r="T99" s="17"/>
      <c r="U99" s="17"/>
      <c r="V99" s="17"/>
    </row>
    <row r="100" spans="1:22" ht="14.25" customHeight="1">
      <c r="A100" s="9">
        <v>21306</v>
      </c>
      <c r="B100" s="9" t="s">
        <v>125</v>
      </c>
      <c r="C100" s="10">
        <v>1603</v>
      </c>
      <c r="D100" s="10">
        <v>590.11112529039383</v>
      </c>
      <c r="E100" s="10">
        <v>12468</v>
      </c>
      <c r="F100" s="26">
        <f t="shared" si="0"/>
        <v>0.12856913699069619</v>
      </c>
      <c r="G100" s="26">
        <f t="shared" si="1"/>
        <v>0.36812921103580404</v>
      </c>
      <c r="H100" s="26">
        <f t="shared" si="2"/>
        <v>4.7330054963939196E-2</v>
      </c>
      <c r="I100" s="25"/>
      <c r="J100" s="25"/>
      <c r="K100" s="17"/>
      <c r="L100" s="17"/>
      <c r="M100" s="28"/>
      <c r="N100" s="28"/>
      <c r="O100" s="3"/>
      <c r="P100" s="3"/>
      <c r="Q100" s="3"/>
      <c r="R100" s="17"/>
      <c r="S100" s="17"/>
      <c r="T100" s="17"/>
      <c r="U100" s="17"/>
      <c r="V100" s="17"/>
    </row>
    <row r="101" spans="1:22" ht="14.25" customHeight="1">
      <c r="A101" s="9">
        <v>21307</v>
      </c>
      <c r="B101" s="9" t="s">
        <v>126</v>
      </c>
      <c r="C101" s="10">
        <v>573</v>
      </c>
      <c r="D101" s="10">
        <v>216.6666721701622</v>
      </c>
      <c r="E101" s="10">
        <v>5507</v>
      </c>
      <c r="F101" s="26">
        <f t="shared" si="0"/>
        <v>0.10404939168331215</v>
      </c>
      <c r="G101" s="26">
        <f t="shared" si="1"/>
        <v>0.37812682752209809</v>
      </c>
      <c r="H101" s="26">
        <f t="shared" si="2"/>
        <v>3.9343866382815E-2</v>
      </c>
      <c r="I101" s="25"/>
      <c r="J101" s="25"/>
      <c r="K101" s="17"/>
      <c r="L101" s="17"/>
      <c r="M101" s="28"/>
      <c r="N101" s="28"/>
      <c r="O101" s="3"/>
      <c r="P101" s="3"/>
      <c r="Q101" s="3"/>
      <c r="R101" s="17"/>
      <c r="S101" s="17"/>
      <c r="T101" s="17"/>
      <c r="U101" s="17"/>
      <c r="V101" s="17"/>
    </row>
    <row r="102" spans="1:22" ht="14.25" customHeight="1">
      <c r="A102" s="9">
        <v>21401</v>
      </c>
      <c r="B102" s="9" t="s">
        <v>127</v>
      </c>
      <c r="C102" s="10">
        <v>2962</v>
      </c>
      <c r="D102" s="10">
        <v>1070.7778042554855</v>
      </c>
      <c r="E102" s="10">
        <v>26606</v>
      </c>
      <c r="F102" s="26">
        <f t="shared" si="0"/>
        <v>0.11132827181838684</v>
      </c>
      <c r="G102" s="26">
        <f t="shared" si="1"/>
        <v>0.36150499806059605</v>
      </c>
      <c r="H102" s="26">
        <f t="shared" si="2"/>
        <v>4.0245726687795441E-2</v>
      </c>
      <c r="I102" s="25"/>
      <c r="J102" s="25"/>
      <c r="K102" s="17"/>
      <c r="L102" s="17"/>
      <c r="M102" s="28"/>
      <c r="N102" s="28"/>
      <c r="O102" s="3"/>
      <c r="P102" s="3"/>
      <c r="Q102" s="3"/>
      <c r="R102" s="17"/>
      <c r="S102" s="17"/>
      <c r="T102" s="17"/>
      <c r="U102" s="17"/>
      <c r="V102" s="17"/>
    </row>
    <row r="103" spans="1:22" ht="14.25" customHeight="1">
      <c r="A103" s="9">
        <v>21402</v>
      </c>
      <c r="B103" s="9" t="s">
        <v>128</v>
      </c>
      <c r="C103" s="10">
        <v>1271</v>
      </c>
      <c r="D103" s="10">
        <v>462.22223433852196</v>
      </c>
      <c r="E103" s="10">
        <v>22924</v>
      </c>
      <c r="F103" s="26">
        <f t="shared" si="0"/>
        <v>5.5444076077473391E-2</v>
      </c>
      <c r="G103" s="26">
        <f t="shared" si="1"/>
        <v>0.36366816234344762</v>
      </c>
      <c r="H103" s="26">
        <f t="shared" si="2"/>
        <v>2.0163245259925053E-2</v>
      </c>
      <c r="I103" s="25"/>
      <c r="J103" s="25"/>
      <c r="K103" s="17"/>
      <c r="L103" s="17"/>
      <c r="M103" s="28"/>
      <c r="N103" s="28"/>
      <c r="O103" s="3"/>
      <c r="P103" s="3"/>
      <c r="Q103" s="3"/>
      <c r="R103" s="17"/>
      <c r="S103" s="17"/>
      <c r="T103" s="17"/>
      <c r="U103" s="17"/>
      <c r="V103" s="17"/>
    </row>
    <row r="104" spans="1:22" ht="14.25" customHeight="1">
      <c r="A104" s="9">
        <v>21501</v>
      </c>
      <c r="B104" s="9" t="s">
        <v>129</v>
      </c>
      <c r="C104" s="10">
        <v>2673</v>
      </c>
      <c r="D104" s="10">
        <v>1072.6666924357414</v>
      </c>
      <c r="E104" s="10">
        <v>11330</v>
      </c>
      <c r="F104" s="26">
        <f t="shared" si="0"/>
        <v>0.23592233009708738</v>
      </c>
      <c r="G104" s="26">
        <f t="shared" si="1"/>
        <v>0.40129692945594514</v>
      </c>
      <c r="H104" s="26">
        <f t="shared" si="2"/>
        <v>9.4674906658053073E-2</v>
      </c>
      <c r="I104" s="25"/>
      <c r="J104" s="25"/>
      <c r="K104" s="17"/>
      <c r="L104" s="17"/>
      <c r="M104" s="28"/>
      <c r="N104" s="28"/>
      <c r="O104" s="3"/>
      <c r="P104" s="3"/>
      <c r="Q104" s="3"/>
      <c r="R104" s="17"/>
      <c r="S104" s="17"/>
      <c r="T104" s="17"/>
      <c r="U104" s="17"/>
      <c r="V104" s="17"/>
    </row>
    <row r="105" spans="1:22" ht="14.25" customHeight="1">
      <c r="A105" s="9">
        <v>21502</v>
      </c>
      <c r="B105" s="9" t="s">
        <v>130</v>
      </c>
      <c r="C105" s="10">
        <v>934</v>
      </c>
      <c r="D105" s="10">
        <v>375.77778619527817</v>
      </c>
      <c r="E105" s="10">
        <v>9644</v>
      </c>
      <c r="F105" s="26">
        <f t="shared" si="0"/>
        <v>9.6847781003732897E-2</v>
      </c>
      <c r="G105" s="26">
        <f t="shared" si="1"/>
        <v>0.40233167686860616</v>
      </c>
      <c r="H105" s="26">
        <f t="shared" si="2"/>
        <v>3.8964930132235398E-2</v>
      </c>
      <c r="I105" s="25"/>
      <c r="J105" s="25"/>
      <c r="K105" s="17"/>
      <c r="L105" s="17"/>
      <c r="M105" s="28"/>
      <c r="N105" s="28"/>
      <c r="O105" s="3"/>
      <c r="P105" s="3"/>
      <c r="Q105" s="3"/>
      <c r="R105" s="17"/>
      <c r="S105" s="17"/>
      <c r="T105" s="17"/>
      <c r="U105" s="17"/>
      <c r="V105" s="17"/>
    </row>
    <row r="106" spans="1:22" ht="14.25" customHeight="1">
      <c r="A106" s="9">
        <v>21601</v>
      </c>
      <c r="B106" s="9" t="s">
        <v>131</v>
      </c>
      <c r="C106" s="10">
        <v>3315</v>
      </c>
      <c r="D106" s="10">
        <v>1296.444477468729</v>
      </c>
      <c r="E106" s="10">
        <v>15649</v>
      </c>
      <c r="F106" s="26">
        <f t="shared" si="0"/>
        <v>0.2118346220205764</v>
      </c>
      <c r="G106" s="26">
        <f t="shared" si="1"/>
        <v>0.3910843069287267</v>
      </c>
      <c r="H106" s="26">
        <f t="shared" si="2"/>
        <v>8.2845196336425911E-2</v>
      </c>
      <c r="I106" s="25"/>
      <c r="J106" s="25"/>
      <c r="K106" s="17"/>
      <c r="L106" s="17"/>
      <c r="M106" s="28"/>
      <c r="N106" s="28"/>
      <c r="O106" s="3"/>
      <c r="P106" s="3"/>
      <c r="Q106" s="3"/>
      <c r="R106" s="17"/>
      <c r="S106" s="17"/>
      <c r="T106" s="17"/>
      <c r="U106" s="17"/>
      <c r="V106" s="17"/>
    </row>
    <row r="107" spans="1:22" ht="14.25" customHeight="1">
      <c r="A107" s="9">
        <v>21602</v>
      </c>
      <c r="B107" s="9" t="s">
        <v>132</v>
      </c>
      <c r="C107" s="10">
        <v>1918</v>
      </c>
      <c r="D107" s="10">
        <v>806.00001952052116</v>
      </c>
      <c r="E107" s="10">
        <v>6574</v>
      </c>
      <c r="F107" s="26">
        <f t="shared" si="0"/>
        <v>0.29175540006084577</v>
      </c>
      <c r="G107" s="26">
        <f t="shared" si="1"/>
        <v>0.42022941580840517</v>
      </c>
      <c r="H107" s="26">
        <f t="shared" si="2"/>
        <v>0.12260420132651675</v>
      </c>
      <c r="I107" s="25"/>
      <c r="J107" s="25"/>
      <c r="K107" s="17"/>
      <c r="L107" s="17"/>
      <c r="M107" s="28"/>
      <c r="N107" s="28"/>
      <c r="O107" s="3"/>
      <c r="P107" s="3"/>
      <c r="Q107" s="3"/>
      <c r="R107" s="17"/>
      <c r="S107" s="17"/>
      <c r="T107" s="17"/>
      <c r="U107" s="17"/>
      <c r="V107" s="17"/>
    </row>
    <row r="108" spans="1:22" ht="14.25" customHeight="1">
      <c r="A108" s="9">
        <v>21701</v>
      </c>
      <c r="B108" s="9" t="s">
        <v>133</v>
      </c>
      <c r="C108" s="10">
        <v>2071</v>
      </c>
      <c r="D108" s="10">
        <v>761.88890838623047</v>
      </c>
      <c r="E108" s="10">
        <v>17215</v>
      </c>
      <c r="F108" s="26">
        <f t="shared" si="0"/>
        <v>0.1203020621550973</v>
      </c>
      <c r="G108" s="26">
        <f t="shared" si="1"/>
        <v>0.36788455257664437</v>
      </c>
      <c r="H108" s="26">
        <f t="shared" si="2"/>
        <v>4.425727030997563E-2</v>
      </c>
      <c r="I108" s="25"/>
      <c r="J108" s="25"/>
      <c r="K108" s="17"/>
      <c r="L108" s="17"/>
      <c r="M108" s="28"/>
      <c r="N108" s="28"/>
      <c r="O108" s="3"/>
      <c r="P108" s="3"/>
      <c r="Q108" s="3"/>
      <c r="R108" s="17"/>
      <c r="S108" s="17"/>
      <c r="T108" s="17"/>
      <c r="U108" s="17"/>
      <c r="V108" s="17"/>
    </row>
    <row r="109" spans="1:22" ht="14.25" customHeight="1">
      <c r="A109" s="9">
        <v>21702</v>
      </c>
      <c r="B109" s="9" t="s">
        <v>134</v>
      </c>
      <c r="C109" s="10">
        <v>921</v>
      </c>
      <c r="D109" s="10">
        <v>331.2222306728363</v>
      </c>
      <c r="E109" s="10">
        <v>8807</v>
      </c>
      <c r="F109" s="26">
        <f t="shared" si="0"/>
        <v>0.10457590552969229</v>
      </c>
      <c r="G109" s="26">
        <f t="shared" si="1"/>
        <v>0.35963325805953994</v>
      </c>
      <c r="H109" s="26">
        <f t="shared" si="2"/>
        <v>3.7608973620169898E-2</v>
      </c>
      <c r="I109" s="25"/>
      <c r="J109" s="25"/>
      <c r="K109" s="17"/>
      <c r="L109" s="17"/>
      <c r="M109" s="28"/>
      <c r="N109" s="28"/>
      <c r="O109" s="3"/>
      <c r="P109" s="3"/>
      <c r="Q109" s="3"/>
      <c r="R109" s="17"/>
      <c r="S109" s="17"/>
      <c r="T109" s="17"/>
      <c r="U109" s="17"/>
      <c r="V109" s="17"/>
    </row>
    <row r="110" spans="1:22" ht="14.25" customHeight="1">
      <c r="A110" s="9">
        <v>21703</v>
      </c>
      <c r="B110" s="9" t="s">
        <v>135</v>
      </c>
      <c r="C110" s="10">
        <v>1749</v>
      </c>
      <c r="D110" s="10">
        <v>660.55557233095169</v>
      </c>
      <c r="E110" s="10">
        <v>7327</v>
      </c>
      <c r="F110" s="26">
        <f t="shared" si="0"/>
        <v>0.23870615531595468</v>
      </c>
      <c r="G110" s="26">
        <f t="shared" si="1"/>
        <v>0.37767614198453497</v>
      </c>
      <c r="H110" s="26">
        <f t="shared" si="2"/>
        <v>9.015361980769096E-2</v>
      </c>
      <c r="I110" s="25"/>
      <c r="J110" s="25"/>
      <c r="K110" s="17"/>
      <c r="L110" s="17"/>
      <c r="M110" s="28"/>
      <c r="N110" s="28"/>
      <c r="O110" s="3"/>
      <c r="P110" s="3"/>
      <c r="Q110" s="3"/>
      <c r="R110" s="17"/>
      <c r="S110" s="17"/>
      <c r="T110" s="17"/>
      <c r="U110" s="17"/>
      <c r="V110" s="17"/>
    </row>
    <row r="111" spans="1:22" ht="14.25" customHeight="1">
      <c r="A111" s="9">
        <v>21801</v>
      </c>
      <c r="B111" s="9" t="s">
        <v>136</v>
      </c>
      <c r="C111" s="10">
        <v>1864</v>
      </c>
      <c r="D111" s="10">
        <v>685.88890552520752</v>
      </c>
      <c r="E111" s="10">
        <v>9203</v>
      </c>
      <c r="F111" s="26">
        <f t="shared" si="0"/>
        <v>0.20254264913615125</v>
      </c>
      <c r="G111" s="26">
        <f t="shared" si="1"/>
        <v>0.36796615103283664</v>
      </c>
      <c r="H111" s="26">
        <f t="shared" si="2"/>
        <v>7.4528839022623874E-2</v>
      </c>
      <c r="I111" s="25"/>
      <c r="J111" s="25"/>
      <c r="K111" s="17"/>
      <c r="L111" s="17"/>
      <c r="M111" s="28"/>
      <c r="N111" s="28"/>
      <c r="O111" s="3"/>
      <c r="P111" s="3"/>
      <c r="Q111" s="3"/>
      <c r="R111" s="17"/>
      <c r="S111" s="17"/>
      <c r="T111" s="17"/>
      <c r="U111" s="17"/>
      <c r="V111" s="17"/>
    </row>
    <row r="112" spans="1:22" ht="14.25" customHeight="1">
      <c r="A112" s="9">
        <v>21802</v>
      </c>
      <c r="B112" s="9" t="s">
        <v>137</v>
      </c>
      <c r="C112" s="10">
        <v>869</v>
      </c>
      <c r="D112" s="10">
        <v>310.55556330084801</v>
      </c>
      <c r="E112" s="10">
        <v>6641</v>
      </c>
      <c r="F112" s="26">
        <f t="shared" si="0"/>
        <v>0.13085378708025899</v>
      </c>
      <c r="G112" s="26">
        <f t="shared" si="1"/>
        <v>0.35737118906887</v>
      </c>
      <c r="H112" s="26">
        <f t="shared" si="2"/>
        <v>4.6763373483036892E-2</v>
      </c>
      <c r="I112" s="25"/>
      <c r="J112" s="25"/>
      <c r="K112" s="17"/>
      <c r="L112" s="17"/>
      <c r="M112" s="28"/>
      <c r="N112" s="28"/>
      <c r="O112" s="3"/>
      <c r="P112" s="3"/>
      <c r="Q112" s="3"/>
      <c r="R112" s="17"/>
      <c r="S112" s="17"/>
      <c r="T112" s="17"/>
      <c r="U112" s="17"/>
      <c r="V112" s="17"/>
    </row>
    <row r="113" spans="1:22" ht="14.25" customHeight="1">
      <c r="A113" s="9">
        <v>21803</v>
      </c>
      <c r="B113" s="9" t="s">
        <v>138</v>
      </c>
      <c r="C113" s="10">
        <v>509</v>
      </c>
      <c r="D113" s="10">
        <v>182.55556046962738</v>
      </c>
      <c r="E113" s="10">
        <v>2048</v>
      </c>
      <c r="F113" s="26">
        <f t="shared" si="0"/>
        <v>0.24853515625</v>
      </c>
      <c r="G113" s="26">
        <f t="shared" si="1"/>
        <v>0.35865532508767656</v>
      </c>
      <c r="H113" s="26">
        <f t="shared" si="2"/>
        <v>8.9138457260560244E-2</v>
      </c>
      <c r="I113" s="25"/>
      <c r="J113" s="25"/>
      <c r="K113" s="17"/>
      <c r="L113" s="17"/>
      <c r="M113" s="28"/>
      <c r="N113" s="28"/>
      <c r="O113" s="3"/>
      <c r="P113" s="3"/>
      <c r="Q113" s="3"/>
      <c r="R113" s="17"/>
      <c r="S113" s="17"/>
      <c r="T113" s="17"/>
      <c r="U113" s="17"/>
      <c r="V113" s="17"/>
    </row>
    <row r="114" spans="1:22" ht="14.25" customHeight="1">
      <c r="A114" s="9">
        <v>21901</v>
      </c>
      <c r="B114" s="9" t="s">
        <v>139</v>
      </c>
      <c r="C114" s="10">
        <v>1080</v>
      </c>
      <c r="D114" s="10">
        <v>396.55556538701057</v>
      </c>
      <c r="E114" s="10">
        <v>6774</v>
      </c>
      <c r="F114" s="26">
        <f t="shared" si="0"/>
        <v>0.15943312666076173</v>
      </c>
      <c r="G114" s="26">
        <f t="shared" si="1"/>
        <v>0.36718107906204683</v>
      </c>
      <c r="H114" s="26">
        <f t="shared" si="2"/>
        <v>5.8540827485534477E-2</v>
      </c>
      <c r="I114" s="25"/>
      <c r="J114" s="25"/>
      <c r="K114" s="17"/>
      <c r="L114" s="17"/>
      <c r="M114" s="28"/>
      <c r="N114" s="28"/>
      <c r="O114" s="3"/>
      <c r="P114" s="3"/>
      <c r="Q114" s="3"/>
      <c r="R114" s="17"/>
      <c r="S114" s="17"/>
      <c r="T114" s="17"/>
      <c r="U114" s="17"/>
      <c r="V114" s="17"/>
    </row>
    <row r="115" spans="1:22" ht="14.25" customHeight="1">
      <c r="A115" s="9">
        <v>21902</v>
      </c>
      <c r="B115" s="9" t="s">
        <v>140</v>
      </c>
      <c r="C115" s="10">
        <v>911</v>
      </c>
      <c r="D115" s="10">
        <v>341.55556350946426</v>
      </c>
      <c r="E115" s="10">
        <v>5335</v>
      </c>
      <c r="F115" s="26">
        <f t="shared" si="0"/>
        <v>0.17075913776944704</v>
      </c>
      <c r="G115" s="26">
        <f t="shared" si="1"/>
        <v>0.37492377992257331</v>
      </c>
      <c r="H115" s="26">
        <f t="shared" si="2"/>
        <v>6.4021661388840537E-2</v>
      </c>
      <c r="I115" s="25"/>
      <c r="J115" s="25"/>
      <c r="K115" s="17"/>
      <c r="L115" s="17"/>
      <c r="M115" s="28"/>
      <c r="N115" s="28"/>
      <c r="O115" s="3"/>
      <c r="P115" s="3"/>
      <c r="Q115" s="3"/>
      <c r="R115" s="17"/>
      <c r="S115" s="17"/>
      <c r="T115" s="17"/>
      <c r="U115" s="17"/>
      <c r="V115" s="17"/>
    </row>
    <row r="116" spans="1:22" ht="14.25" customHeight="1">
      <c r="A116" s="9">
        <v>22001</v>
      </c>
      <c r="B116" s="9" t="s">
        <v>141</v>
      </c>
      <c r="C116" s="10">
        <v>6905</v>
      </c>
      <c r="D116" s="10">
        <v>2584.6667311787605</v>
      </c>
      <c r="E116" s="10">
        <v>57985</v>
      </c>
      <c r="F116" s="26">
        <f t="shared" si="0"/>
        <v>0.11908252134172631</v>
      </c>
      <c r="G116" s="26">
        <f t="shared" si="1"/>
        <v>0.37431813630394795</v>
      </c>
      <c r="H116" s="26">
        <f t="shared" si="2"/>
        <v>4.4574747455010097E-2</v>
      </c>
      <c r="I116" s="25"/>
      <c r="J116" s="25"/>
      <c r="K116" s="17"/>
      <c r="L116" s="17"/>
      <c r="M116" s="28"/>
      <c r="N116" s="28"/>
      <c r="O116" s="3"/>
      <c r="P116" s="3"/>
      <c r="Q116" s="3"/>
      <c r="R116" s="17"/>
      <c r="S116" s="17"/>
      <c r="T116" s="17"/>
      <c r="U116" s="17"/>
      <c r="V116" s="17"/>
    </row>
    <row r="117" spans="1:22" ht="14.25" customHeight="1">
      <c r="A117" s="9">
        <v>22002</v>
      </c>
      <c r="B117" s="9" t="s">
        <v>142</v>
      </c>
      <c r="C117" s="10">
        <v>2486</v>
      </c>
      <c r="D117" s="10">
        <v>934.33335691690445</v>
      </c>
      <c r="E117" s="10">
        <v>10435</v>
      </c>
      <c r="F117" s="26">
        <f t="shared" si="0"/>
        <v>0.23823670340201245</v>
      </c>
      <c r="G117" s="26">
        <f t="shared" si="1"/>
        <v>0.37583803576705732</v>
      </c>
      <c r="H117" s="26">
        <f t="shared" si="2"/>
        <v>8.9538414654231374E-2</v>
      </c>
      <c r="I117" s="25"/>
      <c r="J117" s="25"/>
      <c r="K117" s="17"/>
      <c r="L117" s="17"/>
      <c r="M117" s="28"/>
      <c r="N117" s="28"/>
      <c r="O117" s="3"/>
      <c r="P117" s="3"/>
      <c r="Q117" s="3"/>
      <c r="R117" s="17"/>
      <c r="S117" s="17"/>
      <c r="T117" s="17"/>
      <c r="U117" s="17"/>
      <c r="V117" s="17"/>
    </row>
    <row r="118" spans="1:22" ht="14.25" customHeight="1">
      <c r="A118" s="9">
        <v>30101</v>
      </c>
      <c r="B118" s="9" t="s">
        <v>16</v>
      </c>
      <c r="C118" s="10">
        <v>39149</v>
      </c>
      <c r="D118" s="10">
        <v>13940.222585201263</v>
      </c>
      <c r="E118" s="10">
        <v>652155</v>
      </c>
      <c r="F118" s="26">
        <f t="shared" si="0"/>
        <v>6.0030207542685406E-2</v>
      </c>
      <c r="G118" s="26">
        <f t="shared" si="1"/>
        <v>0.35608119198961052</v>
      </c>
      <c r="H118" s="26">
        <f t="shared" si="2"/>
        <v>2.1375627857183128E-2</v>
      </c>
      <c r="I118" s="25"/>
      <c r="J118" s="25"/>
      <c r="K118" s="17"/>
      <c r="L118" s="17"/>
      <c r="M118" s="28"/>
      <c r="N118" s="28"/>
      <c r="O118" s="3"/>
      <c r="P118" s="3"/>
      <c r="Q118" s="3"/>
      <c r="R118" s="17"/>
      <c r="S118" s="17"/>
      <c r="T118" s="17"/>
      <c r="U118" s="17"/>
      <c r="V118" s="17"/>
    </row>
    <row r="119" spans="1:22" ht="14.25" customHeight="1">
      <c r="A119" s="9">
        <v>30201</v>
      </c>
      <c r="B119" s="9" t="s">
        <v>143</v>
      </c>
      <c r="C119" s="10">
        <v>4488</v>
      </c>
      <c r="D119" s="10">
        <v>1756.555599540472</v>
      </c>
      <c r="E119" s="10">
        <v>22902</v>
      </c>
      <c r="F119" s="26">
        <f t="shared" si="0"/>
        <v>0.19596541786743515</v>
      </c>
      <c r="G119" s="26">
        <f t="shared" si="1"/>
        <v>0.39138939383700355</v>
      </c>
      <c r="H119" s="26">
        <f t="shared" si="2"/>
        <v>7.6698786112150544E-2</v>
      </c>
      <c r="I119" s="25"/>
      <c r="J119" s="25"/>
      <c r="K119" s="17"/>
      <c r="L119" s="17"/>
      <c r="M119" s="28"/>
      <c r="N119" s="28"/>
      <c r="O119" s="3"/>
      <c r="P119" s="3"/>
      <c r="Q119" s="3"/>
      <c r="R119" s="17"/>
      <c r="S119" s="17"/>
      <c r="T119" s="17"/>
      <c r="U119" s="17"/>
      <c r="V119" s="17"/>
    </row>
    <row r="120" spans="1:22" ht="14.25" customHeight="1">
      <c r="A120" s="9">
        <v>30202</v>
      </c>
      <c r="B120" s="9" t="s">
        <v>144</v>
      </c>
      <c r="C120" s="10">
        <v>969</v>
      </c>
      <c r="D120" s="10">
        <v>363.77778667211533</v>
      </c>
      <c r="E120" s="10">
        <v>6414</v>
      </c>
      <c r="F120" s="26">
        <f t="shared" si="0"/>
        <v>0.1510757717492984</v>
      </c>
      <c r="G120" s="26">
        <f t="shared" si="1"/>
        <v>0.37541567252024283</v>
      </c>
      <c r="H120" s="26">
        <f t="shared" si="2"/>
        <v>5.671621245277756E-2</v>
      </c>
      <c r="I120" s="25"/>
      <c r="J120" s="25"/>
      <c r="K120" s="17"/>
      <c r="L120" s="17"/>
      <c r="M120" s="28"/>
      <c r="N120" s="28"/>
      <c r="O120" s="3"/>
      <c r="P120" s="3"/>
      <c r="Q120" s="3"/>
      <c r="R120" s="17"/>
      <c r="S120" s="17"/>
      <c r="T120" s="17"/>
      <c r="U120" s="17"/>
      <c r="V120" s="17"/>
    </row>
    <row r="121" spans="1:22" ht="14.25" customHeight="1">
      <c r="A121" s="9">
        <v>30203</v>
      </c>
      <c r="B121" s="9" t="s">
        <v>145</v>
      </c>
      <c r="C121" s="10">
        <v>638</v>
      </c>
      <c r="D121" s="10">
        <v>241.33333909511566</v>
      </c>
      <c r="E121" s="10">
        <v>6678</v>
      </c>
      <c r="F121" s="26">
        <f t="shared" si="0"/>
        <v>9.5537586103623839E-2</v>
      </c>
      <c r="G121" s="26">
        <f t="shared" si="1"/>
        <v>0.37826542177917816</v>
      </c>
      <c r="H121" s="26">
        <f t="shared" si="2"/>
        <v>3.6138565303251824E-2</v>
      </c>
      <c r="I121" s="25"/>
      <c r="J121" s="25"/>
      <c r="K121" s="17"/>
      <c r="L121" s="17"/>
      <c r="M121" s="28"/>
      <c r="N121" s="28"/>
      <c r="O121" s="3"/>
      <c r="P121" s="3"/>
      <c r="Q121" s="3"/>
      <c r="R121" s="17"/>
      <c r="S121" s="17"/>
      <c r="T121" s="17"/>
      <c r="U121" s="17"/>
      <c r="V121" s="17"/>
    </row>
    <row r="122" spans="1:22" ht="14.25" customHeight="1">
      <c r="A122" s="9">
        <v>30301</v>
      </c>
      <c r="B122" s="9" t="s">
        <v>146</v>
      </c>
      <c r="C122" s="10">
        <v>5760</v>
      </c>
      <c r="D122" s="10">
        <v>2252.0000586509705</v>
      </c>
      <c r="E122" s="10">
        <v>21691</v>
      </c>
      <c r="F122" s="26">
        <f t="shared" si="0"/>
        <v>0.26554792310174724</v>
      </c>
      <c r="G122" s="26">
        <f t="shared" si="1"/>
        <v>0.39097223240468237</v>
      </c>
      <c r="H122" s="26">
        <f t="shared" si="2"/>
        <v>0.10382186430551704</v>
      </c>
      <c r="I122" s="25"/>
      <c r="J122" s="25"/>
      <c r="K122" s="17"/>
      <c r="L122" s="17"/>
      <c r="M122" s="28"/>
      <c r="N122" s="28"/>
      <c r="O122" s="3"/>
      <c r="P122" s="3"/>
      <c r="Q122" s="3"/>
      <c r="R122" s="17"/>
      <c r="S122" s="17"/>
      <c r="T122" s="17"/>
      <c r="U122" s="17"/>
      <c r="V122" s="17"/>
    </row>
    <row r="123" spans="1:22" ht="14.25" customHeight="1">
      <c r="A123" s="9">
        <v>30302</v>
      </c>
      <c r="B123" s="9" t="s">
        <v>147</v>
      </c>
      <c r="C123" s="10">
        <v>3977</v>
      </c>
      <c r="D123" s="10">
        <v>1515.4444826245308</v>
      </c>
      <c r="E123" s="10">
        <v>14667</v>
      </c>
      <c r="F123" s="26">
        <f t="shared" si="0"/>
        <v>0.27115292834253768</v>
      </c>
      <c r="G123" s="26">
        <f t="shared" si="1"/>
        <v>0.38105217063729718</v>
      </c>
      <c r="H123" s="26">
        <f t="shared" si="2"/>
        <v>0.10332341191958348</v>
      </c>
      <c r="I123" s="25"/>
      <c r="J123" s="25"/>
      <c r="K123" s="17"/>
      <c r="L123" s="17"/>
      <c r="M123" s="28"/>
      <c r="N123" s="28"/>
      <c r="O123" s="3"/>
      <c r="P123" s="3"/>
      <c r="Q123" s="3"/>
      <c r="R123" s="17"/>
      <c r="S123" s="17"/>
      <c r="T123" s="17"/>
      <c r="U123" s="17"/>
      <c r="V123" s="17"/>
    </row>
    <row r="124" spans="1:22" ht="14.25" customHeight="1">
      <c r="A124" s="9">
        <v>30303</v>
      </c>
      <c r="B124" s="9" t="s">
        <v>148</v>
      </c>
      <c r="C124" s="10">
        <v>7119</v>
      </c>
      <c r="D124" s="10">
        <v>2776.2222860753536</v>
      </c>
      <c r="E124" s="10">
        <v>19532</v>
      </c>
      <c r="F124" s="26">
        <f t="shared" si="0"/>
        <v>0.36447880401392585</v>
      </c>
      <c r="G124" s="26">
        <f t="shared" si="1"/>
        <v>0.38997363198136725</v>
      </c>
      <c r="H124" s="26">
        <f t="shared" si="2"/>
        <v>0.14213712298153561</v>
      </c>
      <c r="I124" s="25"/>
      <c r="J124" s="25"/>
      <c r="K124" s="17"/>
      <c r="L124" s="17"/>
      <c r="M124" s="28"/>
      <c r="N124" s="28"/>
      <c r="O124" s="3"/>
      <c r="P124" s="3"/>
      <c r="Q124" s="3"/>
      <c r="R124" s="17"/>
      <c r="S124" s="17"/>
      <c r="T124" s="17"/>
      <c r="U124" s="17"/>
      <c r="V124" s="17"/>
    </row>
    <row r="125" spans="1:22" ht="14.25" customHeight="1">
      <c r="A125" s="9">
        <v>30401</v>
      </c>
      <c r="B125" s="9" t="s">
        <v>149</v>
      </c>
      <c r="C125" s="10">
        <v>1785</v>
      </c>
      <c r="D125" s="10">
        <v>688.22223967313766</v>
      </c>
      <c r="E125" s="10">
        <v>10750</v>
      </c>
      <c r="F125" s="26">
        <f t="shared" si="0"/>
        <v>0.16604651162790698</v>
      </c>
      <c r="G125" s="26">
        <f t="shared" si="1"/>
        <v>0.38555867768803231</v>
      </c>
      <c r="H125" s="26">
        <f t="shared" si="2"/>
        <v>6.4020673457966304E-2</v>
      </c>
      <c r="I125" s="25"/>
      <c r="J125" s="25"/>
      <c r="K125" s="17"/>
      <c r="L125" s="17"/>
      <c r="M125" s="28"/>
      <c r="N125" s="28"/>
      <c r="O125" s="3"/>
      <c r="P125" s="3"/>
      <c r="Q125" s="3"/>
      <c r="R125" s="17"/>
      <c r="S125" s="17"/>
      <c r="T125" s="17"/>
      <c r="U125" s="17"/>
      <c r="V125" s="17"/>
    </row>
    <row r="126" spans="1:22" ht="14.25" customHeight="1">
      <c r="A126" s="9">
        <v>30402</v>
      </c>
      <c r="B126" s="9" t="s">
        <v>150</v>
      </c>
      <c r="C126" s="10">
        <v>1977</v>
      </c>
      <c r="D126" s="10">
        <v>743.88890743255615</v>
      </c>
      <c r="E126" s="10">
        <v>7302</v>
      </c>
      <c r="F126" s="26">
        <f t="shared" si="0"/>
        <v>0.27074774034511095</v>
      </c>
      <c r="G126" s="26">
        <f t="shared" si="1"/>
        <v>0.37627157685005369</v>
      </c>
      <c r="H126" s="26">
        <f t="shared" si="2"/>
        <v>0.10187467918824381</v>
      </c>
      <c r="I126" s="25"/>
      <c r="J126" s="25"/>
      <c r="K126" s="17"/>
      <c r="L126" s="17"/>
      <c r="M126" s="28"/>
      <c r="N126" s="28"/>
      <c r="O126" s="3"/>
      <c r="P126" s="3"/>
      <c r="Q126" s="3"/>
      <c r="R126" s="17"/>
      <c r="S126" s="17"/>
      <c r="T126" s="17"/>
      <c r="U126" s="17"/>
      <c r="V126" s="17"/>
    </row>
    <row r="127" spans="1:22" ht="14.25" customHeight="1">
      <c r="A127" s="9">
        <v>30403</v>
      </c>
      <c r="B127" s="9" t="s">
        <v>151</v>
      </c>
      <c r="C127" s="10">
        <v>9379</v>
      </c>
      <c r="D127" s="10">
        <v>3431.4445326328278</v>
      </c>
      <c r="E127" s="10">
        <v>29223</v>
      </c>
      <c r="F127" s="26">
        <f t="shared" si="0"/>
        <v>0.32094583033911644</v>
      </c>
      <c r="G127" s="26">
        <f t="shared" si="1"/>
        <v>0.36586464789773193</v>
      </c>
      <c r="H127" s="26">
        <f t="shared" si="2"/>
        <v>0.11742273321126605</v>
      </c>
      <c r="I127" s="25"/>
      <c r="J127" s="25"/>
      <c r="K127" s="17"/>
      <c r="L127" s="17"/>
      <c r="M127" s="28"/>
      <c r="N127" s="28"/>
      <c r="O127" s="3"/>
      <c r="P127" s="3"/>
      <c r="Q127" s="3"/>
      <c r="R127" s="17"/>
      <c r="S127" s="17"/>
      <c r="T127" s="17"/>
      <c r="U127" s="17"/>
      <c r="V127" s="17"/>
    </row>
    <row r="128" spans="1:22" ht="14.25" customHeight="1">
      <c r="A128" s="9">
        <v>30404</v>
      </c>
      <c r="B128" s="9" t="s">
        <v>152</v>
      </c>
      <c r="C128" s="10">
        <v>1645</v>
      </c>
      <c r="D128" s="10">
        <v>631.77779349684715</v>
      </c>
      <c r="E128" s="10">
        <v>4979</v>
      </c>
      <c r="F128" s="26">
        <f t="shared" si="0"/>
        <v>0.33038762803775856</v>
      </c>
      <c r="G128" s="26">
        <f t="shared" si="1"/>
        <v>0.38405944893425359</v>
      </c>
      <c r="H128" s="26">
        <f t="shared" si="2"/>
        <v>0.1268884903588767</v>
      </c>
      <c r="I128" s="25"/>
      <c r="J128" s="25"/>
      <c r="K128" s="17"/>
      <c r="L128" s="17"/>
      <c r="M128" s="28"/>
      <c r="N128" s="28"/>
      <c r="O128" s="3"/>
      <c r="P128" s="3"/>
      <c r="Q128" s="3"/>
      <c r="R128" s="17"/>
      <c r="S128" s="17"/>
      <c r="T128" s="17"/>
      <c r="U128" s="17"/>
      <c r="V128" s="17"/>
    </row>
    <row r="129" spans="1:22" ht="14.25" customHeight="1">
      <c r="A129" s="9">
        <v>30501</v>
      </c>
      <c r="B129" s="9" t="s">
        <v>153</v>
      </c>
      <c r="C129" s="10">
        <v>768</v>
      </c>
      <c r="D129" s="10">
        <v>289.77778527140617</v>
      </c>
      <c r="E129" s="10">
        <v>11052</v>
      </c>
      <c r="F129" s="26">
        <f t="shared" si="0"/>
        <v>6.9489685124864281E-2</v>
      </c>
      <c r="G129" s="26">
        <f t="shared" si="1"/>
        <v>0.37731482457214344</v>
      </c>
      <c r="H129" s="26">
        <f t="shared" si="2"/>
        <v>2.6219488352461653E-2</v>
      </c>
      <c r="I129" s="25"/>
      <c r="J129" s="25"/>
      <c r="K129" s="17"/>
      <c r="L129" s="17"/>
      <c r="M129" s="28"/>
      <c r="N129" s="28"/>
      <c r="O129" s="3"/>
      <c r="P129" s="3"/>
      <c r="Q129" s="3"/>
      <c r="R129" s="17"/>
      <c r="S129" s="17"/>
      <c r="T129" s="17"/>
      <c r="U129" s="17"/>
      <c r="V129" s="17"/>
    </row>
    <row r="130" spans="1:22" ht="14.25" customHeight="1">
      <c r="A130" s="9">
        <v>30502</v>
      </c>
      <c r="B130" s="9" t="s">
        <v>154</v>
      </c>
      <c r="C130" s="10">
        <v>1453</v>
      </c>
      <c r="D130" s="10">
        <v>544.77779039740562</v>
      </c>
      <c r="E130" s="10">
        <v>8232</v>
      </c>
      <c r="F130" s="26">
        <f t="shared" si="0"/>
        <v>0.17650631681243925</v>
      </c>
      <c r="G130" s="26">
        <f t="shared" si="1"/>
        <v>0.37493309731411262</v>
      </c>
      <c r="H130" s="26">
        <f t="shared" si="2"/>
        <v>6.6178060057993884E-2</v>
      </c>
      <c r="I130" s="25"/>
      <c r="J130" s="25"/>
      <c r="K130" s="17"/>
      <c r="L130" s="17"/>
      <c r="M130" s="28"/>
      <c r="N130" s="28"/>
      <c r="O130" s="3"/>
      <c r="P130" s="3"/>
      <c r="Q130" s="3"/>
      <c r="R130" s="17"/>
      <c r="S130" s="17"/>
      <c r="T130" s="17"/>
      <c r="U130" s="17"/>
      <c r="V130" s="17"/>
    </row>
    <row r="131" spans="1:22" ht="14.25" customHeight="1">
      <c r="A131" s="9">
        <v>30601</v>
      </c>
      <c r="B131" s="9" t="s">
        <v>155</v>
      </c>
      <c r="C131" s="10">
        <v>4162</v>
      </c>
      <c r="D131" s="10">
        <v>1646.6667083799839</v>
      </c>
      <c r="E131" s="10">
        <v>10593</v>
      </c>
      <c r="F131" s="26">
        <f t="shared" si="0"/>
        <v>0.3929009723402247</v>
      </c>
      <c r="G131" s="26">
        <f t="shared" si="1"/>
        <v>0.39564313031715137</v>
      </c>
      <c r="H131" s="26">
        <f t="shared" si="2"/>
        <v>0.15544857060133901</v>
      </c>
      <c r="I131" s="25"/>
      <c r="J131" s="25"/>
      <c r="K131" s="17"/>
      <c r="L131" s="17"/>
      <c r="M131" s="28"/>
      <c r="N131" s="28"/>
      <c r="O131" s="3"/>
      <c r="P131" s="3"/>
      <c r="Q131" s="3"/>
      <c r="R131" s="17"/>
      <c r="S131" s="17"/>
      <c r="T131" s="17"/>
      <c r="U131" s="17"/>
      <c r="V131" s="17"/>
    </row>
    <row r="132" spans="1:22" ht="14.25" customHeight="1">
      <c r="A132" s="9">
        <v>30602</v>
      </c>
      <c r="B132" s="9" t="s">
        <v>156</v>
      </c>
      <c r="C132" s="10">
        <v>2396</v>
      </c>
      <c r="D132" s="10">
        <v>892.77780038118362</v>
      </c>
      <c r="E132" s="10">
        <v>10695</v>
      </c>
      <c r="F132" s="26">
        <f t="shared" si="0"/>
        <v>0.22402992052360915</v>
      </c>
      <c r="G132" s="26">
        <f t="shared" si="1"/>
        <v>0.3726117697751184</v>
      </c>
      <c r="H132" s="26">
        <f t="shared" si="2"/>
        <v>8.3476185168881126E-2</v>
      </c>
      <c r="I132" s="25"/>
      <c r="J132" s="25"/>
      <c r="K132" s="17"/>
      <c r="L132" s="17"/>
      <c r="M132" s="28"/>
      <c r="N132" s="28"/>
      <c r="O132" s="3"/>
      <c r="P132" s="3"/>
      <c r="Q132" s="3"/>
      <c r="R132" s="17"/>
      <c r="S132" s="17"/>
      <c r="T132" s="17"/>
      <c r="U132" s="17"/>
      <c r="V132" s="17"/>
    </row>
    <row r="133" spans="1:22" ht="14.25" customHeight="1">
      <c r="A133" s="9">
        <v>30701</v>
      </c>
      <c r="B133" s="9" t="s">
        <v>157</v>
      </c>
      <c r="C133" s="10">
        <v>2399</v>
      </c>
      <c r="D133" s="10">
        <v>906.3333560526371</v>
      </c>
      <c r="E133" s="10">
        <v>19279</v>
      </c>
      <c r="F133" s="26">
        <f t="shared" si="0"/>
        <v>0.12443591472586753</v>
      </c>
      <c r="G133" s="26">
        <f t="shared" si="1"/>
        <v>0.37779631348588455</v>
      </c>
      <c r="H133" s="26">
        <f t="shared" si="2"/>
        <v>4.7011429848676643E-2</v>
      </c>
      <c r="I133" s="25"/>
      <c r="J133" s="25"/>
      <c r="K133" s="17"/>
      <c r="L133" s="17"/>
      <c r="M133" s="28"/>
      <c r="N133" s="28"/>
      <c r="O133" s="3"/>
      <c r="P133" s="3"/>
      <c r="Q133" s="3"/>
      <c r="R133" s="17"/>
      <c r="S133" s="17"/>
      <c r="T133" s="17"/>
      <c r="U133" s="17"/>
      <c r="V133" s="17"/>
    </row>
    <row r="134" spans="1:22" ht="14.25" customHeight="1">
      <c r="A134" s="9">
        <v>30702</v>
      </c>
      <c r="B134" s="9" t="s">
        <v>158</v>
      </c>
      <c r="C134" s="10">
        <v>567</v>
      </c>
      <c r="D134" s="10">
        <v>207.22222712635994</v>
      </c>
      <c r="E134" s="10">
        <v>7732</v>
      </c>
      <c r="F134" s="26">
        <f t="shared" si="0"/>
        <v>7.3331608898085876E-2</v>
      </c>
      <c r="G134" s="26">
        <f t="shared" si="1"/>
        <v>0.3654713000464902</v>
      </c>
      <c r="H134" s="26">
        <f t="shared" si="2"/>
        <v>2.6800598438484213E-2</v>
      </c>
      <c r="I134" s="25"/>
      <c r="J134" s="25"/>
      <c r="K134" s="17"/>
      <c r="L134" s="17"/>
      <c r="M134" s="28"/>
      <c r="N134" s="28"/>
      <c r="O134" s="3"/>
      <c r="P134" s="3"/>
      <c r="Q134" s="3"/>
      <c r="R134" s="17"/>
      <c r="S134" s="17"/>
      <c r="T134" s="17"/>
      <c r="U134" s="17"/>
      <c r="V134" s="17"/>
    </row>
    <row r="135" spans="1:22" ht="14.25" customHeight="1">
      <c r="A135" s="9">
        <v>30703</v>
      </c>
      <c r="B135" s="9" t="s">
        <v>159</v>
      </c>
      <c r="C135" s="10">
        <v>560</v>
      </c>
      <c r="D135" s="10">
        <v>209.33333826065063</v>
      </c>
      <c r="E135" s="10">
        <v>3934</v>
      </c>
      <c r="F135" s="26">
        <f t="shared" si="0"/>
        <v>0.14234875444839859</v>
      </c>
      <c r="G135" s="26">
        <f t="shared" si="1"/>
        <v>0.37380953260830468</v>
      </c>
      <c r="H135" s="26">
        <f t="shared" si="2"/>
        <v>5.3211321367730206E-2</v>
      </c>
      <c r="I135" s="25"/>
      <c r="J135" s="25"/>
      <c r="K135" s="17"/>
      <c r="L135" s="17"/>
      <c r="M135" s="28"/>
      <c r="N135" s="28"/>
      <c r="O135" s="3"/>
      <c r="P135" s="3"/>
      <c r="Q135" s="3"/>
      <c r="R135" s="17"/>
      <c r="S135" s="17"/>
      <c r="T135" s="17"/>
      <c r="U135" s="17"/>
      <c r="V135" s="17"/>
    </row>
    <row r="136" spans="1:22" ht="14.25" customHeight="1">
      <c r="A136" s="9">
        <v>30801</v>
      </c>
      <c r="B136" s="9" t="s">
        <v>160</v>
      </c>
      <c r="C136" s="10">
        <v>443</v>
      </c>
      <c r="D136" s="10">
        <v>156.11111509799957</v>
      </c>
      <c r="E136" s="10">
        <v>21082</v>
      </c>
      <c r="F136" s="26">
        <f t="shared" si="0"/>
        <v>2.1013186604686464E-2</v>
      </c>
      <c r="G136" s="26">
        <f t="shared" si="1"/>
        <v>0.3523952936749426</v>
      </c>
      <c r="H136" s="26">
        <f t="shared" si="2"/>
        <v>7.4049480646048568E-3</v>
      </c>
      <c r="I136" s="25"/>
      <c r="J136" s="25"/>
      <c r="K136" s="17"/>
      <c r="L136" s="17"/>
      <c r="M136" s="28"/>
      <c r="N136" s="28"/>
      <c r="O136" s="3"/>
      <c r="P136" s="3"/>
      <c r="Q136" s="3"/>
      <c r="R136" s="17"/>
      <c r="S136" s="17"/>
      <c r="T136" s="17"/>
      <c r="U136" s="17"/>
      <c r="V136" s="17"/>
    </row>
    <row r="137" spans="1:22" ht="14.25" customHeight="1">
      <c r="A137" s="9">
        <v>30802</v>
      </c>
      <c r="B137" s="9" t="s">
        <v>161</v>
      </c>
      <c r="C137" s="10">
        <v>636</v>
      </c>
      <c r="D137" s="10">
        <v>235.22222834825516</v>
      </c>
      <c r="E137" s="10">
        <v>7369</v>
      </c>
      <c r="F137" s="26">
        <f t="shared" si="0"/>
        <v>8.6307504410367761E-2</v>
      </c>
      <c r="G137" s="26">
        <f t="shared" si="1"/>
        <v>0.36984627098782258</v>
      </c>
      <c r="H137" s="26">
        <f t="shared" si="2"/>
        <v>3.1920508664439566E-2</v>
      </c>
      <c r="I137" s="25"/>
      <c r="J137" s="25"/>
      <c r="K137" s="17"/>
      <c r="L137" s="17"/>
      <c r="M137" s="28"/>
      <c r="N137" s="28"/>
      <c r="O137" s="3"/>
      <c r="P137" s="3"/>
      <c r="Q137" s="3"/>
      <c r="R137" s="17"/>
      <c r="S137" s="17"/>
      <c r="T137" s="17"/>
      <c r="U137" s="17"/>
      <c r="V137" s="17"/>
    </row>
    <row r="138" spans="1:22" ht="14.25" customHeight="1">
      <c r="A138" s="9">
        <v>30803</v>
      </c>
      <c r="B138" s="9" t="s">
        <v>162</v>
      </c>
      <c r="C138" s="10">
        <v>1324</v>
      </c>
      <c r="D138" s="10">
        <v>476.11112335324287</v>
      </c>
      <c r="E138" s="10">
        <v>7579</v>
      </c>
      <c r="F138" s="26">
        <f t="shared" si="0"/>
        <v>0.17469323129700487</v>
      </c>
      <c r="G138" s="26">
        <f t="shared" si="1"/>
        <v>0.35960054633930733</v>
      </c>
      <c r="H138" s="26">
        <f t="shared" si="2"/>
        <v>6.2819781416181927E-2</v>
      </c>
      <c r="I138" s="25"/>
      <c r="J138" s="25"/>
      <c r="K138" s="17"/>
      <c r="L138" s="17"/>
      <c r="M138" s="28"/>
      <c r="N138" s="28"/>
      <c r="O138" s="3"/>
      <c r="P138" s="3"/>
      <c r="Q138" s="3"/>
      <c r="R138" s="17"/>
      <c r="S138" s="17"/>
      <c r="T138" s="17"/>
      <c r="U138" s="17"/>
      <c r="V138" s="17"/>
    </row>
    <row r="139" spans="1:22" ht="14.25" customHeight="1">
      <c r="A139" s="9">
        <v>30901</v>
      </c>
      <c r="B139" s="9" t="s">
        <v>163</v>
      </c>
      <c r="C139" s="10">
        <v>6591</v>
      </c>
      <c r="D139" s="10">
        <v>2347.7778398394585</v>
      </c>
      <c r="E139" s="10">
        <v>164395</v>
      </c>
      <c r="F139" s="26">
        <f t="shared" si="0"/>
        <v>4.0092460232975455E-2</v>
      </c>
      <c r="G139" s="26">
        <f t="shared" si="1"/>
        <v>0.35620965556659967</v>
      </c>
      <c r="H139" s="26">
        <f t="shared" si="2"/>
        <v>1.4281321450405782E-2</v>
      </c>
      <c r="I139" s="25"/>
      <c r="J139" s="25"/>
      <c r="K139" s="17"/>
      <c r="L139" s="17"/>
      <c r="M139" s="28"/>
      <c r="N139" s="28"/>
      <c r="O139" s="3"/>
      <c r="P139" s="3"/>
      <c r="Q139" s="3"/>
      <c r="R139" s="17"/>
      <c r="S139" s="17"/>
      <c r="T139" s="17"/>
      <c r="U139" s="17"/>
      <c r="V139" s="17"/>
    </row>
    <row r="140" spans="1:22" ht="14.25" customHeight="1">
      <c r="A140" s="9">
        <v>30902</v>
      </c>
      <c r="B140" s="9" t="s">
        <v>164</v>
      </c>
      <c r="C140" s="10">
        <v>4541</v>
      </c>
      <c r="D140" s="10">
        <v>1662.2222648561001</v>
      </c>
      <c r="E140" s="10">
        <v>55625</v>
      </c>
      <c r="F140" s="26">
        <f t="shared" si="0"/>
        <v>8.1635955056179779E-2</v>
      </c>
      <c r="G140" s="26">
        <f t="shared" si="1"/>
        <v>0.36604762494078397</v>
      </c>
      <c r="H140" s="26">
        <f t="shared" si="2"/>
        <v>2.9882647458087191E-2</v>
      </c>
      <c r="I140" s="25"/>
      <c r="J140" s="25"/>
      <c r="K140" s="17"/>
      <c r="L140" s="17"/>
      <c r="M140" s="28"/>
      <c r="N140" s="28"/>
      <c r="O140" s="3"/>
      <c r="P140" s="3"/>
      <c r="Q140" s="3"/>
      <c r="R140" s="17"/>
      <c r="S140" s="17"/>
      <c r="T140" s="17"/>
      <c r="U140" s="17"/>
      <c r="V140" s="17"/>
    </row>
    <row r="141" spans="1:22" ht="14.25" customHeight="1">
      <c r="A141" s="9">
        <v>30903</v>
      </c>
      <c r="B141" s="9" t="s">
        <v>165</v>
      </c>
      <c r="C141" s="10">
        <v>2530</v>
      </c>
      <c r="D141" s="10">
        <v>909.77780070900917</v>
      </c>
      <c r="E141" s="10">
        <v>61002</v>
      </c>
      <c r="F141" s="26">
        <f t="shared" si="0"/>
        <v>4.1474050031146521E-2</v>
      </c>
      <c r="G141" s="26">
        <f t="shared" si="1"/>
        <v>0.3595959686596874</v>
      </c>
      <c r="H141" s="26">
        <f t="shared" si="2"/>
        <v>1.4913901195190472E-2</v>
      </c>
      <c r="I141" s="25"/>
      <c r="J141" s="25"/>
      <c r="K141" s="17"/>
      <c r="L141" s="17"/>
      <c r="M141" s="28"/>
      <c r="N141" s="28"/>
      <c r="O141" s="3"/>
      <c r="P141" s="3"/>
      <c r="Q141" s="3"/>
      <c r="R141" s="17"/>
      <c r="S141" s="17"/>
      <c r="T141" s="17"/>
      <c r="U141" s="17"/>
      <c r="V141" s="17"/>
    </row>
    <row r="142" spans="1:22" ht="14.25" customHeight="1">
      <c r="A142" s="9">
        <v>30904</v>
      </c>
      <c r="B142" s="9" t="s">
        <v>166</v>
      </c>
      <c r="C142" s="10">
        <v>3268</v>
      </c>
      <c r="D142" s="10">
        <v>1172.2222529351711</v>
      </c>
      <c r="E142" s="10">
        <v>55219</v>
      </c>
      <c r="F142" s="26">
        <f t="shared" si="0"/>
        <v>5.9182527753128454E-2</v>
      </c>
      <c r="G142" s="26">
        <f t="shared" si="1"/>
        <v>0.35869713982104379</v>
      </c>
      <c r="H142" s="26">
        <f t="shared" si="2"/>
        <v>2.1228603432426722E-2</v>
      </c>
      <c r="I142" s="25"/>
      <c r="J142" s="25"/>
      <c r="K142" s="17"/>
      <c r="L142" s="17"/>
      <c r="M142" s="28"/>
      <c r="N142" s="28"/>
      <c r="O142" s="3"/>
      <c r="P142" s="3"/>
      <c r="Q142" s="3"/>
      <c r="R142" s="17"/>
      <c r="S142" s="17"/>
      <c r="T142" s="17"/>
      <c r="U142" s="17"/>
      <c r="V142" s="17"/>
    </row>
    <row r="143" spans="1:22" ht="14.25" customHeight="1">
      <c r="A143" s="9">
        <v>30905</v>
      </c>
      <c r="B143" s="9" t="s">
        <v>167</v>
      </c>
      <c r="C143" s="10">
        <v>1014</v>
      </c>
      <c r="D143" s="10">
        <v>356.33334246277809</v>
      </c>
      <c r="E143" s="10">
        <v>65844</v>
      </c>
      <c r="F143" s="26">
        <f t="shared" si="0"/>
        <v>1.5400036449790414E-2</v>
      </c>
      <c r="G143" s="26">
        <f t="shared" si="1"/>
        <v>0.3514135527246332</v>
      </c>
      <c r="H143" s="26">
        <f t="shared" si="2"/>
        <v>5.4117815209096965E-3</v>
      </c>
      <c r="I143" s="25"/>
      <c r="J143" s="25"/>
      <c r="K143" s="17"/>
      <c r="L143" s="17"/>
      <c r="M143" s="28"/>
      <c r="N143" s="28"/>
      <c r="O143" s="3"/>
      <c r="P143" s="3"/>
      <c r="Q143" s="3"/>
      <c r="R143" s="17"/>
      <c r="S143" s="17"/>
      <c r="T143" s="17"/>
      <c r="U143" s="17"/>
      <c r="V143" s="17"/>
    </row>
    <row r="144" spans="1:22" ht="14.25" customHeight="1">
      <c r="A144" s="9">
        <v>31001</v>
      </c>
      <c r="B144" s="9" t="s">
        <v>168</v>
      </c>
      <c r="C144" s="10">
        <v>11780</v>
      </c>
      <c r="D144" s="10">
        <v>4235.3334422707558</v>
      </c>
      <c r="E144" s="10">
        <v>215343</v>
      </c>
      <c r="F144" s="26">
        <f t="shared" si="0"/>
        <v>5.4703426626358881E-2</v>
      </c>
      <c r="G144" s="26">
        <f t="shared" si="1"/>
        <v>0.35953594586339183</v>
      </c>
      <c r="H144" s="26">
        <f t="shared" si="2"/>
        <v>1.9667848234076593E-2</v>
      </c>
      <c r="I144" s="25"/>
      <c r="J144" s="25"/>
      <c r="K144" s="17"/>
      <c r="L144" s="17"/>
      <c r="M144" s="28"/>
      <c r="N144" s="28"/>
      <c r="O144" s="3"/>
      <c r="P144" s="3"/>
      <c r="Q144" s="3"/>
      <c r="R144" s="17"/>
      <c r="S144" s="17"/>
      <c r="T144" s="17"/>
      <c r="U144" s="17"/>
      <c r="V144" s="17"/>
    </row>
    <row r="145" spans="1:22" ht="14.25" customHeight="1">
      <c r="A145" s="9">
        <v>31002</v>
      </c>
      <c r="B145" s="9" t="s">
        <v>169</v>
      </c>
      <c r="C145" s="10">
        <v>2853</v>
      </c>
      <c r="D145" s="10">
        <v>1049.3333592116833</v>
      </c>
      <c r="E145" s="10">
        <v>21465</v>
      </c>
      <c r="F145" s="26">
        <f t="shared" si="0"/>
        <v>0.1329140461215933</v>
      </c>
      <c r="G145" s="26">
        <f t="shared" si="1"/>
        <v>0.36779998570335903</v>
      </c>
      <c r="H145" s="26">
        <f t="shared" si="2"/>
        <v>4.8885784263297621E-2</v>
      </c>
      <c r="I145" s="25"/>
      <c r="J145" s="25"/>
      <c r="K145" s="17"/>
      <c r="L145" s="17"/>
      <c r="M145" s="28"/>
      <c r="N145" s="28"/>
      <c r="O145" s="3"/>
      <c r="P145" s="3"/>
      <c r="Q145" s="3"/>
      <c r="R145" s="17"/>
      <c r="S145" s="17"/>
      <c r="T145" s="17"/>
      <c r="U145" s="17"/>
      <c r="V145" s="17"/>
    </row>
    <row r="146" spans="1:22" ht="14.25" customHeight="1">
      <c r="A146" s="9">
        <v>31003</v>
      </c>
      <c r="B146" s="9" t="s">
        <v>170</v>
      </c>
      <c r="C146" s="10">
        <v>16980</v>
      </c>
      <c r="D146" s="10">
        <v>6303.666821539402</v>
      </c>
      <c r="E146" s="10">
        <v>92082</v>
      </c>
      <c r="F146" s="26">
        <f t="shared" si="0"/>
        <v>0.18440086010295173</v>
      </c>
      <c r="G146" s="26">
        <f t="shared" si="1"/>
        <v>0.37124068442517089</v>
      </c>
      <c r="H146" s="26">
        <f t="shared" si="2"/>
        <v>6.8457101513209995E-2</v>
      </c>
      <c r="I146" s="25"/>
      <c r="J146" s="25"/>
      <c r="K146" s="17"/>
      <c r="L146" s="17"/>
      <c r="M146" s="28"/>
      <c r="N146" s="28"/>
      <c r="O146" s="3"/>
      <c r="P146" s="3"/>
      <c r="Q146" s="3"/>
      <c r="R146" s="17"/>
      <c r="S146" s="17"/>
      <c r="T146" s="17"/>
      <c r="U146" s="17"/>
      <c r="V146" s="17"/>
    </row>
    <row r="147" spans="1:22" ht="14.25" customHeight="1">
      <c r="A147" s="9">
        <v>31101</v>
      </c>
      <c r="B147" s="9" t="s">
        <v>171</v>
      </c>
      <c r="C147" s="10">
        <v>9329</v>
      </c>
      <c r="D147" s="10">
        <v>3646.1112022399902</v>
      </c>
      <c r="E147" s="10">
        <v>24594</v>
      </c>
      <c r="F147" s="26">
        <f t="shared" si="0"/>
        <v>0.37932015938846875</v>
      </c>
      <c r="G147" s="26">
        <f t="shared" si="1"/>
        <v>0.39083623134741025</v>
      </c>
      <c r="H147" s="26">
        <f t="shared" si="2"/>
        <v>0.14825206156948809</v>
      </c>
      <c r="I147" s="25"/>
      <c r="J147" s="25"/>
      <c r="K147" s="17"/>
      <c r="L147" s="17"/>
      <c r="M147" s="28"/>
      <c r="N147" s="28"/>
      <c r="O147" s="3"/>
      <c r="P147" s="3"/>
      <c r="Q147" s="3"/>
      <c r="R147" s="17"/>
      <c r="S147" s="17"/>
      <c r="T147" s="17"/>
      <c r="U147" s="17"/>
      <c r="V147" s="17"/>
    </row>
    <row r="148" spans="1:22" ht="14.25" customHeight="1">
      <c r="A148" s="9">
        <v>31201</v>
      </c>
      <c r="B148" s="9" t="s">
        <v>172</v>
      </c>
      <c r="C148" s="10">
        <v>3968</v>
      </c>
      <c r="D148" s="10">
        <v>1508.2222596108913</v>
      </c>
      <c r="E148" s="10">
        <v>14498</v>
      </c>
      <c r="F148" s="26">
        <f t="shared" si="0"/>
        <v>0.27369292316181543</v>
      </c>
      <c r="G148" s="26">
        <f t="shared" si="1"/>
        <v>0.38009633558742223</v>
      </c>
      <c r="H148" s="26">
        <f t="shared" si="2"/>
        <v>0.10402967717001596</v>
      </c>
      <c r="I148" s="25"/>
      <c r="J148" s="25"/>
      <c r="K148" s="17"/>
      <c r="L148" s="17"/>
      <c r="M148" s="28"/>
      <c r="N148" s="28"/>
      <c r="O148" s="3"/>
      <c r="P148" s="3"/>
      <c r="Q148" s="3"/>
      <c r="R148" s="17"/>
      <c r="S148" s="17"/>
      <c r="T148" s="17"/>
      <c r="U148" s="17"/>
      <c r="V148" s="17"/>
    </row>
    <row r="149" spans="1:22" ht="14.25" customHeight="1">
      <c r="A149" s="9">
        <v>31202</v>
      </c>
      <c r="B149" s="9" t="s">
        <v>173</v>
      </c>
      <c r="C149" s="10">
        <v>3451</v>
      </c>
      <c r="D149" s="10">
        <v>1333.7778100669384</v>
      </c>
      <c r="E149" s="10">
        <v>11645</v>
      </c>
      <c r="F149" s="26">
        <f t="shared" si="0"/>
        <v>0.29635036496350364</v>
      </c>
      <c r="G149" s="26">
        <f t="shared" si="1"/>
        <v>0.38649023763168311</v>
      </c>
      <c r="H149" s="26">
        <f t="shared" si="2"/>
        <v>0.11453652297698054</v>
      </c>
      <c r="I149" s="25"/>
      <c r="J149" s="25"/>
      <c r="K149" s="17"/>
      <c r="L149" s="17"/>
      <c r="M149" s="28"/>
      <c r="N149" s="28"/>
      <c r="O149" s="3"/>
      <c r="P149" s="3"/>
      <c r="Q149" s="3"/>
      <c r="R149" s="17"/>
      <c r="S149" s="17"/>
      <c r="T149" s="17"/>
      <c r="U149" s="17"/>
      <c r="V149" s="17"/>
    </row>
    <row r="150" spans="1:22" ht="14.25" customHeight="1">
      <c r="A150" s="9">
        <v>31203</v>
      </c>
      <c r="B150" s="9" t="s">
        <v>174</v>
      </c>
      <c r="C150" s="10">
        <v>1760</v>
      </c>
      <c r="D150" s="10">
        <v>664.22223895788193</v>
      </c>
      <c r="E150" s="10">
        <v>12079</v>
      </c>
      <c r="F150" s="26">
        <f t="shared" si="0"/>
        <v>0.14570742611143306</v>
      </c>
      <c r="G150" s="26">
        <f t="shared" si="1"/>
        <v>0.37739899940788746</v>
      </c>
      <c r="H150" s="26">
        <f t="shared" si="2"/>
        <v>5.4989836820753528E-2</v>
      </c>
      <c r="I150" s="25"/>
      <c r="J150" s="25"/>
      <c r="K150" s="17"/>
      <c r="L150" s="17"/>
      <c r="M150" s="28"/>
      <c r="N150" s="28"/>
      <c r="O150" s="3"/>
      <c r="P150" s="3"/>
      <c r="Q150" s="3"/>
      <c r="R150" s="17"/>
      <c r="S150" s="17"/>
      <c r="T150" s="17"/>
      <c r="U150" s="17"/>
      <c r="V150" s="17"/>
    </row>
    <row r="151" spans="1:22" ht="14.25" customHeight="1">
      <c r="A151" s="9">
        <v>31204</v>
      </c>
      <c r="B151" s="9" t="s">
        <v>175</v>
      </c>
      <c r="C151" s="10">
        <v>3913</v>
      </c>
      <c r="D151" s="10">
        <v>1442.4444808661938</v>
      </c>
      <c r="E151" s="10">
        <v>26228</v>
      </c>
      <c r="F151" s="26">
        <f t="shared" si="0"/>
        <v>0.14919170352295258</v>
      </c>
      <c r="G151" s="26">
        <f t="shared" si="1"/>
        <v>0.36862879654132219</v>
      </c>
      <c r="H151" s="26">
        <f t="shared" si="2"/>
        <v>5.4996358123615745E-2</v>
      </c>
      <c r="I151" s="25"/>
      <c r="J151" s="25"/>
      <c r="K151" s="17"/>
      <c r="L151" s="17"/>
      <c r="M151" s="28"/>
      <c r="N151" s="28"/>
      <c r="O151" s="3"/>
      <c r="P151" s="3"/>
      <c r="Q151" s="3"/>
      <c r="R151" s="17"/>
      <c r="S151" s="17"/>
      <c r="T151" s="17"/>
      <c r="U151" s="17"/>
      <c r="V151" s="17"/>
    </row>
    <row r="152" spans="1:22" ht="14.25" customHeight="1">
      <c r="A152" s="9">
        <v>31205</v>
      </c>
      <c r="B152" s="9" t="s">
        <v>176</v>
      </c>
      <c r="C152" s="10">
        <v>9220</v>
      </c>
      <c r="D152" s="10">
        <v>3385.0000837445259</v>
      </c>
      <c r="E152" s="10">
        <v>63353</v>
      </c>
      <c r="F152" s="26">
        <f t="shared" si="0"/>
        <v>0.14553375530756238</v>
      </c>
      <c r="G152" s="26">
        <f t="shared" si="1"/>
        <v>0.36713666851892907</v>
      </c>
      <c r="H152" s="26">
        <f t="shared" si="2"/>
        <v>5.3430778080667464E-2</v>
      </c>
      <c r="I152" s="25"/>
      <c r="J152" s="25"/>
      <c r="K152" s="17"/>
      <c r="L152" s="17"/>
      <c r="M152" s="28"/>
      <c r="N152" s="28"/>
      <c r="O152" s="3"/>
      <c r="P152" s="3"/>
      <c r="Q152" s="3"/>
      <c r="R152" s="17"/>
      <c r="S152" s="17"/>
      <c r="T152" s="17"/>
      <c r="U152" s="17"/>
      <c r="V152" s="17"/>
    </row>
    <row r="153" spans="1:22" ht="14.25" customHeight="1">
      <c r="A153" s="9">
        <v>31206</v>
      </c>
      <c r="B153" s="9" t="s">
        <v>177</v>
      </c>
      <c r="C153" s="10">
        <v>6780</v>
      </c>
      <c r="D153" s="10">
        <v>2493.6667292714119</v>
      </c>
      <c r="E153" s="10">
        <v>44108</v>
      </c>
      <c r="F153" s="26">
        <f t="shared" si="0"/>
        <v>0.15371361204316678</v>
      </c>
      <c r="G153" s="26">
        <f t="shared" si="1"/>
        <v>0.3677974526948985</v>
      </c>
      <c r="H153" s="26">
        <f t="shared" si="2"/>
        <v>5.653547495400861E-2</v>
      </c>
      <c r="I153" s="25"/>
      <c r="J153" s="25"/>
      <c r="K153" s="17"/>
      <c r="L153" s="17"/>
      <c r="M153" s="28"/>
      <c r="N153" s="28"/>
      <c r="O153" s="3"/>
      <c r="P153" s="3"/>
      <c r="Q153" s="3"/>
      <c r="R153" s="17"/>
      <c r="S153" s="17"/>
      <c r="T153" s="17"/>
      <c r="U153" s="17"/>
      <c r="V153" s="17"/>
    </row>
    <row r="154" spans="1:22" ht="14.25" customHeight="1">
      <c r="A154" s="9">
        <v>31301</v>
      </c>
      <c r="B154" s="9" t="s">
        <v>178</v>
      </c>
      <c r="C154" s="10">
        <v>3519</v>
      </c>
      <c r="D154" s="10">
        <v>1333.1111435592175</v>
      </c>
      <c r="E154" s="10">
        <v>19579</v>
      </c>
      <c r="F154" s="26">
        <f t="shared" si="0"/>
        <v>0.17973338781347362</v>
      </c>
      <c r="G154" s="26">
        <f t="shared" si="1"/>
        <v>0.37883237952805271</v>
      </c>
      <c r="H154" s="26">
        <f t="shared" si="2"/>
        <v>6.8088826986016524E-2</v>
      </c>
      <c r="I154" s="25"/>
      <c r="J154" s="25"/>
      <c r="K154" s="17"/>
      <c r="L154" s="17"/>
      <c r="M154" s="28"/>
      <c r="N154" s="28"/>
      <c r="O154" s="3"/>
      <c r="P154" s="3"/>
      <c r="Q154" s="3"/>
      <c r="R154" s="17"/>
      <c r="S154" s="17"/>
      <c r="T154" s="17"/>
      <c r="U154" s="17"/>
      <c r="V154" s="17"/>
    </row>
    <row r="155" spans="1:22" ht="14.25" customHeight="1">
      <c r="A155" s="9">
        <v>31302</v>
      </c>
      <c r="B155" s="9" t="s">
        <v>179</v>
      </c>
      <c r="C155" s="10">
        <v>2534</v>
      </c>
      <c r="D155" s="10">
        <v>1041.0000275075436</v>
      </c>
      <c r="E155" s="10">
        <v>5213</v>
      </c>
      <c r="F155" s="26">
        <f t="shared" si="0"/>
        <v>0.48609246115480531</v>
      </c>
      <c r="G155" s="26">
        <f t="shared" si="1"/>
        <v>0.41081295481749941</v>
      </c>
      <c r="H155" s="26">
        <f t="shared" si="2"/>
        <v>0.19969308028151611</v>
      </c>
      <c r="I155" s="25"/>
      <c r="J155" s="25"/>
      <c r="K155" s="17"/>
      <c r="L155" s="17"/>
      <c r="M155" s="28"/>
      <c r="N155" s="28"/>
      <c r="O155" s="3"/>
      <c r="P155" s="3"/>
      <c r="Q155" s="3"/>
      <c r="R155" s="17"/>
      <c r="S155" s="17"/>
      <c r="T155" s="17"/>
      <c r="U155" s="17"/>
      <c r="V155" s="17"/>
    </row>
    <row r="156" spans="1:22" ht="14.25" customHeight="1">
      <c r="A156" s="9">
        <v>31303</v>
      </c>
      <c r="B156" s="9" t="s">
        <v>180</v>
      </c>
      <c r="C156" s="10">
        <v>1361</v>
      </c>
      <c r="D156" s="10">
        <v>530.11112403869629</v>
      </c>
      <c r="E156" s="10">
        <v>3488</v>
      </c>
      <c r="F156" s="26">
        <f t="shared" si="0"/>
        <v>0.39019495412844035</v>
      </c>
      <c r="G156" s="26">
        <f t="shared" si="1"/>
        <v>0.38950119326869675</v>
      </c>
      <c r="H156" s="26">
        <f t="shared" si="2"/>
        <v>0.1519814002404519</v>
      </c>
      <c r="I156" s="25"/>
      <c r="J156" s="25"/>
      <c r="K156" s="17"/>
      <c r="L156" s="17"/>
      <c r="M156" s="28"/>
      <c r="N156" s="28"/>
      <c r="O156" s="3"/>
      <c r="P156" s="3"/>
      <c r="Q156" s="3"/>
      <c r="R156" s="17"/>
      <c r="S156" s="17"/>
      <c r="T156" s="17"/>
      <c r="U156" s="17"/>
      <c r="V156" s="17"/>
    </row>
    <row r="157" spans="1:22" ht="14.25" customHeight="1">
      <c r="A157" s="9">
        <v>31304</v>
      </c>
      <c r="B157" s="9" t="s">
        <v>181</v>
      </c>
      <c r="C157" s="10">
        <v>5312</v>
      </c>
      <c r="D157" s="10">
        <v>2376.5556189417839</v>
      </c>
      <c r="E157" s="10">
        <v>8031</v>
      </c>
      <c r="F157" s="26">
        <f t="shared" si="0"/>
        <v>0.66143693188893038</v>
      </c>
      <c r="G157" s="26">
        <f t="shared" si="1"/>
        <v>0.44739375356584787</v>
      </c>
      <c r="H157" s="26">
        <f t="shared" si="2"/>
        <v>0.29592275170486665</v>
      </c>
      <c r="I157" s="25"/>
      <c r="J157" s="25"/>
      <c r="K157" s="17"/>
      <c r="L157" s="17"/>
      <c r="M157" s="28"/>
      <c r="N157" s="28"/>
      <c r="O157" s="3"/>
      <c r="P157" s="3"/>
      <c r="Q157" s="3"/>
      <c r="R157" s="17"/>
      <c r="S157" s="17"/>
      <c r="T157" s="17"/>
      <c r="U157" s="17"/>
      <c r="V157" s="17"/>
    </row>
    <row r="158" spans="1:22" ht="14.25" customHeight="1">
      <c r="A158" s="9">
        <v>31401</v>
      </c>
      <c r="B158" s="9" t="s">
        <v>182</v>
      </c>
      <c r="C158" s="10">
        <v>1820</v>
      </c>
      <c r="D158" s="10">
        <v>654.33335036039352</v>
      </c>
      <c r="E158" s="10">
        <v>34555</v>
      </c>
      <c r="F158" s="26">
        <f t="shared" si="0"/>
        <v>5.2669657068441615E-2</v>
      </c>
      <c r="G158" s="26">
        <f t="shared" si="1"/>
        <v>0.3595238188793371</v>
      </c>
      <c r="H158" s="26">
        <f t="shared" si="2"/>
        <v>1.8935996248311202E-2</v>
      </c>
      <c r="I158" s="25"/>
      <c r="J158" s="25"/>
      <c r="K158" s="17"/>
      <c r="L158" s="17"/>
      <c r="M158" s="28"/>
      <c r="N158" s="28"/>
      <c r="O158" s="3"/>
      <c r="P158" s="3"/>
      <c r="Q158" s="3"/>
      <c r="R158" s="17"/>
      <c r="S158" s="17"/>
      <c r="T158" s="17"/>
      <c r="U158" s="17"/>
      <c r="V158" s="17"/>
    </row>
    <row r="159" spans="1:22" ht="14.25" customHeight="1">
      <c r="A159" s="9">
        <v>31402</v>
      </c>
      <c r="B159" s="9" t="s">
        <v>183</v>
      </c>
      <c r="C159" s="10">
        <v>648</v>
      </c>
      <c r="D159" s="10">
        <v>233.66667288541794</v>
      </c>
      <c r="E159" s="10">
        <v>8579</v>
      </c>
      <c r="F159" s="26">
        <f t="shared" si="0"/>
        <v>7.5533278936939036E-2</v>
      </c>
      <c r="G159" s="26">
        <f t="shared" si="1"/>
        <v>0.36059671741576843</v>
      </c>
      <c r="H159" s="26">
        <f t="shared" si="2"/>
        <v>2.7237052440309818E-2</v>
      </c>
      <c r="I159" s="25"/>
      <c r="J159" s="25"/>
      <c r="K159" s="17"/>
      <c r="L159" s="17"/>
      <c r="M159" s="28"/>
      <c r="N159" s="28"/>
      <c r="O159" s="3"/>
      <c r="P159" s="3"/>
      <c r="Q159" s="3"/>
      <c r="R159" s="17"/>
      <c r="S159" s="17"/>
      <c r="T159" s="17"/>
      <c r="U159" s="17"/>
      <c r="V159" s="17"/>
    </row>
    <row r="160" spans="1:22" ht="14.25" customHeight="1">
      <c r="A160" s="9">
        <v>31403</v>
      </c>
      <c r="B160" s="9" t="s">
        <v>184</v>
      </c>
      <c r="C160" s="10">
        <v>637</v>
      </c>
      <c r="D160" s="10">
        <v>229.77778363227844</v>
      </c>
      <c r="E160" s="10">
        <v>13032</v>
      </c>
      <c r="F160" s="26">
        <f t="shared" si="0"/>
        <v>4.8879680785758134E-2</v>
      </c>
      <c r="G160" s="26">
        <f t="shared" si="1"/>
        <v>0.360718655623671</v>
      </c>
      <c r="H160" s="26">
        <f t="shared" si="2"/>
        <v>1.7631812740352856E-2</v>
      </c>
      <c r="I160" s="25"/>
      <c r="J160" s="25"/>
      <c r="K160" s="17"/>
      <c r="L160" s="17"/>
      <c r="M160" s="28"/>
      <c r="N160" s="28"/>
      <c r="O160" s="3"/>
      <c r="P160" s="3"/>
      <c r="Q160" s="3"/>
      <c r="R160" s="17"/>
      <c r="S160" s="17"/>
      <c r="T160" s="17"/>
      <c r="U160" s="17"/>
      <c r="V160" s="17"/>
    </row>
    <row r="161" spans="1:22" ht="14.25" customHeight="1">
      <c r="A161" s="9">
        <v>31404</v>
      </c>
      <c r="B161" s="9" t="s">
        <v>185</v>
      </c>
      <c r="C161" s="10">
        <v>71</v>
      </c>
      <c r="D161" s="10">
        <v>26.888889461755753</v>
      </c>
      <c r="E161" s="10">
        <v>1282</v>
      </c>
      <c r="F161" s="26">
        <f t="shared" si="0"/>
        <v>5.5382215288611543E-2</v>
      </c>
      <c r="G161" s="26">
        <f t="shared" si="1"/>
        <v>0.37871675298247537</v>
      </c>
      <c r="H161" s="26">
        <f t="shared" si="2"/>
        <v>2.097417274707937E-2</v>
      </c>
      <c r="I161" s="25"/>
      <c r="J161" s="25"/>
      <c r="K161" s="17"/>
      <c r="L161" s="17"/>
      <c r="M161" s="28"/>
      <c r="N161" s="28"/>
      <c r="O161" s="3"/>
      <c r="P161" s="3"/>
      <c r="Q161" s="3"/>
      <c r="R161" s="17"/>
      <c r="S161" s="17"/>
      <c r="T161" s="17"/>
      <c r="U161" s="17"/>
      <c r="V161" s="17"/>
    </row>
    <row r="162" spans="1:22" ht="14.25" customHeight="1">
      <c r="A162" s="9">
        <v>31405</v>
      </c>
      <c r="B162" s="9" t="s">
        <v>186</v>
      </c>
      <c r="C162" s="10">
        <v>609</v>
      </c>
      <c r="D162" s="10">
        <v>239.33333894610405</v>
      </c>
      <c r="E162" s="10">
        <v>3813</v>
      </c>
      <c r="F162" s="26">
        <f t="shared" si="0"/>
        <v>0.15971675845790717</v>
      </c>
      <c r="G162" s="26">
        <f t="shared" si="1"/>
        <v>0.39299398841724803</v>
      </c>
      <c r="H162" s="26">
        <f t="shared" si="2"/>
        <v>6.2767725923447176E-2</v>
      </c>
      <c r="I162" s="25"/>
      <c r="J162" s="25"/>
      <c r="K162" s="17"/>
      <c r="L162" s="17"/>
      <c r="M162" s="28"/>
      <c r="N162" s="28"/>
      <c r="O162" s="3"/>
      <c r="P162" s="3"/>
      <c r="Q162" s="3"/>
      <c r="R162" s="17"/>
      <c r="S162" s="17"/>
      <c r="T162" s="17"/>
      <c r="U162" s="17"/>
      <c r="V162" s="17"/>
    </row>
    <row r="163" spans="1:22" ht="14.25" customHeight="1">
      <c r="A163" s="9">
        <v>31501</v>
      </c>
      <c r="B163" s="9" t="s">
        <v>187</v>
      </c>
      <c r="C163" s="10">
        <v>2322</v>
      </c>
      <c r="D163" s="10">
        <v>869.66668790578842</v>
      </c>
      <c r="E163" s="10">
        <v>8271</v>
      </c>
      <c r="F163" s="26">
        <f t="shared" si="0"/>
        <v>0.2807399347116431</v>
      </c>
      <c r="G163" s="26">
        <f t="shared" si="1"/>
        <v>0.37453345732376764</v>
      </c>
      <c r="H163" s="26">
        <f t="shared" si="2"/>
        <v>0.1051464983564005</v>
      </c>
      <c r="I163" s="25"/>
      <c r="J163" s="25"/>
      <c r="K163" s="17"/>
      <c r="L163" s="17"/>
      <c r="M163" s="28"/>
      <c r="N163" s="28"/>
      <c r="O163" s="3"/>
      <c r="P163" s="3"/>
      <c r="Q163" s="3"/>
      <c r="R163" s="17"/>
      <c r="S163" s="17"/>
      <c r="T163" s="17"/>
      <c r="U163" s="17"/>
      <c r="V163" s="17"/>
    </row>
    <row r="164" spans="1:22" ht="14.25" customHeight="1">
      <c r="A164" s="9">
        <v>31601</v>
      </c>
      <c r="B164" s="9" t="s">
        <v>188</v>
      </c>
      <c r="C164" s="10">
        <v>2204</v>
      </c>
      <c r="D164" s="10">
        <v>837.22224250435829</v>
      </c>
      <c r="E164" s="10">
        <v>18426</v>
      </c>
      <c r="F164" s="26">
        <f t="shared" si="0"/>
        <v>0.11961358949310756</v>
      </c>
      <c r="G164" s="26">
        <f t="shared" si="1"/>
        <v>0.3798649013177669</v>
      </c>
      <c r="H164" s="26">
        <f t="shared" si="2"/>
        <v>4.5437004369063186E-2</v>
      </c>
      <c r="I164" s="25"/>
      <c r="J164" s="25"/>
      <c r="K164" s="17"/>
      <c r="L164" s="17"/>
      <c r="M164" s="28"/>
      <c r="N164" s="28"/>
      <c r="O164" s="3"/>
      <c r="P164" s="3"/>
      <c r="Q164" s="3"/>
      <c r="R164" s="17"/>
      <c r="S164" s="17"/>
      <c r="T164" s="17"/>
      <c r="U164" s="17"/>
      <c r="V164" s="17"/>
    </row>
    <row r="165" spans="1:22" ht="14.25" customHeight="1">
      <c r="A165" s="9">
        <v>31602</v>
      </c>
      <c r="B165" s="9" t="s">
        <v>189</v>
      </c>
      <c r="C165" s="10">
        <v>2810</v>
      </c>
      <c r="D165" s="10">
        <v>1033.6666918694973</v>
      </c>
      <c r="E165" s="10">
        <v>26438</v>
      </c>
      <c r="F165" s="26">
        <f t="shared" si="0"/>
        <v>0.1062864059308571</v>
      </c>
      <c r="G165" s="26">
        <f t="shared" si="1"/>
        <v>0.36785291525604885</v>
      </c>
      <c r="H165" s="26">
        <f t="shared" si="2"/>
        <v>3.9097764273753582E-2</v>
      </c>
      <c r="I165" s="25"/>
      <c r="J165" s="25"/>
      <c r="K165" s="17"/>
      <c r="L165" s="17"/>
      <c r="M165" s="28"/>
      <c r="N165" s="28"/>
      <c r="O165" s="3"/>
      <c r="P165" s="3"/>
      <c r="Q165" s="3"/>
      <c r="R165" s="17"/>
      <c r="S165" s="17"/>
      <c r="T165" s="17"/>
      <c r="U165" s="17"/>
      <c r="V165" s="17"/>
    </row>
    <row r="166" spans="1:22" ht="14.25" customHeight="1">
      <c r="A166" s="9">
        <v>40101</v>
      </c>
      <c r="B166" s="9" t="s">
        <v>18</v>
      </c>
      <c r="C166" s="10">
        <v>5958</v>
      </c>
      <c r="D166" s="10">
        <v>2160.4444997012615</v>
      </c>
      <c r="E166" s="10">
        <v>291130</v>
      </c>
      <c r="F166" s="26">
        <f t="shared" si="0"/>
        <v>2.0465084326589496E-2</v>
      </c>
      <c r="G166" s="26">
        <f t="shared" si="1"/>
        <v>0.36261236987265216</v>
      </c>
      <c r="H166" s="26">
        <f t="shared" si="2"/>
        <v>7.4208927273082875E-3</v>
      </c>
      <c r="I166" s="25"/>
      <c r="J166" s="25"/>
      <c r="K166" s="17"/>
      <c r="L166" s="17"/>
      <c r="M166" s="28"/>
      <c r="N166" s="28"/>
      <c r="O166" s="3"/>
      <c r="P166" s="3"/>
      <c r="Q166" s="3"/>
      <c r="R166" s="17"/>
      <c r="S166" s="17"/>
      <c r="T166" s="17"/>
      <c r="U166" s="17"/>
      <c r="V166" s="17"/>
    </row>
    <row r="167" spans="1:22" ht="14.25" customHeight="1">
      <c r="A167" s="9">
        <v>40102</v>
      </c>
      <c r="B167" s="9" t="s">
        <v>190</v>
      </c>
      <c r="C167" s="10">
        <v>3075</v>
      </c>
      <c r="D167" s="10">
        <v>1109.2222498953342</v>
      </c>
      <c r="E167" s="10">
        <v>22301</v>
      </c>
      <c r="F167" s="26">
        <f t="shared" si="0"/>
        <v>0.13788619344424016</v>
      </c>
      <c r="G167" s="26">
        <f t="shared" si="1"/>
        <v>0.36072268289279164</v>
      </c>
      <c r="H167" s="26">
        <f t="shared" si="2"/>
        <v>4.973867763308077E-2</v>
      </c>
      <c r="I167" s="25"/>
      <c r="J167" s="25"/>
      <c r="K167" s="17"/>
      <c r="L167" s="17"/>
      <c r="M167" s="28"/>
      <c r="N167" s="28"/>
      <c r="O167" s="3"/>
      <c r="P167" s="3"/>
      <c r="Q167" s="3"/>
      <c r="R167" s="17"/>
      <c r="S167" s="17"/>
      <c r="T167" s="17"/>
      <c r="U167" s="17"/>
      <c r="V167" s="17"/>
    </row>
    <row r="168" spans="1:22" ht="14.25" customHeight="1">
      <c r="A168" s="9">
        <v>40103</v>
      </c>
      <c r="B168" s="9" t="s">
        <v>191</v>
      </c>
      <c r="C168" s="10">
        <v>5432</v>
      </c>
      <c r="D168" s="10">
        <v>2023.000049084425</v>
      </c>
      <c r="E168" s="10">
        <v>9966</v>
      </c>
      <c r="F168" s="26">
        <f t="shared" si="0"/>
        <v>0.54505318081477017</v>
      </c>
      <c r="G168" s="26">
        <f t="shared" si="1"/>
        <v>0.37242268944853185</v>
      </c>
      <c r="H168" s="26">
        <f t="shared" si="2"/>
        <v>0.20299017149151363</v>
      </c>
      <c r="I168" s="25"/>
      <c r="J168" s="25"/>
      <c r="K168" s="17"/>
      <c r="L168" s="17"/>
      <c r="M168" s="28"/>
      <c r="N168" s="28"/>
      <c r="O168" s="3"/>
      <c r="P168" s="3"/>
      <c r="Q168" s="3"/>
      <c r="R168" s="17"/>
      <c r="S168" s="17"/>
      <c r="T168" s="17"/>
      <c r="U168" s="17"/>
      <c r="V168" s="17"/>
    </row>
    <row r="169" spans="1:22" ht="14.25" customHeight="1">
      <c r="A169" s="9">
        <v>40104</v>
      </c>
      <c r="B169" s="9" t="s">
        <v>192</v>
      </c>
      <c r="C169" s="10">
        <v>1889</v>
      </c>
      <c r="D169" s="10">
        <v>696.44446155428886</v>
      </c>
      <c r="E169" s="10">
        <v>15687</v>
      </c>
      <c r="F169" s="26">
        <f t="shared" si="0"/>
        <v>0.12041818065914452</v>
      </c>
      <c r="G169" s="26">
        <f t="shared" si="1"/>
        <v>0.36868420410497027</v>
      </c>
      <c r="H169" s="26">
        <f t="shared" si="2"/>
        <v>4.4396281096085219E-2</v>
      </c>
      <c r="I169" s="25"/>
      <c r="J169" s="25"/>
      <c r="K169" s="17"/>
      <c r="L169" s="17"/>
      <c r="M169" s="28"/>
      <c r="N169" s="28"/>
      <c r="O169" s="3"/>
      <c r="P169" s="3"/>
      <c r="Q169" s="3"/>
      <c r="R169" s="17"/>
      <c r="S169" s="17"/>
      <c r="T169" s="17"/>
      <c r="U169" s="17"/>
      <c r="V169" s="17"/>
    </row>
    <row r="170" spans="1:22" ht="14.25" customHeight="1">
      <c r="A170" s="9">
        <v>40201</v>
      </c>
      <c r="B170" s="9" t="s">
        <v>193</v>
      </c>
      <c r="C170" s="10">
        <v>6216</v>
      </c>
      <c r="D170" s="10">
        <v>2298.4445017278194</v>
      </c>
      <c r="E170" s="10">
        <v>34911</v>
      </c>
      <c r="F170" s="26">
        <f t="shared" si="0"/>
        <v>0.17805276273953768</v>
      </c>
      <c r="G170" s="26">
        <f t="shared" si="1"/>
        <v>0.36976262897809192</v>
      </c>
      <c r="H170" s="26">
        <f t="shared" si="2"/>
        <v>6.5837257647383907E-2</v>
      </c>
      <c r="I170" s="25"/>
      <c r="J170" s="25"/>
      <c r="K170" s="17"/>
      <c r="L170" s="17"/>
      <c r="M170" s="28"/>
      <c r="N170" s="28"/>
      <c r="O170" s="3"/>
      <c r="P170" s="3"/>
      <c r="Q170" s="3"/>
      <c r="R170" s="17"/>
      <c r="S170" s="17"/>
      <c r="T170" s="17"/>
      <c r="U170" s="17"/>
      <c r="V170" s="17"/>
    </row>
    <row r="171" spans="1:22" ht="14.25" customHeight="1">
      <c r="A171" s="9">
        <v>40202</v>
      </c>
      <c r="B171" s="9" t="s">
        <v>194</v>
      </c>
      <c r="C171" s="10">
        <v>1129</v>
      </c>
      <c r="D171" s="10">
        <v>402.7777878344059</v>
      </c>
      <c r="E171" s="10">
        <v>5141</v>
      </c>
      <c r="F171" s="26">
        <f t="shared" si="0"/>
        <v>0.21960708033456525</v>
      </c>
      <c r="G171" s="26">
        <f t="shared" si="1"/>
        <v>0.35675623368857917</v>
      </c>
      <c r="H171" s="26">
        <f t="shared" si="2"/>
        <v>7.8346194871504737E-2</v>
      </c>
      <c r="I171" s="25"/>
      <c r="J171" s="25"/>
      <c r="K171" s="17"/>
      <c r="L171" s="17"/>
      <c r="M171" s="28"/>
      <c r="N171" s="28"/>
      <c r="O171" s="3"/>
      <c r="P171" s="3"/>
      <c r="Q171" s="3"/>
      <c r="R171" s="17"/>
      <c r="S171" s="17"/>
      <c r="T171" s="17"/>
      <c r="U171" s="17"/>
      <c r="V171" s="17"/>
    </row>
    <row r="172" spans="1:22" ht="14.25" customHeight="1">
      <c r="A172" s="9">
        <v>40301</v>
      </c>
      <c r="B172" s="9" t="s">
        <v>195</v>
      </c>
      <c r="C172" s="10">
        <v>5322</v>
      </c>
      <c r="D172" s="10">
        <v>1989.4444929361343</v>
      </c>
      <c r="E172" s="10">
        <v>15894</v>
      </c>
      <c r="F172" s="26">
        <f t="shared" si="0"/>
        <v>0.3348433371083428</v>
      </c>
      <c r="G172" s="26">
        <f t="shared" si="1"/>
        <v>0.37381519972494071</v>
      </c>
      <c r="H172" s="26">
        <f t="shared" si="2"/>
        <v>0.12516952893772082</v>
      </c>
      <c r="I172" s="25"/>
      <c r="J172" s="25"/>
      <c r="K172" s="17"/>
      <c r="L172" s="17"/>
      <c r="M172" s="28"/>
      <c r="N172" s="28"/>
      <c r="O172" s="3"/>
      <c r="P172" s="3"/>
      <c r="Q172" s="3"/>
      <c r="R172" s="17"/>
      <c r="S172" s="17"/>
      <c r="T172" s="17"/>
      <c r="U172" s="17"/>
      <c r="V172" s="17"/>
    </row>
    <row r="173" spans="1:22" ht="14.25" customHeight="1">
      <c r="A173" s="9">
        <v>40302</v>
      </c>
      <c r="B173" s="9" t="s">
        <v>196</v>
      </c>
      <c r="C173" s="10">
        <v>673</v>
      </c>
      <c r="D173" s="10">
        <v>241.66667288541794</v>
      </c>
      <c r="E173" s="10">
        <v>2499</v>
      </c>
      <c r="F173" s="26">
        <f t="shared" si="0"/>
        <v>0.26930772308923567</v>
      </c>
      <c r="G173" s="26">
        <f t="shared" si="1"/>
        <v>0.35908866699170572</v>
      </c>
      <c r="H173" s="26">
        <f t="shared" si="2"/>
        <v>9.6705351294685049E-2</v>
      </c>
      <c r="I173" s="25"/>
      <c r="J173" s="25"/>
      <c r="K173" s="17"/>
      <c r="L173" s="17"/>
      <c r="M173" s="28"/>
      <c r="N173" s="28"/>
      <c r="O173" s="3"/>
      <c r="P173" s="3"/>
      <c r="Q173" s="3"/>
      <c r="R173" s="17"/>
      <c r="S173" s="17"/>
      <c r="T173" s="17"/>
      <c r="U173" s="17"/>
      <c r="V173" s="17"/>
    </row>
    <row r="174" spans="1:22" ht="14.25" customHeight="1">
      <c r="A174" s="9">
        <v>40401</v>
      </c>
      <c r="B174" s="9" t="s">
        <v>197</v>
      </c>
      <c r="C174" s="10">
        <v>1218</v>
      </c>
      <c r="D174" s="10">
        <v>453.66667723655701</v>
      </c>
      <c r="E174" s="10">
        <v>6367</v>
      </c>
      <c r="F174" s="26">
        <f t="shared" si="0"/>
        <v>0.19129888487513744</v>
      </c>
      <c r="G174" s="26">
        <f t="shared" si="1"/>
        <v>0.37246853631901233</v>
      </c>
      <c r="H174" s="26">
        <f t="shared" si="2"/>
        <v>7.1252815648901693E-2</v>
      </c>
      <c r="I174" s="25"/>
      <c r="J174" s="25"/>
      <c r="K174" s="17"/>
      <c r="L174" s="17"/>
      <c r="M174" s="28"/>
      <c r="N174" s="28"/>
      <c r="O174" s="3"/>
      <c r="P174" s="3"/>
      <c r="Q174" s="3"/>
      <c r="R174" s="17"/>
      <c r="S174" s="17"/>
      <c r="T174" s="17"/>
      <c r="U174" s="17"/>
      <c r="V174" s="17"/>
    </row>
    <row r="175" spans="1:22" ht="14.25" customHeight="1">
      <c r="A175" s="9">
        <v>40402</v>
      </c>
      <c r="B175" s="9" t="s">
        <v>198</v>
      </c>
      <c r="C175" s="10">
        <v>1831</v>
      </c>
      <c r="D175" s="10">
        <v>686.22223860025406</v>
      </c>
      <c r="E175" s="10">
        <v>5575</v>
      </c>
      <c r="F175" s="26">
        <f t="shared" si="0"/>
        <v>0.32843049327354262</v>
      </c>
      <c r="G175" s="26">
        <f t="shared" si="1"/>
        <v>0.37478003200450793</v>
      </c>
      <c r="H175" s="26">
        <f t="shared" si="2"/>
        <v>0.12308919078031463</v>
      </c>
      <c r="I175" s="25"/>
      <c r="J175" s="25"/>
      <c r="K175" s="17"/>
      <c r="L175" s="17"/>
      <c r="M175" s="28"/>
      <c r="N175" s="28"/>
      <c r="O175" s="3"/>
      <c r="P175" s="3"/>
      <c r="Q175" s="3"/>
      <c r="R175" s="17"/>
      <c r="S175" s="17"/>
      <c r="T175" s="17"/>
      <c r="U175" s="17"/>
      <c r="V175" s="17"/>
    </row>
    <row r="176" spans="1:22" ht="14.25" customHeight="1">
      <c r="A176" s="9">
        <v>40501</v>
      </c>
      <c r="B176" s="9" t="s">
        <v>199</v>
      </c>
      <c r="C176" s="10">
        <v>92</v>
      </c>
      <c r="D176" s="10">
        <v>31.888889729976654</v>
      </c>
      <c r="E176" s="10">
        <v>3787</v>
      </c>
      <c r="F176" s="26">
        <f t="shared" si="0"/>
        <v>2.429363612358067E-2</v>
      </c>
      <c r="G176" s="26">
        <f t="shared" si="1"/>
        <v>0.34661836663018103</v>
      </c>
      <c r="H176" s="26">
        <f t="shared" si="2"/>
        <v>8.4206204726634953E-3</v>
      </c>
      <c r="I176" s="25"/>
      <c r="J176" s="25"/>
      <c r="K176" s="17"/>
      <c r="L176" s="17"/>
      <c r="M176" s="28"/>
      <c r="N176" s="28"/>
      <c r="O176" s="3"/>
      <c r="P176" s="3"/>
      <c r="Q176" s="3"/>
      <c r="R176" s="17"/>
      <c r="S176" s="17"/>
      <c r="T176" s="17"/>
      <c r="U176" s="17"/>
      <c r="V176" s="17"/>
    </row>
    <row r="177" spans="1:22" ht="14.25" customHeight="1">
      <c r="A177" s="9">
        <v>40502</v>
      </c>
      <c r="B177" s="9" t="s">
        <v>200</v>
      </c>
      <c r="C177" s="10">
        <v>754</v>
      </c>
      <c r="D177" s="10">
        <v>278.22222903370857</v>
      </c>
      <c r="E177" s="10">
        <v>4153</v>
      </c>
      <c r="F177" s="26">
        <f t="shared" si="0"/>
        <v>0.18155550204671322</v>
      </c>
      <c r="G177" s="26">
        <f t="shared" si="1"/>
        <v>0.36899499871844638</v>
      </c>
      <c r="H177" s="26">
        <f t="shared" si="2"/>
        <v>6.6993072245053839E-2</v>
      </c>
      <c r="I177" s="25"/>
      <c r="J177" s="25"/>
      <c r="K177" s="17"/>
      <c r="L177" s="17"/>
      <c r="M177" s="28"/>
      <c r="N177" s="28"/>
      <c r="O177" s="3"/>
      <c r="P177" s="3"/>
      <c r="Q177" s="3"/>
      <c r="R177" s="17"/>
      <c r="S177" s="17"/>
      <c r="T177" s="17"/>
      <c r="U177" s="17"/>
      <c r="V177" s="17"/>
    </row>
    <row r="178" spans="1:22" ht="14.25" customHeight="1">
      <c r="A178" s="9">
        <v>40503</v>
      </c>
      <c r="B178" s="9" t="s">
        <v>201</v>
      </c>
      <c r="C178" s="10">
        <v>132</v>
      </c>
      <c r="D178" s="10">
        <v>51.222223460674286</v>
      </c>
      <c r="E178" s="10">
        <v>1493</v>
      </c>
      <c r="F178" s="26">
        <f t="shared" si="0"/>
        <v>8.8412592096450096E-2</v>
      </c>
      <c r="G178" s="26">
        <f t="shared" si="1"/>
        <v>0.38804714742935065</v>
      </c>
      <c r="H178" s="26">
        <f t="shared" si="2"/>
        <v>3.430825415986221E-2</v>
      </c>
      <c r="I178" s="25"/>
      <c r="J178" s="25"/>
      <c r="K178" s="17"/>
      <c r="L178" s="17"/>
      <c r="M178" s="28"/>
      <c r="N178" s="28"/>
      <c r="O178" s="3"/>
      <c r="P178" s="3"/>
      <c r="Q178" s="3"/>
      <c r="R178" s="17"/>
      <c r="S178" s="17"/>
      <c r="T178" s="17"/>
      <c r="U178" s="17"/>
      <c r="V178" s="17"/>
    </row>
    <row r="179" spans="1:22" ht="14.25" customHeight="1">
      <c r="A179" s="9">
        <v>40504</v>
      </c>
      <c r="B179" s="9" t="s">
        <v>202</v>
      </c>
      <c r="C179" s="10">
        <v>28</v>
      </c>
      <c r="D179" s="10">
        <v>9.3333336114883423</v>
      </c>
      <c r="E179" s="10">
        <v>875</v>
      </c>
      <c r="F179" s="26">
        <f t="shared" si="0"/>
        <v>3.2000000000000001E-2</v>
      </c>
      <c r="G179" s="26">
        <f t="shared" si="1"/>
        <v>0.3333333432674408</v>
      </c>
      <c r="H179" s="26">
        <f t="shared" si="2"/>
        <v>1.0666666984558105E-2</v>
      </c>
      <c r="I179" s="25"/>
      <c r="J179" s="25"/>
      <c r="K179" s="17"/>
      <c r="L179" s="17"/>
      <c r="M179" s="28"/>
      <c r="N179" s="28"/>
      <c r="O179" s="3"/>
      <c r="P179" s="3"/>
      <c r="Q179" s="3"/>
      <c r="R179" s="17"/>
      <c r="S179" s="17"/>
      <c r="T179" s="17"/>
      <c r="U179" s="17"/>
      <c r="V179" s="17"/>
    </row>
    <row r="180" spans="1:22" ht="14.25" customHeight="1">
      <c r="A180" s="9">
        <v>40505</v>
      </c>
      <c r="B180" s="9" t="s">
        <v>203</v>
      </c>
      <c r="C180" s="10">
        <v>349</v>
      </c>
      <c r="D180" s="10">
        <v>129.66667005419731</v>
      </c>
      <c r="E180" s="10">
        <v>3856</v>
      </c>
      <c r="F180" s="26">
        <f t="shared" si="0"/>
        <v>9.050829875518672E-2</v>
      </c>
      <c r="G180" s="26">
        <f t="shared" si="1"/>
        <v>0.37153773654497796</v>
      </c>
      <c r="H180" s="26">
        <f t="shared" si="2"/>
        <v>3.3627248458038717E-2</v>
      </c>
      <c r="I180" s="25"/>
      <c r="J180" s="25"/>
      <c r="K180" s="17"/>
      <c r="L180" s="17"/>
      <c r="M180" s="28"/>
      <c r="N180" s="28"/>
      <c r="O180" s="3"/>
      <c r="P180" s="3"/>
      <c r="Q180" s="3"/>
      <c r="R180" s="17"/>
      <c r="S180" s="17"/>
      <c r="T180" s="17"/>
      <c r="U180" s="17"/>
      <c r="V180" s="17"/>
    </row>
    <row r="181" spans="1:22" ht="14.25" customHeight="1">
      <c r="A181" s="9">
        <v>40601</v>
      </c>
      <c r="B181" s="9" t="s">
        <v>204</v>
      </c>
      <c r="C181" s="10">
        <v>1019</v>
      </c>
      <c r="D181" s="10">
        <v>368.555565148592</v>
      </c>
      <c r="E181" s="10">
        <v>9120</v>
      </c>
      <c r="F181" s="26">
        <f t="shared" si="0"/>
        <v>0.11173245614035088</v>
      </c>
      <c r="G181" s="26">
        <f t="shared" si="1"/>
        <v>0.36168357718213151</v>
      </c>
      <c r="H181" s="26">
        <f t="shared" si="2"/>
        <v>4.0411794424187721E-2</v>
      </c>
      <c r="I181" s="25"/>
      <c r="J181" s="25"/>
      <c r="K181" s="17"/>
      <c r="L181" s="17"/>
      <c r="M181" s="28"/>
      <c r="N181" s="28"/>
      <c r="O181" s="3"/>
      <c r="P181" s="3"/>
      <c r="Q181" s="3"/>
      <c r="R181" s="17"/>
      <c r="S181" s="17"/>
      <c r="T181" s="17"/>
      <c r="U181" s="17"/>
      <c r="V181" s="17"/>
    </row>
    <row r="182" spans="1:22" ht="14.25" customHeight="1">
      <c r="A182" s="9">
        <v>40602</v>
      </c>
      <c r="B182" s="9" t="s">
        <v>205</v>
      </c>
      <c r="C182" s="10">
        <v>533</v>
      </c>
      <c r="D182" s="10">
        <v>197.1111159324646</v>
      </c>
      <c r="E182" s="10">
        <v>4175</v>
      </c>
      <c r="F182" s="26">
        <f t="shared" si="0"/>
        <v>0.12766467065868264</v>
      </c>
      <c r="G182" s="26">
        <f t="shared" si="1"/>
        <v>0.36981447642113435</v>
      </c>
      <c r="H182" s="26">
        <f t="shared" si="2"/>
        <v>4.7212243337117273E-2</v>
      </c>
      <c r="I182" s="25"/>
      <c r="J182" s="25"/>
      <c r="K182" s="17"/>
      <c r="L182" s="17"/>
      <c r="M182" s="28"/>
      <c r="N182" s="28"/>
      <c r="O182" s="3"/>
      <c r="P182" s="3"/>
      <c r="Q182" s="3"/>
      <c r="R182" s="17"/>
      <c r="S182" s="17"/>
      <c r="T182" s="17"/>
      <c r="U182" s="17"/>
      <c r="V182" s="17"/>
    </row>
    <row r="183" spans="1:22" ht="14.25" customHeight="1">
      <c r="A183" s="9">
        <v>40603</v>
      </c>
      <c r="B183" s="9" t="s">
        <v>206</v>
      </c>
      <c r="C183" s="10">
        <v>272</v>
      </c>
      <c r="D183" s="10">
        <v>96.000002384185791</v>
      </c>
      <c r="E183" s="10">
        <v>3563</v>
      </c>
      <c r="F183" s="26">
        <f t="shared" si="0"/>
        <v>7.6340162784170648E-2</v>
      </c>
      <c r="G183" s="26">
        <f t="shared" si="1"/>
        <v>0.35294118523597717</v>
      </c>
      <c r="H183" s="26">
        <f t="shared" si="2"/>
        <v>2.6943587534152623E-2</v>
      </c>
      <c r="I183" s="25"/>
      <c r="J183" s="25"/>
      <c r="K183" s="17"/>
      <c r="L183" s="17"/>
      <c r="M183" s="28"/>
      <c r="N183" s="28"/>
      <c r="O183" s="3"/>
      <c r="P183" s="3"/>
      <c r="Q183" s="3"/>
      <c r="R183" s="17"/>
      <c r="S183" s="17"/>
      <c r="T183" s="17"/>
      <c r="U183" s="17"/>
      <c r="V183" s="17"/>
    </row>
    <row r="184" spans="1:22" ht="14.25" customHeight="1">
      <c r="A184" s="9">
        <v>40701</v>
      </c>
      <c r="B184" s="9" t="s">
        <v>207</v>
      </c>
      <c r="C184" s="10">
        <v>633</v>
      </c>
      <c r="D184" s="10">
        <v>226.77778324484825</v>
      </c>
      <c r="E184" s="10">
        <v>19417</v>
      </c>
      <c r="F184" s="26">
        <f t="shared" si="0"/>
        <v>3.2600298707318329E-2</v>
      </c>
      <c r="G184" s="26">
        <f t="shared" si="1"/>
        <v>0.35825874130307783</v>
      </c>
      <c r="H184" s="26">
        <f t="shared" si="2"/>
        <v>1.1679341980988221E-2</v>
      </c>
      <c r="I184" s="25"/>
      <c r="J184" s="25"/>
      <c r="K184" s="17"/>
      <c r="L184" s="17"/>
      <c r="M184" s="28"/>
      <c r="N184" s="28"/>
      <c r="O184" s="3"/>
      <c r="P184" s="3"/>
      <c r="Q184" s="3"/>
      <c r="R184" s="17"/>
      <c r="S184" s="17"/>
      <c r="T184" s="17"/>
      <c r="U184" s="17"/>
      <c r="V184" s="17"/>
    </row>
    <row r="185" spans="1:22" ht="14.25" customHeight="1">
      <c r="A185" s="9">
        <v>40702</v>
      </c>
      <c r="B185" s="9" t="s">
        <v>208</v>
      </c>
      <c r="C185" s="10">
        <v>340</v>
      </c>
      <c r="D185" s="10">
        <v>123.333336353302</v>
      </c>
      <c r="E185" s="10">
        <v>6077</v>
      </c>
      <c r="F185" s="26">
        <f t="shared" si="0"/>
        <v>5.5948658877735723E-2</v>
      </c>
      <c r="G185" s="26">
        <f t="shared" si="1"/>
        <v>0.36274510692147649</v>
      </c>
      <c r="H185" s="26">
        <f t="shared" si="2"/>
        <v>2.0295102246717458E-2</v>
      </c>
      <c r="I185" s="25"/>
      <c r="J185" s="25"/>
      <c r="K185" s="17"/>
      <c r="L185" s="17"/>
      <c r="M185" s="28"/>
      <c r="N185" s="28"/>
      <c r="O185" s="3"/>
      <c r="P185" s="3"/>
      <c r="Q185" s="3"/>
      <c r="R185" s="17"/>
      <c r="S185" s="17"/>
      <c r="T185" s="17"/>
      <c r="U185" s="17"/>
      <c r="V185" s="17"/>
    </row>
    <row r="186" spans="1:22" ht="14.25" customHeight="1">
      <c r="A186" s="9">
        <v>40801</v>
      </c>
      <c r="B186" s="9" t="s">
        <v>209</v>
      </c>
      <c r="C186" s="10">
        <v>2363</v>
      </c>
      <c r="D186" s="10">
        <v>859.88891050219536</v>
      </c>
      <c r="E186" s="10">
        <v>15855</v>
      </c>
      <c r="F186" s="26">
        <f t="shared" si="0"/>
        <v>0.14903815830968148</v>
      </c>
      <c r="G186" s="26">
        <f t="shared" si="1"/>
        <v>0.36389712674659136</v>
      </c>
      <c r="H186" s="26">
        <f t="shared" si="2"/>
        <v>5.4234557584496711E-2</v>
      </c>
      <c r="I186" s="25"/>
      <c r="J186" s="25"/>
      <c r="K186" s="17"/>
      <c r="L186" s="17"/>
      <c r="M186" s="28"/>
      <c r="N186" s="28"/>
      <c r="O186" s="3"/>
      <c r="P186" s="3"/>
      <c r="Q186" s="3"/>
      <c r="R186" s="17"/>
      <c r="S186" s="17"/>
      <c r="T186" s="17"/>
      <c r="U186" s="17"/>
      <c r="V186" s="17"/>
    </row>
    <row r="187" spans="1:22" ht="14.25" customHeight="1">
      <c r="A187" s="9">
        <v>40802</v>
      </c>
      <c r="B187" s="9" t="s">
        <v>210</v>
      </c>
      <c r="C187" s="10">
        <v>625</v>
      </c>
      <c r="D187" s="10">
        <v>226.55556121468544</v>
      </c>
      <c r="E187" s="10">
        <v>3192</v>
      </c>
      <c r="F187" s="26">
        <f t="shared" si="0"/>
        <v>0.19580200501253134</v>
      </c>
      <c r="G187" s="26">
        <f t="shared" si="1"/>
        <v>0.3624888979434967</v>
      </c>
      <c r="H187" s="26">
        <f t="shared" si="2"/>
        <v>7.0976053012119497E-2</v>
      </c>
      <c r="I187" s="25"/>
      <c r="J187" s="25"/>
      <c r="K187" s="17"/>
      <c r="L187" s="17"/>
      <c r="M187" s="28"/>
      <c r="N187" s="28"/>
      <c r="O187" s="3"/>
      <c r="P187" s="3"/>
      <c r="Q187" s="3"/>
      <c r="R187" s="17"/>
      <c r="S187" s="17"/>
      <c r="T187" s="17"/>
      <c r="U187" s="17"/>
      <c r="V187" s="17"/>
    </row>
    <row r="188" spans="1:22" ht="14.25" customHeight="1">
      <c r="A188" s="9">
        <v>40901</v>
      </c>
      <c r="B188" s="9" t="s">
        <v>211</v>
      </c>
      <c r="C188" s="10">
        <v>1381</v>
      </c>
      <c r="D188" s="10">
        <v>506.77779021859169</v>
      </c>
      <c r="E188" s="10">
        <v>14680</v>
      </c>
      <c r="F188" s="26">
        <f t="shared" si="0"/>
        <v>9.407356948228883E-2</v>
      </c>
      <c r="G188" s="26">
        <f t="shared" si="1"/>
        <v>0.36696436655944364</v>
      </c>
      <c r="H188" s="26">
        <f t="shared" si="2"/>
        <v>3.4521647835053931E-2</v>
      </c>
      <c r="I188" s="25"/>
      <c r="J188" s="25"/>
      <c r="K188" s="17"/>
      <c r="L188" s="17"/>
      <c r="M188" s="28"/>
      <c r="N188" s="28"/>
      <c r="O188" s="3"/>
      <c r="P188" s="3"/>
      <c r="Q188" s="3"/>
      <c r="R188" s="17"/>
      <c r="S188" s="17"/>
      <c r="T188" s="17"/>
      <c r="U188" s="17"/>
      <c r="V188" s="17"/>
    </row>
    <row r="189" spans="1:22" ht="14.25" customHeight="1">
      <c r="A189" s="9">
        <v>40902</v>
      </c>
      <c r="B189" s="9" t="s">
        <v>212</v>
      </c>
      <c r="C189" s="10">
        <v>151</v>
      </c>
      <c r="D189" s="10">
        <v>58.777778774499893</v>
      </c>
      <c r="E189" s="10">
        <v>1379</v>
      </c>
      <c r="F189" s="26">
        <f t="shared" si="0"/>
        <v>0.10949963741841914</v>
      </c>
      <c r="G189" s="26">
        <f t="shared" si="1"/>
        <v>0.38925681307615823</v>
      </c>
      <c r="H189" s="26">
        <f t="shared" si="2"/>
        <v>4.2623479894488683E-2</v>
      </c>
      <c r="I189" s="25"/>
      <c r="J189" s="25"/>
      <c r="K189" s="17"/>
      <c r="L189" s="17"/>
      <c r="M189" s="28"/>
      <c r="N189" s="28"/>
      <c r="O189" s="3"/>
      <c r="P189" s="3"/>
      <c r="Q189" s="3"/>
      <c r="R189" s="17"/>
      <c r="S189" s="17"/>
      <c r="T189" s="17"/>
      <c r="U189" s="17"/>
      <c r="V189" s="17"/>
    </row>
    <row r="190" spans="1:22" ht="14.25" customHeight="1">
      <c r="A190" s="9">
        <v>40903</v>
      </c>
      <c r="B190" s="9" t="s">
        <v>213</v>
      </c>
      <c r="C190" s="10">
        <v>881</v>
      </c>
      <c r="D190" s="10">
        <v>336.66667479276657</v>
      </c>
      <c r="E190" s="10">
        <v>2340</v>
      </c>
      <c r="F190" s="26">
        <f t="shared" si="0"/>
        <v>0.37649572649572649</v>
      </c>
      <c r="G190" s="26">
        <f t="shared" si="1"/>
        <v>0.38214151508827082</v>
      </c>
      <c r="H190" s="26">
        <f t="shared" si="2"/>
        <v>0.14387464734733615</v>
      </c>
      <c r="I190" s="25"/>
      <c r="J190" s="25"/>
      <c r="K190" s="17"/>
      <c r="L190" s="17"/>
      <c r="M190" s="28"/>
      <c r="N190" s="28"/>
      <c r="O190" s="3"/>
      <c r="P190" s="3"/>
      <c r="Q190" s="3"/>
      <c r="R190" s="17"/>
      <c r="S190" s="17"/>
      <c r="T190" s="17"/>
      <c r="U190" s="17"/>
      <c r="V190" s="17"/>
    </row>
    <row r="191" spans="1:22" ht="14.25" customHeight="1">
      <c r="A191" s="9">
        <v>41001</v>
      </c>
      <c r="B191" s="9" t="s">
        <v>214</v>
      </c>
      <c r="C191" s="10">
        <v>3885</v>
      </c>
      <c r="D191" s="10">
        <v>1404.1111460030079</v>
      </c>
      <c r="E191" s="10">
        <v>12134</v>
      </c>
      <c r="F191" s="26">
        <f t="shared" si="0"/>
        <v>0.32017471567496292</v>
      </c>
      <c r="G191" s="26">
        <f t="shared" si="1"/>
        <v>0.36141857039974462</v>
      </c>
      <c r="H191" s="26">
        <f t="shared" si="2"/>
        <v>0.11571708801738981</v>
      </c>
      <c r="I191" s="25"/>
      <c r="J191" s="25"/>
      <c r="K191" s="17"/>
      <c r="L191" s="17"/>
      <c r="M191" s="28"/>
      <c r="N191" s="28"/>
      <c r="O191" s="3"/>
      <c r="P191" s="3"/>
      <c r="Q191" s="3"/>
      <c r="R191" s="17"/>
      <c r="S191" s="17"/>
      <c r="T191" s="17"/>
      <c r="U191" s="17"/>
      <c r="V191" s="17"/>
    </row>
    <row r="192" spans="1:22" ht="14.25" customHeight="1">
      <c r="A192" s="9">
        <v>41101</v>
      </c>
      <c r="B192" s="9" t="s">
        <v>215</v>
      </c>
      <c r="C192" s="10">
        <v>637</v>
      </c>
      <c r="D192" s="10">
        <v>231.11111718416214</v>
      </c>
      <c r="E192" s="10">
        <v>5325</v>
      </c>
      <c r="F192" s="26">
        <f t="shared" si="0"/>
        <v>0.11962441314553991</v>
      </c>
      <c r="G192" s="26">
        <f t="shared" si="1"/>
        <v>0.36281180091705201</v>
      </c>
      <c r="H192" s="26">
        <f t="shared" si="2"/>
        <v>4.3401148766978807E-2</v>
      </c>
      <c r="I192" s="25"/>
      <c r="J192" s="25"/>
      <c r="K192" s="17"/>
      <c r="L192" s="17"/>
      <c r="M192" s="28"/>
      <c r="N192" s="28"/>
      <c r="O192" s="3"/>
      <c r="P192" s="3"/>
      <c r="Q192" s="3"/>
      <c r="R192" s="17"/>
      <c r="S192" s="17"/>
      <c r="T192" s="17"/>
      <c r="U192" s="17"/>
      <c r="V192" s="17"/>
    </row>
    <row r="193" spans="1:22" ht="14.25" customHeight="1">
      <c r="A193" s="9">
        <v>41201</v>
      </c>
      <c r="B193" s="9" t="s">
        <v>216</v>
      </c>
      <c r="C193" s="10">
        <v>1948</v>
      </c>
      <c r="D193" s="10">
        <v>725.88890641927719</v>
      </c>
      <c r="E193" s="10">
        <v>6297</v>
      </c>
      <c r="F193" s="26">
        <f t="shared" si="0"/>
        <v>0.3093536604732412</v>
      </c>
      <c r="G193" s="26">
        <f t="shared" si="1"/>
        <v>0.3726329088394647</v>
      </c>
      <c r="H193" s="26">
        <f t="shared" si="2"/>
        <v>0.11527535436228001</v>
      </c>
      <c r="I193" s="25"/>
      <c r="J193" s="25"/>
      <c r="K193" s="17"/>
      <c r="L193" s="17"/>
      <c r="M193" s="28"/>
      <c r="N193" s="28"/>
      <c r="O193" s="3"/>
      <c r="P193" s="3"/>
      <c r="Q193" s="3"/>
      <c r="R193" s="17"/>
      <c r="S193" s="17"/>
      <c r="T193" s="17"/>
      <c r="U193" s="17"/>
      <c r="V193" s="17"/>
    </row>
    <row r="194" spans="1:22" ht="14.25" customHeight="1">
      <c r="A194" s="9">
        <v>41202</v>
      </c>
      <c r="B194" s="9" t="s">
        <v>217</v>
      </c>
      <c r="C194" s="10">
        <v>668</v>
      </c>
      <c r="D194" s="10">
        <v>240.5555616915226</v>
      </c>
      <c r="E194" s="10">
        <v>3050</v>
      </c>
      <c r="F194" s="26">
        <f t="shared" si="0"/>
        <v>0.21901639344262294</v>
      </c>
      <c r="G194" s="26">
        <f t="shared" si="1"/>
        <v>0.36011311630467457</v>
      </c>
      <c r="H194" s="26">
        <f t="shared" si="2"/>
        <v>7.8870675964433645E-2</v>
      </c>
      <c r="I194" s="25"/>
      <c r="J194" s="25"/>
      <c r="K194" s="17"/>
      <c r="L194" s="17"/>
      <c r="M194" s="28"/>
      <c r="N194" s="28"/>
      <c r="O194" s="3"/>
      <c r="P194" s="3"/>
      <c r="Q194" s="3"/>
      <c r="R194" s="17"/>
      <c r="S194" s="17"/>
      <c r="T194" s="17"/>
      <c r="U194" s="17"/>
      <c r="V194" s="17"/>
    </row>
    <row r="195" spans="1:22" ht="14.25" customHeight="1">
      <c r="A195" s="9">
        <v>41301</v>
      </c>
      <c r="B195" s="9" t="s">
        <v>172</v>
      </c>
      <c r="C195" s="10">
        <v>2447</v>
      </c>
      <c r="D195" s="10">
        <v>909.8889117538929</v>
      </c>
      <c r="E195" s="10">
        <v>6624</v>
      </c>
      <c r="F195" s="26">
        <f t="shared" si="0"/>
        <v>0.36941425120772947</v>
      </c>
      <c r="G195" s="26">
        <f t="shared" si="1"/>
        <v>0.37183854178745113</v>
      </c>
      <c r="H195" s="26">
        <f t="shared" si="2"/>
        <v>0.13736245648458528</v>
      </c>
      <c r="I195" s="25"/>
      <c r="J195" s="25"/>
      <c r="K195" s="17"/>
      <c r="L195" s="17"/>
      <c r="M195" s="28"/>
      <c r="N195" s="28"/>
      <c r="O195" s="3"/>
      <c r="P195" s="3"/>
      <c r="Q195" s="3"/>
      <c r="R195" s="17"/>
      <c r="S195" s="17"/>
      <c r="T195" s="17"/>
      <c r="U195" s="17"/>
      <c r="V195" s="17"/>
    </row>
    <row r="196" spans="1:22" ht="14.25" customHeight="1">
      <c r="A196" s="9">
        <v>41401</v>
      </c>
      <c r="B196" s="9" t="s">
        <v>218</v>
      </c>
      <c r="C196" s="10">
        <v>2531</v>
      </c>
      <c r="D196" s="10">
        <v>953.22224539518356</v>
      </c>
      <c r="E196" s="10">
        <v>13463</v>
      </c>
      <c r="F196" s="26">
        <f t="shared" si="0"/>
        <v>0.18799673178340637</v>
      </c>
      <c r="G196" s="26">
        <f t="shared" si="1"/>
        <v>0.37661882473140401</v>
      </c>
      <c r="H196" s="26">
        <f t="shared" si="2"/>
        <v>7.0803108177611498E-2</v>
      </c>
      <c r="I196" s="25"/>
      <c r="J196" s="25"/>
      <c r="K196" s="17"/>
      <c r="L196" s="17"/>
      <c r="M196" s="28"/>
      <c r="N196" s="28"/>
      <c r="O196" s="3"/>
      <c r="P196" s="3"/>
      <c r="Q196" s="3"/>
      <c r="R196" s="17"/>
      <c r="S196" s="17"/>
      <c r="T196" s="17"/>
      <c r="U196" s="17"/>
      <c r="V196" s="17"/>
    </row>
    <row r="197" spans="1:22" ht="14.25" customHeight="1">
      <c r="A197" s="9">
        <v>41501</v>
      </c>
      <c r="B197" s="9" t="s">
        <v>219</v>
      </c>
      <c r="C197" s="10">
        <v>397</v>
      </c>
      <c r="D197" s="10">
        <v>158.11111524701118</v>
      </c>
      <c r="E197" s="10">
        <v>1259</v>
      </c>
      <c r="F197" s="26">
        <f t="shared" si="0"/>
        <v>0.31532962668784748</v>
      </c>
      <c r="G197" s="26">
        <f t="shared" si="1"/>
        <v>0.39826477392194254</v>
      </c>
      <c r="H197" s="26">
        <f t="shared" si="2"/>
        <v>0.12558468248372612</v>
      </c>
      <c r="I197" s="25"/>
      <c r="J197" s="25"/>
      <c r="K197" s="17"/>
      <c r="L197" s="17"/>
      <c r="M197" s="28"/>
      <c r="N197" s="28"/>
      <c r="O197" s="3"/>
      <c r="P197" s="3"/>
      <c r="Q197" s="3"/>
      <c r="R197" s="17"/>
      <c r="S197" s="17"/>
      <c r="T197" s="17"/>
      <c r="U197" s="17"/>
      <c r="V197" s="17"/>
    </row>
    <row r="198" spans="1:22" ht="14.25" customHeight="1">
      <c r="A198" s="9">
        <v>41502</v>
      </c>
      <c r="B198" s="9" t="s">
        <v>220</v>
      </c>
      <c r="C198" s="10">
        <v>145</v>
      </c>
      <c r="D198" s="10">
        <v>53.111112266778946</v>
      </c>
      <c r="E198" s="10">
        <v>1077</v>
      </c>
      <c r="F198" s="26">
        <f t="shared" si="0"/>
        <v>0.13463324048282266</v>
      </c>
      <c r="G198" s="26">
        <f t="shared" si="1"/>
        <v>0.36628353287433757</v>
      </c>
      <c r="H198" s="26">
        <f t="shared" si="2"/>
        <v>4.931393896636857E-2</v>
      </c>
      <c r="I198" s="25"/>
      <c r="J198" s="25"/>
      <c r="K198" s="17"/>
      <c r="L198" s="17"/>
      <c r="M198" s="28"/>
      <c r="N198" s="28"/>
      <c r="O198" s="3"/>
      <c r="P198" s="3"/>
      <c r="Q198" s="3"/>
      <c r="R198" s="17"/>
      <c r="S198" s="17"/>
      <c r="T198" s="17"/>
      <c r="U198" s="17"/>
      <c r="V198" s="17"/>
    </row>
    <row r="199" spans="1:22" ht="14.25" customHeight="1">
      <c r="A199" s="9">
        <v>41503</v>
      </c>
      <c r="B199" s="9" t="s">
        <v>221</v>
      </c>
      <c r="C199" s="10">
        <v>209</v>
      </c>
      <c r="D199" s="10">
        <v>76.88889068365097</v>
      </c>
      <c r="E199" s="10">
        <v>1119</v>
      </c>
      <c r="F199" s="26">
        <f t="shared" si="0"/>
        <v>0.18677390527256479</v>
      </c>
      <c r="G199" s="26">
        <f t="shared" si="1"/>
        <v>0.36788942910837785</v>
      </c>
      <c r="H199" s="26">
        <f t="shared" si="2"/>
        <v>6.8712145383066109E-2</v>
      </c>
      <c r="I199" s="25"/>
      <c r="J199" s="25"/>
      <c r="K199" s="17"/>
      <c r="L199" s="17"/>
      <c r="M199" s="28"/>
      <c r="N199" s="28"/>
      <c r="O199" s="3"/>
      <c r="P199" s="3"/>
      <c r="Q199" s="3"/>
      <c r="R199" s="17"/>
      <c r="S199" s="17"/>
      <c r="T199" s="17"/>
      <c r="U199" s="17"/>
      <c r="V199" s="17"/>
    </row>
    <row r="200" spans="1:22" ht="14.25" customHeight="1">
      <c r="A200" s="9">
        <v>41601</v>
      </c>
      <c r="B200" s="9" t="s">
        <v>222</v>
      </c>
      <c r="C200" s="10">
        <v>1883</v>
      </c>
      <c r="D200" s="10">
        <v>686.66668385267258</v>
      </c>
      <c r="E200" s="10">
        <v>5982</v>
      </c>
      <c r="F200" s="26">
        <f t="shared" si="0"/>
        <v>0.31477766633233034</v>
      </c>
      <c r="G200" s="26">
        <f t="shared" si="1"/>
        <v>0.36466632174863123</v>
      </c>
      <c r="H200" s="26">
        <f t="shared" si="2"/>
        <v>0.11478881375002886</v>
      </c>
      <c r="I200" s="25"/>
      <c r="J200" s="25"/>
      <c r="K200" s="17"/>
      <c r="L200" s="17"/>
      <c r="M200" s="28"/>
      <c r="N200" s="28"/>
      <c r="O200" s="3"/>
      <c r="P200" s="3"/>
      <c r="Q200" s="3"/>
      <c r="R200" s="17"/>
      <c r="S200" s="17"/>
      <c r="T200" s="17"/>
      <c r="U200" s="17"/>
      <c r="V200" s="17"/>
    </row>
    <row r="201" spans="1:22" ht="14.25" customHeight="1">
      <c r="A201" s="9">
        <v>50101</v>
      </c>
      <c r="B201" s="9" t="s">
        <v>20</v>
      </c>
      <c r="C201" s="10">
        <v>7326</v>
      </c>
      <c r="D201" s="10">
        <v>2674.0000684559345</v>
      </c>
      <c r="E201" s="10">
        <v>214011</v>
      </c>
      <c r="F201" s="26">
        <f t="shared" si="0"/>
        <v>3.4231885276925021E-2</v>
      </c>
      <c r="G201" s="26">
        <f t="shared" si="1"/>
        <v>0.36500137434560942</v>
      </c>
      <c r="H201" s="26">
        <f t="shared" si="2"/>
        <v>1.2494685172518866E-2</v>
      </c>
      <c r="I201" s="25"/>
      <c r="J201" s="25"/>
      <c r="K201" s="17"/>
      <c r="L201" s="17"/>
      <c r="M201" s="28"/>
      <c r="N201" s="28"/>
      <c r="O201" s="3"/>
      <c r="P201" s="3"/>
      <c r="Q201" s="3"/>
      <c r="R201" s="17"/>
      <c r="S201" s="17"/>
      <c r="T201" s="17"/>
      <c r="U201" s="17"/>
      <c r="V201" s="17"/>
    </row>
    <row r="202" spans="1:22" ht="14.25" customHeight="1">
      <c r="A202" s="9">
        <v>50102</v>
      </c>
      <c r="B202" s="9" t="s">
        <v>223</v>
      </c>
      <c r="C202" s="10">
        <v>9999</v>
      </c>
      <c r="D202" s="10">
        <v>3878.4445413351059</v>
      </c>
      <c r="E202" s="10">
        <v>28884</v>
      </c>
      <c r="F202" s="26">
        <f t="shared" si="0"/>
        <v>0.34617781470710429</v>
      </c>
      <c r="G202" s="26">
        <f t="shared" si="1"/>
        <v>0.38788324245775635</v>
      </c>
      <c r="H202" s="26">
        <f t="shared" si="2"/>
        <v>0.13427657323553199</v>
      </c>
      <c r="I202" s="25"/>
      <c r="J202" s="25"/>
      <c r="K202" s="17"/>
      <c r="L202" s="17"/>
      <c r="M202" s="28"/>
      <c r="N202" s="28"/>
      <c r="O202" s="3"/>
      <c r="P202" s="3"/>
      <c r="Q202" s="3"/>
      <c r="R202" s="17"/>
      <c r="S202" s="17"/>
      <c r="T202" s="17"/>
      <c r="U202" s="17"/>
      <c r="V202" s="17"/>
    </row>
    <row r="203" spans="1:22" ht="14.25" customHeight="1">
      <c r="A203" s="9">
        <v>50103</v>
      </c>
      <c r="B203" s="9" t="s">
        <v>224</v>
      </c>
      <c r="C203" s="10">
        <v>1049</v>
      </c>
      <c r="D203" s="10">
        <v>376.22223165631294</v>
      </c>
      <c r="E203" s="10">
        <v>12152</v>
      </c>
      <c r="F203" s="26">
        <f t="shared" si="0"/>
        <v>8.6323238973008559E-2</v>
      </c>
      <c r="G203" s="26">
        <f t="shared" si="1"/>
        <v>0.3586484572510133</v>
      </c>
      <c r="H203" s="26">
        <f t="shared" si="2"/>
        <v>3.0959696482580065E-2</v>
      </c>
      <c r="I203" s="25"/>
      <c r="J203" s="25"/>
      <c r="K203" s="17"/>
      <c r="L203" s="17"/>
      <c r="M203" s="28"/>
      <c r="N203" s="28"/>
      <c r="O203" s="3"/>
      <c r="P203" s="3"/>
      <c r="Q203" s="3"/>
      <c r="R203" s="17"/>
      <c r="S203" s="17"/>
      <c r="T203" s="17"/>
      <c r="U203" s="17"/>
      <c r="V203" s="17"/>
    </row>
    <row r="204" spans="1:22" ht="14.25" customHeight="1">
      <c r="A204" s="9">
        <v>50104</v>
      </c>
      <c r="B204" s="9" t="s">
        <v>225</v>
      </c>
      <c r="C204" s="10">
        <v>1140</v>
      </c>
      <c r="D204" s="10">
        <v>428.66667699813843</v>
      </c>
      <c r="E204" s="10">
        <v>3117</v>
      </c>
      <c r="F204" s="26">
        <f t="shared" si="0"/>
        <v>0.36573628488931664</v>
      </c>
      <c r="G204" s="26">
        <f t="shared" si="1"/>
        <v>0.37602340087556002</v>
      </c>
      <c r="H204" s="26">
        <f t="shared" si="2"/>
        <v>0.13752540166767355</v>
      </c>
      <c r="I204" s="25"/>
      <c r="J204" s="25"/>
      <c r="K204" s="17"/>
      <c r="L204" s="17"/>
      <c r="M204" s="28"/>
      <c r="N204" s="28"/>
      <c r="O204" s="3"/>
      <c r="P204" s="3"/>
      <c r="Q204" s="3"/>
      <c r="R204" s="17"/>
      <c r="S204" s="17"/>
      <c r="T204" s="17"/>
      <c r="U204" s="17"/>
      <c r="V204" s="17"/>
    </row>
    <row r="205" spans="1:22" ht="14.25" customHeight="1">
      <c r="A205" s="9">
        <v>50201</v>
      </c>
      <c r="B205" s="9" t="s">
        <v>226</v>
      </c>
      <c r="C205" s="10">
        <v>3616</v>
      </c>
      <c r="D205" s="10">
        <v>1340.6666996479034</v>
      </c>
      <c r="E205" s="10">
        <v>22129</v>
      </c>
      <c r="F205" s="26">
        <f t="shared" si="0"/>
        <v>0.16340548601382801</v>
      </c>
      <c r="G205" s="26">
        <f t="shared" si="1"/>
        <v>0.37075959614156623</v>
      </c>
      <c r="H205" s="26">
        <f t="shared" si="2"/>
        <v>6.058415200180322E-2</v>
      </c>
      <c r="I205" s="25"/>
      <c r="J205" s="25"/>
      <c r="K205" s="17"/>
      <c r="L205" s="17"/>
      <c r="M205" s="28"/>
      <c r="N205" s="28"/>
      <c r="O205" s="3"/>
      <c r="P205" s="3"/>
      <c r="Q205" s="3"/>
      <c r="R205" s="17"/>
      <c r="S205" s="17"/>
      <c r="T205" s="17"/>
      <c r="U205" s="17"/>
      <c r="V205" s="17"/>
    </row>
    <row r="206" spans="1:22" ht="14.25" customHeight="1">
      <c r="A206" s="9">
        <v>50202</v>
      </c>
      <c r="B206" s="9" t="s">
        <v>227</v>
      </c>
      <c r="C206" s="10">
        <v>2189</v>
      </c>
      <c r="D206" s="10">
        <v>813.44446492195129</v>
      </c>
      <c r="E206" s="10">
        <v>15640</v>
      </c>
      <c r="F206" s="26">
        <f t="shared" si="0"/>
        <v>0.13996163682864451</v>
      </c>
      <c r="G206" s="26">
        <f t="shared" si="1"/>
        <v>0.37160551161349992</v>
      </c>
      <c r="H206" s="26">
        <f t="shared" si="2"/>
        <v>5.2010515659971314E-2</v>
      </c>
      <c r="I206" s="25"/>
      <c r="J206" s="25"/>
      <c r="K206" s="17"/>
      <c r="L206" s="17"/>
      <c r="M206" s="28"/>
      <c r="N206" s="28"/>
      <c r="O206" s="3"/>
      <c r="P206" s="3"/>
      <c r="Q206" s="3"/>
      <c r="R206" s="17"/>
      <c r="S206" s="17"/>
      <c r="T206" s="17"/>
      <c r="U206" s="17"/>
      <c r="V206" s="17"/>
    </row>
    <row r="207" spans="1:22" ht="14.25" customHeight="1">
      <c r="A207" s="9">
        <v>50203</v>
      </c>
      <c r="B207" s="9" t="s">
        <v>228</v>
      </c>
      <c r="C207" s="10">
        <v>2844</v>
      </c>
      <c r="D207" s="10">
        <v>1058.2222489416599</v>
      </c>
      <c r="E207" s="10">
        <v>41054</v>
      </c>
      <c r="F207" s="26">
        <f t="shared" si="0"/>
        <v>6.9274613923125644E-2</v>
      </c>
      <c r="G207" s="26">
        <f t="shared" si="1"/>
        <v>0.37208939836204641</v>
      </c>
      <c r="H207" s="26">
        <f t="shared" si="2"/>
        <v>2.5776349416418865E-2</v>
      </c>
      <c r="I207" s="25"/>
      <c r="J207" s="25"/>
      <c r="K207" s="17"/>
      <c r="L207" s="17"/>
      <c r="M207" s="28"/>
      <c r="N207" s="28"/>
      <c r="O207" s="3"/>
      <c r="P207" s="3"/>
      <c r="Q207" s="3"/>
      <c r="R207" s="17"/>
      <c r="S207" s="17"/>
      <c r="T207" s="17"/>
      <c r="U207" s="17"/>
      <c r="V207" s="17"/>
    </row>
    <row r="208" spans="1:22" ht="14.25" customHeight="1">
      <c r="A208" s="9">
        <v>50204</v>
      </c>
      <c r="B208" s="9" t="s">
        <v>229</v>
      </c>
      <c r="C208" s="10">
        <v>2111</v>
      </c>
      <c r="D208" s="10">
        <v>803.77779865264893</v>
      </c>
      <c r="E208" s="10">
        <v>8203</v>
      </c>
      <c r="F208" s="26">
        <f t="shared" si="0"/>
        <v>0.25734487382664878</v>
      </c>
      <c r="G208" s="26">
        <f t="shared" si="1"/>
        <v>0.38075689182977213</v>
      </c>
      <c r="H208" s="26">
        <f t="shared" si="2"/>
        <v>9.7985834286559659E-2</v>
      </c>
      <c r="I208" s="25"/>
      <c r="J208" s="25"/>
      <c r="K208" s="17"/>
      <c r="L208" s="17"/>
      <c r="M208" s="28"/>
      <c r="N208" s="28"/>
      <c r="O208" s="3"/>
      <c r="P208" s="3"/>
      <c r="Q208" s="3"/>
      <c r="R208" s="17"/>
      <c r="S208" s="17"/>
      <c r="T208" s="17"/>
      <c r="U208" s="17"/>
      <c r="V208" s="17"/>
    </row>
    <row r="209" spans="1:22" ht="14.25" customHeight="1">
      <c r="A209" s="9">
        <v>50301</v>
      </c>
      <c r="B209" s="9" t="s">
        <v>230</v>
      </c>
      <c r="C209" s="10">
        <v>6609</v>
      </c>
      <c r="D209" s="10">
        <v>2506.6667295396328</v>
      </c>
      <c r="E209" s="10">
        <v>31757</v>
      </c>
      <c r="F209" s="26">
        <f t="shared" si="0"/>
        <v>0.20811159744308341</v>
      </c>
      <c r="G209" s="26">
        <f t="shared" si="1"/>
        <v>0.37928078824930139</v>
      </c>
      <c r="H209" s="26">
        <f t="shared" si="2"/>
        <v>7.8932730722033967E-2</v>
      </c>
      <c r="I209" s="25"/>
      <c r="J209" s="25"/>
      <c r="K209" s="17"/>
      <c r="L209" s="17"/>
      <c r="M209" s="28"/>
      <c r="N209" s="28"/>
      <c r="O209" s="3"/>
      <c r="P209" s="3"/>
      <c r="Q209" s="3"/>
      <c r="R209" s="17"/>
      <c r="S209" s="17"/>
      <c r="T209" s="17"/>
      <c r="U209" s="17"/>
      <c r="V209" s="17"/>
    </row>
    <row r="210" spans="1:22" ht="14.25" customHeight="1">
      <c r="A210" s="9">
        <v>50302</v>
      </c>
      <c r="B210" s="9" t="s">
        <v>231</v>
      </c>
      <c r="C210" s="10">
        <v>1794</v>
      </c>
      <c r="D210" s="10">
        <v>677.33334931731224</v>
      </c>
      <c r="E210" s="10">
        <v>9194</v>
      </c>
      <c r="F210" s="26">
        <f t="shared" si="0"/>
        <v>0.19512725690667826</v>
      </c>
      <c r="G210" s="26">
        <f t="shared" si="1"/>
        <v>0.37755482124710826</v>
      </c>
      <c r="H210" s="26">
        <f t="shared" si="2"/>
        <v>7.3671236601839482E-2</v>
      </c>
      <c r="I210" s="25"/>
      <c r="J210" s="25"/>
      <c r="K210" s="17"/>
      <c r="L210" s="17"/>
      <c r="M210" s="28"/>
      <c r="N210" s="28"/>
      <c r="O210" s="3"/>
      <c r="P210" s="3"/>
      <c r="Q210" s="3"/>
      <c r="R210" s="17"/>
      <c r="S210" s="17"/>
      <c r="T210" s="17"/>
      <c r="U210" s="17"/>
      <c r="V210" s="17"/>
    </row>
    <row r="211" spans="1:22" ht="14.25" customHeight="1">
      <c r="A211" s="9">
        <v>50303</v>
      </c>
      <c r="B211" s="9" t="s">
        <v>232</v>
      </c>
      <c r="C211" s="10">
        <v>6291</v>
      </c>
      <c r="D211" s="10">
        <v>2451.7778400182724</v>
      </c>
      <c r="E211" s="10">
        <v>14317</v>
      </c>
      <c r="F211" s="26">
        <f t="shared" si="0"/>
        <v>0.43940769714325628</v>
      </c>
      <c r="G211" s="26">
        <f t="shared" si="1"/>
        <v>0.3897278397740061</v>
      </c>
      <c r="H211" s="26">
        <f t="shared" si="2"/>
        <v>0.17124941258771198</v>
      </c>
      <c r="I211" s="25"/>
      <c r="J211" s="25"/>
      <c r="K211" s="17"/>
      <c r="L211" s="17"/>
      <c r="M211" s="28"/>
      <c r="N211" s="28"/>
      <c r="O211" s="3"/>
      <c r="P211" s="3"/>
      <c r="Q211" s="3"/>
      <c r="R211" s="17"/>
      <c r="S211" s="17"/>
      <c r="T211" s="17"/>
      <c r="U211" s="17"/>
      <c r="V211" s="17"/>
    </row>
    <row r="212" spans="1:22" ht="14.25" customHeight="1">
      <c r="A212" s="9">
        <v>50401</v>
      </c>
      <c r="B212" s="9" t="s">
        <v>233</v>
      </c>
      <c r="C212" s="10">
        <v>5413</v>
      </c>
      <c r="D212" s="10">
        <v>2169.8889427781105</v>
      </c>
      <c r="E212" s="10">
        <v>15995</v>
      </c>
      <c r="F212" s="26">
        <f t="shared" si="0"/>
        <v>0.3384182557049078</v>
      </c>
      <c r="G212" s="26">
        <f t="shared" si="1"/>
        <v>0.40086623735047305</v>
      </c>
      <c r="H212" s="26">
        <f t="shared" si="2"/>
        <v>0.13566045281513664</v>
      </c>
      <c r="I212" s="25"/>
      <c r="J212" s="25"/>
      <c r="K212" s="17"/>
      <c r="L212" s="17"/>
      <c r="M212" s="28"/>
      <c r="N212" s="28"/>
      <c r="O212" s="3"/>
      <c r="P212" s="3"/>
      <c r="Q212" s="3"/>
      <c r="R212" s="17"/>
      <c r="S212" s="17"/>
      <c r="T212" s="17"/>
      <c r="U212" s="17"/>
      <c r="V212" s="17"/>
    </row>
    <row r="213" spans="1:22" ht="14.25" customHeight="1">
      <c r="A213" s="9">
        <v>50402</v>
      </c>
      <c r="B213" s="9" t="s">
        <v>234</v>
      </c>
      <c r="C213" s="10">
        <v>6053</v>
      </c>
      <c r="D213" s="10">
        <v>2426.8889506459236</v>
      </c>
      <c r="E213" s="10">
        <v>16823</v>
      </c>
      <c r="F213" s="26">
        <f t="shared" si="0"/>
        <v>0.35980502882957854</v>
      </c>
      <c r="G213" s="26">
        <f t="shared" si="1"/>
        <v>0.40093985637632967</v>
      </c>
      <c r="H213" s="26">
        <f t="shared" si="2"/>
        <v>0.14426017658241239</v>
      </c>
      <c r="I213" s="25"/>
      <c r="J213" s="25"/>
      <c r="K213" s="17"/>
      <c r="L213" s="17"/>
      <c r="M213" s="28"/>
      <c r="N213" s="28"/>
      <c r="O213" s="3"/>
      <c r="P213" s="3"/>
      <c r="Q213" s="3"/>
      <c r="R213" s="17"/>
      <c r="S213" s="17"/>
      <c r="T213" s="17"/>
      <c r="U213" s="17"/>
      <c r="V213" s="17"/>
    </row>
    <row r="214" spans="1:22" ht="14.25" customHeight="1">
      <c r="A214" s="9">
        <v>50403</v>
      </c>
      <c r="B214" s="9" t="s">
        <v>235</v>
      </c>
      <c r="C214" s="10">
        <v>9425</v>
      </c>
      <c r="D214" s="10">
        <v>3594.2223134040833</v>
      </c>
      <c r="E214" s="10">
        <v>32550</v>
      </c>
      <c r="F214" s="26">
        <f t="shared" si="0"/>
        <v>0.28955453149001537</v>
      </c>
      <c r="G214" s="26">
        <f t="shared" si="1"/>
        <v>0.38134984757603008</v>
      </c>
      <c r="H214" s="26">
        <f t="shared" si="2"/>
        <v>0.11042157644866617</v>
      </c>
      <c r="I214" s="25"/>
      <c r="J214" s="25"/>
      <c r="K214" s="17"/>
      <c r="L214" s="17"/>
      <c r="M214" s="28"/>
      <c r="N214" s="28"/>
      <c r="O214" s="3"/>
      <c r="P214" s="3"/>
      <c r="Q214" s="3"/>
      <c r="R214" s="17"/>
      <c r="S214" s="17"/>
      <c r="T214" s="17"/>
      <c r="U214" s="17"/>
      <c r="V214" s="17"/>
    </row>
    <row r="215" spans="1:22" ht="14.25" customHeight="1">
      <c r="A215" s="9">
        <v>50404</v>
      </c>
      <c r="B215" s="9" t="s">
        <v>236</v>
      </c>
      <c r="C215" s="10">
        <v>5636</v>
      </c>
      <c r="D215" s="10">
        <v>2185.8889442682266</v>
      </c>
      <c r="E215" s="10">
        <v>14460</v>
      </c>
      <c r="F215" s="26">
        <f t="shared" si="0"/>
        <v>0.38976486860304288</v>
      </c>
      <c r="G215" s="26">
        <f t="shared" si="1"/>
        <v>0.38784402843651999</v>
      </c>
      <c r="H215" s="26">
        <f t="shared" si="2"/>
        <v>0.15116797678203503</v>
      </c>
      <c r="I215" s="25"/>
      <c r="J215" s="25"/>
      <c r="K215" s="17"/>
      <c r="L215" s="17"/>
      <c r="M215" s="28"/>
      <c r="N215" s="28"/>
      <c r="O215" s="3"/>
      <c r="P215" s="3"/>
      <c r="Q215" s="3"/>
      <c r="R215" s="17"/>
      <c r="S215" s="17"/>
      <c r="T215" s="17"/>
      <c r="U215" s="17"/>
      <c r="V215" s="17"/>
    </row>
    <row r="216" spans="1:22" ht="14.25" customHeight="1">
      <c r="A216" s="9">
        <v>50405</v>
      </c>
      <c r="B216" s="9" t="s">
        <v>237</v>
      </c>
      <c r="C216" s="10">
        <v>6732</v>
      </c>
      <c r="D216" s="10">
        <v>2582.222285926342</v>
      </c>
      <c r="E216" s="10">
        <v>20985</v>
      </c>
      <c r="F216" s="26">
        <f t="shared" si="0"/>
        <v>0.32080057183702643</v>
      </c>
      <c r="G216" s="26">
        <f t="shared" si="1"/>
        <v>0.38357431460581431</v>
      </c>
      <c r="H216" s="26">
        <f t="shared" si="2"/>
        <v>0.12305085946754071</v>
      </c>
      <c r="I216" s="25"/>
      <c r="J216" s="25"/>
      <c r="K216" s="17"/>
      <c r="L216" s="17"/>
      <c r="M216" s="28"/>
      <c r="N216" s="28"/>
      <c r="O216" s="3"/>
      <c r="P216" s="3"/>
      <c r="Q216" s="3"/>
      <c r="R216" s="17"/>
      <c r="S216" s="17"/>
      <c r="T216" s="17"/>
      <c r="U216" s="17"/>
      <c r="V216" s="17"/>
    </row>
    <row r="217" spans="1:22" ht="14.25" customHeight="1">
      <c r="A217" s="9">
        <v>50501</v>
      </c>
      <c r="B217" s="9" t="s">
        <v>238</v>
      </c>
      <c r="C217" s="10">
        <v>14401</v>
      </c>
      <c r="D217" s="10">
        <v>6030.6668214201927</v>
      </c>
      <c r="E217" s="10">
        <v>28347</v>
      </c>
      <c r="F217" s="26">
        <f t="shared" si="0"/>
        <v>0.50802554062158256</v>
      </c>
      <c r="G217" s="26">
        <f t="shared" si="1"/>
        <v>0.41876722598570881</v>
      </c>
      <c r="H217" s="26">
        <f t="shared" si="2"/>
        <v>0.21274444637599016</v>
      </c>
      <c r="I217" s="25"/>
      <c r="J217" s="25"/>
      <c r="K217" s="17"/>
      <c r="L217" s="17"/>
      <c r="M217" s="28"/>
      <c r="N217" s="28"/>
      <c r="O217" s="3"/>
      <c r="P217" s="3"/>
      <c r="Q217" s="3"/>
      <c r="R217" s="17"/>
      <c r="S217" s="17"/>
      <c r="T217" s="17"/>
      <c r="U217" s="17"/>
      <c r="V217" s="17"/>
    </row>
    <row r="218" spans="1:22" ht="14.25" customHeight="1">
      <c r="A218" s="9">
        <v>50502</v>
      </c>
      <c r="B218" s="9" t="s">
        <v>239</v>
      </c>
      <c r="C218" s="10">
        <v>4387</v>
      </c>
      <c r="D218" s="10">
        <v>1781.0000438988209</v>
      </c>
      <c r="E218" s="10">
        <v>10621</v>
      </c>
      <c r="F218" s="26">
        <f t="shared" si="0"/>
        <v>0.41304961867997364</v>
      </c>
      <c r="G218" s="26">
        <f t="shared" si="1"/>
        <v>0.40597220056959671</v>
      </c>
      <c r="H218" s="26">
        <f t="shared" si="2"/>
        <v>0.1676866626399417</v>
      </c>
      <c r="I218" s="25"/>
      <c r="J218" s="25"/>
      <c r="K218" s="17"/>
      <c r="L218" s="17"/>
      <c r="M218" s="28"/>
      <c r="N218" s="28"/>
      <c r="O218" s="3"/>
      <c r="P218" s="3"/>
      <c r="Q218" s="3"/>
      <c r="R218" s="17"/>
      <c r="S218" s="17"/>
      <c r="T218" s="17"/>
      <c r="U218" s="17"/>
      <c r="V218" s="17"/>
    </row>
    <row r="219" spans="1:22" ht="14.25" customHeight="1">
      <c r="A219" s="9">
        <v>50601</v>
      </c>
      <c r="B219" s="9" t="s">
        <v>240</v>
      </c>
      <c r="C219" s="10">
        <v>5634</v>
      </c>
      <c r="D219" s="10">
        <v>2147.2222768366337</v>
      </c>
      <c r="E219" s="10">
        <v>29114</v>
      </c>
      <c r="F219" s="26">
        <f t="shared" si="0"/>
        <v>0.19351514735178951</v>
      </c>
      <c r="G219" s="26">
        <f t="shared" si="1"/>
        <v>0.38111861498697791</v>
      </c>
      <c r="H219" s="26">
        <f t="shared" si="2"/>
        <v>7.3752224937714966E-2</v>
      </c>
      <c r="I219" s="25"/>
      <c r="J219" s="25"/>
      <c r="K219" s="17"/>
      <c r="L219" s="17"/>
      <c r="M219" s="28"/>
      <c r="N219" s="28"/>
      <c r="O219" s="3"/>
      <c r="P219" s="3"/>
      <c r="Q219" s="3"/>
      <c r="R219" s="17"/>
      <c r="S219" s="17"/>
      <c r="T219" s="17"/>
      <c r="U219" s="17"/>
      <c r="V219" s="17"/>
    </row>
    <row r="220" spans="1:22" ht="14.25" customHeight="1">
      <c r="A220" s="9">
        <v>50602</v>
      </c>
      <c r="B220" s="9" t="s">
        <v>241</v>
      </c>
      <c r="C220" s="10">
        <v>1575</v>
      </c>
      <c r="D220" s="10">
        <v>586.44445845484734</v>
      </c>
      <c r="E220" s="10">
        <v>10083</v>
      </c>
      <c r="F220" s="26">
        <f t="shared" si="0"/>
        <v>0.15620351085986314</v>
      </c>
      <c r="G220" s="26">
        <f t="shared" si="1"/>
        <v>0.37234568790783956</v>
      </c>
      <c r="H220" s="26">
        <f t="shared" si="2"/>
        <v>5.8161703704735432E-2</v>
      </c>
      <c r="I220" s="25"/>
      <c r="J220" s="25"/>
      <c r="K220" s="17"/>
      <c r="L220" s="17"/>
      <c r="M220" s="28"/>
      <c r="N220" s="28"/>
      <c r="O220" s="3"/>
      <c r="P220" s="3"/>
      <c r="Q220" s="3"/>
      <c r="R220" s="17"/>
      <c r="S220" s="17"/>
      <c r="T220" s="17"/>
      <c r="U220" s="17"/>
      <c r="V220" s="17"/>
    </row>
    <row r="221" spans="1:22" ht="14.25" customHeight="1">
      <c r="A221" s="9">
        <v>50701</v>
      </c>
      <c r="B221" s="9" t="s">
        <v>242</v>
      </c>
      <c r="C221" s="10">
        <v>4407</v>
      </c>
      <c r="D221" s="10">
        <v>1658.444487452507</v>
      </c>
      <c r="E221" s="10">
        <v>17172</v>
      </c>
      <c r="F221" s="26">
        <f t="shared" si="0"/>
        <v>0.25663871418588402</v>
      </c>
      <c r="G221" s="26">
        <f t="shared" si="1"/>
        <v>0.37632050997333949</v>
      </c>
      <c r="H221" s="26">
        <f t="shared" si="2"/>
        <v>9.6578411801333988E-2</v>
      </c>
      <c r="I221" s="25"/>
      <c r="J221" s="25"/>
      <c r="K221" s="17"/>
      <c r="L221" s="17"/>
      <c r="M221" s="28"/>
      <c r="N221" s="28"/>
      <c r="O221" s="3"/>
      <c r="P221" s="3"/>
      <c r="Q221" s="3"/>
      <c r="R221" s="17"/>
      <c r="S221" s="17"/>
      <c r="T221" s="17"/>
      <c r="U221" s="17"/>
      <c r="V221" s="17"/>
    </row>
    <row r="222" spans="1:22" ht="14.25" customHeight="1">
      <c r="A222" s="9">
        <v>50702</v>
      </c>
      <c r="B222" s="9" t="s">
        <v>243</v>
      </c>
      <c r="C222" s="10">
        <v>2031</v>
      </c>
      <c r="D222" s="10">
        <v>751.77779647707939</v>
      </c>
      <c r="E222" s="10">
        <v>8439</v>
      </c>
      <c r="F222" s="26">
        <f t="shared" si="0"/>
        <v>0.24066832563099894</v>
      </c>
      <c r="G222" s="26">
        <f t="shared" si="1"/>
        <v>0.37015154922554377</v>
      </c>
      <c r="H222" s="26">
        <f t="shared" si="2"/>
        <v>8.9083753581831904E-2</v>
      </c>
      <c r="I222" s="25"/>
      <c r="J222" s="25"/>
      <c r="K222" s="17"/>
      <c r="L222" s="17"/>
      <c r="M222" s="28"/>
      <c r="N222" s="28"/>
      <c r="O222" s="3"/>
      <c r="P222" s="3"/>
      <c r="Q222" s="3"/>
      <c r="R222" s="17"/>
      <c r="S222" s="17"/>
      <c r="T222" s="17"/>
      <c r="U222" s="17"/>
      <c r="V222" s="17"/>
    </row>
    <row r="223" spans="1:22" ht="14.25" customHeight="1">
      <c r="A223" s="9">
        <v>50801</v>
      </c>
      <c r="B223" s="9" t="s">
        <v>244</v>
      </c>
      <c r="C223" s="10">
        <v>2796</v>
      </c>
      <c r="D223" s="10">
        <v>1036.1111369729042</v>
      </c>
      <c r="E223" s="10">
        <v>44448</v>
      </c>
      <c r="F223" s="26">
        <f t="shared" si="0"/>
        <v>6.2904967602591788E-2</v>
      </c>
      <c r="G223" s="26">
        <f t="shared" si="1"/>
        <v>0.37056907617056661</v>
      </c>
      <c r="H223" s="26">
        <f t="shared" si="2"/>
        <v>2.331063573103186E-2</v>
      </c>
      <c r="I223" s="25"/>
      <c r="J223" s="25"/>
      <c r="K223" s="17"/>
      <c r="L223" s="17"/>
      <c r="M223" s="28"/>
      <c r="N223" s="28"/>
      <c r="O223" s="3"/>
      <c r="P223" s="3"/>
      <c r="Q223" s="3"/>
      <c r="R223" s="17"/>
      <c r="S223" s="17"/>
      <c r="T223" s="17"/>
      <c r="U223" s="17"/>
      <c r="V223" s="17"/>
    </row>
    <row r="224" spans="1:22" ht="14.25" customHeight="1">
      <c r="A224" s="9">
        <v>50802</v>
      </c>
      <c r="B224" s="9" t="s">
        <v>245</v>
      </c>
      <c r="C224" s="10">
        <v>451</v>
      </c>
      <c r="D224" s="10">
        <v>169.66667103767395</v>
      </c>
      <c r="E224" s="10">
        <v>9479</v>
      </c>
      <c r="F224" s="26">
        <f t="shared" si="0"/>
        <v>4.7578858529380735E-2</v>
      </c>
      <c r="G224" s="26">
        <f t="shared" si="1"/>
        <v>0.37620104442943225</v>
      </c>
      <c r="H224" s="26">
        <f t="shared" si="2"/>
        <v>1.7899216271513235E-2</v>
      </c>
      <c r="I224" s="25"/>
      <c r="J224" s="25"/>
      <c r="K224" s="17"/>
      <c r="L224" s="17"/>
      <c r="M224" s="28"/>
      <c r="N224" s="28"/>
      <c r="O224" s="3"/>
      <c r="P224" s="3"/>
      <c r="Q224" s="3"/>
      <c r="R224" s="17"/>
      <c r="S224" s="17"/>
      <c r="T224" s="17"/>
      <c r="U224" s="17"/>
      <c r="V224" s="17"/>
    </row>
    <row r="225" spans="1:22" ht="14.25" customHeight="1">
      <c r="A225" s="9">
        <v>50901</v>
      </c>
      <c r="B225" s="9" t="s">
        <v>246</v>
      </c>
      <c r="C225" s="10">
        <v>764</v>
      </c>
      <c r="D225" s="10">
        <v>285.00000685453415</v>
      </c>
      <c r="E225" s="10">
        <v>10964</v>
      </c>
      <c r="F225" s="26">
        <f t="shared" si="0"/>
        <v>6.9682597592119658E-2</v>
      </c>
      <c r="G225" s="26">
        <f t="shared" si="1"/>
        <v>0.37303665818656301</v>
      </c>
      <c r="H225" s="26">
        <f t="shared" si="2"/>
        <v>2.5994163339523358E-2</v>
      </c>
      <c r="I225" s="25"/>
      <c r="J225" s="25"/>
      <c r="K225" s="17"/>
      <c r="L225" s="17"/>
      <c r="M225" s="28"/>
      <c r="N225" s="28"/>
      <c r="O225" s="3"/>
      <c r="P225" s="3"/>
      <c r="Q225" s="3"/>
      <c r="R225" s="17"/>
      <c r="S225" s="17"/>
      <c r="T225" s="17"/>
      <c r="U225" s="17"/>
      <c r="V225" s="17"/>
    </row>
    <row r="226" spans="1:22" ht="14.25" customHeight="1">
      <c r="A226" s="9">
        <v>50902</v>
      </c>
      <c r="B226" s="9" t="s">
        <v>247</v>
      </c>
      <c r="C226" s="10">
        <v>137</v>
      </c>
      <c r="D226" s="10">
        <v>50.44444552063942</v>
      </c>
      <c r="E226" s="10">
        <v>1513</v>
      </c>
      <c r="F226" s="26">
        <f t="shared" si="0"/>
        <v>9.0548578982154654E-2</v>
      </c>
      <c r="G226" s="26">
        <f t="shared" si="1"/>
        <v>0.36820763153751401</v>
      </c>
      <c r="H226" s="26">
        <f t="shared" si="2"/>
        <v>3.3340677806106687E-2</v>
      </c>
      <c r="I226" s="25"/>
      <c r="J226" s="25"/>
      <c r="K226" s="17"/>
      <c r="L226" s="17"/>
      <c r="M226" s="28"/>
      <c r="N226" s="28"/>
      <c r="O226" s="3"/>
      <c r="P226" s="3"/>
      <c r="Q226" s="3"/>
      <c r="R226" s="17"/>
      <c r="S226" s="17"/>
      <c r="T226" s="17"/>
      <c r="U226" s="17"/>
      <c r="V226" s="17"/>
    </row>
    <row r="227" spans="1:22" ht="14.25" customHeight="1">
      <c r="A227" s="9">
        <v>51001</v>
      </c>
      <c r="B227" s="9" t="s">
        <v>248</v>
      </c>
      <c r="C227" s="10">
        <v>575</v>
      </c>
      <c r="D227" s="10">
        <v>219.11111664772034</v>
      </c>
      <c r="E227" s="10">
        <v>2892</v>
      </c>
      <c r="F227" s="26">
        <f t="shared" si="0"/>
        <v>0.19882434301521437</v>
      </c>
      <c r="G227" s="26">
        <f t="shared" si="1"/>
        <v>0.38106281156125277</v>
      </c>
      <c r="H227" s="26">
        <f t="shared" si="2"/>
        <v>7.5764563156196521E-2</v>
      </c>
      <c r="I227" s="25"/>
      <c r="J227" s="25"/>
      <c r="K227" s="17"/>
      <c r="L227" s="17"/>
      <c r="M227" s="28"/>
      <c r="N227" s="28"/>
      <c r="O227" s="3"/>
      <c r="P227" s="3"/>
      <c r="Q227" s="3"/>
      <c r="R227" s="17"/>
      <c r="S227" s="17"/>
      <c r="T227" s="17"/>
      <c r="U227" s="17"/>
      <c r="V227" s="17"/>
    </row>
    <row r="228" spans="1:22" ht="14.25" customHeight="1">
      <c r="A228" s="9">
        <v>51002</v>
      </c>
      <c r="B228" s="9" t="s">
        <v>249</v>
      </c>
      <c r="C228" s="10">
        <v>347</v>
      </c>
      <c r="D228" s="10">
        <v>135.7777813076973</v>
      </c>
      <c r="E228" s="10">
        <v>965</v>
      </c>
      <c r="F228" s="26">
        <f t="shared" si="0"/>
        <v>0.35958549222797925</v>
      </c>
      <c r="G228" s="26">
        <f t="shared" si="1"/>
        <v>0.39129043604523717</v>
      </c>
      <c r="H228" s="26">
        <f t="shared" si="2"/>
        <v>0.14070236404942724</v>
      </c>
      <c r="I228" s="25"/>
      <c r="J228" s="25"/>
      <c r="K228" s="17"/>
      <c r="L228" s="17"/>
      <c r="M228" s="28"/>
      <c r="N228" s="28"/>
      <c r="O228" s="3"/>
      <c r="P228" s="3"/>
      <c r="Q228" s="3"/>
      <c r="R228" s="17"/>
      <c r="S228" s="17"/>
      <c r="T228" s="17"/>
      <c r="U228" s="17"/>
      <c r="V228" s="17"/>
    </row>
    <row r="229" spans="1:22" ht="14.25" customHeight="1">
      <c r="A229" s="9">
        <v>51003</v>
      </c>
      <c r="B229" s="9" t="s">
        <v>250</v>
      </c>
      <c r="C229" s="10">
        <v>532</v>
      </c>
      <c r="D229" s="10">
        <v>206.77778273820877</v>
      </c>
      <c r="E229" s="10">
        <v>1876</v>
      </c>
      <c r="F229" s="26">
        <f t="shared" si="0"/>
        <v>0.28358208955223879</v>
      </c>
      <c r="G229" s="26">
        <f t="shared" si="1"/>
        <v>0.38868004274099394</v>
      </c>
      <c r="H229" s="26">
        <f t="shared" si="2"/>
        <v>0.11022269868774455</v>
      </c>
      <c r="I229" s="25"/>
      <c r="J229" s="25"/>
      <c r="K229" s="17"/>
      <c r="L229" s="17"/>
      <c r="M229" s="28"/>
      <c r="N229" s="28"/>
      <c r="O229" s="3"/>
      <c r="P229" s="3"/>
      <c r="Q229" s="3"/>
      <c r="R229" s="17"/>
      <c r="S229" s="17"/>
      <c r="T229" s="17"/>
      <c r="U229" s="17"/>
      <c r="V229" s="17"/>
    </row>
    <row r="230" spans="1:22" ht="14.25" customHeight="1">
      <c r="A230" s="9">
        <v>51101</v>
      </c>
      <c r="B230" s="9" t="s">
        <v>251</v>
      </c>
      <c r="C230" s="10">
        <v>2395</v>
      </c>
      <c r="D230" s="10">
        <v>885.55557698011398</v>
      </c>
      <c r="E230" s="10">
        <v>16250</v>
      </c>
      <c r="F230" s="26">
        <f t="shared" si="0"/>
        <v>0.14738461538461539</v>
      </c>
      <c r="G230" s="26">
        <f t="shared" si="1"/>
        <v>0.36975180667228141</v>
      </c>
      <c r="H230" s="26">
        <f t="shared" si="2"/>
        <v>5.4495727814160864E-2</v>
      </c>
      <c r="I230" s="25"/>
      <c r="J230" s="25"/>
      <c r="K230" s="17"/>
      <c r="L230" s="17"/>
      <c r="M230" s="28"/>
      <c r="N230" s="28"/>
      <c r="O230" s="3"/>
      <c r="P230" s="3"/>
      <c r="Q230" s="3"/>
      <c r="R230" s="17"/>
      <c r="S230" s="17"/>
      <c r="T230" s="17"/>
      <c r="U230" s="17"/>
      <c r="V230" s="17"/>
    </row>
    <row r="231" spans="1:22" ht="14.25" customHeight="1">
      <c r="A231" s="9">
        <v>51102</v>
      </c>
      <c r="B231" s="9" t="s">
        <v>252</v>
      </c>
      <c r="C231" s="10">
        <v>2012</v>
      </c>
      <c r="D231" s="10">
        <v>752.77779665589333</v>
      </c>
      <c r="E231" s="10">
        <v>12686</v>
      </c>
      <c r="F231" s="26">
        <f t="shared" si="0"/>
        <v>0.15860003153082139</v>
      </c>
      <c r="G231" s="26">
        <f t="shared" si="1"/>
        <v>0.3741440341232074</v>
      </c>
      <c r="H231" s="26">
        <f t="shared" si="2"/>
        <v>5.9339255609009406E-2</v>
      </c>
      <c r="I231" s="25"/>
      <c r="J231" s="25"/>
      <c r="K231" s="17"/>
      <c r="L231" s="17"/>
      <c r="M231" s="28"/>
      <c r="N231" s="28"/>
      <c r="O231" s="3"/>
      <c r="P231" s="3"/>
      <c r="Q231" s="3"/>
      <c r="R231" s="17"/>
      <c r="S231" s="17"/>
      <c r="T231" s="17"/>
      <c r="U231" s="17"/>
      <c r="V231" s="17"/>
    </row>
    <row r="232" spans="1:22" ht="14.25" customHeight="1">
      <c r="A232" s="9">
        <v>51103</v>
      </c>
      <c r="B232" s="9" t="s">
        <v>253</v>
      </c>
      <c r="C232" s="10">
        <v>6484</v>
      </c>
      <c r="D232" s="10">
        <v>2613.8889535963535</v>
      </c>
      <c r="E232" s="10">
        <v>14324</v>
      </c>
      <c r="F232" s="26">
        <f t="shared" si="0"/>
        <v>0.45266685283440378</v>
      </c>
      <c r="G232" s="26">
        <f t="shared" si="1"/>
        <v>0.40312907982670476</v>
      </c>
      <c r="H232" s="26">
        <f t="shared" si="2"/>
        <v>0.18248317185118357</v>
      </c>
      <c r="I232" s="25"/>
      <c r="J232" s="25"/>
      <c r="K232" s="17"/>
      <c r="L232" s="17"/>
      <c r="M232" s="28"/>
      <c r="N232" s="28"/>
      <c r="O232" s="3"/>
      <c r="P232" s="3"/>
      <c r="Q232" s="3"/>
      <c r="R232" s="17"/>
      <c r="S232" s="17"/>
      <c r="T232" s="17"/>
      <c r="U232" s="17"/>
      <c r="V232" s="17"/>
    </row>
    <row r="233" spans="1:22" ht="14.25" customHeight="1">
      <c r="A233" s="9">
        <v>51201</v>
      </c>
      <c r="B233" s="9" t="s">
        <v>254</v>
      </c>
      <c r="C233" s="10">
        <v>2803</v>
      </c>
      <c r="D233" s="10">
        <v>1004.8889147043228</v>
      </c>
      <c r="E233" s="10">
        <v>33838</v>
      </c>
      <c r="F233" s="26">
        <f t="shared" si="0"/>
        <v>8.2835865003841838E-2</v>
      </c>
      <c r="G233" s="26">
        <f t="shared" si="1"/>
        <v>0.35850478583814582</v>
      </c>
      <c r="H233" s="26">
        <f t="shared" si="2"/>
        <v>2.9697054042919876E-2</v>
      </c>
      <c r="I233" s="25"/>
      <c r="J233" s="25"/>
      <c r="K233" s="17"/>
      <c r="L233" s="17"/>
      <c r="M233" s="28"/>
      <c r="N233" s="28"/>
      <c r="O233" s="3"/>
      <c r="P233" s="3"/>
      <c r="Q233" s="3"/>
      <c r="R233" s="17"/>
      <c r="S233" s="17"/>
      <c r="T233" s="17"/>
      <c r="U233" s="17"/>
      <c r="V233" s="17"/>
    </row>
    <row r="234" spans="1:22" ht="14.25" customHeight="1">
      <c r="A234" s="9">
        <v>51202</v>
      </c>
      <c r="B234" s="9" t="s">
        <v>255</v>
      </c>
      <c r="C234" s="10">
        <v>1684</v>
      </c>
      <c r="D234" s="10">
        <v>613.66668170690536</v>
      </c>
      <c r="E234" s="10">
        <v>7789</v>
      </c>
      <c r="F234" s="26">
        <f t="shared" si="0"/>
        <v>0.21620233662857877</v>
      </c>
      <c r="G234" s="26">
        <f t="shared" si="1"/>
        <v>0.36441014353141649</v>
      </c>
      <c r="H234" s="26">
        <f t="shared" si="2"/>
        <v>7.8786324522648013E-2</v>
      </c>
      <c r="I234" s="25"/>
      <c r="J234" s="25"/>
      <c r="K234" s="17"/>
      <c r="L234" s="17"/>
      <c r="M234" s="28"/>
      <c r="N234" s="28"/>
      <c r="O234" s="3"/>
      <c r="P234" s="3"/>
      <c r="Q234" s="3"/>
      <c r="R234" s="17"/>
      <c r="S234" s="17"/>
      <c r="T234" s="17"/>
      <c r="U234" s="17"/>
      <c r="V234" s="17"/>
    </row>
    <row r="235" spans="1:22" ht="14.25" customHeight="1">
      <c r="A235" s="9">
        <v>51203</v>
      </c>
      <c r="B235" s="9" t="s">
        <v>256</v>
      </c>
      <c r="C235" s="10">
        <v>955</v>
      </c>
      <c r="D235" s="10">
        <v>353.00000855326653</v>
      </c>
      <c r="E235" s="10">
        <v>14463</v>
      </c>
      <c r="F235" s="26">
        <f t="shared" si="0"/>
        <v>6.6030560741201685E-2</v>
      </c>
      <c r="G235" s="26">
        <f t="shared" si="1"/>
        <v>0.36963351680970319</v>
      </c>
      <c r="H235" s="26">
        <f t="shared" si="2"/>
        <v>2.44071083836871E-2</v>
      </c>
      <c r="I235" s="25"/>
      <c r="J235" s="25"/>
      <c r="K235" s="17"/>
      <c r="L235" s="17"/>
      <c r="M235" s="28"/>
      <c r="N235" s="28"/>
      <c r="O235" s="3"/>
      <c r="P235" s="3"/>
      <c r="Q235" s="3"/>
      <c r="R235" s="17"/>
      <c r="S235" s="17"/>
      <c r="T235" s="17"/>
      <c r="U235" s="17"/>
      <c r="V235" s="17"/>
    </row>
    <row r="236" spans="1:22" ht="14.25" customHeight="1">
      <c r="A236" s="9">
        <v>51204</v>
      </c>
      <c r="B236" s="9" t="s">
        <v>257</v>
      </c>
      <c r="C236" s="10">
        <v>1389</v>
      </c>
      <c r="D236" s="10">
        <v>519.44445696473122</v>
      </c>
      <c r="E236" s="10">
        <v>5807</v>
      </c>
      <c r="F236" s="26">
        <f t="shared" si="0"/>
        <v>0.23919407611503357</v>
      </c>
      <c r="G236" s="26">
        <f t="shared" si="1"/>
        <v>0.37397009140729387</v>
      </c>
      <c r="H236" s="26">
        <f t="shared" si="2"/>
        <v>8.9451430508822316E-2</v>
      </c>
      <c r="I236" s="25"/>
      <c r="J236" s="25"/>
      <c r="K236" s="17"/>
      <c r="L236" s="17"/>
      <c r="M236" s="28"/>
      <c r="N236" s="28"/>
      <c r="O236" s="3"/>
      <c r="P236" s="3"/>
      <c r="Q236" s="3"/>
      <c r="R236" s="17"/>
      <c r="S236" s="17"/>
      <c r="T236" s="17"/>
      <c r="U236" s="17"/>
      <c r="V236" s="17"/>
    </row>
    <row r="237" spans="1:22" ht="14.25" customHeight="1">
      <c r="A237" s="9">
        <v>51301</v>
      </c>
      <c r="B237" s="9" t="s">
        <v>258</v>
      </c>
      <c r="C237" s="10">
        <v>995</v>
      </c>
      <c r="D237" s="10">
        <v>378.44445383548737</v>
      </c>
      <c r="E237" s="10">
        <v>3663</v>
      </c>
      <c r="F237" s="26">
        <f t="shared" si="0"/>
        <v>0.27163527163527162</v>
      </c>
      <c r="G237" s="26">
        <f t="shared" si="1"/>
        <v>0.38034618475928378</v>
      </c>
      <c r="H237" s="26">
        <f t="shared" si="2"/>
        <v>0.10331543921252725</v>
      </c>
      <c r="I237" s="25"/>
      <c r="J237" s="25"/>
      <c r="K237" s="17"/>
      <c r="L237" s="17"/>
      <c r="M237" s="28"/>
      <c r="N237" s="28"/>
      <c r="O237" s="3"/>
      <c r="P237" s="3"/>
      <c r="Q237" s="3"/>
      <c r="R237" s="17"/>
      <c r="S237" s="17"/>
      <c r="T237" s="17"/>
      <c r="U237" s="17"/>
      <c r="V237" s="17"/>
    </row>
    <row r="238" spans="1:22" ht="14.25" customHeight="1">
      <c r="A238" s="9">
        <v>51302</v>
      </c>
      <c r="B238" s="9" t="s">
        <v>259</v>
      </c>
      <c r="C238" s="10">
        <v>1104</v>
      </c>
      <c r="D238" s="10">
        <v>423.66667681932449</v>
      </c>
      <c r="E238" s="10">
        <v>4424</v>
      </c>
      <c r="F238" s="26">
        <f t="shared" si="0"/>
        <v>0.24954792043399637</v>
      </c>
      <c r="G238" s="26">
        <f t="shared" si="1"/>
        <v>0.38375604784359102</v>
      </c>
      <c r="H238" s="26">
        <f t="shared" si="2"/>
        <v>9.5765523693337351E-2</v>
      </c>
      <c r="I238" s="25"/>
      <c r="J238" s="25"/>
      <c r="K238" s="17"/>
      <c r="L238" s="17"/>
      <c r="M238" s="28"/>
      <c r="N238" s="28"/>
      <c r="O238" s="3"/>
      <c r="P238" s="3"/>
      <c r="Q238" s="3"/>
      <c r="R238" s="17"/>
      <c r="S238" s="17"/>
      <c r="T238" s="17"/>
      <c r="U238" s="17"/>
      <c r="V238" s="17"/>
    </row>
    <row r="239" spans="1:22" ht="14.25" customHeight="1">
      <c r="A239" s="9">
        <v>51401</v>
      </c>
      <c r="B239" s="9" t="s">
        <v>260</v>
      </c>
      <c r="C239" s="10">
        <v>192</v>
      </c>
      <c r="D239" s="10">
        <v>67.222223997116089</v>
      </c>
      <c r="E239" s="10">
        <v>4049</v>
      </c>
      <c r="F239" s="26">
        <f t="shared" si="0"/>
        <v>4.7419115831069399E-2</v>
      </c>
      <c r="G239" s="26">
        <f t="shared" si="1"/>
        <v>0.35011574998497963</v>
      </c>
      <c r="H239" s="26">
        <f t="shared" si="2"/>
        <v>1.6602179302819483E-2</v>
      </c>
      <c r="I239" s="25"/>
      <c r="J239" s="25"/>
      <c r="K239" s="17"/>
      <c r="L239" s="17"/>
      <c r="M239" s="28"/>
      <c r="N239" s="28"/>
      <c r="O239" s="3"/>
      <c r="P239" s="3"/>
      <c r="Q239" s="3"/>
      <c r="R239" s="17"/>
      <c r="S239" s="17"/>
      <c r="T239" s="17"/>
      <c r="U239" s="17"/>
      <c r="V239" s="17"/>
    </row>
    <row r="240" spans="1:22" ht="14.25" customHeight="1">
      <c r="A240" s="9">
        <v>51402</v>
      </c>
      <c r="B240" s="9" t="s">
        <v>261</v>
      </c>
      <c r="C240" s="10">
        <v>250</v>
      </c>
      <c r="D240" s="10">
        <v>93.888890832662582</v>
      </c>
      <c r="E240" s="10">
        <v>1541</v>
      </c>
      <c r="F240" s="26">
        <f t="shared" si="0"/>
        <v>0.16223231667748214</v>
      </c>
      <c r="G240" s="26">
        <f t="shared" si="1"/>
        <v>0.37555556333065032</v>
      </c>
      <c r="H240" s="26">
        <f t="shared" si="2"/>
        <v>6.0927249080248262E-2</v>
      </c>
      <c r="I240" s="25"/>
      <c r="J240" s="25"/>
      <c r="K240" s="17"/>
      <c r="L240" s="17"/>
      <c r="M240" s="28"/>
      <c r="N240" s="28"/>
      <c r="O240" s="3"/>
      <c r="P240" s="3"/>
      <c r="Q240" s="3"/>
      <c r="R240" s="17"/>
      <c r="S240" s="17"/>
      <c r="T240" s="17"/>
      <c r="U240" s="17"/>
      <c r="V240" s="17"/>
    </row>
    <row r="241" spans="1:22" ht="14.25" customHeight="1">
      <c r="A241" s="9">
        <v>51501</v>
      </c>
      <c r="B241" s="9" t="s">
        <v>262</v>
      </c>
      <c r="C241" s="10">
        <v>2696</v>
      </c>
      <c r="D241" s="10">
        <v>1016.4444693922997</v>
      </c>
      <c r="E241" s="10">
        <v>48171</v>
      </c>
      <c r="F241" s="26">
        <f t="shared" si="0"/>
        <v>5.5967283220194723E-2</v>
      </c>
      <c r="G241" s="26">
        <f t="shared" si="1"/>
        <v>0.37701946194076397</v>
      </c>
      <c r="H241" s="26">
        <f t="shared" si="2"/>
        <v>2.1100755005964162E-2</v>
      </c>
      <c r="I241" s="25"/>
      <c r="J241" s="25"/>
      <c r="K241" s="17"/>
      <c r="L241" s="17"/>
      <c r="M241" s="28"/>
      <c r="N241" s="28"/>
      <c r="O241" s="3"/>
      <c r="P241" s="3"/>
      <c r="Q241" s="3"/>
      <c r="R241" s="17"/>
      <c r="S241" s="17"/>
      <c r="T241" s="17"/>
      <c r="U241" s="17"/>
      <c r="V241" s="17"/>
    </row>
    <row r="242" spans="1:22" ht="14.25" customHeight="1">
      <c r="A242" s="9">
        <v>51601</v>
      </c>
      <c r="B242" s="9" t="s">
        <v>263</v>
      </c>
      <c r="C242" s="10">
        <v>139</v>
      </c>
      <c r="D242" s="10">
        <v>50.000001311302185</v>
      </c>
      <c r="E242" s="10">
        <v>2049</v>
      </c>
      <c r="F242" s="26">
        <f t="shared" si="0"/>
        <v>6.783796974133724E-2</v>
      </c>
      <c r="G242" s="26">
        <f t="shared" si="1"/>
        <v>0.35971223964965598</v>
      </c>
      <c r="H242" s="26">
        <f t="shared" si="2"/>
        <v>2.4402148028942014E-2</v>
      </c>
      <c r="I242" s="25"/>
      <c r="J242" s="25"/>
      <c r="K242" s="17"/>
      <c r="L242" s="17"/>
      <c r="M242" s="28"/>
      <c r="N242" s="28"/>
      <c r="O242" s="3"/>
      <c r="P242" s="3"/>
      <c r="Q242" s="3"/>
      <c r="R242" s="17"/>
      <c r="S242" s="17"/>
      <c r="T242" s="17"/>
      <c r="U242" s="17"/>
      <c r="V242" s="17"/>
    </row>
    <row r="243" spans="1:22" ht="14.25" customHeight="1">
      <c r="A243" s="9">
        <v>60101</v>
      </c>
      <c r="B243" s="9" t="s">
        <v>22</v>
      </c>
      <c r="C243" s="10">
        <v>6560</v>
      </c>
      <c r="D243" s="10">
        <v>2385.6667271852493</v>
      </c>
      <c r="E243" s="10">
        <v>233764</v>
      </c>
      <c r="F243" s="26">
        <f t="shared" si="0"/>
        <v>2.8062490374908027E-2</v>
      </c>
      <c r="G243" s="26">
        <f t="shared" si="1"/>
        <v>0.36366870841238558</v>
      </c>
      <c r="H243" s="26">
        <f t="shared" si="2"/>
        <v>1.0205449629477803E-2</v>
      </c>
      <c r="I243" s="25"/>
      <c r="J243" s="25"/>
      <c r="K243" s="17"/>
      <c r="L243" s="17"/>
      <c r="M243" s="28"/>
      <c r="N243" s="28"/>
      <c r="O243" s="3"/>
      <c r="P243" s="3"/>
      <c r="Q243" s="3"/>
      <c r="R243" s="17"/>
      <c r="S243" s="17"/>
      <c r="T243" s="17"/>
      <c r="U243" s="17"/>
      <c r="V243" s="17"/>
    </row>
    <row r="244" spans="1:22" ht="14.25" customHeight="1">
      <c r="A244" s="9">
        <v>60201</v>
      </c>
      <c r="B244" s="9" t="s">
        <v>264</v>
      </c>
      <c r="C244" s="10">
        <v>1816</v>
      </c>
      <c r="D244" s="10">
        <v>690.44446185231209</v>
      </c>
      <c r="E244" s="10">
        <v>17599</v>
      </c>
      <c r="F244" s="26">
        <f t="shared" si="0"/>
        <v>0.10318768111824536</v>
      </c>
      <c r="G244" s="26">
        <f t="shared" si="1"/>
        <v>0.38020069485259478</v>
      </c>
      <c r="H244" s="26">
        <f t="shared" si="2"/>
        <v>3.9232028061384858E-2</v>
      </c>
      <c r="I244" s="25"/>
      <c r="J244" s="25"/>
      <c r="K244" s="17"/>
      <c r="L244" s="17"/>
      <c r="M244" s="28"/>
      <c r="N244" s="28"/>
      <c r="O244" s="3"/>
      <c r="P244" s="3"/>
      <c r="Q244" s="3"/>
      <c r="R244" s="17"/>
      <c r="S244" s="17"/>
      <c r="T244" s="17"/>
      <c r="U244" s="17"/>
      <c r="V244" s="17"/>
    </row>
    <row r="245" spans="1:22" ht="14.25" customHeight="1">
      <c r="A245" s="9">
        <v>60202</v>
      </c>
      <c r="B245" s="9" t="s">
        <v>265</v>
      </c>
      <c r="C245" s="10">
        <v>1077</v>
      </c>
      <c r="D245" s="10">
        <v>392.11112132668495</v>
      </c>
      <c r="E245" s="10">
        <v>36222</v>
      </c>
      <c r="F245" s="26">
        <f t="shared" si="0"/>
        <v>2.9733311247308266E-2</v>
      </c>
      <c r="G245" s="26">
        <f t="shared" si="1"/>
        <v>0.36407717857630917</v>
      </c>
      <c r="H245" s="26">
        <f t="shared" si="2"/>
        <v>1.0825220068651234E-2</v>
      </c>
      <c r="I245" s="25"/>
      <c r="J245" s="25"/>
      <c r="K245" s="17"/>
      <c r="L245" s="17"/>
      <c r="M245" s="28"/>
      <c r="N245" s="28"/>
      <c r="O245" s="3"/>
      <c r="P245" s="3"/>
      <c r="Q245" s="3"/>
      <c r="R245" s="17"/>
      <c r="S245" s="17"/>
      <c r="T245" s="17"/>
      <c r="U245" s="17"/>
      <c r="V245" s="17"/>
    </row>
    <row r="246" spans="1:22" ht="14.25" customHeight="1">
      <c r="A246" s="9">
        <v>60301</v>
      </c>
      <c r="B246" s="9" t="s">
        <v>266</v>
      </c>
      <c r="C246" s="10">
        <v>4484</v>
      </c>
      <c r="D246" s="10">
        <v>1681.2222645282745</v>
      </c>
      <c r="E246" s="10">
        <v>95051</v>
      </c>
      <c r="F246" s="26">
        <f t="shared" si="0"/>
        <v>4.7174674648346675E-2</v>
      </c>
      <c r="G246" s="26">
        <f t="shared" si="1"/>
        <v>0.37493806077793812</v>
      </c>
      <c r="H246" s="26">
        <f t="shared" si="2"/>
        <v>1.7687581030481261E-2</v>
      </c>
      <c r="I246" s="25"/>
      <c r="J246" s="25"/>
      <c r="K246" s="17"/>
      <c r="L246" s="17"/>
      <c r="M246" s="28"/>
      <c r="N246" s="28"/>
      <c r="O246" s="3"/>
      <c r="P246" s="3"/>
      <c r="Q246" s="3"/>
      <c r="R246" s="17"/>
      <c r="S246" s="17"/>
      <c r="T246" s="17"/>
      <c r="U246" s="17"/>
      <c r="V246" s="17"/>
    </row>
    <row r="247" spans="1:22" ht="14.25" customHeight="1">
      <c r="A247" s="9">
        <v>60302</v>
      </c>
      <c r="B247" s="9" t="s">
        <v>267</v>
      </c>
      <c r="C247" s="10">
        <v>751</v>
      </c>
      <c r="D247" s="10">
        <v>276.11111858487129</v>
      </c>
      <c r="E247" s="10">
        <v>15251</v>
      </c>
      <c r="F247" s="26">
        <f t="shared" si="0"/>
        <v>4.9242672611632024E-2</v>
      </c>
      <c r="G247" s="26">
        <f t="shared" si="1"/>
        <v>0.36765794751647307</v>
      </c>
      <c r="H247" s="26">
        <f t="shared" si="2"/>
        <v>1.8104459942618271E-2</v>
      </c>
      <c r="I247" s="25"/>
      <c r="J247" s="25"/>
      <c r="K247" s="17"/>
      <c r="L247" s="17"/>
      <c r="M247" s="28"/>
      <c r="N247" s="28"/>
      <c r="O247" s="3"/>
      <c r="P247" s="3"/>
      <c r="Q247" s="3"/>
      <c r="R247" s="17"/>
      <c r="S247" s="17"/>
      <c r="T247" s="17"/>
      <c r="U247" s="17"/>
      <c r="V247" s="17"/>
    </row>
    <row r="248" spans="1:22" ht="14.25" customHeight="1">
      <c r="A248" s="9">
        <v>60303</v>
      </c>
      <c r="B248" s="9" t="s">
        <v>268</v>
      </c>
      <c r="C248" s="10">
        <v>2676</v>
      </c>
      <c r="D248" s="10">
        <v>1002.7778035402298</v>
      </c>
      <c r="E248" s="10">
        <v>44614</v>
      </c>
      <c r="F248" s="26">
        <f t="shared" si="0"/>
        <v>5.9981171829470568E-2</v>
      </c>
      <c r="G248" s="26">
        <f t="shared" si="1"/>
        <v>0.3747301209044207</v>
      </c>
      <c r="H248" s="26">
        <f t="shared" si="2"/>
        <v>2.247675177164634E-2</v>
      </c>
      <c r="I248" s="25"/>
      <c r="J248" s="25"/>
      <c r="K248" s="17"/>
      <c r="L248" s="17"/>
      <c r="M248" s="28"/>
      <c r="N248" s="28"/>
      <c r="O248" s="3"/>
      <c r="P248" s="3"/>
      <c r="Q248" s="3"/>
      <c r="R248" s="17"/>
      <c r="S248" s="17"/>
      <c r="T248" s="17"/>
      <c r="U248" s="17"/>
      <c r="V248" s="17"/>
    </row>
    <row r="249" spans="1:22" ht="14.25" customHeight="1">
      <c r="A249" s="9">
        <v>60401</v>
      </c>
      <c r="B249" s="9" t="s">
        <v>269</v>
      </c>
      <c r="C249" s="10">
        <v>1222</v>
      </c>
      <c r="D249" s="10">
        <v>451.22223335504532</v>
      </c>
      <c r="E249" s="10">
        <v>15858</v>
      </c>
      <c r="F249" s="26">
        <f t="shared" si="0"/>
        <v>7.7058897717240504E-2</v>
      </c>
      <c r="G249" s="26">
        <f t="shared" si="1"/>
        <v>0.36924896346566721</v>
      </c>
      <c r="H249" s="26">
        <f t="shared" si="2"/>
        <v>2.8453918107897925E-2</v>
      </c>
      <c r="I249" s="25"/>
      <c r="J249" s="25"/>
      <c r="K249" s="17"/>
      <c r="L249" s="17"/>
      <c r="M249" s="28"/>
      <c r="N249" s="28"/>
      <c r="O249" s="3"/>
      <c r="P249" s="3"/>
      <c r="Q249" s="3"/>
      <c r="R249" s="17"/>
      <c r="S249" s="17"/>
      <c r="T249" s="17"/>
      <c r="U249" s="17"/>
      <c r="V249" s="17"/>
    </row>
    <row r="250" spans="1:22" ht="14.25" customHeight="1">
      <c r="A250" s="9">
        <v>60402</v>
      </c>
      <c r="B250" s="9" t="s">
        <v>270</v>
      </c>
      <c r="C250" s="10">
        <v>533</v>
      </c>
      <c r="D250" s="10">
        <v>202.33333784341812</v>
      </c>
      <c r="E250" s="10">
        <v>4726</v>
      </c>
      <c r="F250" s="26">
        <f t="shared" si="0"/>
        <v>0.1127803639441388</v>
      </c>
      <c r="G250" s="26">
        <f t="shared" si="1"/>
        <v>0.37961226612273569</v>
      </c>
      <c r="H250" s="26">
        <f t="shared" si="2"/>
        <v>4.2812809530981405E-2</v>
      </c>
      <c r="I250" s="25"/>
      <c r="J250" s="25"/>
      <c r="K250" s="17"/>
      <c r="L250" s="17"/>
      <c r="M250" s="28"/>
      <c r="N250" s="28"/>
      <c r="O250" s="3"/>
      <c r="P250" s="3"/>
      <c r="Q250" s="3"/>
      <c r="R250" s="17"/>
      <c r="S250" s="17"/>
      <c r="T250" s="17"/>
      <c r="U250" s="17"/>
      <c r="V250" s="17"/>
    </row>
    <row r="251" spans="1:22" ht="14.25" customHeight="1">
      <c r="A251" s="9">
        <v>60501</v>
      </c>
      <c r="B251" s="9" t="s">
        <v>271</v>
      </c>
      <c r="C251" s="10">
        <v>2815</v>
      </c>
      <c r="D251" s="10">
        <v>1077.888915926218</v>
      </c>
      <c r="E251" s="10">
        <v>30235</v>
      </c>
      <c r="F251" s="26">
        <f t="shared" si="0"/>
        <v>9.3104018521580956E-2</v>
      </c>
      <c r="G251" s="26">
        <f t="shared" si="1"/>
        <v>0.38290902874821242</v>
      </c>
      <c r="H251" s="26">
        <f t="shared" si="2"/>
        <v>3.5650369304654143E-2</v>
      </c>
      <c r="I251" s="25"/>
      <c r="J251" s="25"/>
      <c r="K251" s="17"/>
      <c r="L251" s="17"/>
      <c r="M251" s="28"/>
      <c r="N251" s="28"/>
      <c r="O251" s="3"/>
      <c r="P251" s="3"/>
      <c r="Q251" s="3"/>
      <c r="R251" s="17"/>
      <c r="S251" s="17"/>
      <c r="T251" s="17"/>
      <c r="U251" s="17"/>
      <c r="V251" s="17"/>
    </row>
    <row r="252" spans="1:22" ht="14.25" customHeight="1">
      <c r="A252" s="9">
        <v>60502</v>
      </c>
      <c r="B252" s="9" t="s">
        <v>272</v>
      </c>
      <c r="C252" s="10">
        <v>585</v>
      </c>
      <c r="D252" s="10">
        <v>220.66667228937149</v>
      </c>
      <c r="E252" s="10">
        <v>9445</v>
      </c>
      <c r="F252" s="26">
        <f t="shared" si="0"/>
        <v>6.1937533086289041E-2</v>
      </c>
      <c r="G252" s="26">
        <f t="shared" si="1"/>
        <v>0.37720798681943846</v>
      </c>
      <c r="H252" s="26">
        <f t="shared" si="2"/>
        <v>2.3363332164041451E-2</v>
      </c>
      <c r="I252" s="25"/>
      <c r="J252" s="25"/>
      <c r="K252" s="17"/>
      <c r="L252" s="17"/>
      <c r="M252" s="28"/>
      <c r="N252" s="28"/>
      <c r="O252" s="3"/>
      <c r="P252" s="3"/>
      <c r="Q252" s="3"/>
      <c r="R252" s="17"/>
      <c r="S252" s="17"/>
      <c r="T252" s="17"/>
      <c r="U252" s="17"/>
      <c r="V252" s="17"/>
    </row>
    <row r="253" spans="1:22" ht="14.25" customHeight="1">
      <c r="A253" s="9">
        <v>60601</v>
      </c>
      <c r="B253" s="9" t="s">
        <v>177</v>
      </c>
      <c r="C253" s="10">
        <v>2380</v>
      </c>
      <c r="D253" s="10">
        <v>914.4444667994976</v>
      </c>
      <c r="E253" s="10">
        <v>20490</v>
      </c>
      <c r="F253" s="26">
        <f t="shared" si="0"/>
        <v>0.1161542215714983</v>
      </c>
      <c r="G253" s="26">
        <f t="shared" si="1"/>
        <v>0.3842203642014696</v>
      </c>
      <c r="H253" s="26">
        <f t="shared" si="2"/>
        <v>4.4628817315739269E-2</v>
      </c>
      <c r="I253" s="25"/>
      <c r="J253" s="25"/>
      <c r="K253" s="17"/>
      <c r="L253" s="17"/>
      <c r="M253" s="28"/>
      <c r="N253" s="28"/>
      <c r="O253" s="3"/>
      <c r="P253" s="3"/>
      <c r="Q253" s="3"/>
      <c r="R253" s="17"/>
      <c r="S253" s="17"/>
      <c r="T253" s="17"/>
      <c r="U253" s="17"/>
      <c r="V253" s="17"/>
    </row>
    <row r="254" spans="1:22" ht="14.25" customHeight="1">
      <c r="A254" s="9">
        <v>70101</v>
      </c>
      <c r="B254" s="9" t="s">
        <v>273</v>
      </c>
      <c r="C254" s="10">
        <v>26459</v>
      </c>
      <c r="D254" s="10">
        <v>9380.666914254427</v>
      </c>
      <c r="E254" s="10">
        <v>1579717</v>
      </c>
      <c r="F254" s="26">
        <f t="shared" si="0"/>
        <v>1.6749202547038489E-2</v>
      </c>
      <c r="G254" s="26">
        <f t="shared" si="1"/>
        <v>0.35453595805791704</v>
      </c>
      <c r="H254" s="26">
        <f t="shared" si="2"/>
        <v>5.9381945717203949E-3</v>
      </c>
      <c r="I254" s="25"/>
      <c r="J254" s="25"/>
      <c r="K254" s="17"/>
      <c r="L254" s="17"/>
      <c r="M254" s="28"/>
      <c r="N254" s="28"/>
      <c r="O254" s="3"/>
      <c r="P254" s="3"/>
      <c r="Q254" s="3"/>
      <c r="R254" s="17"/>
      <c r="S254" s="17"/>
      <c r="T254" s="17"/>
      <c r="U254" s="17"/>
      <c r="V254" s="17"/>
    </row>
    <row r="255" spans="1:22" ht="14.25" customHeight="1">
      <c r="A255" s="9">
        <v>70102</v>
      </c>
      <c r="B255" s="9" t="s">
        <v>274</v>
      </c>
      <c r="C255" s="10">
        <v>6386</v>
      </c>
      <c r="D255" s="10">
        <v>2292.333393663168</v>
      </c>
      <c r="E255" s="10">
        <v>105669</v>
      </c>
      <c r="F255" s="26">
        <f t="shared" si="0"/>
        <v>6.0433996725624356E-2</v>
      </c>
      <c r="G255" s="26">
        <f t="shared" si="1"/>
        <v>0.35896232284108487</v>
      </c>
      <c r="H255" s="26">
        <f t="shared" si="2"/>
        <v>2.1693527843200635E-2</v>
      </c>
      <c r="I255" s="25"/>
      <c r="J255" s="25"/>
      <c r="K255" s="17"/>
      <c r="L255" s="17"/>
      <c r="M255" s="28"/>
      <c r="N255" s="28"/>
      <c r="O255" s="3"/>
      <c r="P255" s="3"/>
      <c r="Q255" s="3"/>
      <c r="R255" s="17"/>
      <c r="S255" s="17"/>
      <c r="T255" s="17"/>
      <c r="U255" s="17"/>
      <c r="V255" s="17"/>
    </row>
    <row r="256" spans="1:22" ht="14.25" customHeight="1">
      <c r="A256" s="9">
        <v>70103</v>
      </c>
      <c r="B256" s="9" t="s">
        <v>275</v>
      </c>
      <c r="C256" s="10">
        <v>831</v>
      </c>
      <c r="D256" s="10">
        <v>307.88889703154564</v>
      </c>
      <c r="E256" s="10">
        <v>22893</v>
      </c>
      <c r="F256" s="26">
        <f t="shared" si="0"/>
        <v>3.6299305464552484E-2</v>
      </c>
      <c r="G256" s="26">
        <f t="shared" si="1"/>
        <v>0.37050408788392974</v>
      </c>
      <c r="H256" s="26">
        <f t="shared" si="2"/>
        <v>1.3449041061964165E-2</v>
      </c>
      <c r="I256" s="25"/>
      <c r="J256" s="25"/>
      <c r="K256" s="17"/>
      <c r="L256" s="17"/>
      <c r="M256" s="28"/>
      <c r="N256" s="28"/>
      <c r="O256" s="3"/>
      <c r="P256" s="3"/>
      <c r="Q256" s="3"/>
      <c r="R256" s="17"/>
      <c r="S256" s="17"/>
      <c r="T256" s="17"/>
      <c r="U256" s="17"/>
      <c r="V256" s="17"/>
    </row>
    <row r="257" spans="1:22" ht="14.25" customHeight="1">
      <c r="A257" s="9">
        <v>70104</v>
      </c>
      <c r="B257" s="9" t="s">
        <v>276</v>
      </c>
      <c r="C257" s="10">
        <v>4774</v>
      </c>
      <c r="D257" s="10">
        <v>1674.4444895386696</v>
      </c>
      <c r="E257" s="10">
        <v>146721</v>
      </c>
      <c r="F257" s="26">
        <f t="shared" ref="F257:F346" si="6">C257/E257</f>
        <v>3.2537946169941587E-2</v>
      </c>
      <c r="G257" s="26">
        <f t="shared" ref="G257:G346" si="7">D257/C257</f>
        <v>0.350742456962436</v>
      </c>
      <c r="H257" s="26">
        <f t="shared" ref="H257:H346" si="8">F257*G257</f>
        <v>1.1412439184156796E-2</v>
      </c>
      <c r="I257" s="25"/>
      <c r="J257" s="25"/>
      <c r="K257" s="17"/>
      <c r="L257" s="17"/>
      <c r="M257" s="28"/>
      <c r="N257" s="28"/>
      <c r="O257" s="3"/>
      <c r="P257" s="3"/>
      <c r="Q257" s="3"/>
      <c r="R257" s="17"/>
      <c r="S257" s="17"/>
      <c r="T257" s="17"/>
      <c r="U257" s="17"/>
      <c r="V257" s="17"/>
    </row>
    <row r="258" spans="1:22" ht="14.25" customHeight="1">
      <c r="A258" s="9">
        <v>70105</v>
      </c>
      <c r="B258" s="9" t="s">
        <v>277</v>
      </c>
      <c r="C258" s="10">
        <v>2787</v>
      </c>
      <c r="D258" s="10">
        <v>991.66669270396233</v>
      </c>
      <c r="E258" s="10">
        <v>54889</v>
      </c>
      <c r="F258" s="26">
        <f t="shared" si="6"/>
        <v>5.077520085991729E-2</v>
      </c>
      <c r="G258" s="26">
        <f t="shared" si="7"/>
        <v>0.35581869131824984</v>
      </c>
      <c r="H258" s="26">
        <f t="shared" si="8"/>
        <v>1.8066765521397042E-2</v>
      </c>
      <c r="I258" s="25"/>
      <c r="J258" s="25"/>
      <c r="K258" s="17"/>
      <c r="L258" s="17"/>
      <c r="M258" s="28"/>
      <c r="N258" s="28"/>
      <c r="O258" s="3"/>
      <c r="P258" s="3"/>
      <c r="Q258" s="3"/>
      <c r="R258" s="17"/>
      <c r="S258" s="17"/>
      <c r="T258" s="17"/>
      <c r="U258" s="17"/>
      <c r="V258" s="17"/>
    </row>
    <row r="259" spans="1:22" ht="14.25" customHeight="1">
      <c r="A259" s="9">
        <v>70201</v>
      </c>
      <c r="B259" s="9" t="s">
        <v>278</v>
      </c>
      <c r="C259" s="10">
        <v>6997</v>
      </c>
      <c r="D259" s="10">
        <v>2499.3333966135979</v>
      </c>
      <c r="E259" s="10">
        <v>149129</v>
      </c>
      <c r="F259" s="26">
        <f t="shared" si="6"/>
        <v>4.6919110300478108E-2</v>
      </c>
      <c r="G259" s="26">
        <f t="shared" si="7"/>
        <v>0.35720071410798881</v>
      </c>
      <c r="H259" s="26">
        <f t="shared" si="8"/>
        <v>1.6759539704642272E-2</v>
      </c>
      <c r="I259" s="25"/>
      <c r="J259" s="25"/>
      <c r="K259" s="17"/>
      <c r="L259" s="17"/>
      <c r="M259" s="28"/>
      <c r="N259" s="28"/>
      <c r="O259" s="3"/>
      <c r="P259" s="3"/>
      <c r="Q259" s="3"/>
      <c r="R259" s="17"/>
      <c r="S259" s="17"/>
      <c r="T259" s="17"/>
      <c r="U259" s="17"/>
      <c r="V259" s="17"/>
    </row>
    <row r="260" spans="1:22" ht="14.25" customHeight="1">
      <c r="A260" s="9">
        <v>70202</v>
      </c>
      <c r="B260" s="9" t="s">
        <v>279</v>
      </c>
      <c r="C260" s="10">
        <v>380</v>
      </c>
      <c r="D260" s="10">
        <v>133.11111450195313</v>
      </c>
      <c r="E260" s="10">
        <v>10390</v>
      </c>
      <c r="F260" s="26">
        <f t="shared" si="6"/>
        <v>3.6573628488931663E-2</v>
      </c>
      <c r="G260" s="26">
        <f t="shared" si="7"/>
        <v>0.35029240658408717</v>
      </c>
      <c r="H260" s="26">
        <f t="shared" si="8"/>
        <v>1.2811464340900204E-2</v>
      </c>
      <c r="I260" s="25"/>
      <c r="J260" s="25"/>
      <c r="K260" s="17"/>
      <c r="L260" s="17"/>
      <c r="M260" s="28"/>
      <c r="N260" s="28"/>
      <c r="O260" s="3"/>
      <c r="P260" s="3"/>
      <c r="Q260" s="3"/>
      <c r="R260" s="17"/>
      <c r="S260" s="17"/>
      <c r="T260" s="17"/>
      <c r="U260" s="17"/>
      <c r="V260" s="17"/>
    </row>
    <row r="261" spans="1:22" ht="14.25" customHeight="1">
      <c r="A261" s="9">
        <v>70301</v>
      </c>
      <c r="B261" s="9" t="s">
        <v>280</v>
      </c>
      <c r="C261" s="10">
        <v>8642</v>
      </c>
      <c r="D261" s="10">
        <v>3247.8889699578285</v>
      </c>
      <c r="E261" s="10">
        <v>65442</v>
      </c>
      <c r="F261" s="26">
        <f t="shared" si="6"/>
        <v>0.13205586626325602</v>
      </c>
      <c r="G261" s="26">
        <f t="shared" si="7"/>
        <v>0.37582607844918176</v>
      </c>
      <c r="H261" s="26">
        <f t="shared" si="8"/>
        <v>4.963003835392911E-2</v>
      </c>
      <c r="I261" s="25"/>
      <c r="J261" s="25"/>
      <c r="K261" s="17"/>
      <c r="L261" s="17"/>
      <c r="M261" s="28"/>
      <c r="N261" s="28"/>
      <c r="O261" s="3"/>
      <c r="P261" s="3"/>
      <c r="Q261" s="3"/>
      <c r="R261" s="17"/>
      <c r="S261" s="17"/>
      <c r="T261" s="17"/>
      <c r="U261" s="17"/>
      <c r="V261" s="17"/>
    </row>
    <row r="262" spans="1:22" ht="14.25" customHeight="1">
      <c r="A262" s="9">
        <v>70302</v>
      </c>
      <c r="B262" s="9" t="s">
        <v>281</v>
      </c>
      <c r="C262" s="10">
        <v>2424</v>
      </c>
      <c r="D262" s="10">
        <v>912.44446751475334</v>
      </c>
      <c r="E262" s="10">
        <v>15143</v>
      </c>
      <c r="F262" s="26">
        <f t="shared" si="6"/>
        <v>0.16007396156640033</v>
      </c>
      <c r="G262" s="26">
        <f t="shared" si="7"/>
        <v>0.37642098494833059</v>
      </c>
      <c r="H262" s="26">
        <f t="shared" si="8"/>
        <v>6.0255198277405629E-2</v>
      </c>
      <c r="I262" s="25"/>
      <c r="J262" s="25"/>
      <c r="K262" s="17"/>
      <c r="L262" s="17"/>
      <c r="M262" s="28"/>
      <c r="N262" s="28"/>
      <c r="O262" s="3"/>
      <c r="P262" s="3"/>
      <c r="Q262" s="3"/>
      <c r="R262" s="17"/>
      <c r="S262" s="17"/>
      <c r="T262" s="17"/>
      <c r="U262" s="17"/>
      <c r="V262" s="17"/>
    </row>
    <row r="263" spans="1:22" ht="14.25" customHeight="1">
      <c r="A263" s="9">
        <v>70303</v>
      </c>
      <c r="B263" s="9" t="s">
        <v>282</v>
      </c>
      <c r="C263" s="10">
        <v>1525</v>
      </c>
      <c r="D263" s="10">
        <v>549.11112579703331</v>
      </c>
      <c r="E263" s="10">
        <v>8634</v>
      </c>
      <c r="F263" s="26">
        <f t="shared" si="6"/>
        <v>0.17662728746814918</v>
      </c>
      <c r="G263" s="26">
        <f t="shared" si="7"/>
        <v>0.3600728693751038</v>
      </c>
      <c r="H263" s="26">
        <f t="shared" si="8"/>
        <v>6.3598694208597789E-2</v>
      </c>
      <c r="I263" s="25"/>
      <c r="J263" s="25"/>
      <c r="K263" s="17"/>
      <c r="L263" s="17"/>
      <c r="M263" s="28"/>
      <c r="N263" s="28"/>
      <c r="O263" s="3"/>
      <c r="P263" s="3"/>
      <c r="Q263" s="3"/>
      <c r="R263" s="17"/>
      <c r="S263" s="17"/>
      <c r="T263" s="17"/>
      <c r="U263" s="17"/>
      <c r="V263" s="17"/>
    </row>
    <row r="264" spans="1:22" ht="14.25" customHeight="1">
      <c r="A264" s="9">
        <v>70401</v>
      </c>
      <c r="B264" s="9" t="s">
        <v>283</v>
      </c>
      <c r="C264" s="10">
        <v>738</v>
      </c>
      <c r="D264" s="10">
        <v>271.66667360067368</v>
      </c>
      <c r="E264" s="10">
        <v>12988</v>
      </c>
      <c r="F264" s="26">
        <f t="shared" si="6"/>
        <v>5.6821681552202033E-2</v>
      </c>
      <c r="G264" s="26">
        <f t="shared" si="7"/>
        <v>0.36811202384915132</v>
      </c>
      <c r="H264" s="26">
        <f t="shared" si="8"/>
        <v>2.0916744194693075E-2</v>
      </c>
      <c r="I264" s="25"/>
      <c r="J264" s="25"/>
      <c r="K264" s="17"/>
      <c r="L264" s="17"/>
      <c r="M264" s="28"/>
      <c r="N264" s="28"/>
      <c r="O264" s="3"/>
      <c r="P264" s="3"/>
      <c r="Q264" s="3"/>
      <c r="R264" s="17"/>
      <c r="S264" s="17"/>
      <c r="T264" s="17"/>
      <c r="U264" s="17"/>
      <c r="V264" s="17"/>
    </row>
    <row r="265" spans="1:22" ht="14.25" customHeight="1">
      <c r="A265" s="9">
        <v>70402</v>
      </c>
      <c r="B265" s="9" t="s">
        <v>284</v>
      </c>
      <c r="C265" s="10">
        <v>1373</v>
      </c>
      <c r="D265" s="10">
        <v>508.66667905449867</v>
      </c>
      <c r="E265" s="10">
        <v>18693</v>
      </c>
      <c r="F265" s="26">
        <f t="shared" si="6"/>
        <v>7.3449954528433101E-2</v>
      </c>
      <c r="G265" s="26">
        <f t="shared" si="7"/>
        <v>0.37047828044755909</v>
      </c>
      <c r="H265" s="26">
        <f t="shared" si="8"/>
        <v>2.7211612852645301E-2</v>
      </c>
      <c r="I265" s="25"/>
      <c r="J265" s="25"/>
      <c r="K265" s="17"/>
      <c r="L265" s="17"/>
      <c r="M265" s="28"/>
      <c r="N265" s="28"/>
      <c r="O265" s="3"/>
      <c r="P265" s="3"/>
      <c r="Q265" s="3"/>
      <c r="R265" s="17"/>
      <c r="S265" s="17"/>
      <c r="T265" s="17"/>
      <c r="U265" s="17"/>
      <c r="V265" s="17"/>
    </row>
    <row r="266" spans="1:22" ht="14.25" customHeight="1">
      <c r="A266" s="9">
        <v>70403</v>
      </c>
      <c r="B266" s="9" t="s">
        <v>285</v>
      </c>
      <c r="C266" s="10">
        <v>7813</v>
      </c>
      <c r="D266" s="10">
        <v>2907.6667363643646</v>
      </c>
      <c r="E266" s="10">
        <v>56648</v>
      </c>
      <c r="F266" s="26">
        <f t="shared" si="6"/>
        <v>0.13792190368592006</v>
      </c>
      <c r="G266" s="26">
        <f t="shared" si="7"/>
        <v>0.37215752417309161</v>
      </c>
      <c r="H266" s="26">
        <f t="shared" si="8"/>
        <v>5.1328674204991605E-2</v>
      </c>
      <c r="I266" s="25"/>
      <c r="J266" s="25"/>
      <c r="K266" s="17"/>
      <c r="L266" s="17"/>
      <c r="M266" s="28"/>
      <c r="N266" s="28"/>
      <c r="O266" s="3"/>
      <c r="P266" s="3"/>
      <c r="Q266" s="3"/>
      <c r="R266" s="17"/>
      <c r="S266" s="17"/>
      <c r="T266" s="17"/>
      <c r="U266" s="17"/>
      <c r="V266" s="17"/>
    </row>
    <row r="267" spans="1:22" ht="14.25" customHeight="1">
      <c r="A267" s="9">
        <v>70404</v>
      </c>
      <c r="B267" s="9" t="s">
        <v>286</v>
      </c>
      <c r="C267" s="10">
        <v>773</v>
      </c>
      <c r="D267" s="10">
        <v>286.2222295999527</v>
      </c>
      <c r="E267" s="10">
        <v>10135</v>
      </c>
      <c r="F267" s="26">
        <f t="shared" si="6"/>
        <v>7.6270350271336954E-2</v>
      </c>
      <c r="G267" s="26">
        <f t="shared" si="7"/>
        <v>0.37027455316940838</v>
      </c>
      <c r="H267" s="26">
        <f t="shared" si="8"/>
        <v>2.8240969866793555E-2</v>
      </c>
      <c r="I267" s="25"/>
      <c r="J267" s="25"/>
      <c r="K267" s="17"/>
      <c r="L267" s="17"/>
      <c r="M267" s="28"/>
      <c r="N267" s="28"/>
      <c r="O267" s="3"/>
      <c r="P267" s="3"/>
      <c r="Q267" s="3"/>
      <c r="R267" s="17"/>
      <c r="S267" s="17"/>
      <c r="T267" s="17"/>
      <c r="U267" s="17"/>
      <c r="V267" s="17"/>
    </row>
    <row r="268" spans="1:22" ht="14.25" customHeight="1">
      <c r="A268" s="9">
        <v>70501</v>
      </c>
      <c r="B268" s="9" t="s">
        <v>287</v>
      </c>
      <c r="C268" s="10">
        <v>6952</v>
      </c>
      <c r="D268" s="10">
        <v>2501.5556190609932</v>
      </c>
      <c r="E268" s="10">
        <v>40340</v>
      </c>
      <c r="F268" s="26">
        <f t="shared" si="6"/>
        <v>0.17233515121467527</v>
      </c>
      <c r="G268" s="26">
        <f t="shared" si="7"/>
        <v>0.35983251137240985</v>
      </c>
      <c r="H268" s="26">
        <f t="shared" si="8"/>
        <v>6.2011790259320611E-2</v>
      </c>
      <c r="I268" s="25"/>
      <c r="J268" s="25"/>
      <c r="K268" s="17"/>
      <c r="L268" s="17"/>
      <c r="M268" s="28"/>
      <c r="N268" s="28"/>
      <c r="O268" s="3"/>
      <c r="P268" s="3"/>
      <c r="Q268" s="3"/>
      <c r="R268" s="17"/>
      <c r="S268" s="17"/>
      <c r="T268" s="17"/>
      <c r="U268" s="17"/>
      <c r="V268" s="17"/>
    </row>
    <row r="269" spans="1:22" ht="14.25" customHeight="1">
      <c r="A269" s="9">
        <v>70502</v>
      </c>
      <c r="B269" s="9" t="s">
        <v>288</v>
      </c>
      <c r="C269" s="10">
        <v>5808</v>
      </c>
      <c r="D269" s="10">
        <v>2054.8889430463314</v>
      </c>
      <c r="E269" s="10">
        <v>52704</v>
      </c>
      <c r="F269" s="26">
        <f t="shared" si="6"/>
        <v>0.11020036429872496</v>
      </c>
      <c r="G269" s="26">
        <f t="shared" si="7"/>
        <v>0.35380319267326643</v>
      </c>
      <c r="H269" s="26">
        <f t="shared" si="8"/>
        <v>3.8989240722645938E-2</v>
      </c>
      <c r="I269" s="25"/>
      <c r="J269" s="25"/>
      <c r="K269" s="17"/>
      <c r="L269" s="17"/>
      <c r="M269" s="28"/>
      <c r="N269" s="28"/>
      <c r="O269" s="3"/>
      <c r="P269" s="3"/>
      <c r="Q269" s="3"/>
      <c r="R269" s="17"/>
      <c r="S269" s="17"/>
      <c r="T269" s="17"/>
      <c r="U269" s="17"/>
      <c r="V269" s="17"/>
    </row>
    <row r="270" spans="1:22" ht="14.25" customHeight="1">
      <c r="A270" s="9">
        <v>70503</v>
      </c>
      <c r="B270" s="9" t="s">
        <v>289</v>
      </c>
      <c r="C270" s="10">
        <v>1025</v>
      </c>
      <c r="D270" s="10">
        <v>376.88889849185944</v>
      </c>
      <c r="E270" s="10">
        <v>17679</v>
      </c>
      <c r="F270" s="26">
        <f t="shared" si="6"/>
        <v>5.7978392443011485E-2</v>
      </c>
      <c r="G270" s="26">
        <f t="shared" si="7"/>
        <v>0.36769648633352142</v>
      </c>
      <c r="H270" s="26">
        <f t="shared" si="8"/>
        <v>2.1318451184561313E-2</v>
      </c>
      <c r="I270" s="25"/>
      <c r="J270" s="25"/>
      <c r="K270" s="17"/>
      <c r="L270" s="17"/>
      <c r="M270" s="28"/>
      <c r="N270" s="28"/>
      <c r="O270" s="3"/>
      <c r="P270" s="3"/>
      <c r="Q270" s="3"/>
      <c r="R270" s="17"/>
      <c r="S270" s="17"/>
      <c r="T270" s="17"/>
      <c r="U270" s="17"/>
      <c r="V270" s="17"/>
    </row>
    <row r="271" spans="1:22" ht="14.25" customHeight="1">
      <c r="A271" s="9">
        <v>70601</v>
      </c>
      <c r="B271" s="9" t="s">
        <v>290</v>
      </c>
      <c r="C271" s="10">
        <v>719</v>
      </c>
      <c r="D271" s="10">
        <v>264.33334058523178</v>
      </c>
      <c r="E271" s="10">
        <v>20472</v>
      </c>
      <c r="F271" s="26">
        <f t="shared" si="6"/>
        <v>3.5121141070730756E-2</v>
      </c>
      <c r="G271" s="26">
        <f t="shared" si="7"/>
        <v>0.36764025116165755</v>
      </c>
      <c r="H271" s="26">
        <f t="shared" si="8"/>
        <v>1.2911945124327461E-2</v>
      </c>
      <c r="I271" s="25"/>
      <c r="J271" s="25"/>
      <c r="K271" s="17"/>
      <c r="L271" s="17"/>
      <c r="M271" s="28"/>
      <c r="N271" s="28"/>
      <c r="O271" s="3"/>
      <c r="P271" s="3"/>
      <c r="Q271" s="3"/>
      <c r="R271" s="17"/>
      <c r="S271" s="17"/>
      <c r="T271" s="17"/>
      <c r="U271" s="17"/>
      <c r="V271" s="17"/>
    </row>
    <row r="272" spans="1:22" ht="14.25" customHeight="1">
      <c r="A272" s="9">
        <v>70602</v>
      </c>
      <c r="B272" s="9" t="s">
        <v>291</v>
      </c>
      <c r="C272" s="10">
        <v>1410</v>
      </c>
      <c r="D272" s="10">
        <v>508.22223529219627</v>
      </c>
      <c r="E272" s="10">
        <v>17714</v>
      </c>
      <c r="F272" s="26">
        <f t="shared" si="6"/>
        <v>7.9598058033194086E-2</v>
      </c>
      <c r="G272" s="26">
        <f t="shared" si="7"/>
        <v>0.36044130162567112</v>
      </c>
      <c r="H272" s="26">
        <f t="shared" si="8"/>
        <v>2.8690427644360184E-2</v>
      </c>
      <c r="I272" s="25"/>
      <c r="J272" s="25"/>
      <c r="K272" s="17"/>
      <c r="L272" s="17"/>
      <c r="M272" s="28"/>
      <c r="N272" s="28"/>
      <c r="O272" s="3"/>
      <c r="P272" s="3"/>
      <c r="Q272" s="3"/>
      <c r="R272" s="17"/>
      <c r="S272" s="17"/>
      <c r="T272" s="17"/>
      <c r="U272" s="17"/>
      <c r="V272" s="17"/>
    </row>
    <row r="273" spans="1:22" ht="14.25" customHeight="1">
      <c r="A273" s="9">
        <v>70603</v>
      </c>
      <c r="B273" s="9" t="s">
        <v>292</v>
      </c>
      <c r="C273" s="10">
        <v>342</v>
      </c>
      <c r="D273" s="10">
        <v>120.00000330805779</v>
      </c>
      <c r="E273" s="10">
        <v>5961</v>
      </c>
      <c r="F273" s="26">
        <f t="shared" si="6"/>
        <v>5.7372924006039258E-2</v>
      </c>
      <c r="G273" s="26">
        <f t="shared" si="7"/>
        <v>0.35087720265513972</v>
      </c>
      <c r="H273" s="26">
        <f t="shared" si="8"/>
        <v>2.0130851083384967E-2</v>
      </c>
      <c r="I273" s="25"/>
      <c r="J273" s="25"/>
      <c r="K273" s="17"/>
      <c r="L273" s="17"/>
      <c r="M273" s="28"/>
      <c r="N273" s="28"/>
      <c r="O273" s="3"/>
      <c r="P273" s="3"/>
      <c r="Q273" s="3"/>
      <c r="R273" s="17"/>
      <c r="S273" s="17"/>
      <c r="T273" s="17"/>
      <c r="U273" s="17"/>
      <c r="V273" s="17"/>
    </row>
    <row r="274" spans="1:22" ht="14.25" customHeight="1">
      <c r="A274" s="9">
        <v>70701</v>
      </c>
      <c r="B274" s="9" t="s">
        <v>293</v>
      </c>
      <c r="C274" s="10">
        <v>352</v>
      </c>
      <c r="D274" s="10">
        <v>135.77778154611588</v>
      </c>
      <c r="E274" s="10">
        <v>5756</v>
      </c>
      <c r="F274" s="26">
        <f t="shared" si="6"/>
        <v>6.1153578874218205E-2</v>
      </c>
      <c r="G274" s="26">
        <f t="shared" si="7"/>
        <v>0.38573233393782919</v>
      </c>
      <c r="H274" s="26">
        <f t="shared" si="8"/>
        <v>2.3588912707803313E-2</v>
      </c>
      <c r="I274" s="25"/>
      <c r="J274" s="25"/>
      <c r="K274" s="17"/>
      <c r="L274" s="17"/>
      <c r="M274" s="28"/>
      <c r="N274" s="28"/>
      <c r="O274" s="3"/>
      <c r="P274" s="3"/>
      <c r="Q274" s="3"/>
      <c r="R274" s="17"/>
      <c r="S274" s="17"/>
      <c r="T274" s="17"/>
      <c r="U274" s="17"/>
      <c r="V274" s="17"/>
    </row>
    <row r="275" spans="1:22" ht="14.25" customHeight="1">
      <c r="A275" s="9">
        <v>70702</v>
      </c>
      <c r="B275" s="9" t="s">
        <v>294</v>
      </c>
      <c r="C275" s="10">
        <v>5717</v>
      </c>
      <c r="D275" s="10">
        <v>2102.1111636161804</v>
      </c>
      <c r="E275" s="10">
        <v>37894</v>
      </c>
      <c r="F275" s="26">
        <f t="shared" si="6"/>
        <v>0.15086821132633135</v>
      </c>
      <c r="G275" s="26">
        <f t="shared" si="7"/>
        <v>0.36769479860349491</v>
      </c>
      <c r="H275" s="26">
        <f t="shared" si="8"/>
        <v>5.5473456579304914E-2</v>
      </c>
      <c r="I275" s="25"/>
      <c r="J275" s="25"/>
      <c r="K275" s="17"/>
      <c r="L275" s="17"/>
      <c r="M275" s="28"/>
      <c r="N275" s="28"/>
      <c r="O275" s="3"/>
      <c r="P275" s="3"/>
      <c r="Q275" s="3"/>
      <c r="R275" s="17"/>
      <c r="S275" s="17"/>
      <c r="T275" s="17"/>
      <c r="U275" s="17"/>
      <c r="V275" s="17"/>
    </row>
    <row r="276" spans="1:22" ht="14.25" customHeight="1">
      <c r="A276" s="9">
        <v>70703</v>
      </c>
      <c r="B276" s="9" t="s">
        <v>295</v>
      </c>
      <c r="C276" s="10">
        <v>3729</v>
      </c>
      <c r="D276" s="10">
        <v>1351.1111455857754</v>
      </c>
      <c r="E276" s="10">
        <v>31657</v>
      </c>
      <c r="F276" s="26">
        <f t="shared" si="6"/>
        <v>0.11779385286034684</v>
      </c>
      <c r="G276" s="26">
        <f t="shared" si="7"/>
        <v>0.36232532732254635</v>
      </c>
      <c r="H276" s="26">
        <f t="shared" si="8"/>
        <v>4.2679696294209035E-2</v>
      </c>
      <c r="I276" s="25"/>
      <c r="J276" s="25"/>
      <c r="K276" s="17"/>
      <c r="L276" s="17"/>
      <c r="M276" s="28"/>
      <c r="N276" s="28"/>
      <c r="O276" s="3"/>
      <c r="P276" s="3"/>
      <c r="Q276" s="3"/>
      <c r="R276" s="17"/>
      <c r="S276" s="17"/>
      <c r="T276" s="17"/>
      <c r="U276" s="17"/>
      <c r="V276" s="17"/>
    </row>
    <row r="277" spans="1:22" ht="14.25" customHeight="1">
      <c r="A277" s="9">
        <v>70704</v>
      </c>
      <c r="B277" s="9" t="s">
        <v>296</v>
      </c>
      <c r="C277" s="10">
        <v>309</v>
      </c>
      <c r="D277" s="10">
        <v>113.88889193534851</v>
      </c>
      <c r="E277" s="10">
        <v>5019</v>
      </c>
      <c r="F277" s="26">
        <f t="shared" si="6"/>
        <v>6.1566049013747758E-2</v>
      </c>
      <c r="G277" s="26">
        <f t="shared" si="7"/>
        <v>0.36857246581018938</v>
      </c>
      <c r="H277" s="26">
        <f t="shared" si="8"/>
        <v>2.2691550495187989E-2</v>
      </c>
      <c r="I277" s="25"/>
      <c r="J277" s="25"/>
      <c r="K277" s="17"/>
      <c r="L277" s="17"/>
      <c r="M277" s="28"/>
      <c r="N277" s="28"/>
      <c r="O277" s="3"/>
      <c r="P277" s="3"/>
      <c r="Q277" s="3"/>
      <c r="R277" s="17"/>
      <c r="S277" s="17"/>
      <c r="T277" s="17"/>
      <c r="U277" s="17"/>
      <c r="V277" s="17"/>
    </row>
    <row r="278" spans="1:22" ht="14.25" customHeight="1">
      <c r="A278" s="9">
        <v>70705</v>
      </c>
      <c r="B278" s="9" t="s">
        <v>297</v>
      </c>
      <c r="C278" s="10">
        <v>1466</v>
      </c>
      <c r="D278" s="10">
        <v>559.66667997837067</v>
      </c>
      <c r="E278" s="10">
        <v>14251</v>
      </c>
      <c r="F278" s="26">
        <f t="shared" si="6"/>
        <v>0.10286997403690969</v>
      </c>
      <c r="G278" s="26">
        <f t="shared" si="7"/>
        <v>0.38176444746137156</v>
      </c>
      <c r="H278" s="26">
        <f t="shared" si="8"/>
        <v>3.9272098798566461E-2</v>
      </c>
      <c r="I278" s="25"/>
      <c r="J278" s="25"/>
      <c r="K278" s="17"/>
      <c r="L278" s="17"/>
      <c r="M278" s="28"/>
      <c r="N278" s="28"/>
      <c r="O278" s="3"/>
      <c r="P278" s="3"/>
      <c r="Q278" s="3"/>
      <c r="R278" s="17"/>
      <c r="S278" s="17"/>
      <c r="T278" s="17"/>
      <c r="U278" s="17"/>
      <c r="V278" s="17"/>
    </row>
    <row r="279" spans="1:22" ht="14.25" customHeight="1">
      <c r="A279" s="9">
        <v>70706</v>
      </c>
      <c r="B279" s="9" t="s">
        <v>298</v>
      </c>
      <c r="C279" s="10">
        <v>1092</v>
      </c>
      <c r="D279" s="10">
        <v>398.55556625127792</v>
      </c>
      <c r="E279" s="10">
        <v>31518</v>
      </c>
      <c r="F279" s="26">
        <f t="shared" si="6"/>
        <v>3.4646868456120312E-2</v>
      </c>
      <c r="G279" s="26">
        <f t="shared" si="7"/>
        <v>0.36497762477223256</v>
      </c>
      <c r="H279" s="26">
        <f t="shared" si="8"/>
        <v>1.2645331754910779E-2</v>
      </c>
      <c r="I279" s="25"/>
      <c r="J279" s="25"/>
      <c r="K279" s="17"/>
      <c r="L279" s="17"/>
      <c r="M279" s="28"/>
      <c r="N279" s="28"/>
      <c r="O279" s="3"/>
      <c r="P279" s="3"/>
      <c r="Q279" s="3"/>
      <c r="R279" s="17"/>
      <c r="S279" s="17"/>
      <c r="T279" s="17"/>
      <c r="U279" s="17"/>
      <c r="V279" s="17"/>
    </row>
    <row r="280" spans="1:22" ht="14.25" customHeight="1">
      <c r="A280" s="9">
        <v>70707</v>
      </c>
      <c r="B280" s="9" t="s">
        <v>299</v>
      </c>
      <c r="C280" s="10">
        <v>538</v>
      </c>
      <c r="D280" s="10">
        <v>198.66667166352272</v>
      </c>
      <c r="E280" s="10">
        <v>5274</v>
      </c>
      <c r="F280" s="26">
        <f t="shared" si="6"/>
        <v>0.10200985968904058</v>
      </c>
      <c r="G280" s="26">
        <f t="shared" si="7"/>
        <v>0.36926890643777455</v>
      </c>
      <c r="H280" s="26">
        <f t="shared" si="8"/>
        <v>3.7669069333242836E-2</v>
      </c>
      <c r="I280" s="25"/>
      <c r="J280" s="25"/>
      <c r="K280" s="17"/>
      <c r="L280" s="17"/>
      <c r="M280" s="28"/>
      <c r="N280" s="28"/>
      <c r="O280" s="3"/>
      <c r="P280" s="3"/>
      <c r="Q280" s="3"/>
      <c r="R280" s="17"/>
      <c r="S280" s="17"/>
      <c r="T280" s="17"/>
      <c r="U280" s="17"/>
      <c r="V280" s="17"/>
    </row>
    <row r="281" spans="1:22" ht="14.25" customHeight="1">
      <c r="A281" s="9">
        <v>70801</v>
      </c>
      <c r="B281" s="9" t="s">
        <v>300</v>
      </c>
      <c r="C281" s="10">
        <v>698</v>
      </c>
      <c r="D281" s="10">
        <v>256.4444508254528</v>
      </c>
      <c r="E281" s="10">
        <v>16842</v>
      </c>
      <c r="F281" s="26">
        <f t="shared" si="6"/>
        <v>4.1444009025056405E-2</v>
      </c>
      <c r="G281" s="26">
        <f t="shared" si="7"/>
        <v>0.36739892668402979</v>
      </c>
      <c r="H281" s="26">
        <f t="shared" si="8"/>
        <v>1.5226484433288967E-2</v>
      </c>
      <c r="I281" s="25"/>
      <c r="J281" s="25"/>
      <c r="K281" s="17"/>
      <c r="L281" s="17"/>
      <c r="M281" s="28"/>
      <c r="N281" s="28"/>
      <c r="O281" s="3"/>
      <c r="P281" s="3"/>
      <c r="Q281" s="3"/>
      <c r="R281" s="17"/>
      <c r="S281" s="17"/>
      <c r="T281" s="17"/>
      <c r="U281" s="17"/>
      <c r="V281" s="17"/>
    </row>
    <row r="282" spans="1:22" ht="14.25" customHeight="1">
      <c r="A282" s="9">
        <v>70802</v>
      </c>
      <c r="B282" s="9" t="s">
        <v>301</v>
      </c>
      <c r="C282" s="10">
        <v>38</v>
      </c>
      <c r="D282" s="10">
        <v>13.333333671092987</v>
      </c>
      <c r="E282" s="10">
        <v>2356</v>
      </c>
      <c r="F282" s="26">
        <f t="shared" si="6"/>
        <v>1.6129032258064516E-2</v>
      </c>
      <c r="G282" s="26">
        <f t="shared" si="7"/>
        <v>0.35087720187086807</v>
      </c>
      <c r="H282" s="26">
        <f t="shared" si="8"/>
        <v>5.6593097075946465E-3</v>
      </c>
      <c r="I282" s="25"/>
      <c r="J282" s="25"/>
      <c r="K282" s="17"/>
      <c r="L282" s="17"/>
      <c r="M282" s="28"/>
      <c r="N282" s="28"/>
      <c r="O282" s="3"/>
      <c r="P282" s="3"/>
      <c r="Q282" s="3"/>
      <c r="R282" s="17"/>
      <c r="S282" s="17"/>
      <c r="T282" s="17"/>
      <c r="U282" s="17"/>
      <c r="V282" s="17"/>
    </row>
    <row r="283" spans="1:22" ht="14.25" customHeight="1">
      <c r="A283" s="9">
        <v>70803</v>
      </c>
      <c r="B283" s="9" t="s">
        <v>302</v>
      </c>
      <c r="C283" s="10">
        <v>214</v>
      </c>
      <c r="D283" s="10">
        <v>76.222224175930023</v>
      </c>
      <c r="E283" s="10">
        <v>2757</v>
      </c>
      <c r="F283" s="26">
        <f t="shared" si="6"/>
        <v>7.7620602103735947E-2</v>
      </c>
      <c r="G283" s="26">
        <f t="shared" si="7"/>
        <v>0.35617861764453279</v>
      </c>
      <c r="H283" s="26">
        <f t="shared" si="8"/>
        <v>2.7646798758044985E-2</v>
      </c>
      <c r="I283" s="25"/>
      <c r="J283" s="25"/>
      <c r="K283" s="17"/>
      <c r="L283" s="17"/>
      <c r="M283" s="28"/>
      <c r="N283" s="28"/>
      <c r="O283" s="3"/>
      <c r="P283" s="3"/>
      <c r="Q283" s="3"/>
      <c r="R283" s="17"/>
      <c r="S283" s="17"/>
      <c r="T283" s="17"/>
      <c r="U283" s="17"/>
      <c r="V283" s="17"/>
    </row>
    <row r="284" spans="1:22" ht="14.25" customHeight="1">
      <c r="A284" s="9">
        <v>70804</v>
      </c>
      <c r="B284" s="9" t="s">
        <v>303</v>
      </c>
      <c r="C284" s="10">
        <v>299</v>
      </c>
      <c r="D284" s="10">
        <v>111.55555817484856</v>
      </c>
      <c r="E284" s="10">
        <v>1765</v>
      </c>
      <c r="F284" s="26">
        <f t="shared" si="6"/>
        <v>0.16940509915014165</v>
      </c>
      <c r="G284" s="26">
        <f t="shared" si="7"/>
        <v>0.37309551229046339</v>
      </c>
      <c r="H284" s="26">
        <f t="shared" si="8"/>
        <v>6.3204282252038849E-2</v>
      </c>
      <c r="I284" s="25"/>
      <c r="J284" s="25"/>
      <c r="K284" s="17"/>
      <c r="L284" s="17"/>
      <c r="M284" s="28"/>
      <c r="N284" s="28"/>
      <c r="O284" s="3"/>
      <c r="P284" s="3"/>
      <c r="Q284" s="3"/>
      <c r="R284" s="17"/>
      <c r="S284" s="17"/>
      <c r="T284" s="17"/>
      <c r="U284" s="17"/>
      <c r="V284" s="17"/>
    </row>
    <row r="285" spans="1:22" ht="14.25" customHeight="1">
      <c r="A285" s="9">
        <v>70805</v>
      </c>
      <c r="B285" s="9" t="s">
        <v>304</v>
      </c>
      <c r="C285" s="10">
        <v>157</v>
      </c>
      <c r="D285" s="10">
        <v>55.22222363948822</v>
      </c>
      <c r="E285" s="10">
        <v>2009</v>
      </c>
      <c r="F285" s="26">
        <f t="shared" si="6"/>
        <v>7.8148332503733195E-2</v>
      </c>
      <c r="G285" s="26">
        <f t="shared" si="7"/>
        <v>0.35173390853177211</v>
      </c>
      <c r="H285" s="26">
        <f t="shared" si="8"/>
        <v>2.7487418436778606E-2</v>
      </c>
      <c r="I285" s="25"/>
      <c r="J285" s="25"/>
      <c r="K285" s="17"/>
      <c r="L285" s="17"/>
      <c r="M285" s="28"/>
      <c r="N285" s="28"/>
      <c r="O285" s="3"/>
      <c r="P285" s="3"/>
      <c r="Q285" s="3"/>
      <c r="R285" s="17"/>
      <c r="S285" s="17"/>
      <c r="T285" s="17"/>
      <c r="U285" s="17"/>
      <c r="V285" s="17"/>
    </row>
    <row r="286" spans="1:22" ht="14.25" customHeight="1">
      <c r="A286" s="9">
        <v>70901</v>
      </c>
      <c r="B286" s="9" t="s">
        <v>305</v>
      </c>
      <c r="C286" s="10">
        <v>856</v>
      </c>
      <c r="D286" s="10">
        <v>317.00000762939453</v>
      </c>
      <c r="E286" s="10">
        <v>11494</v>
      </c>
      <c r="F286" s="26">
        <f t="shared" si="6"/>
        <v>7.4473638420045243E-2</v>
      </c>
      <c r="G286" s="26">
        <f t="shared" si="7"/>
        <v>0.37032711171658239</v>
      </c>
      <c r="H286" s="26">
        <f t="shared" si="8"/>
        <v>2.7579607415120458E-2</v>
      </c>
      <c r="I286" s="25"/>
      <c r="J286" s="25"/>
      <c r="K286" s="17"/>
      <c r="L286" s="17"/>
      <c r="M286" s="28"/>
      <c r="N286" s="28"/>
      <c r="O286" s="3"/>
      <c r="P286" s="3"/>
      <c r="Q286" s="3"/>
      <c r="R286" s="17"/>
      <c r="S286" s="17"/>
      <c r="T286" s="17"/>
      <c r="U286" s="17"/>
      <c r="V286" s="17"/>
    </row>
    <row r="287" spans="1:22" ht="14.25" customHeight="1">
      <c r="A287" s="9">
        <v>70902</v>
      </c>
      <c r="B287" s="9" t="s">
        <v>306</v>
      </c>
      <c r="C287" s="10">
        <v>695</v>
      </c>
      <c r="D287" s="10">
        <v>256.66667357087135</v>
      </c>
      <c r="E287" s="10">
        <v>9606</v>
      </c>
      <c r="F287" s="26">
        <f t="shared" si="6"/>
        <v>7.2350614199458665E-2</v>
      </c>
      <c r="G287" s="26">
        <f t="shared" si="7"/>
        <v>0.36930456628902353</v>
      </c>
      <c r="H287" s="26">
        <f t="shared" si="8"/>
        <v>2.6719412197675551E-2</v>
      </c>
      <c r="I287" s="25"/>
      <c r="J287" s="25"/>
      <c r="K287" s="17"/>
      <c r="L287" s="17"/>
      <c r="M287" s="28"/>
      <c r="N287" s="28"/>
      <c r="O287" s="3"/>
      <c r="P287" s="3"/>
      <c r="Q287" s="3"/>
      <c r="R287" s="17"/>
      <c r="S287" s="17"/>
      <c r="T287" s="17"/>
      <c r="U287" s="17"/>
      <c r="V287" s="17"/>
    </row>
    <row r="288" spans="1:22" ht="14.25" customHeight="1">
      <c r="A288" s="9">
        <v>70903</v>
      </c>
      <c r="B288" s="9" t="s">
        <v>307</v>
      </c>
      <c r="C288" s="10">
        <v>1385</v>
      </c>
      <c r="D288" s="10">
        <v>523.66667959094048</v>
      </c>
      <c r="E288" s="10">
        <v>12663</v>
      </c>
      <c r="F288" s="26">
        <f t="shared" si="6"/>
        <v>0.109373766090184</v>
      </c>
      <c r="G288" s="26">
        <f t="shared" si="7"/>
        <v>0.3780986856252278</v>
      </c>
      <c r="H288" s="26">
        <f t="shared" si="8"/>
        <v>4.1354077200579681E-2</v>
      </c>
      <c r="I288" s="25"/>
      <c r="J288" s="25"/>
      <c r="K288" s="17"/>
      <c r="L288" s="17"/>
      <c r="M288" s="28"/>
      <c r="N288" s="28"/>
      <c r="O288" s="3"/>
      <c r="P288" s="3"/>
      <c r="Q288" s="3"/>
      <c r="R288" s="17"/>
      <c r="S288" s="17"/>
      <c r="T288" s="17"/>
      <c r="U288" s="17"/>
      <c r="V288" s="17"/>
    </row>
    <row r="289" spans="1:22" ht="14.25" customHeight="1">
      <c r="A289" s="9">
        <v>70904</v>
      </c>
      <c r="B289" s="9" t="s">
        <v>308</v>
      </c>
      <c r="C289" s="10">
        <v>229</v>
      </c>
      <c r="D289" s="10">
        <v>84.444446682929993</v>
      </c>
      <c r="E289" s="10">
        <v>3060</v>
      </c>
      <c r="F289" s="26">
        <f t="shared" si="6"/>
        <v>7.483660130718954E-2</v>
      </c>
      <c r="G289" s="26">
        <f t="shared" si="7"/>
        <v>0.36875304228353711</v>
      </c>
      <c r="H289" s="26">
        <f t="shared" si="8"/>
        <v>2.7596224406186275E-2</v>
      </c>
      <c r="I289" s="25"/>
      <c r="J289" s="25"/>
      <c r="K289" s="17"/>
      <c r="L289" s="17"/>
      <c r="M289" s="28"/>
      <c r="N289" s="28"/>
      <c r="O289" s="3"/>
      <c r="P289" s="3"/>
      <c r="Q289" s="3"/>
      <c r="R289" s="17"/>
      <c r="S289" s="17"/>
      <c r="T289" s="17"/>
      <c r="U289" s="17"/>
      <c r="V289" s="17"/>
    </row>
    <row r="290" spans="1:22" ht="14.25" customHeight="1">
      <c r="A290" s="9">
        <v>71001</v>
      </c>
      <c r="B290" s="9" t="s">
        <v>309</v>
      </c>
      <c r="C290" s="10">
        <v>5252</v>
      </c>
      <c r="D290" s="10">
        <v>1870.8889371156693</v>
      </c>
      <c r="E290" s="10">
        <v>122625</v>
      </c>
      <c r="F290" s="26">
        <f t="shared" si="6"/>
        <v>4.2829765545361873E-2</v>
      </c>
      <c r="G290" s="26">
        <f t="shared" si="7"/>
        <v>0.3562240931294115</v>
      </c>
      <c r="H290" s="26">
        <f t="shared" si="8"/>
        <v>1.5256994390341847E-2</v>
      </c>
      <c r="I290" s="25"/>
      <c r="J290" s="25"/>
      <c r="K290" s="17"/>
      <c r="L290" s="17"/>
      <c r="M290" s="28"/>
      <c r="N290" s="28"/>
      <c r="O290" s="3"/>
      <c r="P290" s="3"/>
      <c r="Q290" s="3"/>
      <c r="R290" s="17"/>
      <c r="S290" s="17"/>
      <c r="T290" s="17"/>
      <c r="U290" s="17"/>
      <c r="V290" s="17"/>
    </row>
    <row r="291" spans="1:22" ht="14.25" customHeight="1">
      <c r="A291" s="9">
        <v>71002</v>
      </c>
      <c r="B291" s="9" t="s">
        <v>310</v>
      </c>
      <c r="C291" s="10">
        <v>1247</v>
      </c>
      <c r="D291" s="10">
        <v>447.22223335504532</v>
      </c>
      <c r="E291" s="10">
        <v>16476</v>
      </c>
      <c r="F291" s="26">
        <f t="shared" si="6"/>
        <v>7.5685846079145427E-2</v>
      </c>
      <c r="G291" s="26">
        <f t="shared" si="7"/>
        <v>0.35863851912994815</v>
      </c>
      <c r="H291" s="26">
        <f t="shared" si="8"/>
        <v>2.714385975692191E-2</v>
      </c>
      <c r="I291" s="25"/>
      <c r="J291" s="25"/>
      <c r="K291" s="17"/>
      <c r="L291" s="17"/>
      <c r="M291" s="28"/>
      <c r="N291" s="28"/>
      <c r="O291" s="3"/>
      <c r="P291" s="3"/>
      <c r="Q291" s="3"/>
      <c r="R291" s="17"/>
      <c r="S291" s="17"/>
      <c r="T291" s="17"/>
      <c r="U291" s="17"/>
      <c r="V291" s="17"/>
    </row>
    <row r="292" spans="1:22" ht="14.25" customHeight="1">
      <c r="A292" s="9">
        <v>71003</v>
      </c>
      <c r="B292" s="9" t="s">
        <v>311</v>
      </c>
      <c r="C292" s="10">
        <v>1261</v>
      </c>
      <c r="D292" s="10">
        <v>453.8889012336731</v>
      </c>
      <c r="E292" s="10">
        <v>22936</v>
      </c>
      <c r="F292" s="26">
        <f t="shared" si="6"/>
        <v>5.4979072200906871E-2</v>
      </c>
      <c r="G292" s="26">
        <f t="shared" si="7"/>
        <v>0.35994361715596596</v>
      </c>
      <c r="H292" s="26">
        <f t="shared" si="8"/>
        <v>1.9789366115873435E-2</v>
      </c>
      <c r="I292" s="25"/>
      <c r="J292" s="25"/>
      <c r="K292" s="17"/>
      <c r="L292" s="17"/>
      <c r="M292" s="28"/>
      <c r="N292" s="28"/>
      <c r="O292" s="3"/>
      <c r="P292" s="3"/>
      <c r="Q292" s="3"/>
      <c r="R292" s="17"/>
      <c r="S292" s="17"/>
      <c r="T292" s="17"/>
      <c r="U292" s="17"/>
      <c r="V292" s="17"/>
    </row>
    <row r="293" spans="1:22" ht="14.25" customHeight="1">
      <c r="A293" s="9">
        <v>71004</v>
      </c>
      <c r="B293" s="9" t="s">
        <v>312</v>
      </c>
      <c r="C293" s="10">
        <v>1011</v>
      </c>
      <c r="D293" s="10">
        <v>376.11112126708031</v>
      </c>
      <c r="E293" s="10">
        <v>12690</v>
      </c>
      <c r="F293" s="26">
        <f t="shared" si="6"/>
        <v>7.9669030732860524E-2</v>
      </c>
      <c r="G293" s="26">
        <f t="shared" si="7"/>
        <v>0.37201891322164227</v>
      </c>
      <c r="H293" s="26">
        <f t="shared" si="8"/>
        <v>2.9638386230660389E-2</v>
      </c>
      <c r="I293" s="25"/>
      <c r="J293" s="25"/>
      <c r="K293" s="17"/>
      <c r="L293" s="17"/>
      <c r="M293" s="28"/>
      <c r="N293" s="28"/>
      <c r="O293" s="3"/>
      <c r="P293" s="3"/>
      <c r="Q293" s="3"/>
      <c r="R293" s="17"/>
      <c r="S293" s="17"/>
      <c r="T293" s="17"/>
      <c r="U293" s="17"/>
      <c r="V293" s="17"/>
    </row>
    <row r="294" spans="1:22" ht="14.25" customHeight="1">
      <c r="A294" s="9">
        <v>71005</v>
      </c>
      <c r="B294" s="9" t="s">
        <v>238</v>
      </c>
      <c r="C294" s="10">
        <v>812</v>
      </c>
      <c r="D294" s="10">
        <v>291.11111825704575</v>
      </c>
      <c r="E294" s="10">
        <v>13347</v>
      </c>
      <c r="F294" s="26">
        <f t="shared" si="6"/>
        <v>6.0837641417547016E-2</v>
      </c>
      <c r="G294" s="26">
        <f t="shared" si="7"/>
        <v>0.35851122938059821</v>
      </c>
      <c r="H294" s="26">
        <f t="shared" si="8"/>
        <v>2.181097761722078E-2</v>
      </c>
      <c r="I294" s="25"/>
      <c r="J294" s="25"/>
      <c r="K294" s="17"/>
      <c r="L294" s="17"/>
      <c r="M294" s="28"/>
      <c r="N294" s="28"/>
      <c r="O294" s="3"/>
      <c r="P294" s="3"/>
      <c r="Q294" s="3"/>
      <c r="R294" s="17"/>
      <c r="S294" s="17"/>
      <c r="T294" s="17"/>
      <c r="U294" s="17"/>
      <c r="V294" s="17"/>
    </row>
    <row r="295" spans="1:22" ht="14.25" customHeight="1">
      <c r="A295" s="9">
        <v>71101</v>
      </c>
      <c r="B295" s="9" t="s">
        <v>313</v>
      </c>
      <c r="C295" s="10">
        <v>4698</v>
      </c>
      <c r="D295" s="10">
        <v>1746.3333771824837</v>
      </c>
      <c r="E295" s="10">
        <v>29521</v>
      </c>
      <c r="F295" s="26">
        <f t="shared" si="6"/>
        <v>0.15914095050980659</v>
      </c>
      <c r="G295" s="26">
        <f t="shared" si="7"/>
        <v>0.37171847109035411</v>
      </c>
      <c r="H295" s="26">
        <f t="shared" si="8"/>
        <v>5.9155630811371013E-2</v>
      </c>
      <c r="I295" s="25"/>
      <c r="J295" s="25"/>
      <c r="K295" s="17"/>
      <c r="L295" s="17"/>
      <c r="M295" s="28"/>
      <c r="N295" s="28"/>
      <c r="O295" s="3"/>
      <c r="P295" s="3"/>
      <c r="Q295" s="3"/>
      <c r="R295" s="17"/>
      <c r="S295" s="17"/>
      <c r="T295" s="17"/>
      <c r="U295" s="17"/>
      <c r="V295" s="17"/>
    </row>
    <row r="296" spans="1:22" ht="14.25" customHeight="1">
      <c r="A296" s="9">
        <v>71102</v>
      </c>
      <c r="B296" s="9" t="s">
        <v>314</v>
      </c>
      <c r="C296" s="10">
        <v>1475</v>
      </c>
      <c r="D296" s="10">
        <v>555.77779173851013</v>
      </c>
      <c r="E296" s="10">
        <v>14280</v>
      </c>
      <c r="F296" s="26">
        <f t="shared" si="6"/>
        <v>0.10329131652661064</v>
      </c>
      <c r="G296" s="26">
        <f t="shared" si="7"/>
        <v>0.3767985028735662</v>
      </c>
      <c r="H296" s="26">
        <f t="shared" si="8"/>
        <v>3.8920013427066531E-2</v>
      </c>
      <c r="I296" s="25"/>
      <c r="J296" s="25"/>
      <c r="K296" s="17"/>
      <c r="L296" s="17"/>
      <c r="M296" s="28"/>
      <c r="N296" s="28"/>
      <c r="O296" s="3"/>
      <c r="P296" s="3"/>
      <c r="Q296" s="3"/>
      <c r="R296" s="17"/>
      <c r="S296" s="17"/>
      <c r="T296" s="17"/>
      <c r="U296" s="17"/>
      <c r="V296" s="17"/>
    </row>
    <row r="297" spans="1:22" ht="14.25" customHeight="1">
      <c r="A297" s="9">
        <v>71103</v>
      </c>
      <c r="B297" s="9" t="s">
        <v>315</v>
      </c>
      <c r="C297" s="10">
        <v>855</v>
      </c>
      <c r="D297" s="10">
        <v>308.77778613567352</v>
      </c>
      <c r="E297" s="10">
        <v>8395</v>
      </c>
      <c r="F297" s="26">
        <f t="shared" si="6"/>
        <v>0.10184633710541989</v>
      </c>
      <c r="G297" s="26">
        <f t="shared" si="7"/>
        <v>0.36114360951540764</v>
      </c>
      <c r="H297" s="26">
        <f t="shared" si="8"/>
        <v>3.6781153798174329E-2</v>
      </c>
      <c r="I297" s="25"/>
      <c r="J297" s="25"/>
      <c r="K297" s="17"/>
      <c r="L297" s="17"/>
      <c r="M297" s="28"/>
      <c r="N297" s="28"/>
      <c r="O297" s="3"/>
      <c r="P297" s="3"/>
      <c r="Q297" s="3"/>
      <c r="R297" s="17"/>
      <c r="S297" s="17"/>
      <c r="T297" s="17"/>
      <c r="U297" s="17"/>
      <c r="V297" s="17"/>
    </row>
    <row r="298" spans="1:22" ht="14.25" customHeight="1">
      <c r="A298" s="9">
        <v>71104</v>
      </c>
      <c r="B298" s="9" t="s">
        <v>316</v>
      </c>
      <c r="C298" s="10">
        <v>2513</v>
      </c>
      <c r="D298" s="10">
        <v>900.66668972373009</v>
      </c>
      <c r="E298" s="10">
        <v>42792</v>
      </c>
      <c r="F298" s="26">
        <f t="shared" si="6"/>
        <v>5.8725930080388858E-2</v>
      </c>
      <c r="G298" s="26">
        <f t="shared" si="7"/>
        <v>0.35840298039145646</v>
      </c>
      <c r="H298" s="26">
        <f t="shared" si="8"/>
        <v>2.104754836707165E-2</v>
      </c>
      <c r="I298" s="25"/>
      <c r="J298" s="25"/>
      <c r="K298" s="17"/>
      <c r="L298" s="17"/>
      <c r="M298" s="28"/>
      <c r="N298" s="28"/>
      <c r="O298" s="3"/>
      <c r="P298" s="3"/>
      <c r="Q298" s="3"/>
      <c r="R298" s="17"/>
      <c r="S298" s="17"/>
      <c r="T298" s="17"/>
      <c r="U298" s="17"/>
      <c r="V298" s="17"/>
    </row>
    <row r="299" spans="1:22" ht="14.25" customHeight="1">
      <c r="A299" s="9">
        <v>71105</v>
      </c>
      <c r="B299" s="9" t="s">
        <v>317</v>
      </c>
      <c r="C299" s="10">
        <v>443</v>
      </c>
      <c r="D299" s="10">
        <v>155.55555957555771</v>
      </c>
      <c r="E299" s="10">
        <v>6287</v>
      </c>
      <c r="F299" s="26">
        <f t="shared" si="6"/>
        <v>7.0462859869572139E-2</v>
      </c>
      <c r="G299" s="26">
        <f t="shared" si="7"/>
        <v>0.35114121800351628</v>
      </c>
      <c r="H299" s="26">
        <f t="shared" si="8"/>
        <v>2.474241443861265E-2</v>
      </c>
      <c r="I299" s="25"/>
      <c r="J299" s="25"/>
      <c r="K299" s="17"/>
      <c r="L299" s="17"/>
      <c r="M299" s="28"/>
      <c r="N299" s="28"/>
      <c r="O299" s="3"/>
      <c r="P299" s="3"/>
      <c r="Q299" s="3"/>
      <c r="R299" s="17"/>
      <c r="S299" s="17"/>
      <c r="T299" s="17"/>
      <c r="U299" s="17"/>
      <c r="V299" s="17"/>
    </row>
    <row r="300" spans="1:22" ht="14.25" customHeight="1">
      <c r="A300" s="9">
        <v>71106</v>
      </c>
      <c r="B300" s="9" t="s">
        <v>318</v>
      </c>
      <c r="C300" s="10">
        <v>1323</v>
      </c>
      <c r="D300" s="10">
        <v>479.55556803941727</v>
      </c>
      <c r="E300" s="10">
        <v>24082</v>
      </c>
      <c r="F300" s="26">
        <f t="shared" si="6"/>
        <v>5.4937297566647288E-2</v>
      </c>
      <c r="G300" s="26">
        <f t="shared" si="7"/>
        <v>0.36247586397537207</v>
      </c>
      <c r="H300" s="26">
        <f t="shared" si="8"/>
        <v>1.9913444399942581E-2</v>
      </c>
      <c r="I300" s="25"/>
      <c r="J300" s="25"/>
      <c r="K300" s="17"/>
      <c r="L300" s="17"/>
      <c r="M300" s="28"/>
      <c r="N300" s="28"/>
      <c r="O300" s="3"/>
      <c r="P300" s="3"/>
      <c r="Q300" s="3"/>
      <c r="R300" s="17"/>
      <c r="S300" s="17"/>
      <c r="T300" s="17"/>
      <c r="U300" s="17"/>
      <c r="V300" s="17"/>
    </row>
    <row r="301" spans="1:22" ht="14.25" customHeight="1">
      <c r="A301" s="9">
        <v>71201</v>
      </c>
      <c r="B301" s="9" t="s">
        <v>319</v>
      </c>
      <c r="C301" s="10">
        <v>2003</v>
      </c>
      <c r="D301" s="10">
        <v>742.55557489395142</v>
      </c>
      <c r="E301" s="10">
        <v>14882</v>
      </c>
      <c r="F301" s="26">
        <f t="shared" si="6"/>
        <v>0.13459212471442011</v>
      </c>
      <c r="G301" s="26">
        <f t="shared" si="7"/>
        <v>0.37072170488964123</v>
      </c>
      <c r="H301" s="26">
        <f t="shared" si="8"/>
        <v>4.9896221938849045E-2</v>
      </c>
      <c r="I301" s="25"/>
      <c r="J301" s="25"/>
      <c r="K301" s="17"/>
      <c r="L301" s="17"/>
      <c r="M301" s="28"/>
      <c r="N301" s="28"/>
      <c r="O301" s="3"/>
      <c r="P301" s="3"/>
      <c r="Q301" s="3"/>
      <c r="R301" s="17"/>
      <c r="S301" s="17"/>
      <c r="T301" s="17"/>
      <c r="U301" s="17"/>
      <c r="V301" s="17"/>
    </row>
    <row r="302" spans="1:22" ht="14.25" customHeight="1">
      <c r="A302" s="9">
        <v>71301</v>
      </c>
      <c r="B302" s="9" t="s">
        <v>320</v>
      </c>
      <c r="C302" s="10">
        <v>1692</v>
      </c>
      <c r="D302" s="10">
        <v>624.00001594424248</v>
      </c>
      <c r="E302" s="10">
        <v>17019</v>
      </c>
      <c r="F302" s="26">
        <f t="shared" si="6"/>
        <v>9.9418297197250136E-2</v>
      </c>
      <c r="G302" s="26">
        <f t="shared" si="7"/>
        <v>0.36879433566444592</v>
      </c>
      <c r="H302" s="26">
        <f t="shared" si="8"/>
        <v>3.6664904867750307E-2</v>
      </c>
      <c r="I302" s="25"/>
      <c r="J302" s="25"/>
      <c r="K302" s="17"/>
      <c r="L302" s="17"/>
      <c r="M302" s="28"/>
      <c r="N302" s="28"/>
      <c r="O302" s="3"/>
      <c r="P302" s="3"/>
      <c r="Q302" s="3"/>
      <c r="R302" s="17"/>
      <c r="S302" s="17"/>
      <c r="T302" s="17"/>
      <c r="U302" s="17"/>
      <c r="V302" s="17"/>
    </row>
    <row r="303" spans="1:22" ht="14.25" customHeight="1">
      <c r="A303" s="9">
        <v>71302</v>
      </c>
      <c r="B303" s="9" t="s">
        <v>321</v>
      </c>
      <c r="C303" s="10">
        <v>414</v>
      </c>
      <c r="D303" s="10">
        <v>151.55555906891823</v>
      </c>
      <c r="E303" s="10">
        <v>5958</v>
      </c>
      <c r="F303" s="26">
        <f t="shared" si="6"/>
        <v>6.9486404833836862E-2</v>
      </c>
      <c r="G303" s="26">
        <f t="shared" si="7"/>
        <v>0.3660762296350682</v>
      </c>
      <c r="H303" s="26">
        <f t="shared" si="8"/>
        <v>2.5437321092466977E-2</v>
      </c>
      <c r="I303" s="25"/>
      <c r="J303" s="25"/>
      <c r="K303" s="17"/>
      <c r="L303" s="17"/>
      <c r="M303" s="28"/>
      <c r="N303" s="28"/>
      <c r="O303" s="3"/>
      <c r="P303" s="3"/>
      <c r="Q303" s="3"/>
      <c r="R303" s="17"/>
      <c r="S303" s="17"/>
      <c r="T303" s="17"/>
      <c r="U303" s="17"/>
      <c r="V303" s="17"/>
    </row>
    <row r="304" spans="1:22" ht="14.25" customHeight="1">
      <c r="A304" s="9">
        <v>71401</v>
      </c>
      <c r="B304" s="9" t="s">
        <v>322</v>
      </c>
      <c r="C304" s="10">
        <v>769</v>
      </c>
      <c r="D304" s="10">
        <v>274.55556240677834</v>
      </c>
      <c r="E304" s="10">
        <v>16244</v>
      </c>
      <c r="F304" s="26">
        <f t="shared" si="6"/>
        <v>4.7340556513174092E-2</v>
      </c>
      <c r="G304" s="26">
        <f t="shared" si="7"/>
        <v>0.35702933993079106</v>
      </c>
      <c r="H304" s="26">
        <f t="shared" si="8"/>
        <v>1.6901967643854859E-2</v>
      </c>
      <c r="I304" s="25"/>
      <c r="J304" s="25"/>
      <c r="K304" s="17"/>
      <c r="L304" s="17"/>
      <c r="M304" s="28"/>
      <c r="N304" s="28"/>
      <c r="O304" s="3"/>
      <c r="P304" s="3"/>
      <c r="Q304" s="3"/>
      <c r="R304" s="17"/>
      <c r="S304" s="17"/>
      <c r="T304" s="17"/>
      <c r="U304" s="17"/>
      <c r="V304" s="17"/>
    </row>
    <row r="305" spans="1:22" ht="14.25" customHeight="1">
      <c r="A305" s="9">
        <v>71402</v>
      </c>
      <c r="B305" s="9" t="s">
        <v>323</v>
      </c>
      <c r="C305" s="10">
        <v>939</v>
      </c>
      <c r="D305" s="10">
        <v>335.11111956834793</v>
      </c>
      <c r="E305" s="10">
        <v>17178</v>
      </c>
      <c r="F305" s="26">
        <f t="shared" si="6"/>
        <v>5.4662940971009433E-2</v>
      </c>
      <c r="G305" s="26">
        <f t="shared" si="7"/>
        <v>0.35688085151048771</v>
      </c>
      <c r="H305" s="26">
        <f t="shared" si="8"/>
        <v>1.9508156919801373E-2</v>
      </c>
      <c r="I305" s="25"/>
      <c r="J305" s="25"/>
      <c r="K305" s="17"/>
      <c r="L305" s="17"/>
      <c r="M305" s="28"/>
      <c r="N305" s="28"/>
      <c r="O305" s="3"/>
      <c r="P305" s="3"/>
      <c r="Q305" s="3"/>
      <c r="R305" s="17"/>
      <c r="S305" s="17"/>
      <c r="T305" s="17"/>
      <c r="U305" s="17"/>
      <c r="V305" s="17"/>
    </row>
    <row r="306" spans="1:22" ht="14.25" customHeight="1">
      <c r="A306" s="9">
        <v>71403</v>
      </c>
      <c r="B306" s="9" t="s">
        <v>324</v>
      </c>
      <c r="C306" s="10">
        <v>913</v>
      </c>
      <c r="D306" s="10">
        <v>341.11112025380135</v>
      </c>
      <c r="E306" s="10">
        <v>8512</v>
      </c>
      <c r="F306" s="26">
        <f t="shared" si="6"/>
        <v>0.10726033834586467</v>
      </c>
      <c r="G306" s="26">
        <f t="shared" si="7"/>
        <v>0.37361568483439361</v>
      </c>
      <c r="H306" s="26">
        <f t="shared" si="8"/>
        <v>4.0074144766658999E-2</v>
      </c>
      <c r="I306" s="25"/>
      <c r="J306" s="25"/>
      <c r="K306" s="17"/>
      <c r="L306" s="17"/>
      <c r="M306" s="28"/>
      <c r="N306" s="28"/>
      <c r="O306" s="3"/>
      <c r="P306" s="3"/>
      <c r="Q306" s="3"/>
      <c r="R306" s="17"/>
      <c r="S306" s="17"/>
      <c r="T306" s="17"/>
      <c r="U306" s="17"/>
      <c r="V306" s="17"/>
    </row>
    <row r="307" spans="1:22" ht="14.25" customHeight="1">
      <c r="A307" s="9">
        <v>71501</v>
      </c>
      <c r="B307" s="9" t="s">
        <v>325</v>
      </c>
      <c r="C307" s="10">
        <v>6764</v>
      </c>
      <c r="D307" s="10">
        <v>2578.1111760437489</v>
      </c>
      <c r="E307" s="10">
        <v>33714</v>
      </c>
      <c r="F307" s="26">
        <f t="shared" si="6"/>
        <v>0.20062881888829567</v>
      </c>
      <c r="G307" s="26">
        <f t="shared" si="7"/>
        <v>0.38115185926134665</v>
      </c>
      <c r="H307" s="26">
        <f t="shared" si="8"/>
        <v>7.6470047340681885E-2</v>
      </c>
      <c r="I307" s="25"/>
      <c r="J307" s="25"/>
      <c r="K307" s="17"/>
      <c r="L307" s="17"/>
      <c r="M307" s="28"/>
      <c r="N307" s="28"/>
      <c r="O307" s="3"/>
      <c r="P307" s="3"/>
      <c r="Q307" s="3"/>
      <c r="R307" s="17"/>
      <c r="S307" s="17"/>
      <c r="T307" s="17"/>
      <c r="U307" s="17"/>
      <c r="V307" s="17"/>
    </row>
    <row r="308" spans="1:22" ht="14.25" customHeight="1">
      <c r="A308" s="9">
        <v>71502</v>
      </c>
      <c r="B308" s="9" t="s">
        <v>326</v>
      </c>
      <c r="C308" s="10">
        <v>887</v>
      </c>
      <c r="D308" s="10">
        <v>328.8888968527317</v>
      </c>
      <c r="E308" s="10">
        <v>6387</v>
      </c>
      <c r="F308" s="26">
        <f t="shared" si="6"/>
        <v>0.13887584155315486</v>
      </c>
      <c r="G308" s="26">
        <f t="shared" si="7"/>
        <v>0.37078793331762311</v>
      </c>
      <c r="H308" s="26">
        <f t="shared" si="8"/>
        <v>5.1493486277239972E-2</v>
      </c>
      <c r="I308" s="25"/>
      <c r="J308" s="25"/>
      <c r="K308" s="17"/>
      <c r="L308" s="17"/>
      <c r="M308" s="28"/>
      <c r="N308" s="28"/>
      <c r="O308" s="3"/>
      <c r="P308" s="3"/>
      <c r="Q308" s="3"/>
      <c r="R308" s="17"/>
      <c r="S308" s="17"/>
      <c r="T308" s="17"/>
      <c r="U308" s="17"/>
      <c r="V308" s="17"/>
    </row>
    <row r="309" spans="1:22" ht="14.25" customHeight="1">
      <c r="A309" s="9">
        <v>71503</v>
      </c>
      <c r="B309" s="9" t="s">
        <v>272</v>
      </c>
      <c r="C309" s="10">
        <v>2413</v>
      </c>
      <c r="D309" s="10">
        <v>894.77779990434647</v>
      </c>
      <c r="E309" s="10">
        <v>16870</v>
      </c>
      <c r="F309" s="26">
        <f t="shared" si="6"/>
        <v>0.14303497332542975</v>
      </c>
      <c r="G309" s="26">
        <f t="shared" si="7"/>
        <v>0.37081549933872626</v>
      </c>
      <c r="H309" s="26">
        <f t="shared" si="8"/>
        <v>5.3039585056570623E-2</v>
      </c>
      <c r="I309" s="25"/>
      <c r="J309" s="25"/>
      <c r="K309" s="17"/>
      <c r="L309" s="17"/>
      <c r="M309" s="28"/>
      <c r="N309" s="28"/>
      <c r="O309" s="3"/>
      <c r="P309" s="3"/>
      <c r="Q309" s="3"/>
      <c r="R309" s="17"/>
      <c r="S309" s="17"/>
      <c r="T309" s="17"/>
      <c r="U309" s="17"/>
      <c r="V309" s="17"/>
    </row>
    <row r="310" spans="1:22" ht="14.25" customHeight="1">
      <c r="A310" s="9">
        <v>80101</v>
      </c>
      <c r="B310" s="9" t="s">
        <v>327</v>
      </c>
      <c r="C310" s="10">
        <v>11923</v>
      </c>
      <c r="D310" s="10">
        <v>4305.7778879404068</v>
      </c>
      <c r="E310" s="10">
        <v>123795</v>
      </c>
      <c r="F310" s="26">
        <f t="shared" si="6"/>
        <v>9.6312452037642882E-2</v>
      </c>
      <c r="G310" s="26">
        <f t="shared" si="7"/>
        <v>0.36113208822782916</v>
      </c>
      <c r="H310" s="26">
        <f t="shared" si="8"/>
        <v>3.4781516926696614E-2</v>
      </c>
      <c r="I310" s="25"/>
      <c r="J310" s="25"/>
      <c r="K310" s="17"/>
      <c r="L310" s="17"/>
      <c r="M310" s="28"/>
      <c r="N310" s="28"/>
      <c r="O310" s="3"/>
      <c r="P310" s="3"/>
      <c r="Q310" s="3"/>
      <c r="R310" s="17"/>
      <c r="S310" s="17"/>
      <c r="T310" s="17"/>
      <c r="U310" s="17"/>
      <c r="V310" s="17"/>
    </row>
    <row r="311" spans="1:22" ht="14.25" customHeight="1">
      <c r="A311" s="9">
        <v>80102</v>
      </c>
      <c r="B311" s="9" t="s">
        <v>314</v>
      </c>
      <c r="C311" s="10">
        <v>1569</v>
      </c>
      <c r="D311" s="10">
        <v>579.55556917190552</v>
      </c>
      <c r="E311" s="10">
        <v>7752</v>
      </c>
      <c r="F311" s="26">
        <f t="shared" si="6"/>
        <v>0.20239938080495357</v>
      </c>
      <c r="G311" s="26">
        <f t="shared" si="7"/>
        <v>0.36937894784697611</v>
      </c>
      <c r="H311" s="26">
        <f t="shared" si="8"/>
        <v>7.4762070326613195E-2</v>
      </c>
      <c r="I311" s="25"/>
      <c r="J311" s="25"/>
      <c r="K311" s="17"/>
      <c r="L311" s="17"/>
      <c r="M311" s="28"/>
      <c r="N311" s="28"/>
      <c r="O311" s="3"/>
      <c r="P311" s="3"/>
      <c r="Q311" s="3"/>
      <c r="R311" s="17"/>
      <c r="S311" s="17"/>
      <c r="T311" s="17"/>
      <c r="U311" s="17"/>
      <c r="V311" s="17"/>
    </row>
    <row r="312" spans="1:22" ht="14.25" customHeight="1">
      <c r="A312" s="9">
        <v>80201</v>
      </c>
      <c r="B312" s="9" t="s">
        <v>328</v>
      </c>
      <c r="C312" s="10">
        <v>26834</v>
      </c>
      <c r="D312" s="10">
        <v>9947.4446953237057</v>
      </c>
      <c r="E312" s="10">
        <v>107816</v>
      </c>
      <c r="F312" s="26">
        <f t="shared" si="6"/>
        <v>0.24888699265415151</v>
      </c>
      <c r="G312" s="26">
        <f t="shared" si="7"/>
        <v>0.37070301465766214</v>
      </c>
      <c r="H312" s="26">
        <f t="shared" si="8"/>
        <v>9.2263158485973384E-2</v>
      </c>
      <c r="I312" s="25"/>
      <c r="J312" s="25"/>
      <c r="K312" s="17"/>
      <c r="L312" s="17"/>
      <c r="M312" s="28"/>
      <c r="N312" s="28"/>
      <c r="O312" s="3"/>
      <c r="P312" s="3"/>
      <c r="Q312" s="3"/>
      <c r="R312" s="17"/>
      <c r="S312" s="17"/>
      <c r="T312" s="17"/>
      <c r="U312" s="17"/>
      <c r="V312" s="17"/>
    </row>
    <row r="313" spans="1:22" ht="14.25" customHeight="1">
      <c r="A313" s="9">
        <v>80202</v>
      </c>
      <c r="B313" s="9" t="s">
        <v>329</v>
      </c>
      <c r="C313" s="10">
        <v>4189</v>
      </c>
      <c r="D313" s="10">
        <v>1517.6667053103447</v>
      </c>
      <c r="E313" s="10">
        <v>40130</v>
      </c>
      <c r="F313" s="26">
        <f t="shared" si="6"/>
        <v>0.10438574632444556</v>
      </c>
      <c r="G313" s="26">
        <f t="shared" si="7"/>
        <v>0.36229809150402115</v>
      </c>
      <c r="H313" s="26">
        <f t="shared" si="8"/>
        <v>3.7818756673569515E-2</v>
      </c>
      <c r="I313" s="25"/>
      <c r="J313" s="25"/>
      <c r="K313" s="17"/>
      <c r="L313" s="17"/>
      <c r="M313" s="28"/>
      <c r="N313" s="28"/>
      <c r="O313" s="3"/>
      <c r="P313" s="3"/>
      <c r="Q313" s="3"/>
      <c r="R313" s="17"/>
      <c r="S313" s="17"/>
      <c r="T313" s="17"/>
      <c r="U313" s="17"/>
      <c r="V313" s="17"/>
    </row>
    <row r="314" spans="1:22" ht="14.25" customHeight="1">
      <c r="A314" s="9">
        <v>80301</v>
      </c>
      <c r="B314" s="9" t="s">
        <v>330</v>
      </c>
      <c r="C314" s="10">
        <v>2475</v>
      </c>
      <c r="D314" s="10">
        <v>917.00002354383469</v>
      </c>
      <c r="E314" s="10">
        <v>11284</v>
      </c>
      <c r="F314" s="26">
        <f t="shared" si="6"/>
        <v>0.21933711449840482</v>
      </c>
      <c r="G314" s="26">
        <f t="shared" si="7"/>
        <v>0.370505060017711</v>
      </c>
      <c r="H314" s="26">
        <f t="shared" si="8"/>
        <v>8.126551077134303E-2</v>
      </c>
      <c r="I314" s="25"/>
      <c r="J314" s="25"/>
      <c r="K314" s="17"/>
      <c r="L314" s="17"/>
      <c r="M314" s="28"/>
      <c r="N314" s="28"/>
      <c r="O314" s="3"/>
      <c r="P314" s="3"/>
      <c r="Q314" s="3"/>
      <c r="R314" s="17"/>
      <c r="S314" s="17"/>
      <c r="T314" s="17"/>
      <c r="U314" s="17"/>
      <c r="V314" s="17"/>
    </row>
    <row r="315" spans="1:22" ht="14.25" customHeight="1">
      <c r="A315" s="9">
        <v>80302</v>
      </c>
      <c r="B315" s="9" t="s">
        <v>331</v>
      </c>
      <c r="C315" s="10">
        <v>15965</v>
      </c>
      <c r="D315" s="10">
        <v>7327.1113037765026</v>
      </c>
      <c r="E315" s="10">
        <v>45378</v>
      </c>
      <c r="F315" s="26">
        <f t="shared" si="6"/>
        <v>0.35182246903785974</v>
      </c>
      <c r="G315" s="26">
        <f t="shared" si="7"/>
        <v>0.45894840612442861</v>
      </c>
      <c r="H315" s="26">
        <f t="shared" si="8"/>
        <v>0.16146836140368687</v>
      </c>
      <c r="I315" s="25"/>
      <c r="J315" s="25"/>
      <c r="K315" s="17"/>
      <c r="L315" s="17"/>
      <c r="M315" s="28"/>
      <c r="N315" s="28"/>
      <c r="O315" s="3"/>
      <c r="P315" s="3"/>
      <c r="Q315" s="3"/>
      <c r="R315" s="17"/>
      <c r="S315" s="17"/>
      <c r="T315" s="17"/>
      <c r="U315" s="17"/>
      <c r="V315" s="17"/>
    </row>
    <row r="316" spans="1:22" ht="14.25" customHeight="1">
      <c r="A316" s="9">
        <v>80303</v>
      </c>
      <c r="B316" s="9" t="s">
        <v>291</v>
      </c>
      <c r="C316" s="10">
        <v>1236</v>
      </c>
      <c r="D316" s="10">
        <v>466.00001186132431</v>
      </c>
      <c r="E316" s="10">
        <v>10953</v>
      </c>
      <c r="F316" s="26">
        <f t="shared" si="6"/>
        <v>0.11284579567241852</v>
      </c>
      <c r="G316" s="26">
        <f t="shared" si="7"/>
        <v>0.37702266331822354</v>
      </c>
      <c r="H316" s="26">
        <f t="shared" si="8"/>
        <v>4.2545422428679293E-2</v>
      </c>
      <c r="I316" s="25"/>
      <c r="J316" s="25"/>
      <c r="K316" s="17"/>
      <c r="L316" s="17"/>
      <c r="M316" s="28"/>
      <c r="N316" s="28"/>
      <c r="O316" s="3"/>
      <c r="P316" s="3"/>
      <c r="Q316" s="3"/>
      <c r="R316" s="17"/>
      <c r="S316" s="17"/>
      <c r="T316" s="17"/>
      <c r="U316" s="17"/>
      <c r="V316" s="17"/>
    </row>
    <row r="317" spans="1:22" ht="14.25" customHeight="1">
      <c r="A317" s="9">
        <v>80304</v>
      </c>
      <c r="B317" s="9" t="s">
        <v>332</v>
      </c>
      <c r="C317" s="10">
        <v>3004</v>
      </c>
      <c r="D317" s="10">
        <v>1201.0000304579735</v>
      </c>
      <c r="E317" s="10">
        <v>20456</v>
      </c>
      <c r="F317" s="26">
        <f t="shared" si="6"/>
        <v>0.14685177942901839</v>
      </c>
      <c r="G317" s="26">
        <f t="shared" si="7"/>
        <v>0.39980027645072352</v>
      </c>
      <c r="H317" s="26">
        <f t="shared" si="8"/>
        <v>5.8711382013002224E-2</v>
      </c>
      <c r="I317" s="25"/>
      <c r="J317" s="25"/>
      <c r="K317" s="17"/>
      <c r="L317" s="17"/>
      <c r="M317" s="28"/>
      <c r="N317" s="28"/>
      <c r="O317" s="3"/>
      <c r="P317" s="3"/>
      <c r="Q317" s="3"/>
      <c r="R317" s="17"/>
      <c r="S317" s="17"/>
      <c r="T317" s="17"/>
      <c r="U317" s="17"/>
      <c r="V317" s="17"/>
    </row>
    <row r="318" spans="1:22" ht="14.25" customHeight="1">
      <c r="A318" s="9">
        <v>80401</v>
      </c>
      <c r="B318" s="9" t="s">
        <v>333</v>
      </c>
      <c r="C318" s="10">
        <v>3720</v>
      </c>
      <c r="D318" s="10">
        <v>1756.1111541688442</v>
      </c>
      <c r="E318" s="10">
        <v>17897</v>
      </c>
      <c r="F318" s="26">
        <f t="shared" si="6"/>
        <v>0.20785606526233447</v>
      </c>
      <c r="G318" s="26">
        <f t="shared" si="7"/>
        <v>0.47207289090560328</v>
      </c>
      <c r="H318" s="26">
        <f t="shared" si="8"/>
        <v>9.8123213620653973E-2</v>
      </c>
      <c r="I318" s="25"/>
      <c r="J318" s="25"/>
      <c r="K318" s="17"/>
      <c r="L318" s="17"/>
      <c r="M318" s="28"/>
      <c r="N318" s="28"/>
      <c r="O318" s="3"/>
      <c r="P318" s="3"/>
      <c r="Q318" s="3"/>
      <c r="R318" s="17"/>
      <c r="S318" s="17"/>
      <c r="T318" s="17"/>
      <c r="U318" s="17"/>
      <c r="V318" s="17"/>
    </row>
    <row r="319" spans="1:22" ht="14.25" customHeight="1">
      <c r="A319" s="9">
        <v>80402</v>
      </c>
      <c r="B319" s="9" t="s">
        <v>334</v>
      </c>
      <c r="C319" s="10">
        <v>1894</v>
      </c>
      <c r="D319" s="10">
        <v>727.22224059700966</v>
      </c>
      <c r="E319" s="10">
        <v>7810</v>
      </c>
      <c r="F319" s="26">
        <f t="shared" si="6"/>
        <v>0.24250960307298336</v>
      </c>
      <c r="G319" s="26">
        <f t="shared" si="7"/>
        <v>0.38396105628142008</v>
      </c>
      <c r="H319" s="26">
        <f t="shared" si="8"/>
        <v>9.311424335429061E-2</v>
      </c>
      <c r="I319" s="25"/>
      <c r="J319" s="25"/>
      <c r="K319" s="17"/>
      <c r="L319" s="17"/>
      <c r="M319" s="28"/>
      <c r="N319" s="28"/>
      <c r="O319" s="3"/>
      <c r="P319" s="3"/>
      <c r="Q319" s="3"/>
      <c r="R319" s="17"/>
      <c r="S319" s="17"/>
      <c r="T319" s="17"/>
      <c r="U319" s="17"/>
      <c r="V319" s="17"/>
    </row>
    <row r="320" spans="1:22" ht="14.25" customHeight="1">
      <c r="A320" s="9">
        <v>80501</v>
      </c>
      <c r="B320" s="9" t="s">
        <v>280</v>
      </c>
      <c r="C320" s="10">
        <v>4077</v>
      </c>
      <c r="D320" s="10">
        <v>1761.0000484883785</v>
      </c>
      <c r="E320" s="10">
        <v>21072</v>
      </c>
      <c r="F320" s="26">
        <f t="shared" si="6"/>
        <v>0.19347949886104784</v>
      </c>
      <c r="G320" s="26">
        <f t="shared" si="7"/>
        <v>0.4319352583979344</v>
      </c>
      <c r="H320" s="26">
        <f t="shared" si="8"/>
        <v>8.357061733524955E-2</v>
      </c>
      <c r="I320" s="25"/>
      <c r="J320" s="25"/>
      <c r="K320" s="17"/>
      <c r="L320" s="17"/>
      <c r="M320" s="28"/>
      <c r="N320" s="28"/>
      <c r="O320" s="3"/>
      <c r="P320" s="3"/>
      <c r="Q320" s="3"/>
      <c r="R320" s="17"/>
      <c r="S320" s="17"/>
      <c r="T320" s="17"/>
      <c r="U320" s="17"/>
      <c r="V320" s="17"/>
    </row>
    <row r="321" spans="1:22" ht="14.25" customHeight="1">
      <c r="A321" s="9">
        <v>80601</v>
      </c>
      <c r="B321" s="9" t="s">
        <v>335</v>
      </c>
      <c r="C321" s="10">
        <v>1092</v>
      </c>
      <c r="D321" s="10">
        <v>457.11112251877785</v>
      </c>
      <c r="E321" s="10">
        <v>4241</v>
      </c>
      <c r="F321" s="26">
        <f t="shared" si="6"/>
        <v>0.25748644187691583</v>
      </c>
      <c r="G321" s="26">
        <f t="shared" si="7"/>
        <v>0.41859992904649984</v>
      </c>
      <c r="H321" s="26">
        <f t="shared" si="8"/>
        <v>0.10778380630011267</v>
      </c>
      <c r="I321" s="25"/>
      <c r="J321" s="25"/>
      <c r="K321" s="17"/>
      <c r="L321" s="17"/>
      <c r="M321" s="28"/>
      <c r="N321" s="28"/>
      <c r="O321" s="3"/>
      <c r="P321" s="3"/>
      <c r="Q321" s="3"/>
      <c r="R321" s="17"/>
      <c r="S321" s="17"/>
      <c r="T321" s="17"/>
      <c r="U321" s="17"/>
      <c r="V321" s="17"/>
    </row>
    <row r="322" spans="1:22" ht="14.25" customHeight="1">
      <c r="A322" s="9">
        <v>80602</v>
      </c>
      <c r="B322" s="9" t="s">
        <v>336</v>
      </c>
      <c r="C322" s="10">
        <v>2349</v>
      </c>
      <c r="D322" s="10">
        <v>866.00002205371857</v>
      </c>
      <c r="E322" s="10">
        <v>14987</v>
      </c>
      <c r="F322" s="26">
        <f t="shared" si="6"/>
        <v>0.15673583772602923</v>
      </c>
      <c r="G322" s="26">
        <f t="shared" si="7"/>
        <v>0.36866752748136167</v>
      </c>
      <c r="H322" s="26">
        <f t="shared" si="8"/>
        <v>5.778341376217512E-2</v>
      </c>
      <c r="I322" s="25"/>
      <c r="J322" s="25"/>
      <c r="K322" s="17"/>
      <c r="L322" s="17"/>
      <c r="M322" s="28"/>
      <c r="N322" s="28"/>
      <c r="O322" s="3"/>
      <c r="P322" s="3"/>
      <c r="Q322" s="3"/>
      <c r="R322" s="17"/>
      <c r="S322" s="17"/>
      <c r="T322" s="17"/>
      <c r="U322" s="17"/>
      <c r="V322" s="17"/>
    </row>
    <row r="323" spans="1:22" ht="14.25" customHeight="1">
      <c r="A323" s="9">
        <v>80701</v>
      </c>
      <c r="B323" s="9" t="s">
        <v>337</v>
      </c>
      <c r="C323" s="10">
        <v>874</v>
      </c>
      <c r="D323" s="10">
        <v>323.55556347966194</v>
      </c>
      <c r="E323" s="10">
        <v>6322</v>
      </c>
      <c r="F323" s="26">
        <f t="shared" si="6"/>
        <v>0.13824739006643466</v>
      </c>
      <c r="G323" s="26">
        <f t="shared" si="7"/>
        <v>0.37020087354652398</v>
      </c>
      <c r="H323" s="26">
        <f t="shared" si="8"/>
        <v>5.1179304568121156E-2</v>
      </c>
      <c r="I323" s="25"/>
      <c r="J323" s="25"/>
      <c r="K323" s="17"/>
      <c r="L323" s="17"/>
      <c r="M323" s="28"/>
      <c r="N323" s="28"/>
      <c r="O323" s="3"/>
      <c r="P323" s="3"/>
      <c r="Q323" s="3"/>
      <c r="R323" s="17"/>
      <c r="S323" s="17"/>
      <c r="T323" s="17"/>
      <c r="U323" s="17"/>
      <c r="V323" s="17"/>
    </row>
    <row r="324" spans="1:22" ht="14.25" customHeight="1">
      <c r="A324" s="9">
        <v>80702</v>
      </c>
      <c r="B324" s="9" t="s">
        <v>315</v>
      </c>
      <c r="C324" s="10">
        <v>734</v>
      </c>
      <c r="D324" s="10">
        <v>277.22222882509232</v>
      </c>
      <c r="E324" s="10">
        <v>5354</v>
      </c>
      <c r="F324" s="26">
        <f t="shared" si="6"/>
        <v>0.13709376167351514</v>
      </c>
      <c r="G324" s="26">
        <f t="shared" si="7"/>
        <v>0.37768696025216936</v>
      </c>
      <c r="H324" s="26">
        <f t="shared" si="8"/>
        <v>5.1778526116005294E-2</v>
      </c>
      <c r="I324" s="25"/>
      <c r="J324" s="25"/>
      <c r="K324" s="17"/>
      <c r="L324" s="17"/>
      <c r="M324" s="28"/>
      <c r="N324" s="28"/>
      <c r="O324" s="3"/>
      <c r="P324" s="3"/>
      <c r="Q324" s="3"/>
      <c r="R324" s="17"/>
      <c r="S324" s="17"/>
      <c r="T324" s="17"/>
      <c r="U324" s="17"/>
      <c r="V324" s="17"/>
    </row>
    <row r="325" spans="1:22" ht="14.25" customHeight="1">
      <c r="A325" s="9">
        <v>80703</v>
      </c>
      <c r="B325" s="9" t="s">
        <v>338</v>
      </c>
      <c r="C325" s="10">
        <v>103</v>
      </c>
      <c r="D325" s="10">
        <v>40.555556654930115</v>
      </c>
      <c r="E325" s="10">
        <v>1079</v>
      </c>
      <c r="F325" s="26">
        <f t="shared" si="6"/>
        <v>9.5458758109360525E-2</v>
      </c>
      <c r="G325" s="26">
        <f t="shared" si="7"/>
        <v>0.39374326849446711</v>
      </c>
      <c r="H325" s="26">
        <f t="shared" si="8"/>
        <v>3.7586243424402331E-2</v>
      </c>
      <c r="I325" s="25"/>
      <c r="J325" s="25"/>
      <c r="K325" s="17"/>
      <c r="L325" s="17"/>
      <c r="M325" s="28"/>
      <c r="N325" s="28"/>
      <c r="O325" s="3"/>
      <c r="P325" s="3"/>
      <c r="Q325" s="3"/>
      <c r="R325" s="17"/>
      <c r="S325" s="17"/>
      <c r="T325" s="17"/>
      <c r="U325" s="17"/>
      <c r="V325" s="17"/>
    </row>
    <row r="326" spans="1:22" ht="14.25" customHeight="1">
      <c r="A326" s="9">
        <v>80801</v>
      </c>
      <c r="B326" s="9" t="s">
        <v>339</v>
      </c>
      <c r="C326" s="10">
        <v>2083</v>
      </c>
      <c r="D326" s="10">
        <v>760.7777972817421</v>
      </c>
      <c r="E326" s="10">
        <v>12567</v>
      </c>
      <c r="F326" s="26">
        <f t="shared" si="6"/>
        <v>0.16575157157635076</v>
      </c>
      <c r="G326" s="26">
        <f t="shared" si="7"/>
        <v>0.36523177978000099</v>
      </c>
      <c r="H326" s="26">
        <f t="shared" si="8"/>
        <v>6.0537741488162815E-2</v>
      </c>
      <c r="I326" s="25"/>
      <c r="J326" s="25"/>
      <c r="K326" s="17"/>
      <c r="L326" s="17"/>
      <c r="M326" s="28"/>
      <c r="N326" s="28"/>
      <c r="O326" s="3"/>
      <c r="P326" s="3"/>
      <c r="Q326" s="3"/>
      <c r="R326" s="17"/>
      <c r="S326" s="17"/>
      <c r="T326" s="17"/>
      <c r="U326" s="17"/>
      <c r="V326" s="17"/>
    </row>
    <row r="327" spans="1:22" ht="14.25" customHeight="1">
      <c r="A327" s="9">
        <v>80802</v>
      </c>
      <c r="B327" s="9" t="s">
        <v>340</v>
      </c>
      <c r="C327" s="10">
        <v>1217</v>
      </c>
      <c r="D327" s="10">
        <v>446.11112257838249</v>
      </c>
      <c r="E327" s="10">
        <v>7162</v>
      </c>
      <c r="F327" s="26">
        <f t="shared" si="6"/>
        <v>0.16992460206646187</v>
      </c>
      <c r="G327" s="26">
        <f t="shared" si="7"/>
        <v>0.36656624698305873</v>
      </c>
      <c r="H327" s="26">
        <f t="shared" si="8"/>
        <v>6.2288623649592631E-2</v>
      </c>
      <c r="I327" s="25"/>
      <c r="J327" s="25"/>
      <c r="K327" s="17"/>
      <c r="L327" s="17"/>
      <c r="M327" s="28"/>
      <c r="N327" s="28"/>
      <c r="O327" s="3"/>
      <c r="P327" s="3"/>
      <c r="Q327" s="3"/>
      <c r="R327" s="17"/>
      <c r="S327" s="17"/>
      <c r="T327" s="17"/>
      <c r="U327" s="17"/>
      <c r="V327" s="17"/>
    </row>
    <row r="328" spans="1:22" ht="14.25" customHeight="1">
      <c r="A328" s="9">
        <v>80803</v>
      </c>
      <c r="B328" s="9" t="s">
        <v>341</v>
      </c>
      <c r="C328" s="10">
        <v>593</v>
      </c>
      <c r="D328" s="10">
        <v>222.44445019960403</v>
      </c>
      <c r="E328" s="10">
        <v>4593</v>
      </c>
      <c r="F328" s="26">
        <f t="shared" si="6"/>
        <v>0.12910951447855432</v>
      </c>
      <c r="G328" s="26">
        <f t="shared" si="7"/>
        <v>0.37511711669410464</v>
      </c>
      <c r="H328" s="26">
        <f t="shared" si="8"/>
        <v>4.843118880897105E-2</v>
      </c>
      <c r="I328" s="25"/>
      <c r="J328" s="25"/>
      <c r="K328" s="17"/>
      <c r="L328" s="17"/>
      <c r="M328" s="28"/>
      <c r="N328" s="28"/>
      <c r="O328" s="3"/>
      <c r="P328" s="3"/>
      <c r="Q328" s="3"/>
      <c r="R328" s="17"/>
      <c r="S328" s="17"/>
      <c r="T328" s="17"/>
      <c r="U328" s="17"/>
      <c r="V328" s="17"/>
    </row>
    <row r="329" spans="1:22" ht="14.25" customHeight="1">
      <c r="A329" s="9">
        <v>80901</v>
      </c>
      <c r="B329" s="9" t="s">
        <v>342</v>
      </c>
      <c r="C329" s="10">
        <v>1298</v>
      </c>
      <c r="D329" s="10">
        <v>662.44446247816086</v>
      </c>
      <c r="E329" s="10">
        <v>3943</v>
      </c>
      <c r="F329" s="26">
        <f t="shared" si="6"/>
        <v>0.32919097134161807</v>
      </c>
      <c r="G329" s="26">
        <f t="shared" si="7"/>
        <v>0.51035782933602536</v>
      </c>
      <c r="H329" s="26">
        <f t="shared" si="8"/>
        <v>0.16800518957092592</v>
      </c>
      <c r="I329" s="25"/>
      <c r="J329" s="25"/>
      <c r="K329" s="17"/>
      <c r="L329" s="17"/>
      <c r="M329" s="28"/>
      <c r="N329" s="28"/>
      <c r="O329" s="3"/>
      <c r="P329" s="3"/>
      <c r="Q329" s="3"/>
      <c r="R329" s="17"/>
      <c r="S329" s="17"/>
      <c r="T329" s="17"/>
      <c r="U329" s="17"/>
      <c r="V329" s="17"/>
    </row>
    <row r="330" spans="1:22" ht="14.25" customHeight="1">
      <c r="A330" s="9">
        <v>90101</v>
      </c>
      <c r="B330" s="9" t="s">
        <v>343</v>
      </c>
      <c r="C330" s="10">
        <v>2763</v>
      </c>
      <c r="D330" s="10">
        <v>997.55558094382286</v>
      </c>
      <c r="E330" s="10">
        <v>51908</v>
      </c>
      <c r="F330" s="26">
        <f t="shared" si="6"/>
        <v>5.3228789396624801E-2</v>
      </c>
      <c r="G330" s="26">
        <f t="shared" si="7"/>
        <v>0.36104074590800683</v>
      </c>
      <c r="H330" s="26">
        <f t="shared" si="8"/>
        <v>1.9217761827537622E-2</v>
      </c>
      <c r="I330" s="25"/>
      <c r="J330" s="25"/>
      <c r="K330" s="17"/>
      <c r="L330" s="17"/>
      <c r="M330" s="28"/>
      <c r="N330" s="28"/>
      <c r="O330" s="3"/>
      <c r="P330" s="3"/>
      <c r="Q330" s="3"/>
      <c r="R330" s="17"/>
      <c r="S330" s="17"/>
      <c r="T330" s="17"/>
      <c r="U330" s="17"/>
      <c r="V330" s="17"/>
    </row>
    <row r="331" spans="1:22" ht="14.25" customHeight="1">
      <c r="A331" s="9">
        <v>90102</v>
      </c>
      <c r="B331" s="9" t="s">
        <v>344</v>
      </c>
      <c r="C331" s="10">
        <v>876</v>
      </c>
      <c r="D331" s="10">
        <v>323.44445231556892</v>
      </c>
      <c r="E331" s="10">
        <v>9096</v>
      </c>
      <c r="F331" s="26">
        <f t="shared" si="6"/>
        <v>9.6306068601583111E-2</v>
      </c>
      <c r="G331" s="26">
        <f t="shared" si="7"/>
        <v>0.36922882684425679</v>
      </c>
      <c r="H331" s="26">
        <f t="shared" si="8"/>
        <v>3.5558976727745044E-2</v>
      </c>
      <c r="I331" s="25"/>
      <c r="J331" s="25"/>
      <c r="K331" s="17"/>
      <c r="L331" s="17"/>
      <c r="M331" s="28"/>
      <c r="N331" s="28"/>
      <c r="O331" s="3"/>
      <c r="P331" s="3"/>
      <c r="Q331" s="3"/>
      <c r="R331" s="17"/>
      <c r="S331" s="17"/>
      <c r="T331" s="17"/>
      <c r="U331" s="17"/>
      <c r="V331" s="17"/>
    </row>
    <row r="332" spans="1:22" ht="14.25" customHeight="1">
      <c r="A332" s="9">
        <v>90103</v>
      </c>
      <c r="B332" s="9" t="s">
        <v>345</v>
      </c>
      <c r="C332" s="10">
        <v>322</v>
      </c>
      <c r="D332" s="10">
        <v>117.77778089046478</v>
      </c>
      <c r="E332" s="10">
        <v>2338</v>
      </c>
      <c r="F332" s="26">
        <f t="shared" si="6"/>
        <v>0.1377245508982036</v>
      </c>
      <c r="G332" s="26">
        <f t="shared" si="7"/>
        <v>0.36576950587100865</v>
      </c>
      <c r="H332" s="26">
        <f t="shared" si="8"/>
        <v>5.0375440928342508E-2</v>
      </c>
      <c r="I332" s="25"/>
      <c r="J332" s="25"/>
      <c r="K332" s="17"/>
      <c r="L332" s="17"/>
      <c r="M332" s="28"/>
      <c r="N332" s="28"/>
      <c r="O332" s="3"/>
      <c r="P332" s="3"/>
      <c r="Q332" s="3"/>
      <c r="R332" s="17"/>
      <c r="S332" s="17"/>
      <c r="T332" s="17"/>
      <c r="U332" s="17"/>
      <c r="V332" s="17"/>
    </row>
    <row r="333" spans="1:22" ht="14.25" customHeight="1">
      <c r="A333" s="9">
        <v>90104</v>
      </c>
      <c r="B333" s="9" t="s">
        <v>346</v>
      </c>
      <c r="C333" s="10">
        <v>471</v>
      </c>
      <c r="D333" s="10">
        <v>182.66667124629021</v>
      </c>
      <c r="E333" s="10">
        <v>3421</v>
      </c>
      <c r="F333" s="26">
        <f t="shared" si="6"/>
        <v>0.1376790412160187</v>
      </c>
      <c r="G333" s="26">
        <f t="shared" si="7"/>
        <v>0.3878273274868157</v>
      </c>
      <c r="H333" s="26">
        <f t="shared" si="8"/>
        <v>5.3395694605755682E-2</v>
      </c>
      <c r="I333" s="25"/>
      <c r="J333" s="25"/>
      <c r="K333" s="17"/>
      <c r="L333" s="17"/>
      <c r="M333" s="28"/>
      <c r="N333" s="28"/>
      <c r="O333" s="3"/>
      <c r="P333" s="3"/>
      <c r="Q333" s="3"/>
      <c r="R333" s="17"/>
      <c r="S333" s="17"/>
      <c r="T333" s="17"/>
      <c r="U333" s="17"/>
      <c r="V333" s="17"/>
    </row>
    <row r="334" spans="1:22" ht="14.25" customHeight="1">
      <c r="A334" s="9">
        <v>90201</v>
      </c>
      <c r="B334" s="9" t="s">
        <v>347</v>
      </c>
      <c r="C334" s="10">
        <v>978</v>
      </c>
      <c r="D334" s="10">
        <v>366.66667580604553</v>
      </c>
      <c r="E334" s="10">
        <v>6870</v>
      </c>
      <c r="F334" s="26">
        <f t="shared" si="6"/>
        <v>0.14235807860262009</v>
      </c>
      <c r="G334" s="26">
        <f t="shared" si="7"/>
        <v>0.37491480143767436</v>
      </c>
      <c r="H334" s="26">
        <f t="shared" si="8"/>
        <v>5.3372150772350149E-2</v>
      </c>
      <c r="I334" s="25"/>
      <c r="J334" s="25"/>
      <c r="K334" s="17"/>
      <c r="L334" s="17"/>
      <c r="M334" s="28"/>
      <c r="N334" s="28"/>
      <c r="O334" s="3"/>
      <c r="P334" s="3"/>
      <c r="Q334" s="3"/>
      <c r="R334" s="17"/>
      <c r="S334" s="17"/>
      <c r="T334" s="17"/>
      <c r="U334" s="17"/>
      <c r="V334" s="17"/>
    </row>
    <row r="335" spans="1:22" ht="14.25" customHeight="1">
      <c r="A335" s="9">
        <v>90202</v>
      </c>
      <c r="B335" s="9" t="s">
        <v>238</v>
      </c>
      <c r="C335" s="10">
        <v>1486</v>
      </c>
      <c r="D335" s="10">
        <v>574.44445836544037</v>
      </c>
      <c r="E335" s="10">
        <v>3248</v>
      </c>
      <c r="F335" s="26">
        <f t="shared" si="6"/>
        <v>0.45751231527093594</v>
      </c>
      <c r="G335" s="26">
        <f t="shared" si="7"/>
        <v>0.38657096794444168</v>
      </c>
      <c r="H335" s="26">
        <f t="shared" si="8"/>
        <v>0.17686097856078828</v>
      </c>
      <c r="I335" s="25"/>
      <c r="J335" s="25"/>
      <c r="K335" s="17"/>
      <c r="L335" s="17"/>
      <c r="M335" s="28"/>
      <c r="N335" s="28"/>
      <c r="O335" s="3"/>
      <c r="P335" s="3"/>
      <c r="Q335" s="3"/>
      <c r="R335" s="17"/>
      <c r="S335" s="17"/>
      <c r="T335" s="17"/>
      <c r="U335" s="17"/>
      <c r="V335" s="17"/>
    </row>
    <row r="336" spans="1:22" ht="14.25" customHeight="1">
      <c r="A336" s="9">
        <v>90203</v>
      </c>
      <c r="B336" s="9" t="s">
        <v>348</v>
      </c>
      <c r="C336" s="10">
        <v>1006</v>
      </c>
      <c r="D336" s="10">
        <v>380.22223207354546</v>
      </c>
      <c r="E336" s="10">
        <v>7993</v>
      </c>
      <c r="F336" s="26">
        <f t="shared" si="6"/>
        <v>0.12586012761166021</v>
      </c>
      <c r="G336" s="26">
        <f t="shared" si="7"/>
        <v>0.37795450504328576</v>
      </c>
      <c r="H336" s="26">
        <f t="shared" si="8"/>
        <v>4.7569402236149819E-2</v>
      </c>
      <c r="I336" s="25"/>
      <c r="J336" s="25"/>
      <c r="K336" s="17"/>
      <c r="L336" s="17"/>
      <c r="M336" s="28"/>
      <c r="N336" s="28"/>
      <c r="O336" s="3"/>
      <c r="P336" s="3"/>
      <c r="Q336" s="3"/>
      <c r="R336" s="17"/>
      <c r="S336" s="17"/>
      <c r="T336" s="17"/>
      <c r="U336" s="17"/>
      <c r="V336" s="17"/>
    </row>
    <row r="337" spans="1:22" ht="14.25" customHeight="1">
      <c r="A337" s="9">
        <v>90301</v>
      </c>
      <c r="B337" s="9" t="s">
        <v>349</v>
      </c>
      <c r="C337" s="10">
        <v>2434</v>
      </c>
      <c r="D337" s="10">
        <v>918.77780067920685</v>
      </c>
      <c r="E337" s="10">
        <v>11760</v>
      </c>
      <c r="F337" s="26">
        <f t="shared" si="6"/>
        <v>0.20697278911564626</v>
      </c>
      <c r="G337" s="26">
        <f t="shared" si="7"/>
        <v>0.37747649986820331</v>
      </c>
      <c r="H337" s="26">
        <f t="shared" si="8"/>
        <v>7.8127364003333921E-2</v>
      </c>
      <c r="I337" s="25"/>
      <c r="J337" s="25"/>
      <c r="K337" s="17"/>
      <c r="L337" s="17"/>
      <c r="M337" s="28"/>
      <c r="N337" s="28"/>
      <c r="O337" s="3"/>
      <c r="P337" s="3"/>
      <c r="Q337" s="3"/>
      <c r="R337" s="17"/>
      <c r="S337" s="17"/>
      <c r="T337" s="17"/>
      <c r="U337" s="17"/>
      <c r="V337" s="17"/>
    </row>
    <row r="338" spans="1:22" ht="14.25" customHeight="1">
      <c r="A338" s="9">
        <v>90302</v>
      </c>
      <c r="B338" s="9" t="s">
        <v>271</v>
      </c>
      <c r="C338" s="10">
        <v>1553</v>
      </c>
      <c r="D338" s="10">
        <v>591.00001433491707</v>
      </c>
      <c r="E338" s="10">
        <v>9602</v>
      </c>
      <c r="F338" s="26">
        <f t="shared" si="6"/>
        <v>0.16173713809622994</v>
      </c>
      <c r="G338" s="26">
        <f t="shared" si="7"/>
        <v>0.38055377613323699</v>
      </c>
      <c r="H338" s="26">
        <f t="shared" si="8"/>
        <v>6.1549678643503122E-2</v>
      </c>
      <c r="I338" s="25"/>
      <c r="J338" s="25"/>
      <c r="K338" s="17"/>
      <c r="L338" s="17"/>
      <c r="M338" s="28"/>
      <c r="N338" s="28"/>
      <c r="O338" s="3"/>
      <c r="P338" s="3"/>
      <c r="Q338" s="3"/>
      <c r="R338" s="17"/>
      <c r="S338" s="17"/>
      <c r="T338" s="17"/>
      <c r="U338" s="17"/>
      <c r="V338" s="17"/>
    </row>
    <row r="339" spans="1:22" ht="14.25" customHeight="1">
      <c r="A339" s="9">
        <v>90303</v>
      </c>
      <c r="B339" s="9" t="s">
        <v>350</v>
      </c>
      <c r="C339" s="10">
        <v>2836</v>
      </c>
      <c r="D339" s="10">
        <v>1079.5555831193924</v>
      </c>
      <c r="E339" s="10">
        <v>10247</v>
      </c>
      <c r="F339" s="26">
        <f t="shared" si="6"/>
        <v>0.27676393090660684</v>
      </c>
      <c r="G339" s="26">
        <f t="shared" si="7"/>
        <v>0.38066134806748675</v>
      </c>
      <c r="H339" s="26">
        <f t="shared" si="8"/>
        <v>0.10535333103536572</v>
      </c>
      <c r="I339" s="25"/>
      <c r="J339" s="25"/>
      <c r="K339" s="17"/>
      <c r="L339" s="17"/>
      <c r="M339" s="28"/>
      <c r="N339" s="28"/>
      <c r="O339" s="3"/>
      <c r="P339" s="3"/>
      <c r="Q339" s="3"/>
      <c r="R339" s="17"/>
      <c r="S339" s="17"/>
      <c r="T339" s="17"/>
      <c r="U339" s="17"/>
      <c r="V339" s="17"/>
    </row>
    <row r="340" spans="1:22" ht="14.25" customHeight="1">
      <c r="A340" s="9">
        <v>90401</v>
      </c>
      <c r="B340" s="9" t="s">
        <v>291</v>
      </c>
      <c r="C340" s="10">
        <v>304</v>
      </c>
      <c r="D340" s="10">
        <v>116.66666972637177</v>
      </c>
      <c r="E340" s="10">
        <v>2827</v>
      </c>
      <c r="F340" s="26">
        <f t="shared" si="6"/>
        <v>0.10753448885744606</v>
      </c>
      <c r="G340" s="26">
        <f t="shared" si="7"/>
        <v>0.3837719398893808</v>
      </c>
      <c r="H340" s="26">
        <f t="shared" si="8"/>
        <v>4.1268719393835078E-2</v>
      </c>
      <c r="I340" s="25"/>
      <c r="J340" s="25"/>
      <c r="K340" s="17"/>
      <c r="L340" s="17"/>
      <c r="M340" s="28"/>
      <c r="N340" s="28"/>
      <c r="O340" s="3"/>
      <c r="P340" s="3"/>
      <c r="Q340" s="3"/>
      <c r="R340" s="17"/>
      <c r="S340" s="17"/>
      <c r="T340" s="17"/>
      <c r="U340" s="17"/>
      <c r="V340" s="17"/>
    </row>
    <row r="341" spans="1:22" ht="14.25" customHeight="1">
      <c r="A341" s="9">
        <v>90402</v>
      </c>
      <c r="B341" s="9" t="s">
        <v>351</v>
      </c>
      <c r="C341" s="10">
        <v>719</v>
      </c>
      <c r="D341" s="10">
        <v>267.00000596046448</v>
      </c>
      <c r="E341" s="10">
        <v>2545</v>
      </c>
      <c r="F341" s="26">
        <f t="shared" si="6"/>
        <v>0.2825147347740668</v>
      </c>
      <c r="G341" s="26">
        <f t="shared" si="7"/>
        <v>0.37134910425655698</v>
      </c>
      <c r="H341" s="26">
        <f t="shared" si="8"/>
        <v>0.10491159369762848</v>
      </c>
      <c r="I341" s="25"/>
      <c r="J341" s="25"/>
      <c r="K341" s="17"/>
      <c r="L341" s="17"/>
      <c r="M341" s="28"/>
      <c r="N341" s="28"/>
      <c r="O341" s="3"/>
      <c r="P341" s="3"/>
      <c r="Q341" s="3"/>
      <c r="R341" s="17"/>
      <c r="S341" s="17"/>
      <c r="T341" s="17"/>
      <c r="U341" s="17"/>
      <c r="V341" s="17"/>
    </row>
    <row r="342" spans="1:22" ht="14.25" customHeight="1">
      <c r="A342" s="9">
        <v>90501</v>
      </c>
      <c r="B342" s="9" t="s">
        <v>352</v>
      </c>
      <c r="C342" s="10">
        <v>272</v>
      </c>
      <c r="D342" s="10">
        <v>101.00000259280205</v>
      </c>
      <c r="E342" s="10">
        <v>1572</v>
      </c>
      <c r="F342" s="26">
        <f t="shared" si="6"/>
        <v>0.17302798982188294</v>
      </c>
      <c r="G342" s="26">
        <f t="shared" si="7"/>
        <v>0.37132353894412518</v>
      </c>
      <c r="H342" s="26">
        <f t="shared" si="8"/>
        <v>6.4249365517049642E-2</v>
      </c>
      <c r="I342" s="25"/>
      <c r="J342" s="25"/>
      <c r="K342" s="17"/>
      <c r="L342" s="17"/>
      <c r="M342" s="28"/>
      <c r="N342" s="28"/>
      <c r="O342" s="3"/>
      <c r="P342" s="3"/>
      <c r="Q342" s="3"/>
      <c r="R342" s="17"/>
      <c r="S342" s="17"/>
      <c r="T342" s="17"/>
      <c r="U342" s="17"/>
      <c r="V342" s="17"/>
    </row>
    <row r="343" spans="1:22" ht="14.25" customHeight="1">
      <c r="A343" s="9">
        <v>90502</v>
      </c>
      <c r="B343" s="9" t="s">
        <v>353</v>
      </c>
      <c r="C343" s="10">
        <v>387</v>
      </c>
      <c r="D343" s="10">
        <v>139.88889238238335</v>
      </c>
      <c r="E343" s="10">
        <v>2485</v>
      </c>
      <c r="F343" s="26">
        <f t="shared" si="6"/>
        <v>0.15573440643863179</v>
      </c>
      <c r="G343" s="26">
        <f t="shared" si="7"/>
        <v>0.36147000615602931</v>
      </c>
      <c r="H343" s="26">
        <f t="shared" si="8"/>
        <v>5.6293316854077805E-2</v>
      </c>
      <c r="I343" s="25"/>
      <c r="J343" s="25"/>
      <c r="K343" s="17"/>
      <c r="L343" s="17"/>
      <c r="M343" s="28"/>
      <c r="N343" s="28"/>
      <c r="O343" s="3"/>
      <c r="P343" s="3"/>
      <c r="Q343" s="3"/>
      <c r="R343" s="17"/>
      <c r="S343" s="17"/>
      <c r="T343" s="17"/>
      <c r="U343" s="17"/>
      <c r="V343" s="17"/>
    </row>
    <row r="344" spans="1:22" ht="14.25" customHeight="1">
      <c r="A344" s="9">
        <v>90503</v>
      </c>
      <c r="B344" s="9" t="s">
        <v>354</v>
      </c>
      <c r="C344" s="10">
        <v>465</v>
      </c>
      <c r="D344" s="10">
        <v>179.88889372348785</v>
      </c>
      <c r="E344" s="10">
        <v>2282</v>
      </c>
      <c r="F344" s="26">
        <f t="shared" si="6"/>
        <v>0.20376862401402279</v>
      </c>
      <c r="G344" s="26">
        <f t="shared" si="7"/>
        <v>0.38685783596449003</v>
      </c>
      <c r="H344" s="26">
        <f t="shared" si="8"/>
        <v>7.8829488923526675E-2</v>
      </c>
      <c r="I344" s="25"/>
      <c r="J344" s="25"/>
      <c r="K344" s="17"/>
      <c r="L344" s="17"/>
      <c r="M344" s="28"/>
      <c r="N344" s="28"/>
      <c r="O344" s="3"/>
      <c r="P344" s="3"/>
      <c r="Q344" s="3"/>
      <c r="R344" s="17"/>
      <c r="S344" s="17"/>
      <c r="T344" s="17"/>
      <c r="U344" s="17"/>
      <c r="V344" s="17"/>
    </row>
    <row r="345" spans="1:22" ht="14.25" customHeight="1">
      <c r="A345" s="9">
        <v>10</v>
      </c>
      <c r="B345" s="9" t="s">
        <v>30</v>
      </c>
      <c r="C345" s="11">
        <f t="shared" ref="C345:E345" si="9">SUM(C246:C248)</f>
        <v>7911</v>
      </c>
      <c r="D345" s="11">
        <f t="shared" si="9"/>
        <v>2960.1111866533756</v>
      </c>
      <c r="E345" s="11">
        <f t="shared" si="9"/>
        <v>154916</v>
      </c>
      <c r="F345" s="26">
        <f t="shared" si="6"/>
        <v>5.1066384363138734E-2</v>
      </c>
      <c r="G345" s="26">
        <f t="shared" si="7"/>
        <v>0.37417661315299905</v>
      </c>
      <c r="H345" s="26">
        <f t="shared" si="8"/>
        <v>1.9107846746968523E-2</v>
      </c>
      <c r="I345" s="25"/>
      <c r="J345" s="25"/>
      <c r="K345" s="17"/>
      <c r="L345" s="17"/>
      <c r="M345" s="28"/>
      <c r="N345" s="28"/>
      <c r="O345" s="3"/>
      <c r="P345" s="3"/>
      <c r="Q345" s="3"/>
      <c r="R345" s="17"/>
      <c r="S345" s="17"/>
      <c r="T345" s="17"/>
      <c r="U345" s="17"/>
      <c r="V345" s="17"/>
    </row>
    <row r="346" spans="1:22" ht="14.25" customHeight="1">
      <c r="A346" s="9">
        <v>11</v>
      </c>
      <c r="B346" s="9" t="s">
        <v>32</v>
      </c>
      <c r="C346" s="11">
        <f t="shared" ref="C346:E346" si="10">SUM(C2:C344)</f>
        <v>977584</v>
      </c>
      <c r="D346" s="11">
        <f t="shared" si="10"/>
        <v>368902.45374235511</v>
      </c>
      <c r="E346" s="11">
        <f t="shared" si="10"/>
        <v>11134130</v>
      </c>
      <c r="F346" s="26">
        <f t="shared" si="6"/>
        <v>8.7800663365705273E-2</v>
      </c>
      <c r="G346" s="26">
        <f t="shared" si="7"/>
        <v>0.37736138658402257</v>
      </c>
      <c r="H346" s="26">
        <f t="shared" si="8"/>
        <v>3.3132580070679533E-2</v>
      </c>
      <c r="I346" s="25"/>
      <c r="J346" s="25"/>
      <c r="K346" s="17"/>
      <c r="L346" s="17"/>
      <c r="M346" s="28"/>
      <c r="N346" s="28"/>
      <c r="O346" s="3"/>
      <c r="P346" s="3"/>
      <c r="Q346" s="3"/>
      <c r="R346" s="17"/>
      <c r="S346" s="17"/>
      <c r="T346" s="17"/>
      <c r="U346" s="17"/>
      <c r="V346" s="17"/>
    </row>
    <row r="347" spans="1:22" ht="14.25" customHeight="1">
      <c r="C347" s="28"/>
      <c r="D347" s="29"/>
      <c r="E347" s="28"/>
      <c r="F347" s="3"/>
      <c r="G347" s="3"/>
      <c r="H347" s="3"/>
      <c r="I347" s="25"/>
      <c r="J347" s="25"/>
      <c r="K347" s="17"/>
      <c r="L347" s="17"/>
      <c r="M347" s="28"/>
      <c r="N347" s="28"/>
      <c r="O347" s="3"/>
      <c r="P347" s="3"/>
      <c r="Q347" s="3"/>
      <c r="R347" s="17"/>
      <c r="S347" s="17"/>
      <c r="T347" s="17"/>
      <c r="U347" s="17"/>
      <c r="V347" s="17"/>
    </row>
    <row r="348" spans="1:22" ht="14.25" customHeight="1">
      <c r="C348" s="28"/>
      <c r="D348" s="29"/>
      <c r="E348" s="28"/>
      <c r="F348" s="3"/>
      <c r="G348" s="3"/>
      <c r="H348" s="3"/>
      <c r="I348" s="25"/>
      <c r="J348" s="25"/>
      <c r="K348" s="17"/>
      <c r="L348" s="17"/>
      <c r="M348" s="28"/>
      <c r="N348" s="28"/>
      <c r="O348" s="3"/>
      <c r="P348" s="3"/>
      <c r="Q348" s="3"/>
      <c r="R348" s="17"/>
      <c r="S348" s="17"/>
      <c r="T348" s="17"/>
      <c r="U348" s="17"/>
      <c r="V348" s="17"/>
    </row>
    <row r="349" spans="1:22" ht="14.25" customHeight="1">
      <c r="C349" s="28"/>
      <c r="D349" s="29"/>
      <c r="E349" s="28"/>
      <c r="F349" s="3"/>
      <c r="G349" s="3"/>
      <c r="H349" s="3"/>
      <c r="I349" s="25"/>
      <c r="J349" s="25"/>
      <c r="K349" s="17"/>
      <c r="L349" s="17"/>
      <c r="M349" s="28"/>
      <c r="N349" s="28"/>
      <c r="O349" s="3"/>
      <c r="P349" s="3"/>
      <c r="Q349" s="3"/>
      <c r="R349" s="17"/>
      <c r="S349" s="17"/>
      <c r="T349" s="17"/>
      <c r="U349" s="17"/>
      <c r="V349" s="17"/>
    </row>
    <row r="350" spans="1:22" ht="14.25" customHeight="1">
      <c r="C350" s="28"/>
      <c r="D350" s="29"/>
      <c r="E350" s="28"/>
      <c r="F350" s="3"/>
      <c r="G350" s="3"/>
      <c r="H350" s="3"/>
      <c r="I350" s="25"/>
      <c r="J350" s="25"/>
      <c r="K350" s="17"/>
      <c r="L350" s="17"/>
      <c r="M350" s="28"/>
      <c r="N350" s="28"/>
      <c r="O350" s="3"/>
      <c r="P350" s="3"/>
      <c r="Q350" s="3"/>
      <c r="R350" s="17"/>
      <c r="S350" s="17"/>
      <c r="T350" s="17"/>
      <c r="U350" s="17"/>
      <c r="V350" s="17"/>
    </row>
    <row r="351" spans="1:22" ht="14.25" customHeight="1">
      <c r="C351" s="28"/>
      <c r="D351" s="29"/>
      <c r="E351" s="28"/>
      <c r="F351" s="3"/>
      <c r="G351" s="3"/>
      <c r="H351" s="3"/>
      <c r="I351" s="25"/>
      <c r="J351" s="25"/>
      <c r="K351" s="17"/>
      <c r="L351" s="17"/>
      <c r="M351" s="28"/>
      <c r="N351" s="28"/>
      <c r="O351" s="3"/>
      <c r="P351" s="3"/>
      <c r="Q351" s="3"/>
      <c r="R351" s="17"/>
      <c r="S351" s="17"/>
      <c r="T351" s="17"/>
      <c r="U351" s="17"/>
      <c r="V351" s="17"/>
    </row>
    <row r="352" spans="1:22" ht="14.25" customHeight="1">
      <c r="C352" s="28"/>
      <c r="D352" s="29"/>
      <c r="E352" s="28"/>
      <c r="F352" s="3"/>
      <c r="G352" s="3"/>
      <c r="H352" s="3"/>
      <c r="I352" s="25"/>
      <c r="J352" s="25"/>
      <c r="K352" s="17"/>
      <c r="L352" s="17"/>
      <c r="M352" s="28"/>
      <c r="N352" s="28"/>
      <c r="O352" s="3"/>
      <c r="P352" s="3"/>
      <c r="Q352" s="3"/>
      <c r="R352" s="17"/>
      <c r="S352" s="17"/>
      <c r="T352" s="17"/>
      <c r="U352" s="17"/>
      <c r="V352" s="17"/>
    </row>
    <row r="353" spans="3:22" ht="14.25" customHeight="1">
      <c r="C353" s="28"/>
      <c r="D353" s="29"/>
      <c r="E353" s="28"/>
      <c r="F353" s="3"/>
      <c r="G353" s="3"/>
      <c r="H353" s="3"/>
      <c r="I353" s="25"/>
      <c r="J353" s="25"/>
      <c r="K353" s="17"/>
      <c r="L353" s="17"/>
      <c r="M353" s="28"/>
      <c r="N353" s="28"/>
      <c r="O353" s="3"/>
      <c r="P353" s="3"/>
      <c r="Q353" s="3"/>
      <c r="R353" s="17"/>
      <c r="S353" s="17"/>
      <c r="T353" s="17"/>
      <c r="U353" s="17"/>
      <c r="V353" s="17"/>
    </row>
    <row r="354" spans="3:22" ht="14.25" customHeight="1">
      <c r="C354" s="28"/>
      <c r="D354" s="29"/>
      <c r="E354" s="28"/>
      <c r="F354" s="3"/>
      <c r="G354" s="3"/>
      <c r="H354" s="3"/>
      <c r="I354" s="25"/>
      <c r="J354" s="25"/>
      <c r="K354" s="17"/>
      <c r="L354" s="17"/>
      <c r="M354" s="28"/>
      <c r="N354" s="28"/>
      <c r="O354" s="3"/>
      <c r="P354" s="3"/>
      <c r="Q354" s="3"/>
      <c r="R354" s="17"/>
      <c r="S354" s="17"/>
      <c r="T354" s="17"/>
      <c r="U354" s="17"/>
      <c r="V354" s="17"/>
    </row>
    <row r="355" spans="3:22" ht="14.25" customHeight="1">
      <c r="C355" s="28"/>
      <c r="D355" s="29"/>
      <c r="E355" s="28"/>
      <c r="F355" s="3"/>
      <c r="G355" s="3"/>
      <c r="H355" s="3"/>
      <c r="I355" s="25"/>
      <c r="J355" s="25"/>
      <c r="K355" s="17"/>
      <c r="L355" s="17"/>
      <c r="M355" s="28"/>
      <c r="N355" s="28"/>
      <c r="O355" s="3"/>
      <c r="P355" s="3"/>
      <c r="Q355" s="3"/>
      <c r="R355" s="17"/>
      <c r="S355" s="17"/>
      <c r="T355" s="17"/>
      <c r="U355" s="17"/>
      <c r="V355" s="17"/>
    </row>
    <row r="356" spans="3:22" ht="14.25" customHeight="1">
      <c r="C356" s="28"/>
      <c r="D356" s="29"/>
      <c r="E356" s="28"/>
      <c r="F356" s="3"/>
      <c r="G356" s="3"/>
      <c r="H356" s="3"/>
      <c r="I356" s="25"/>
      <c r="J356" s="25"/>
      <c r="K356" s="17"/>
      <c r="L356" s="17"/>
      <c r="M356" s="28"/>
      <c r="N356" s="28"/>
      <c r="O356" s="3"/>
      <c r="P356" s="3"/>
      <c r="Q356" s="3"/>
      <c r="R356" s="17"/>
      <c r="S356" s="17"/>
      <c r="T356" s="17"/>
      <c r="U356" s="17"/>
      <c r="V356" s="17"/>
    </row>
    <row r="357" spans="3:22" ht="14.25" customHeight="1">
      <c r="C357" s="28"/>
      <c r="D357" s="29"/>
      <c r="E357" s="28"/>
      <c r="F357" s="3"/>
      <c r="G357" s="3"/>
      <c r="H357" s="3"/>
      <c r="I357" s="25"/>
      <c r="J357" s="25"/>
      <c r="K357" s="17"/>
      <c r="L357" s="17"/>
      <c r="M357" s="28"/>
      <c r="N357" s="28"/>
      <c r="O357" s="3"/>
      <c r="P357" s="3"/>
      <c r="Q357" s="3"/>
      <c r="R357" s="17"/>
      <c r="S357" s="17"/>
      <c r="T357" s="17"/>
      <c r="U357" s="17"/>
      <c r="V357" s="17"/>
    </row>
    <row r="358" spans="3:22" ht="14.25" customHeight="1">
      <c r="C358" s="28"/>
      <c r="D358" s="29"/>
      <c r="E358" s="28"/>
      <c r="F358" s="3"/>
      <c r="G358" s="3"/>
      <c r="H358" s="3"/>
      <c r="I358" s="25"/>
      <c r="J358" s="25"/>
      <c r="K358" s="17"/>
      <c r="L358" s="17"/>
      <c r="M358" s="28"/>
      <c r="N358" s="28"/>
      <c r="O358" s="3"/>
      <c r="P358" s="3"/>
      <c r="Q358" s="3"/>
      <c r="R358" s="17"/>
      <c r="S358" s="17"/>
      <c r="T358" s="17"/>
      <c r="U358" s="17"/>
      <c r="V358" s="17"/>
    </row>
    <row r="359" spans="3:22" ht="14.25" customHeight="1">
      <c r="C359" s="28"/>
      <c r="D359" s="29"/>
      <c r="E359" s="28"/>
      <c r="F359" s="3"/>
      <c r="G359" s="3"/>
      <c r="H359" s="3"/>
      <c r="I359" s="25"/>
      <c r="J359" s="25"/>
      <c r="K359" s="17"/>
      <c r="L359" s="17"/>
      <c r="M359" s="28"/>
      <c r="N359" s="28"/>
      <c r="O359" s="3"/>
      <c r="P359" s="3"/>
      <c r="Q359" s="3"/>
      <c r="R359" s="17"/>
      <c r="S359" s="17"/>
      <c r="T359" s="17"/>
      <c r="U359" s="17"/>
      <c r="V359" s="17"/>
    </row>
    <row r="360" spans="3:22" ht="14.25" customHeight="1">
      <c r="C360" s="28"/>
      <c r="D360" s="29"/>
      <c r="E360" s="28"/>
      <c r="F360" s="3"/>
      <c r="G360" s="3"/>
      <c r="H360" s="3"/>
      <c r="I360" s="25"/>
      <c r="J360" s="25"/>
      <c r="K360" s="17"/>
      <c r="L360" s="17"/>
      <c r="M360" s="28"/>
      <c r="N360" s="28"/>
      <c r="O360" s="3"/>
      <c r="P360" s="3"/>
      <c r="Q360" s="3"/>
      <c r="R360" s="17"/>
      <c r="S360" s="17"/>
      <c r="T360" s="17"/>
      <c r="U360" s="17"/>
      <c r="V360" s="17"/>
    </row>
    <row r="361" spans="3:22" ht="14.25" customHeight="1">
      <c r="C361" s="28"/>
      <c r="D361" s="29"/>
      <c r="E361" s="28"/>
      <c r="F361" s="3"/>
      <c r="G361" s="3"/>
      <c r="H361" s="3"/>
      <c r="I361" s="25"/>
      <c r="J361" s="25"/>
      <c r="K361" s="17"/>
      <c r="L361" s="17"/>
      <c r="M361" s="28"/>
      <c r="N361" s="28"/>
      <c r="O361" s="3"/>
      <c r="P361" s="3"/>
      <c r="Q361" s="3"/>
      <c r="R361" s="17"/>
      <c r="S361" s="17"/>
      <c r="T361" s="17"/>
      <c r="U361" s="17"/>
      <c r="V361" s="17"/>
    </row>
    <row r="362" spans="3:22" ht="14.25" customHeight="1">
      <c r="C362" s="28"/>
      <c r="D362" s="29"/>
      <c r="E362" s="28"/>
      <c r="F362" s="3"/>
      <c r="G362" s="3"/>
      <c r="H362" s="3"/>
      <c r="I362" s="25"/>
      <c r="J362" s="25"/>
      <c r="K362" s="17"/>
      <c r="L362" s="17"/>
      <c r="M362" s="28"/>
      <c r="N362" s="28"/>
      <c r="O362" s="3"/>
      <c r="P362" s="3"/>
      <c r="Q362" s="3"/>
      <c r="R362" s="17"/>
      <c r="S362" s="17"/>
      <c r="T362" s="17"/>
      <c r="U362" s="17"/>
      <c r="V362" s="17"/>
    </row>
    <row r="363" spans="3:22" ht="14.25" customHeight="1">
      <c r="C363" s="28"/>
      <c r="D363" s="29"/>
      <c r="E363" s="28"/>
      <c r="F363" s="3"/>
      <c r="G363" s="3"/>
      <c r="H363" s="3"/>
      <c r="I363" s="25"/>
      <c r="J363" s="25"/>
      <c r="K363" s="17"/>
      <c r="L363" s="17"/>
      <c r="M363" s="28"/>
      <c r="N363" s="28"/>
      <c r="O363" s="3"/>
      <c r="P363" s="3"/>
      <c r="Q363" s="3"/>
      <c r="R363" s="17"/>
      <c r="S363" s="17"/>
      <c r="T363" s="17"/>
      <c r="U363" s="17"/>
      <c r="V363" s="17"/>
    </row>
    <row r="364" spans="3:22" ht="14.25" customHeight="1">
      <c r="C364" s="28"/>
      <c r="D364" s="29"/>
      <c r="E364" s="28"/>
      <c r="F364" s="3"/>
      <c r="G364" s="3"/>
      <c r="H364" s="3"/>
      <c r="I364" s="25"/>
      <c r="J364" s="25"/>
      <c r="K364" s="17"/>
      <c r="L364" s="17"/>
      <c r="M364" s="28"/>
      <c r="N364" s="28"/>
      <c r="O364" s="3"/>
      <c r="P364" s="3"/>
      <c r="Q364" s="3"/>
      <c r="R364" s="17"/>
      <c r="S364" s="17"/>
      <c r="T364" s="17"/>
      <c r="U364" s="17"/>
      <c r="V364" s="17"/>
    </row>
    <row r="365" spans="3:22" ht="14.25" customHeight="1">
      <c r="C365" s="28"/>
      <c r="D365" s="29"/>
      <c r="E365" s="28"/>
      <c r="F365" s="3"/>
      <c r="G365" s="3"/>
      <c r="H365" s="3"/>
      <c r="I365" s="25"/>
      <c r="J365" s="25"/>
      <c r="K365" s="17"/>
      <c r="L365" s="17"/>
      <c r="M365" s="28"/>
      <c r="N365" s="28"/>
      <c r="O365" s="3"/>
      <c r="P365" s="3"/>
      <c r="Q365" s="3"/>
      <c r="R365" s="17"/>
      <c r="S365" s="17"/>
      <c r="T365" s="17"/>
      <c r="U365" s="17"/>
      <c r="V365" s="17"/>
    </row>
    <row r="366" spans="3:22" ht="14.25" customHeight="1">
      <c r="C366" s="28"/>
      <c r="D366" s="29"/>
      <c r="E366" s="28"/>
      <c r="F366" s="3"/>
      <c r="G366" s="3"/>
      <c r="H366" s="3"/>
      <c r="I366" s="25"/>
      <c r="J366" s="25"/>
      <c r="K366" s="17"/>
      <c r="L366" s="17"/>
      <c r="M366" s="28"/>
      <c r="N366" s="28"/>
      <c r="O366" s="3"/>
      <c r="P366" s="3"/>
      <c r="Q366" s="3"/>
      <c r="R366" s="17"/>
      <c r="S366" s="17"/>
      <c r="T366" s="17"/>
      <c r="U366" s="17"/>
      <c r="V366" s="17"/>
    </row>
    <row r="367" spans="3:22" ht="14.25" customHeight="1">
      <c r="C367" s="28"/>
      <c r="D367" s="29"/>
      <c r="E367" s="28"/>
      <c r="F367" s="3"/>
      <c r="G367" s="3"/>
      <c r="H367" s="3"/>
      <c r="I367" s="25"/>
      <c r="J367" s="25"/>
      <c r="K367" s="17"/>
      <c r="L367" s="17"/>
      <c r="M367" s="28"/>
      <c r="N367" s="28"/>
      <c r="O367" s="3"/>
      <c r="P367" s="3"/>
      <c r="Q367" s="3"/>
      <c r="R367" s="17"/>
      <c r="S367" s="17"/>
      <c r="T367" s="17"/>
      <c r="U367" s="17"/>
      <c r="V367" s="17"/>
    </row>
    <row r="368" spans="3:22" ht="14.25" customHeight="1">
      <c r="C368" s="28"/>
      <c r="D368" s="29"/>
      <c r="E368" s="28"/>
      <c r="F368" s="3"/>
      <c r="G368" s="3"/>
      <c r="H368" s="3"/>
      <c r="I368" s="25"/>
      <c r="J368" s="25"/>
      <c r="K368" s="17"/>
      <c r="L368" s="17"/>
      <c r="M368" s="28"/>
      <c r="N368" s="28"/>
      <c r="O368" s="3"/>
      <c r="P368" s="3"/>
      <c r="Q368" s="3"/>
      <c r="R368" s="17"/>
      <c r="S368" s="17"/>
      <c r="T368" s="17"/>
      <c r="U368" s="17"/>
      <c r="V368" s="17"/>
    </row>
    <row r="369" spans="3:22" ht="14.25" customHeight="1">
      <c r="C369" s="28"/>
      <c r="D369" s="29"/>
      <c r="E369" s="28"/>
      <c r="F369" s="3"/>
      <c r="G369" s="3"/>
      <c r="H369" s="3"/>
      <c r="I369" s="25"/>
      <c r="J369" s="25"/>
      <c r="K369" s="17"/>
      <c r="L369" s="17"/>
      <c r="M369" s="28"/>
      <c r="N369" s="28"/>
      <c r="O369" s="3"/>
      <c r="P369" s="3"/>
      <c r="Q369" s="3"/>
      <c r="R369" s="17"/>
      <c r="S369" s="17"/>
      <c r="T369" s="17"/>
      <c r="U369" s="17"/>
      <c r="V369" s="17"/>
    </row>
    <row r="370" spans="3:22" ht="14.25" customHeight="1">
      <c r="C370" s="28"/>
      <c r="D370" s="29"/>
      <c r="E370" s="28"/>
      <c r="F370" s="3"/>
      <c r="G370" s="3"/>
      <c r="H370" s="3"/>
      <c r="I370" s="25"/>
      <c r="J370" s="25"/>
      <c r="K370" s="17"/>
      <c r="L370" s="17"/>
      <c r="M370" s="28"/>
      <c r="N370" s="28"/>
      <c r="O370" s="3"/>
      <c r="P370" s="3"/>
      <c r="Q370" s="3"/>
      <c r="R370" s="17"/>
      <c r="S370" s="17"/>
      <c r="T370" s="17"/>
      <c r="U370" s="17"/>
      <c r="V370" s="17"/>
    </row>
    <row r="371" spans="3:22" ht="14.25" customHeight="1">
      <c r="C371" s="28"/>
      <c r="D371" s="29"/>
      <c r="E371" s="28"/>
      <c r="F371" s="3"/>
      <c r="G371" s="3"/>
      <c r="H371" s="3"/>
      <c r="I371" s="25"/>
      <c r="J371" s="25"/>
      <c r="K371" s="17"/>
      <c r="L371" s="17"/>
      <c r="M371" s="28"/>
      <c r="N371" s="28"/>
      <c r="O371" s="3"/>
      <c r="P371" s="3"/>
      <c r="Q371" s="3"/>
      <c r="R371" s="17"/>
      <c r="S371" s="17"/>
      <c r="T371" s="17"/>
      <c r="U371" s="17"/>
      <c r="V371" s="17"/>
    </row>
    <row r="372" spans="3:22" ht="14.25" customHeight="1">
      <c r="C372" s="28"/>
      <c r="D372" s="29"/>
      <c r="E372" s="28"/>
      <c r="F372" s="3"/>
      <c r="G372" s="3"/>
      <c r="H372" s="3"/>
      <c r="I372" s="25"/>
      <c r="J372" s="25"/>
      <c r="K372" s="17"/>
      <c r="L372" s="17"/>
      <c r="M372" s="28"/>
      <c r="N372" s="28"/>
      <c r="O372" s="3"/>
      <c r="P372" s="3"/>
      <c r="Q372" s="3"/>
      <c r="R372" s="17"/>
      <c r="S372" s="17"/>
      <c r="T372" s="17"/>
      <c r="U372" s="17"/>
      <c r="V372" s="17"/>
    </row>
    <row r="373" spans="3:22" ht="14.25" customHeight="1">
      <c r="C373" s="28"/>
      <c r="D373" s="29"/>
      <c r="E373" s="28"/>
      <c r="F373" s="3"/>
      <c r="G373" s="3"/>
      <c r="H373" s="3"/>
      <c r="I373" s="25"/>
      <c r="J373" s="25"/>
      <c r="K373" s="17"/>
      <c r="L373" s="17"/>
      <c r="M373" s="28"/>
      <c r="N373" s="28"/>
      <c r="O373" s="3"/>
      <c r="P373" s="3"/>
      <c r="Q373" s="3"/>
      <c r="R373" s="17"/>
      <c r="S373" s="17"/>
      <c r="T373" s="17"/>
      <c r="U373" s="17"/>
      <c r="V373" s="17"/>
    </row>
    <row r="374" spans="3:22" ht="14.25" customHeight="1">
      <c r="C374" s="28"/>
      <c r="D374" s="29"/>
      <c r="E374" s="28"/>
      <c r="F374" s="3"/>
      <c r="G374" s="3"/>
      <c r="H374" s="3"/>
      <c r="I374" s="25"/>
      <c r="J374" s="25"/>
      <c r="K374" s="17"/>
      <c r="L374" s="17"/>
      <c r="M374" s="28"/>
      <c r="N374" s="28"/>
      <c r="O374" s="3"/>
      <c r="P374" s="3"/>
      <c r="Q374" s="3"/>
      <c r="R374" s="17"/>
      <c r="S374" s="17"/>
      <c r="T374" s="17"/>
      <c r="U374" s="17"/>
      <c r="V374" s="17"/>
    </row>
    <row r="375" spans="3:22" ht="14.25" customHeight="1">
      <c r="C375" s="28"/>
      <c r="D375" s="29"/>
      <c r="E375" s="28"/>
      <c r="F375" s="3"/>
      <c r="G375" s="3"/>
      <c r="H375" s="3"/>
      <c r="I375" s="25"/>
      <c r="J375" s="25"/>
      <c r="K375" s="17"/>
      <c r="L375" s="17"/>
      <c r="M375" s="28"/>
      <c r="N375" s="28"/>
      <c r="O375" s="3"/>
      <c r="P375" s="3"/>
      <c r="Q375" s="3"/>
      <c r="R375" s="17"/>
      <c r="S375" s="17"/>
      <c r="T375" s="17"/>
      <c r="U375" s="17"/>
      <c r="V375" s="17"/>
    </row>
    <row r="376" spans="3:22" ht="14.25" customHeight="1">
      <c r="C376" s="28"/>
      <c r="D376" s="29"/>
      <c r="E376" s="28"/>
      <c r="F376" s="3"/>
      <c r="G376" s="3"/>
      <c r="H376" s="3"/>
      <c r="I376" s="25"/>
      <c r="J376" s="25"/>
      <c r="K376" s="17"/>
      <c r="L376" s="17"/>
      <c r="M376" s="28"/>
      <c r="N376" s="28"/>
      <c r="O376" s="3"/>
      <c r="P376" s="3"/>
      <c r="Q376" s="3"/>
      <c r="R376" s="17"/>
      <c r="S376" s="17"/>
      <c r="T376" s="17"/>
      <c r="U376" s="17"/>
      <c r="V376" s="17"/>
    </row>
    <row r="377" spans="3:22" ht="14.25" customHeight="1">
      <c r="C377" s="28"/>
      <c r="D377" s="29"/>
      <c r="E377" s="28"/>
      <c r="F377" s="3"/>
      <c r="G377" s="3"/>
      <c r="H377" s="3"/>
      <c r="I377" s="25"/>
      <c r="J377" s="25"/>
      <c r="K377" s="17"/>
      <c r="L377" s="17"/>
      <c r="M377" s="28"/>
      <c r="N377" s="28"/>
      <c r="O377" s="3"/>
      <c r="P377" s="3"/>
      <c r="Q377" s="3"/>
      <c r="R377" s="17"/>
      <c r="S377" s="17"/>
      <c r="T377" s="17"/>
      <c r="U377" s="17"/>
      <c r="V377" s="17"/>
    </row>
    <row r="378" spans="3:22" ht="14.25" customHeight="1">
      <c r="C378" s="28"/>
      <c r="D378" s="29"/>
      <c r="E378" s="28"/>
      <c r="F378" s="3"/>
      <c r="G378" s="3"/>
      <c r="H378" s="3"/>
      <c r="I378" s="25"/>
      <c r="J378" s="25"/>
      <c r="K378" s="17"/>
      <c r="L378" s="17"/>
      <c r="M378" s="28"/>
      <c r="N378" s="28"/>
      <c r="O378" s="3"/>
      <c r="P378" s="3"/>
      <c r="Q378" s="3"/>
      <c r="R378" s="17"/>
      <c r="S378" s="17"/>
      <c r="T378" s="17"/>
      <c r="U378" s="17"/>
      <c r="V378" s="17"/>
    </row>
    <row r="379" spans="3:22" ht="14.25" customHeight="1">
      <c r="C379" s="28"/>
      <c r="D379" s="29"/>
      <c r="E379" s="28"/>
      <c r="F379" s="3"/>
      <c r="G379" s="3"/>
      <c r="H379" s="3"/>
      <c r="I379" s="25"/>
      <c r="J379" s="25"/>
      <c r="K379" s="17"/>
      <c r="L379" s="17"/>
      <c r="M379" s="28"/>
      <c r="N379" s="28"/>
      <c r="O379" s="3"/>
      <c r="P379" s="3"/>
      <c r="Q379" s="3"/>
      <c r="R379" s="17"/>
      <c r="S379" s="17"/>
      <c r="T379" s="17"/>
      <c r="U379" s="17"/>
      <c r="V379" s="17"/>
    </row>
    <row r="380" spans="3:22" ht="14.25" customHeight="1">
      <c r="C380" s="28"/>
      <c r="D380" s="29"/>
      <c r="E380" s="28"/>
      <c r="F380" s="3"/>
      <c r="G380" s="3"/>
      <c r="H380" s="3"/>
      <c r="I380" s="25"/>
      <c r="J380" s="25"/>
      <c r="K380" s="17"/>
      <c r="L380" s="17"/>
      <c r="M380" s="28"/>
      <c r="N380" s="28"/>
      <c r="O380" s="3"/>
      <c r="P380" s="3"/>
      <c r="Q380" s="3"/>
      <c r="R380" s="17"/>
      <c r="S380" s="17"/>
      <c r="T380" s="17"/>
      <c r="U380" s="17"/>
      <c r="V380" s="17"/>
    </row>
    <row r="381" spans="3:22" ht="14.25" customHeight="1">
      <c r="C381" s="28"/>
      <c r="D381" s="29"/>
      <c r="E381" s="28"/>
      <c r="F381" s="3"/>
      <c r="G381" s="3"/>
      <c r="H381" s="3"/>
      <c r="I381" s="25"/>
      <c r="J381" s="25"/>
      <c r="K381" s="17"/>
      <c r="L381" s="17"/>
      <c r="M381" s="28"/>
      <c r="N381" s="28"/>
      <c r="O381" s="3"/>
      <c r="P381" s="3"/>
      <c r="Q381" s="3"/>
      <c r="R381" s="17"/>
      <c r="S381" s="17"/>
      <c r="T381" s="17"/>
      <c r="U381" s="17"/>
      <c r="V381" s="17"/>
    </row>
    <row r="382" spans="3:22" ht="14.25" customHeight="1">
      <c r="C382" s="28"/>
      <c r="D382" s="29"/>
      <c r="E382" s="28"/>
      <c r="F382" s="3"/>
      <c r="G382" s="3"/>
      <c r="H382" s="3"/>
      <c r="I382" s="25"/>
      <c r="J382" s="25"/>
      <c r="K382" s="17"/>
      <c r="L382" s="17"/>
      <c r="M382" s="28"/>
      <c r="N382" s="28"/>
      <c r="O382" s="3"/>
      <c r="P382" s="3"/>
      <c r="Q382" s="3"/>
      <c r="R382" s="17"/>
      <c r="S382" s="17"/>
      <c r="T382" s="17"/>
      <c r="U382" s="17"/>
      <c r="V382" s="17"/>
    </row>
    <row r="383" spans="3:22" ht="14.25" customHeight="1">
      <c r="C383" s="28"/>
      <c r="D383" s="29"/>
      <c r="E383" s="28"/>
      <c r="F383" s="3"/>
      <c r="G383" s="3"/>
      <c r="H383" s="3"/>
      <c r="I383" s="25"/>
      <c r="J383" s="25"/>
      <c r="K383" s="17"/>
      <c r="L383" s="17"/>
      <c r="M383" s="28"/>
      <c r="N383" s="28"/>
      <c r="O383" s="3"/>
      <c r="P383" s="3"/>
      <c r="Q383" s="3"/>
      <c r="R383" s="17"/>
      <c r="S383" s="17"/>
      <c r="T383" s="17"/>
      <c r="U383" s="17"/>
      <c r="V383" s="17"/>
    </row>
    <row r="384" spans="3:22" ht="14.25" customHeight="1">
      <c r="C384" s="28"/>
      <c r="D384" s="29"/>
      <c r="E384" s="28"/>
      <c r="F384" s="3"/>
      <c r="G384" s="3"/>
      <c r="H384" s="3"/>
      <c r="I384" s="25"/>
      <c r="J384" s="25"/>
      <c r="K384" s="17"/>
      <c r="L384" s="17"/>
      <c r="M384" s="28"/>
      <c r="N384" s="28"/>
      <c r="O384" s="3"/>
      <c r="P384" s="3"/>
      <c r="Q384" s="3"/>
      <c r="R384" s="17"/>
      <c r="S384" s="17"/>
      <c r="T384" s="17"/>
      <c r="U384" s="17"/>
      <c r="V384" s="17"/>
    </row>
    <row r="385" spans="3:22" ht="14.25" customHeight="1">
      <c r="C385" s="28"/>
      <c r="D385" s="29"/>
      <c r="E385" s="28"/>
      <c r="F385" s="3"/>
      <c r="G385" s="3"/>
      <c r="H385" s="3"/>
      <c r="I385" s="25"/>
      <c r="J385" s="25"/>
      <c r="K385" s="17"/>
      <c r="L385" s="17"/>
      <c r="M385" s="28"/>
      <c r="N385" s="28"/>
      <c r="O385" s="3"/>
      <c r="P385" s="3"/>
      <c r="Q385" s="3"/>
      <c r="R385" s="17"/>
      <c r="S385" s="17"/>
      <c r="T385" s="17"/>
      <c r="U385" s="17"/>
      <c r="V385" s="17"/>
    </row>
    <row r="386" spans="3:22" ht="14.25" customHeight="1">
      <c r="C386" s="28"/>
      <c r="D386" s="29"/>
      <c r="E386" s="28"/>
      <c r="F386" s="3"/>
      <c r="G386" s="3"/>
      <c r="H386" s="3"/>
      <c r="I386" s="25"/>
      <c r="J386" s="25"/>
      <c r="K386" s="17"/>
      <c r="L386" s="17"/>
      <c r="M386" s="28"/>
      <c r="N386" s="28"/>
      <c r="O386" s="3"/>
      <c r="P386" s="3"/>
      <c r="Q386" s="3"/>
      <c r="R386" s="17"/>
      <c r="S386" s="17"/>
      <c r="T386" s="17"/>
      <c r="U386" s="17"/>
      <c r="V386" s="17"/>
    </row>
    <row r="387" spans="3:22" ht="14.25" customHeight="1">
      <c r="C387" s="28"/>
      <c r="D387" s="29"/>
      <c r="E387" s="28"/>
      <c r="F387" s="3"/>
      <c r="G387" s="3"/>
      <c r="H387" s="3"/>
      <c r="I387" s="25"/>
      <c r="J387" s="25"/>
      <c r="K387" s="17"/>
      <c r="L387" s="17"/>
      <c r="M387" s="28"/>
      <c r="N387" s="28"/>
      <c r="O387" s="3"/>
      <c r="P387" s="3"/>
      <c r="Q387" s="3"/>
      <c r="R387" s="17"/>
      <c r="S387" s="17"/>
      <c r="T387" s="17"/>
      <c r="U387" s="17"/>
      <c r="V387" s="17"/>
    </row>
    <row r="388" spans="3:22" ht="14.25" customHeight="1">
      <c r="C388" s="28"/>
      <c r="D388" s="29"/>
      <c r="E388" s="28"/>
      <c r="F388" s="3"/>
      <c r="G388" s="3"/>
      <c r="H388" s="3"/>
      <c r="I388" s="25"/>
      <c r="J388" s="25"/>
      <c r="K388" s="17"/>
      <c r="L388" s="17"/>
      <c r="M388" s="28"/>
      <c r="N388" s="28"/>
      <c r="O388" s="3"/>
      <c r="P388" s="3"/>
      <c r="Q388" s="3"/>
      <c r="R388" s="17"/>
      <c r="S388" s="17"/>
      <c r="T388" s="17"/>
      <c r="U388" s="17"/>
      <c r="V388" s="17"/>
    </row>
    <row r="389" spans="3:22" ht="14.25" customHeight="1">
      <c r="C389" s="28"/>
      <c r="D389" s="29"/>
      <c r="E389" s="28"/>
      <c r="F389" s="3"/>
      <c r="G389" s="3"/>
      <c r="H389" s="3"/>
      <c r="I389" s="25"/>
      <c r="J389" s="25"/>
      <c r="K389" s="17"/>
      <c r="L389" s="17"/>
      <c r="M389" s="28"/>
      <c r="N389" s="28"/>
      <c r="O389" s="3"/>
      <c r="P389" s="3"/>
      <c r="Q389" s="3"/>
      <c r="R389" s="17"/>
      <c r="S389" s="17"/>
      <c r="T389" s="17"/>
      <c r="U389" s="17"/>
      <c r="V389" s="17"/>
    </row>
    <row r="390" spans="3:22" ht="14.25" customHeight="1">
      <c r="C390" s="28"/>
      <c r="D390" s="29"/>
      <c r="E390" s="28"/>
      <c r="F390" s="3"/>
      <c r="G390" s="3"/>
      <c r="H390" s="3"/>
      <c r="I390" s="25"/>
      <c r="J390" s="25"/>
      <c r="K390" s="17"/>
      <c r="L390" s="17"/>
      <c r="M390" s="28"/>
      <c r="N390" s="28"/>
      <c r="O390" s="3"/>
      <c r="P390" s="3"/>
      <c r="Q390" s="3"/>
      <c r="R390" s="17"/>
      <c r="S390" s="17"/>
      <c r="T390" s="17"/>
      <c r="U390" s="17"/>
      <c r="V390" s="17"/>
    </row>
    <row r="391" spans="3:22" ht="14.25" customHeight="1">
      <c r="C391" s="28"/>
      <c r="D391" s="29"/>
      <c r="E391" s="28"/>
      <c r="F391" s="3"/>
      <c r="G391" s="3"/>
      <c r="H391" s="3"/>
      <c r="I391" s="25"/>
      <c r="J391" s="25"/>
      <c r="K391" s="17"/>
      <c r="L391" s="17"/>
      <c r="M391" s="28"/>
      <c r="N391" s="28"/>
      <c r="O391" s="3"/>
      <c r="P391" s="3"/>
      <c r="Q391" s="3"/>
      <c r="R391" s="17"/>
      <c r="S391" s="17"/>
      <c r="T391" s="17"/>
      <c r="U391" s="17"/>
      <c r="V391" s="17"/>
    </row>
    <row r="392" spans="3:22" ht="14.25" customHeight="1">
      <c r="C392" s="28"/>
      <c r="D392" s="29"/>
      <c r="E392" s="28"/>
      <c r="F392" s="3"/>
      <c r="G392" s="3"/>
      <c r="H392" s="3"/>
      <c r="I392" s="25"/>
      <c r="J392" s="25"/>
      <c r="K392" s="17"/>
      <c r="L392" s="17"/>
      <c r="M392" s="28"/>
      <c r="N392" s="28"/>
      <c r="O392" s="3"/>
      <c r="P392" s="3"/>
      <c r="Q392" s="3"/>
      <c r="R392" s="17"/>
      <c r="S392" s="17"/>
      <c r="T392" s="17"/>
      <c r="U392" s="17"/>
      <c r="V392" s="17"/>
    </row>
    <row r="393" spans="3:22" ht="14.25" customHeight="1">
      <c r="C393" s="28"/>
      <c r="D393" s="29"/>
      <c r="E393" s="28"/>
      <c r="F393" s="3"/>
      <c r="G393" s="3"/>
      <c r="H393" s="3"/>
      <c r="I393" s="25"/>
      <c r="J393" s="25"/>
      <c r="K393" s="17"/>
      <c r="L393" s="17"/>
      <c r="M393" s="28"/>
      <c r="N393" s="28"/>
      <c r="O393" s="3"/>
      <c r="P393" s="3"/>
      <c r="Q393" s="3"/>
      <c r="R393" s="17"/>
      <c r="S393" s="17"/>
      <c r="T393" s="17"/>
      <c r="U393" s="17"/>
      <c r="V393" s="17"/>
    </row>
    <row r="394" spans="3:22" ht="14.25" customHeight="1">
      <c r="C394" s="28"/>
      <c r="D394" s="29"/>
      <c r="E394" s="28"/>
      <c r="F394" s="3"/>
      <c r="G394" s="3"/>
      <c r="H394" s="3"/>
      <c r="I394" s="25"/>
      <c r="J394" s="25"/>
      <c r="K394" s="17"/>
      <c r="L394" s="17"/>
      <c r="M394" s="28"/>
      <c r="N394" s="28"/>
      <c r="O394" s="3"/>
      <c r="P394" s="3"/>
      <c r="Q394" s="3"/>
      <c r="R394" s="17"/>
      <c r="S394" s="17"/>
      <c r="T394" s="17"/>
      <c r="U394" s="17"/>
      <c r="V394" s="17"/>
    </row>
    <row r="395" spans="3:22" ht="14.25" customHeight="1">
      <c r="C395" s="28"/>
      <c r="D395" s="29"/>
      <c r="E395" s="28"/>
      <c r="F395" s="3"/>
      <c r="G395" s="3"/>
      <c r="H395" s="3"/>
      <c r="I395" s="25"/>
      <c r="J395" s="25"/>
      <c r="K395" s="17"/>
      <c r="L395" s="17"/>
      <c r="M395" s="28"/>
      <c r="N395" s="28"/>
      <c r="O395" s="3"/>
      <c r="P395" s="3"/>
      <c r="Q395" s="3"/>
      <c r="R395" s="17"/>
      <c r="S395" s="17"/>
      <c r="T395" s="17"/>
      <c r="U395" s="17"/>
      <c r="V395" s="17"/>
    </row>
    <row r="396" spans="3:22" ht="14.25" customHeight="1">
      <c r="C396" s="28"/>
      <c r="D396" s="29"/>
      <c r="E396" s="28"/>
      <c r="F396" s="3"/>
      <c r="G396" s="3"/>
      <c r="H396" s="3"/>
      <c r="I396" s="25"/>
      <c r="J396" s="25"/>
      <c r="K396" s="17"/>
      <c r="L396" s="17"/>
      <c r="M396" s="28"/>
      <c r="N396" s="28"/>
      <c r="O396" s="3"/>
      <c r="P396" s="3"/>
      <c r="Q396" s="3"/>
      <c r="R396" s="17"/>
      <c r="S396" s="17"/>
      <c r="T396" s="17"/>
      <c r="U396" s="17"/>
      <c r="V396" s="17"/>
    </row>
    <row r="397" spans="3:22" ht="14.25" customHeight="1">
      <c r="C397" s="28"/>
      <c r="D397" s="29"/>
      <c r="E397" s="28"/>
      <c r="F397" s="3"/>
      <c r="G397" s="3"/>
      <c r="H397" s="3"/>
      <c r="I397" s="25"/>
      <c r="J397" s="25"/>
      <c r="K397" s="17"/>
      <c r="L397" s="17"/>
      <c r="M397" s="28"/>
      <c r="N397" s="28"/>
      <c r="O397" s="3"/>
      <c r="P397" s="3"/>
      <c r="Q397" s="3"/>
      <c r="R397" s="17"/>
      <c r="S397" s="17"/>
      <c r="T397" s="17"/>
      <c r="U397" s="17"/>
      <c r="V397" s="17"/>
    </row>
    <row r="398" spans="3:22" ht="14.25" customHeight="1">
      <c r="C398" s="28"/>
      <c r="D398" s="29"/>
      <c r="E398" s="28"/>
      <c r="F398" s="3"/>
      <c r="G398" s="3"/>
      <c r="H398" s="3"/>
      <c r="I398" s="25"/>
      <c r="J398" s="25"/>
      <c r="K398" s="17"/>
      <c r="L398" s="17"/>
      <c r="M398" s="28"/>
      <c r="N398" s="28"/>
      <c r="O398" s="3"/>
      <c r="P398" s="3"/>
      <c r="Q398" s="3"/>
      <c r="R398" s="17"/>
      <c r="S398" s="17"/>
      <c r="T398" s="17"/>
      <c r="U398" s="17"/>
      <c r="V398" s="17"/>
    </row>
    <row r="399" spans="3:22" ht="14.25" customHeight="1">
      <c r="C399" s="28"/>
      <c r="D399" s="29"/>
      <c r="E399" s="28"/>
      <c r="F399" s="3"/>
      <c r="G399" s="3"/>
      <c r="H399" s="3"/>
      <c r="I399" s="25"/>
      <c r="J399" s="25"/>
      <c r="K399" s="17"/>
      <c r="L399" s="17"/>
      <c r="M399" s="28"/>
      <c r="N399" s="28"/>
      <c r="O399" s="3"/>
      <c r="P399" s="3"/>
      <c r="Q399" s="3"/>
      <c r="R399" s="17"/>
      <c r="S399" s="17"/>
      <c r="T399" s="17"/>
      <c r="U399" s="17"/>
      <c r="V399" s="17"/>
    </row>
    <row r="400" spans="3:22" ht="14.25" customHeight="1">
      <c r="C400" s="28"/>
      <c r="D400" s="29"/>
      <c r="E400" s="28"/>
      <c r="F400" s="3"/>
      <c r="G400" s="3"/>
      <c r="H400" s="3"/>
      <c r="I400" s="25"/>
      <c r="J400" s="25"/>
      <c r="K400" s="17"/>
      <c r="L400" s="17"/>
      <c r="M400" s="28"/>
      <c r="N400" s="28"/>
      <c r="O400" s="3"/>
      <c r="P400" s="3"/>
      <c r="Q400" s="3"/>
      <c r="R400" s="17"/>
      <c r="S400" s="17"/>
      <c r="T400" s="17"/>
      <c r="U400" s="17"/>
      <c r="V400" s="17"/>
    </row>
    <row r="401" spans="3:22" ht="14.25" customHeight="1">
      <c r="C401" s="28"/>
      <c r="D401" s="29"/>
      <c r="E401" s="28"/>
      <c r="F401" s="3"/>
      <c r="G401" s="3"/>
      <c r="H401" s="3"/>
      <c r="I401" s="25"/>
      <c r="J401" s="25"/>
      <c r="K401" s="17"/>
      <c r="L401" s="17"/>
      <c r="M401" s="28"/>
      <c r="N401" s="28"/>
      <c r="O401" s="3"/>
      <c r="P401" s="3"/>
      <c r="Q401" s="3"/>
      <c r="R401" s="17"/>
      <c r="S401" s="17"/>
      <c r="T401" s="17"/>
      <c r="U401" s="17"/>
      <c r="V401" s="17"/>
    </row>
    <row r="402" spans="3:22" ht="14.25" customHeight="1">
      <c r="C402" s="28"/>
      <c r="D402" s="29"/>
      <c r="E402" s="28"/>
      <c r="F402" s="3"/>
      <c r="G402" s="3"/>
      <c r="H402" s="3"/>
      <c r="I402" s="25"/>
      <c r="J402" s="25"/>
      <c r="K402" s="17"/>
      <c r="L402" s="17"/>
      <c r="M402" s="28"/>
      <c r="N402" s="28"/>
      <c r="O402" s="3"/>
      <c r="P402" s="3"/>
      <c r="Q402" s="3"/>
      <c r="R402" s="17"/>
      <c r="S402" s="17"/>
      <c r="T402" s="17"/>
      <c r="U402" s="17"/>
      <c r="V402" s="17"/>
    </row>
    <row r="403" spans="3:22" ht="14.25" customHeight="1">
      <c r="C403" s="28"/>
      <c r="D403" s="29"/>
      <c r="E403" s="28"/>
      <c r="F403" s="3"/>
      <c r="G403" s="3"/>
      <c r="H403" s="3"/>
      <c r="I403" s="25"/>
      <c r="J403" s="25"/>
      <c r="K403" s="17"/>
      <c r="L403" s="17"/>
      <c r="M403" s="28"/>
      <c r="N403" s="28"/>
      <c r="O403" s="3"/>
      <c r="P403" s="3"/>
      <c r="Q403" s="3"/>
      <c r="R403" s="17"/>
      <c r="S403" s="17"/>
      <c r="T403" s="17"/>
      <c r="U403" s="17"/>
      <c r="V403" s="17"/>
    </row>
    <row r="404" spans="3:22" ht="14.25" customHeight="1">
      <c r="C404" s="28"/>
      <c r="D404" s="29"/>
      <c r="E404" s="28"/>
      <c r="F404" s="3"/>
      <c r="G404" s="3"/>
      <c r="H404" s="3"/>
      <c r="I404" s="25"/>
      <c r="J404" s="25"/>
      <c r="K404" s="17"/>
      <c r="L404" s="17"/>
      <c r="M404" s="28"/>
      <c r="N404" s="28"/>
      <c r="O404" s="3"/>
      <c r="P404" s="3"/>
      <c r="Q404" s="3"/>
      <c r="R404" s="17"/>
      <c r="S404" s="17"/>
      <c r="T404" s="17"/>
      <c r="U404" s="17"/>
      <c r="V404" s="17"/>
    </row>
    <row r="405" spans="3:22" ht="14.25" customHeight="1">
      <c r="C405" s="28"/>
      <c r="D405" s="29"/>
      <c r="E405" s="28"/>
      <c r="F405" s="3"/>
      <c r="G405" s="3"/>
      <c r="H405" s="3"/>
      <c r="I405" s="25"/>
      <c r="J405" s="25"/>
      <c r="K405" s="17"/>
      <c r="L405" s="17"/>
      <c r="M405" s="28"/>
      <c r="N405" s="28"/>
      <c r="O405" s="3"/>
      <c r="P405" s="3"/>
      <c r="Q405" s="3"/>
      <c r="R405" s="17"/>
      <c r="S405" s="17"/>
      <c r="T405" s="17"/>
      <c r="U405" s="17"/>
      <c r="V405" s="17"/>
    </row>
    <row r="406" spans="3:22" ht="14.25" customHeight="1">
      <c r="C406" s="28"/>
      <c r="D406" s="29"/>
      <c r="E406" s="28"/>
      <c r="F406" s="3"/>
      <c r="G406" s="3"/>
      <c r="H406" s="3"/>
      <c r="I406" s="25"/>
      <c r="J406" s="25"/>
      <c r="K406" s="17"/>
      <c r="L406" s="17"/>
      <c r="M406" s="28"/>
      <c r="N406" s="28"/>
      <c r="O406" s="3"/>
      <c r="P406" s="3"/>
      <c r="Q406" s="3"/>
      <c r="R406" s="17"/>
      <c r="S406" s="17"/>
      <c r="T406" s="17"/>
      <c r="U406" s="17"/>
      <c r="V406" s="17"/>
    </row>
    <row r="407" spans="3:22" ht="14.25" customHeight="1">
      <c r="C407" s="28"/>
      <c r="D407" s="29"/>
      <c r="E407" s="28"/>
      <c r="F407" s="3"/>
      <c r="G407" s="3"/>
      <c r="H407" s="3"/>
      <c r="I407" s="25"/>
      <c r="J407" s="25"/>
      <c r="K407" s="17"/>
      <c r="L407" s="17"/>
      <c r="M407" s="28"/>
      <c r="N407" s="28"/>
      <c r="O407" s="3"/>
      <c r="P407" s="3"/>
      <c r="Q407" s="3"/>
      <c r="R407" s="17"/>
      <c r="S407" s="17"/>
      <c r="T407" s="17"/>
      <c r="U407" s="17"/>
      <c r="V407" s="17"/>
    </row>
    <row r="408" spans="3:22" ht="14.25" customHeight="1">
      <c r="C408" s="28"/>
      <c r="D408" s="29"/>
      <c r="E408" s="28"/>
      <c r="F408" s="3"/>
      <c r="G408" s="3"/>
      <c r="H408" s="3"/>
      <c r="I408" s="25"/>
      <c r="J408" s="25"/>
      <c r="K408" s="17"/>
      <c r="L408" s="17"/>
      <c r="M408" s="28"/>
      <c r="N408" s="28"/>
      <c r="O408" s="3"/>
      <c r="P408" s="3"/>
      <c r="Q408" s="3"/>
      <c r="R408" s="17"/>
      <c r="S408" s="17"/>
      <c r="T408" s="17"/>
      <c r="U408" s="17"/>
      <c r="V408" s="17"/>
    </row>
    <row r="409" spans="3:22" ht="14.25" customHeight="1">
      <c r="C409" s="28"/>
      <c r="D409" s="29"/>
      <c r="E409" s="28"/>
      <c r="F409" s="3"/>
      <c r="G409" s="3"/>
      <c r="H409" s="3"/>
      <c r="I409" s="25"/>
      <c r="J409" s="25"/>
      <c r="K409" s="17"/>
      <c r="L409" s="17"/>
      <c r="M409" s="28"/>
      <c r="N409" s="28"/>
      <c r="O409" s="3"/>
      <c r="P409" s="3"/>
      <c r="Q409" s="3"/>
      <c r="R409" s="17"/>
      <c r="S409" s="17"/>
      <c r="T409" s="17"/>
      <c r="U409" s="17"/>
      <c r="V409" s="17"/>
    </row>
    <row r="410" spans="3:22" ht="14.25" customHeight="1">
      <c r="C410" s="28"/>
      <c r="D410" s="29"/>
      <c r="E410" s="28"/>
      <c r="F410" s="3"/>
      <c r="G410" s="3"/>
      <c r="H410" s="3"/>
      <c r="I410" s="25"/>
      <c r="J410" s="25"/>
      <c r="K410" s="17"/>
      <c r="L410" s="17"/>
      <c r="M410" s="28"/>
      <c r="N410" s="28"/>
      <c r="O410" s="3"/>
      <c r="P410" s="3"/>
      <c r="Q410" s="3"/>
      <c r="R410" s="17"/>
      <c r="S410" s="17"/>
      <c r="T410" s="17"/>
      <c r="U410" s="17"/>
      <c r="V410" s="17"/>
    </row>
    <row r="411" spans="3:22" ht="14.25" customHeight="1">
      <c r="C411" s="28"/>
      <c r="D411" s="29"/>
      <c r="E411" s="28"/>
      <c r="F411" s="3"/>
      <c r="G411" s="3"/>
      <c r="H411" s="3"/>
      <c r="I411" s="25"/>
      <c r="J411" s="25"/>
      <c r="K411" s="17"/>
      <c r="L411" s="17"/>
      <c r="M411" s="28"/>
      <c r="N411" s="28"/>
      <c r="O411" s="3"/>
      <c r="P411" s="3"/>
      <c r="Q411" s="3"/>
      <c r="R411" s="17"/>
      <c r="S411" s="17"/>
      <c r="T411" s="17"/>
      <c r="U411" s="17"/>
      <c r="V411" s="17"/>
    </row>
    <row r="412" spans="3:22" ht="14.25" customHeight="1">
      <c r="C412" s="28"/>
      <c r="D412" s="29"/>
      <c r="E412" s="28"/>
      <c r="F412" s="3"/>
      <c r="G412" s="3"/>
      <c r="H412" s="3"/>
      <c r="I412" s="25"/>
      <c r="J412" s="25"/>
      <c r="K412" s="17"/>
      <c r="L412" s="17"/>
      <c r="M412" s="28"/>
      <c r="N412" s="28"/>
      <c r="O412" s="3"/>
      <c r="P412" s="3"/>
      <c r="Q412" s="3"/>
      <c r="R412" s="17"/>
      <c r="S412" s="17"/>
      <c r="T412" s="17"/>
      <c r="U412" s="17"/>
      <c r="V412" s="17"/>
    </row>
    <row r="413" spans="3:22" ht="14.25" customHeight="1">
      <c r="C413" s="28"/>
      <c r="D413" s="29"/>
      <c r="E413" s="28"/>
      <c r="F413" s="3"/>
      <c r="G413" s="3"/>
      <c r="H413" s="3"/>
      <c r="I413" s="25"/>
      <c r="J413" s="25"/>
      <c r="K413" s="17"/>
      <c r="L413" s="17"/>
      <c r="M413" s="28"/>
      <c r="N413" s="28"/>
      <c r="O413" s="3"/>
      <c r="P413" s="3"/>
      <c r="Q413" s="3"/>
      <c r="R413" s="17"/>
      <c r="S413" s="17"/>
      <c r="T413" s="17"/>
      <c r="U413" s="17"/>
      <c r="V413" s="17"/>
    </row>
    <row r="414" spans="3:22" ht="14.25" customHeight="1">
      <c r="C414" s="28"/>
      <c r="D414" s="29"/>
      <c r="E414" s="28"/>
      <c r="F414" s="3"/>
      <c r="G414" s="3"/>
      <c r="H414" s="3"/>
      <c r="I414" s="25"/>
      <c r="J414" s="25"/>
      <c r="K414" s="17"/>
      <c r="L414" s="17"/>
      <c r="M414" s="28"/>
      <c r="N414" s="28"/>
      <c r="O414" s="3"/>
      <c r="P414" s="3"/>
      <c r="Q414" s="3"/>
      <c r="R414" s="17"/>
      <c r="S414" s="17"/>
      <c r="T414" s="17"/>
      <c r="U414" s="17"/>
      <c r="V414" s="17"/>
    </row>
    <row r="415" spans="3:22" ht="14.25" customHeight="1">
      <c r="C415" s="28"/>
      <c r="D415" s="29"/>
      <c r="E415" s="28"/>
      <c r="F415" s="3"/>
      <c r="G415" s="3"/>
      <c r="H415" s="3"/>
      <c r="I415" s="25"/>
      <c r="J415" s="25"/>
      <c r="K415" s="17"/>
      <c r="L415" s="17"/>
      <c r="M415" s="28"/>
      <c r="N415" s="28"/>
      <c r="O415" s="3"/>
      <c r="P415" s="3"/>
      <c r="Q415" s="3"/>
      <c r="R415" s="17"/>
      <c r="S415" s="17"/>
      <c r="T415" s="17"/>
      <c r="U415" s="17"/>
      <c r="V415" s="17"/>
    </row>
    <row r="416" spans="3:22" ht="14.25" customHeight="1">
      <c r="C416" s="28"/>
      <c r="D416" s="29"/>
      <c r="E416" s="28"/>
      <c r="F416" s="3"/>
      <c r="G416" s="3"/>
      <c r="H416" s="3"/>
      <c r="I416" s="25"/>
      <c r="J416" s="25"/>
      <c r="K416" s="17"/>
      <c r="L416" s="17"/>
      <c r="M416" s="28"/>
      <c r="N416" s="28"/>
      <c r="O416" s="3"/>
      <c r="P416" s="3"/>
      <c r="Q416" s="3"/>
      <c r="R416" s="17"/>
      <c r="S416" s="17"/>
      <c r="T416" s="17"/>
      <c r="U416" s="17"/>
      <c r="V416" s="17"/>
    </row>
    <row r="417" spans="3:22" ht="14.25" customHeight="1">
      <c r="C417" s="28"/>
      <c r="D417" s="29"/>
      <c r="E417" s="28"/>
      <c r="F417" s="3"/>
      <c r="G417" s="3"/>
      <c r="H417" s="3"/>
      <c r="I417" s="25"/>
      <c r="J417" s="25"/>
      <c r="K417" s="17"/>
      <c r="L417" s="17"/>
      <c r="M417" s="28"/>
      <c r="N417" s="28"/>
      <c r="O417" s="3"/>
      <c r="P417" s="3"/>
      <c r="Q417" s="3"/>
      <c r="R417" s="17"/>
      <c r="S417" s="17"/>
      <c r="T417" s="17"/>
      <c r="U417" s="17"/>
      <c r="V417" s="17"/>
    </row>
    <row r="418" spans="3:22" ht="14.25" customHeight="1">
      <c r="C418" s="28"/>
      <c r="D418" s="29"/>
      <c r="E418" s="28"/>
      <c r="F418" s="3"/>
      <c r="G418" s="3"/>
      <c r="H418" s="3"/>
      <c r="I418" s="25"/>
      <c r="J418" s="25"/>
      <c r="K418" s="17"/>
      <c r="L418" s="17"/>
      <c r="M418" s="28"/>
      <c r="N418" s="28"/>
      <c r="O418" s="3"/>
      <c r="P418" s="3"/>
      <c r="Q418" s="3"/>
      <c r="R418" s="17"/>
      <c r="S418" s="17"/>
      <c r="T418" s="17"/>
      <c r="U418" s="17"/>
      <c r="V418" s="17"/>
    </row>
    <row r="419" spans="3:22" ht="14.25" customHeight="1">
      <c r="C419" s="28"/>
      <c r="D419" s="29"/>
      <c r="E419" s="28"/>
      <c r="F419" s="3"/>
      <c r="G419" s="3"/>
      <c r="H419" s="3"/>
      <c r="I419" s="25"/>
      <c r="J419" s="25"/>
      <c r="K419" s="17"/>
      <c r="L419" s="17"/>
      <c r="M419" s="28"/>
      <c r="N419" s="28"/>
      <c r="O419" s="3"/>
      <c r="P419" s="3"/>
      <c r="Q419" s="3"/>
      <c r="R419" s="17"/>
      <c r="S419" s="17"/>
      <c r="T419" s="17"/>
      <c r="U419" s="17"/>
      <c r="V419" s="17"/>
    </row>
    <row r="420" spans="3:22" ht="14.25" customHeight="1">
      <c r="C420" s="28"/>
      <c r="D420" s="29"/>
      <c r="E420" s="28"/>
      <c r="F420" s="3"/>
      <c r="G420" s="3"/>
      <c r="H420" s="3"/>
      <c r="I420" s="25"/>
      <c r="J420" s="25"/>
      <c r="K420" s="17"/>
      <c r="L420" s="17"/>
      <c r="M420" s="28"/>
      <c r="N420" s="28"/>
      <c r="O420" s="3"/>
      <c r="P420" s="3"/>
      <c r="Q420" s="3"/>
      <c r="R420" s="17"/>
      <c r="S420" s="17"/>
      <c r="T420" s="17"/>
      <c r="U420" s="17"/>
      <c r="V420" s="17"/>
    </row>
    <row r="421" spans="3:22" ht="14.25" customHeight="1">
      <c r="C421" s="28"/>
      <c r="D421" s="29"/>
      <c r="E421" s="28"/>
      <c r="F421" s="3"/>
      <c r="G421" s="3"/>
      <c r="H421" s="3"/>
      <c r="I421" s="25"/>
      <c r="J421" s="25"/>
      <c r="K421" s="17"/>
      <c r="L421" s="17"/>
      <c r="M421" s="28"/>
      <c r="N421" s="28"/>
      <c r="O421" s="3"/>
      <c r="P421" s="3"/>
      <c r="Q421" s="3"/>
      <c r="R421" s="17"/>
      <c r="S421" s="17"/>
      <c r="T421" s="17"/>
      <c r="U421" s="17"/>
      <c r="V421" s="17"/>
    </row>
    <row r="422" spans="3:22" ht="14.25" customHeight="1">
      <c r="C422" s="28"/>
      <c r="D422" s="29"/>
      <c r="E422" s="28"/>
      <c r="F422" s="3"/>
      <c r="G422" s="3"/>
      <c r="H422" s="3"/>
      <c r="I422" s="25"/>
      <c r="J422" s="25"/>
      <c r="K422" s="17"/>
      <c r="L422" s="17"/>
      <c r="M422" s="28"/>
      <c r="N422" s="28"/>
      <c r="O422" s="3"/>
      <c r="P422" s="3"/>
      <c r="Q422" s="3"/>
      <c r="R422" s="17"/>
      <c r="S422" s="17"/>
      <c r="T422" s="17"/>
      <c r="U422" s="17"/>
      <c r="V422" s="17"/>
    </row>
    <row r="423" spans="3:22" ht="14.25" customHeight="1">
      <c r="C423" s="28"/>
      <c r="D423" s="29"/>
      <c r="E423" s="28"/>
      <c r="F423" s="3"/>
      <c r="G423" s="3"/>
      <c r="H423" s="3"/>
      <c r="I423" s="25"/>
      <c r="J423" s="25"/>
      <c r="K423" s="17"/>
      <c r="L423" s="17"/>
      <c r="M423" s="28"/>
      <c r="N423" s="28"/>
      <c r="O423" s="3"/>
      <c r="P423" s="3"/>
      <c r="Q423" s="3"/>
      <c r="R423" s="17"/>
      <c r="S423" s="17"/>
      <c r="T423" s="17"/>
      <c r="U423" s="17"/>
      <c r="V423" s="17"/>
    </row>
    <row r="424" spans="3:22" ht="14.25" customHeight="1">
      <c r="C424" s="28"/>
      <c r="D424" s="29"/>
      <c r="E424" s="28"/>
      <c r="F424" s="3"/>
      <c r="G424" s="3"/>
      <c r="H424" s="3"/>
      <c r="I424" s="25"/>
      <c r="J424" s="25"/>
      <c r="K424" s="17"/>
      <c r="L424" s="17"/>
      <c r="M424" s="28"/>
      <c r="N424" s="28"/>
      <c r="O424" s="3"/>
      <c r="P424" s="3"/>
      <c r="Q424" s="3"/>
      <c r="R424" s="17"/>
      <c r="S424" s="17"/>
      <c r="T424" s="17"/>
      <c r="U424" s="17"/>
      <c r="V424" s="17"/>
    </row>
    <row r="425" spans="3:22" ht="14.25" customHeight="1">
      <c r="C425" s="28"/>
      <c r="D425" s="29"/>
      <c r="E425" s="28"/>
      <c r="F425" s="3"/>
      <c r="G425" s="3"/>
      <c r="H425" s="3"/>
      <c r="I425" s="25"/>
      <c r="J425" s="25"/>
      <c r="K425" s="17"/>
      <c r="L425" s="17"/>
      <c r="M425" s="28"/>
      <c r="N425" s="28"/>
      <c r="O425" s="3"/>
      <c r="P425" s="3"/>
      <c r="Q425" s="3"/>
      <c r="R425" s="17"/>
      <c r="S425" s="17"/>
      <c r="T425" s="17"/>
      <c r="U425" s="17"/>
      <c r="V425" s="17"/>
    </row>
    <row r="426" spans="3:22" ht="14.25" customHeight="1">
      <c r="C426" s="28"/>
      <c r="D426" s="29"/>
      <c r="E426" s="28"/>
      <c r="F426" s="3"/>
      <c r="G426" s="3"/>
      <c r="H426" s="3"/>
      <c r="I426" s="25"/>
      <c r="J426" s="25"/>
      <c r="K426" s="17"/>
      <c r="L426" s="17"/>
      <c r="M426" s="28"/>
      <c r="N426" s="28"/>
      <c r="O426" s="3"/>
      <c r="P426" s="3"/>
      <c r="Q426" s="3"/>
      <c r="R426" s="17"/>
      <c r="S426" s="17"/>
      <c r="T426" s="17"/>
      <c r="U426" s="17"/>
      <c r="V426" s="17"/>
    </row>
    <row r="427" spans="3:22" ht="14.25" customHeight="1">
      <c r="C427" s="28"/>
      <c r="D427" s="29"/>
      <c r="E427" s="28"/>
      <c r="F427" s="3"/>
      <c r="G427" s="3"/>
      <c r="H427" s="3"/>
      <c r="I427" s="25"/>
      <c r="J427" s="25"/>
      <c r="K427" s="17"/>
      <c r="L427" s="17"/>
      <c r="M427" s="28"/>
      <c r="N427" s="28"/>
      <c r="O427" s="3"/>
      <c r="P427" s="3"/>
      <c r="Q427" s="3"/>
      <c r="R427" s="17"/>
      <c r="S427" s="17"/>
      <c r="T427" s="17"/>
      <c r="U427" s="17"/>
      <c r="V427" s="17"/>
    </row>
    <row r="428" spans="3:22" ht="14.25" customHeight="1">
      <c r="C428" s="28"/>
      <c r="D428" s="29"/>
      <c r="E428" s="28"/>
      <c r="F428" s="3"/>
      <c r="G428" s="3"/>
      <c r="H428" s="3"/>
      <c r="I428" s="25"/>
      <c r="J428" s="25"/>
      <c r="K428" s="17"/>
      <c r="L428" s="17"/>
      <c r="M428" s="28"/>
      <c r="N428" s="28"/>
      <c r="O428" s="3"/>
      <c r="P428" s="3"/>
      <c r="Q428" s="3"/>
      <c r="R428" s="17"/>
      <c r="S428" s="17"/>
      <c r="T428" s="17"/>
      <c r="U428" s="17"/>
      <c r="V428" s="17"/>
    </row>
    <row r="429" spans="3:22" ht="14.25" customHeight="1">
      <c r="C429" s="28"/>
      <c r="D429" s="29"/>
      <c r="E429" s="28"/>
      <c r="F429" s="3"/>
      <c r="G429" s="3"/>
      <c r="H429" s="3"/>
      <c r="I429" s="25"/>
      <c r="J429" s="25"/>
      <c r="K429" s="17"/>
      <c r="L429" s="17"/>
      <c r="M429" s="28"/>
      <c r="N429" s="28"/>
      <c r="O429" s="3"/>
      <c r="P429" s="3"/>
      <c r="Q429" s="3"/>
      <c r="R429" s="17"/>
      <c r="S429" s="17"/>
      <c r="T429" s="17"/>
      <c r="U429" s="17"/>
      <c r="V429" s="17"/>
    </row>
    <row r="430" spans="3:22" ht="14.25" customHeight="1">
      <c r="C430" s="28"/>
      <c r="D430" s="29"/>
      <c r="E430" s="28"/>
      <c r="F430" s="3"/>
      <c r="G430" s="3"/>
      <c r="H430" s="3"/>
      <c r="I430" s="25"/>
      <c r="J430" s="25"/>
      <c r="K430" s="17"/>
      <c r="L430" s="17"/>
      <c r="M430" s="28"/>
      <c r="N430" s="28"/>
      <c r="O430" s="3"/>
      <c r="P430" s="3"/>
      <c r="Q430" s="3"/>
      <c r="R430" s="17"/>
      <c r="S430" s="17"/>
      <c r="T430" s="17"/>
      <c r="U430" s="17"/>
      <c r="V430" s="17"/>
    </row>
    <row r="431" spans="3:22" ht="14.25" customHeight="1">
      <c r="C431" s="28"/>
      <c r="D431" s="29"/>
      <c r="E431" s="28"/>
      <c r="F431" s="3"/>
      <c r="G431" s="3"/>
      <c r="H431" s="3"/>
      <c r="I431" s="25"/>
      <c r="J431" s="25"/>
      <c r="K431" s="17"/>
      <c r="L431" s="17"/>
      <c r="M431" s="28"/>
      <c r="N431" s="28"/>
      <c r="O431" s="3"/>
      <c r="P431" s="3"/>
      <c r="Q431" s="3"/>
      <c r="R431" s="17"/>
      <c r="S431" s="17"/>
      <c r="T431" s="17"/>
      <c r="U431" s="17"/>
      <c r="V431" s="17"/>
    </row>
    <row r="432" spans="3:22" ht="14.25" customHeight="1">
      <c r="C432" s="28"/>
      <c r="D432" s="29"/>
      <c r="E432" s="28"/>
      <c r="F432" s="3"/>
      <c r="G432" s="3"/>
      <c r="H432" s="3"/>
      <c r="I432" s="25"/>
      <c r="J432" s="25"/>
      <c r="K432" s="17"/>
      <c r="L432" s="17"/>
      <c r="M432" s="28"/>
      <c r="N432" s="28"/>
      <c r="O432" s="3"/>
      <c r="P432" s="3"/>
      <c r="Q432" s="3"/>
      <c r="R432" s="17"/>
      <c r="S432" s="17"/>
      <c r="T432" s="17"/>
      <c r="U432" s="17"/>
      <c r="V432" s="17"/>
    </row>
    <row r="433" spans="3:22" ht="14.25" customHeight="1">
      <c r="C433" s="28"/>
      <c r="D433" s="29"/>
      <c r="E433" s="28"/>
      <c r="F433" s="3"/>
      <c r="G433" s="3"/>
      <c r="H433" s="3"/>
      <c r="I433" s="25"/>
      <c r="J433" s="25"/>
      <c r="K433" s="17"/>
      <c r="L433" s="17"/>
      <c r="M433" s="28"/>
      <c r="N433" s="28"/>
      <c r="O433" s="3"/>
      <c r="P433" s="3"/>
      <c r="Q433" s="3"/>
      <c r="R433" s="17"/>
      <c r="S433" s="17"/>
      <c r="T433" s="17"/>
      <c r="U433" s="17"/>
      <c r="V433" s="17"/>
    </row>
    <row r="434" spans="3:22" ht="14.25" customHeight="1">
      <c r="C434" s="28"/>
      <c r="D434" s="29"/>
      <c r="E434" s="28"/>
      <c r="F434" s="3"/>
      <c r="G434" s="3"/>
      <c r="H434" s="3"/>
      <c r="I434" s="25"/>
      <c r="J434" s="25"/>
      <c r="K434" s="17"/>
      <c r="L434" s="17"/>
      <c r="M434" s="28"/>
      <c r="N434" s="28"/>
      <c r="O434" s="3"/>
      <c r="P434" s="3"/>
      <c r="Q434" s="3"/>
      <c r="R434" s="17"/>
      <c r="S434" s="17"/>
      <c r="T434" s="17"/>
      <c r="U434" s="17"/>
      <c r="V434" s="17"/>
    </row>
    <row r="435" spans="3:22" ht="14.25" customHeight="1">
      <c r="C435" s="28"/>
      <c r="D435" s="29"/>
      <c r="E435" s="28"/>
      <c r="F435" s="3"/>
      <c r="G435" s="3"/>
      <c r="H435" s="3"/>
      <c r="I435" s="25"/>
      <c r="J435" s="25"/>
      <c r="K435" s="17"/>
      <c r="L435" s="17"/>
      <c r="M435" s="28"/>
      <c r="N435" s="28"/>
      <c r="O435" s="3"/>
      <c r="P435" s="3"/>
      <c r="Q435" s="3"/>
      <c r="R435" s="17"/>
      <c r="S435" s="17"/>
      <c r="T435" s="17"/>
      <c r="U435" s="17"/>
      <c r="V435" s="17"/>
    </row>
    <row r="436" spans="3:22" ht="14.25" customHeight="1">
      <c r="C436" s="28"/>
      <c r="D436" s="29"/>
      <c r="E436" s="28"/>
      <c r="F436" s="3"/>
      <c r="G436" s="3"/>
      <c r="H436" s="3"/>
      <c r="I436" s="25"/>
      <c r="J436" s="25"/>
      <c r="K436" s="17"/>
      <c r="L436" s="17"/>
      <c r="M436" s="28"/>
      <c r="N436" s="28"/>
      <c r="O436" s="3"/>
      <c r="P436" s="3"/>
      <c r="Q436" s="3"/>
      <c r="R436" s="17"/>
      <c r="S436" s="17"/>
      <c r="T436" s="17"/>
      <c r="U436" s="17"/>
      <c r="V436" s="17"/>
    </row>
    <row r="437" spans="3:22" ht="14.25" customHeight="1">
      <c r="C437" s="28"/>
      <c r="D437" s="29"/>
      <c r="E437" s="28"/>
      <c r="F437" s="3"/>
      <c r="G437" s="3"/>
      <c r="H437" s="3"/>
      <c r="I437" s="25"/>
      <c r="J437" s="25"/>
      <c r="K437" s="17"/>
      <c r="L437" s="17"/>
      <c r="M437" s="28"/>
      <c r="N437" s="28"/>
      <c r="O437" s="3"/>
      <c r="P437" s="3"/>
      <c r="Q437" s="3"/>
      <c r="R437" s="17"/>
      <c r="S437" s="17"/>
      <c r="T437" s="17"/>
      <c r="U437" s="17"/>
      <c r="V437" s="17"/>
    </row>
    <row r="438" spans="3:22" ht="14.25" customHeight="1">
      <c r="C438" s="28"/>
      <c r="D438" s="29"/>
      <c r="E438" s="28"/>
      <c r="F438" s="3"/>
      <c r="G438" s="3"/>
      <c r="H438" s="3"/>
      <c r="I438" s="25"/>
      <c r="J438" s="25"/>
      <c r="K438" s="17"/>
      <c r="L438" s="17"/>
      <c r="M438" s="28"/>
      <c r="N438" s="28"/>
      <c r="O438" s="3"/>
      <c r="P438" s="3"/>
      <c r="Q438" s="3"/>
      <c r="R438" s="17"/>
      <c r="S438" s="17"/>
      <c r="T438" s="17"/>
      <c r="U438" s="17"/>
      <c r="V438" s="17"/>
    </row>
    <row r="439" spans="3:22" ht="14.25" customHeight="1">
      <c r="C439" s="28"/>
      <c r="D439" s="29"/>
      <c r="E439" s="28"/>
      <c r="F439" s="3"/>
      <c r="G439" s="3"/>
      <c r="H439" s="3"/>
      <c r="I439" s="25"/>
      <c r="J439" s="25"/>
      <c r="K439" s="17"/>
      <c r="L439" s="17"/>
      <c r="M439" s="28"/>
      <c r="N439" s="28"/>
      <c r="O439" s="3"/>
      <c r="P439" s="3"/>
      <c r="Q439" s="3"/>
      <c r="R439" s="17"/>
      <c r="S439" s="17"/>
      <c r="T439" s="17"/>
      <c r="U439" s="17"/>
      <c r="V439" s="17"/>
    </row>
    <row r="440" spans="3:22" ht="14.25" customHeight="1">
      <c r="C440" s="28"/>
      <c r="D440" s="29"/>
      <c r="E440" s="28"/>
      <c r="F440" s="3"/>
      <c r="G440" s="3"/>
      <c r="H440" s="3"/>
      <c r="I440" s="25"/>
      <c r="J440" s="25"/>
      <c r="K440" s="17"/>
      <c r="L440" s="17"/>
      <c r="M440" s="28"/>
      <c r="N440" s="28"/>
      <c r="O440" s="3"/>
      <c r="P440" s="3"/>
      <c r="Q440" s="3"/>
      <c r="R440" s="17"/>
      <c r="S440" s="17"/>
      <c r="T440" s="17"/>
      <c r="U440" s="17"/>
      <c r="V440" s="17"/>
    </row>
    <row r="441" spans="3:22" ht="14.25" customHeight="1">
      <c r="C441" s="28"/>
      <c r="D441" s="29"/>
      <c r="E441" s="28"/>
      <c r="F441" s="3"/>
      <c r="G441" s="3"/>
      <c r="H441" s="3"/>
      <c r="I441" s="25"/>
      <c r="J441" s="25"/>
      <c r="K441" s="17"/>
      <c r="L441" s="17"/>
      <c r="M441" s="28"/>
      <c r="N441" s="28"/>
      <c r="O441" s="3"/>
      <c r="P441" s="3"/>
      <c r="Q441" s="3"/>
      <c r="R441" s="17"/>
      <c r="S441" s="17"/>
      <c r="T441" s="17"/>
      <c r="U441" s="17"/>
      <c r="V441" s="17"/>
    </row>
    <row r="442" spans="3:22" ht="14.25" customHeight="1">
      <c r="C442" s="28"/>
      <c r="D442" s="29"/>
      <c r="E442" s="28"/>
      <c r="F442" s="3"/>
      <c r="G442" s="3"/>
      <c r="H442" s="3"/>
      <c r="I442" s="25"/>
      <c r="J442" s="25"/>
      <c r="K442" s="17"/>
      <c r="L442" s="17"/>
      <c r="M442" s="28"/>
      <c r="N442" s="28"/>
      <c r="O442" s="3"/>
      <c r="P442" s="3"/>
      <c r="Q442" s="3"/>
      <c r="R442" s="17"/>
      <c r="S442" s="17"/>
      <c r="T442" s="17"/>
      <c r="U442" s="17"/>
      <c r="V442" s="17"/>
    </row>
    <row r="443" spans="3:22" ht="14.25" customHeight="1">
      <c r="C443" s="28"/>
      <c r="D443" s="29"/>
      <c r="E443" s="28"/>
      <c r="F443" s="3"/>
      <c r="G443" s="3"/>
      <c r="H443" s="3"/>
      <c r="I443" s="25"/>
      <c r="J443" s="25"/>
      <c r="K443" s="17"/>
      <c r="L443" s="17"/>
      <c r="M443" s="28"/>
      <c r="N443" s="28"/>
      <c r="O443" s="3"/>
      <c r="P443" s="3"/>
      <c r="Q443" s="3"/>
      <c r="R443" s="17"/>
      <c r="S443" s="17"/>
      <c r="T443" s="17"/>
      <c r="U443" s="17"/>
      <c r="V443" s="17"/>
    </row>
    <row r="444" spans="3:22" ht="14.25" customHeight="1">
      <c r="C444" s="28"/>
      <c r="D444" s="29"/>
      <c r="E444" s="28"/>
      <c r="F444" s="3"/>
      <c r="G444" s="3"/>
      <c r="H444" s="3"/>
      <c r="I444" s="25"/>
      <c r="J444" s="25"/>
      <c r="K444" s="17"/>
      <c r="L444" s="17"/>
      <c r="M444" s="28"/>
      <c r="N444" s="28"/>
      <c r="O444" s="3"/>
      <c r="P444" s="3"/>
      <c r="Q444" s="3"/>
      <c r="R444" s="17"/>
      <c r="S444" s="17"/>
      <c r="T444" s="17"/>
      <c r="U444" s="17"/>
      <c r="V444" s="17"/>
    </row>
    <row r="445" spans="3:22" ht="14.25" customHeight="1">
      <c r="C445" s="28"/>
      <c r="D445" s="29"/>
      <c r="E445" s="28"/>
      <c r="F445" s="3"/>
      <c r="G445" s="3"/>
      <c r="H445" s="3"/>
      <c r="I445" s="25"/>
      <c r="J445" s="25"/>
      <c r="K445" s="17"/>
      <c r="L445" s="17"/>
      <c r="M445" s="28"/>
      <c r="N445" s="28"/>
      <c r="O445" s="3"/>
      <c r="P445" s="3"/>
      <c r="Q445" s="3"/>
      <c r="R445" s="17"/>
      <c r="S445" s="17"/>
      <c r="T445" s="17"/>
      <c r="U445" s="17"/>
      <c r="V445" s="17"/>
    </row>
    <row r="446" spans="3:22" ht="14.25" customHeight="1">
      <c r="C446" s="28"/>
      <c r="D446" s="29"/>
      <c r="E446" s="28"/>
      <c r="F446" s="3"/>
      <c r="G446" s="3"/>
      <c r="H446" s="3"/>
      <c r="I446" s="25"/>
      <c r="J446" s="25"/>
      <c r="K446" s="17"/>
      <c r="L446" s="17"/>
      <c r="M446" s="28"/>
      <c r="N446" s="28"/>
      <c r="O446" s="3"/>
      <c r="P446" s="3"/>
      <c r="Q446" s="3"/>
      <c r="R446" s="17"/>
      <c r="S446" s="17"/>
      <c r="T446" s="17"/>
      <c r="U446" s="17"/>
      <c r="V446" s="17"/>
    </row>
    <row r="447" spans="3:22" ht="14.25" customHeight="1">
      <c r="C447" s="28"/>
      <c r="D447" s="29"/>
      <c r="E447" s="28"/>
      <c r="F447" s="3"/>
      <c r="G447" s="3"/>
      <c r="H447" s="3"/>
      <c r="I447" s="25"/>
      <c r="J447" s="25"/>
      <c r="K447" s="17"/>
      <c r="L447" s="17"/>
      <c r="M447" s="28"/>
      <c r="N447" s="28"/>
      <c r="O447" s="3"/>
      <c r="P447" s="3"/>
      <c r="Q447" s="3"/>
      <c r="R447" s="17"/>
      <c r="S447" s="17"/>
      <c r="T447" s="17"/>
      <c r="U447" s="17"/>
      <c r="V447" s="17"/>
    </row>
    <row r="448" spans="3:22" ht="14.25" customHeight="1">
      <c r="C448" s="28"/>
      <c r="D448" s="29"/>
      <c r="E448" s="28"/>
      <c r="F448" s="3"/>
      <c r="G448" s="3"/>
      <c r="H448" s="3"/>
      <c r="I448" s="25"/>
      <c r="J448" s="25"/>
      <c r="K448" s="17"/>
      <c r="L448" s="17"/>
      <c r="M448" s="28"/>
      <c r="N448" s="28"/>
      <c r="O448" s="3"/>
      <c r="P448" s="3"/>
      <c r="Q448" s="3"/>
      <c r="R448" s="17"/>
      <c r="S448" s="17"/>
      <c r="T448" s="17"/>
      <c r="U448" s="17"/>
      <c r="V448" s="17"/>
    </row>
    <row r="449" spans="3:22" ht="14.25" customHeight="1">
      <c r="C449" s="28"/>
      <c r="D449" s="29"/>
      <c r="E449" s="28"/>
      <c r="F449" s="3"/>
      <c r="G449" s="3"/>
      <c r="H449" s="3"/>
      <c r="I449" s="25"/>
      <c r="J449" s="25"/>
      <c r="K449" s="17"/>
      <c r="L449" s="17"/>
      <c r="M449" s="28"/>
      <c r="N449" s="28"/>
      <c r="O449" s="3"/>
      <c r="P449" s="3"/>
      <c r="Q449" s="3"/>
      <c r="R449" s="17"/>
      <c r="S449" s="17"/>
      <c r="T449" s="17"/>
      <c r="U449" s="17"/>
      <c r="V449" s="17"/>
    </row>
    <row r="450" spans="3:22" ht="14.25" customHeight="1">
      <c r="C450" s="28"/>
      <c r="D450" s="29"/>
      <c r="E450" s="28"/>
      <c r="F450" s="3"/>
      <c r="G450" s="3"/>
      <c r="H450" s="3"/>
      <c r="I450" s="25"/>
      <c r="J450" s="25"/>
      <c r="K450" s="17"/>
      <c r="L450" s="17"/>
      <c r="M450" s="28"/>
      <c r="N450" s="28"/>
      <c r="O450" s="3"/>
      <c r="P450" s="3"/>
      <c r="Q450" s="3"/>
      <c r="R450" s="17"/>
      <c r="S450" s="17"/>
      <c r="T450" s="17"/>
      <c r="U450" s="17"/>
      <c r="V450" s="17"/>
    </row>
    <row r="451" spans="3:22" ht="14.25" customHeight="1">
      <c r="C451" s="28"/>
      <c r="D451" s="29"/>
      <c r="E451" s="28"/>
      <c r="F451" s="3"/>
      <c r="G451" s="3"/>
      <c r="H451" s="3"/>
      <c r="I451" s="25"/>
      <c r="J451" s="25"/>
      <c r="K451" s="17"/>
      <c r="L451" s="17"/>
      <c r="M451" s="28"/>
      <c r="N451" s="28"/>
      <c r="O451" s="3"/>
      <c r="P451" s="3"/>
      <c r="Q451" s="3"/>
      <c r="R451" s="17"/>
      <c r="S451" s="17"/>
      <c r="T451" s="17"/>
      <c r="U451" s="17"/>
      <c r="V451" s="17"/>
    </row>
    <row r="452" spans="3:22" ht="14.25" customHeight="1">
      <c r="C452" s="28"/>
      <c r="D452" s="29"/>
      <c r="E452" s="28"/>
      <c r="F452" s="3"/>
      <c r="G452" s="3"/>
      <c r="H452" s="3"/>
      <c r="I452" s="25"/>
      <c r="J452" s="25"/>
      <c r="K452" s="17"/>
      <c r="L452" s="17"/>
      <c r="M452" s="28"/>
      <c r="N452" s="28"/>
      <c r="O452" s="3"/>
      <c r="P452" s="3"/>
      <c r="Q452" s="3"/>
      <c r="R452" s="17"/>
      <c r="S452" s="17"/>
      <c r="T452" s="17"/>
      <c r="U452" s="17"/>
      <c r="V452" s="17"/>
    </row>
    <row r="453" spans="3:22" ht="14.25" customHeight="1">
      <c r="C453" s="28"/>
      <c r="D453" s="29"/>
      <c r="E453" s="28"/>
      <c r="F453" s="3"/>
      <c r="G453" s="3"/>
      <c r="H453" s="3"/>
      <c r="I453" s="25"/>
      <c r="J453" s="25"/>
      <c r="K453" s="17"/>
      <c r="L453" s="17"/>
      <c r="M453" s="28"/>
      <c r="N453" s="28"/>
      <c r="O453" s="3"/>
      <c r="P453" s="3"/>
      <c r="Q453" s="3"/>
      <c r="R453" s="17"/>
      <c r="S453" s="17"/>
      <c r="T453" s="17"/>
      <c r="U453" s="17"/>
      <c r="V453" s="17"/>
    </row>
    <row r="454" spans="3:22" ht="14.25" customHeight="1">
      <c r="C454" s="28"/>
      <c r="D454" s="29"/>
      <c r="E454" s="28"/>
      <c r="F454" s="3"/>
      <c r="G454" s="3"/>
      <c r="H454" s="3"/>
      <c r="I454" s="25"/>
      <c r="J454" s="25"/>
      <c r="K454" s="17"/>
      <c r="L454" s="17"/>
      <c r="M454" s="28"/>
      <c r="N454" s="28"/>
      <c r="O454" s="3"/>
      <c r="P454" s="3"/>
      <c r="Q454" s="3"/>
      <c r="R454" s="17"/>
      <c r="S454" s="17"/>
      <c r="T454" s="17"/>
      <c r="U454" s="17"/>
      <c r="V454" s="17"/>
    </row>
    <row r="455" spans="3:22" ht="14.25" customHeight="1">
      <c r="C455" s="28"/>
      <c r="D455" s="29"/>
      <c r="E455" s="28"/>
      <c r="F455" s="3"/>
      <c r="G455" s="3"/>
      <c r="H455" s="3"/>
      <c r="I455" s="25"/>
      <c r="J455" s="25"/>
      <c r="K455" s="17"/>
      <c r="L455" s="17"/>
      <c r="M455" s="28"/>
      <c r="N455" s="28"/>
      <c r="O455" s="3"/>
      <c r="P455" s="3"/>
      <c r="Q455" s="3"/>
      <c r="R455" s="17"/>
      <c r="S455" s="17"/>
      <c r="T455" s="17"/>
      <c r="U455" s="17"/>
      <c r="V455" s="17"/>
    </row>
    <row r="456" spans="3:22" ht="14.25" customHeight="1">
      <c r="C456" s="28"/>
      <c r="D456" s="29"/>
      <c r="E456" s="28"/>
      <c r="F456" s="3"/>
      <c r="G456" s="3"/>
      <c r="H456" s="3"/>
      <c r="I456" s="25"/>
      <c r="J456" s="25"/>
      <c r="K456" s="17"/>
      <c r="L456" s="17"/>
      <c r="M456" s="28"/>
      <c r="N456" s="28"/>
      <c r="O456" s="3"/>
      <c r="P456" s="3"/>
      <c r="Q456" s="3"/>
      <c r="R456" s="17"/>
      <c r="S456" s="17"/>
      <c r="T456" s="17"/>
      <c r="U456" s="17"/>
      <c r="V456" s="17"/>
    </row>
    <row r="457" spans="3:22" ht="14.25" customHeight="1">
      <c r="C457" s="28"/>
      <c r="D457" s="29"/>
      <c r="E457" s="28"/>
      <c r="F457" s="3"/>
      <c r="G457" s="3"/>
      <c r="H457" s="3"/>
      <c r="I457" s="25"/>
      <c r="J457" s="25"/>
      <c r="K457" s="17"/>
      <c r="L457" s="17"/>
      <c r="M457" s="28"/>
      <c r="N457" s="28"/>
      <c r="O457" s="3"/>
      <c r="P457" s="3"/>
      <c r="Q457" s="3"/>
      <c r="R457" s="17"/>
      <c r="S457" s="17"/>
      <c r="T457" s="17"/>
      <c r="U457" s="17"/>
      <c r="V457" s="17"/>
    </row>
    <row r="458" spans="3:22" ht="14.25" customHeight="1">
      <c r="C458" s="28"/>
      <c r="D458" s="29"/>
      <c r="E458" s="28"/>
      <c r="F458" s="3"/>
      <c r="G458" s="3"/>
      <c r="H458" s="3"/>
      <c r="I458" s="25"/>
      <c r="J458" s="25"/>
      <c r="K458" s="17"/>
      <c r="L458" s="17"/>
      <c r="M458" s="28"/>
      <c r="N458" s="28"/>
      <c r="O458" s="3"/>
      <c r="P458" s="3"/>
      <c r="Q458" s="3"/>
      <c r="R458" s="17"/>
      <c r="S458" s="17"/>
      <c r="T458" s="17"/>
      <c r="U458" s="17"/>
      <c r="V458" s="17"/>
    </row>
    <row r="459" spans="3:22" ht="14.25" customHeight="1">
      <c r="C459" s="28"/>
      <c r="D459" s="29"/>
      <c r="E459" s="28"/>
      <c r="F459" s="3"/>
      <c r="G459" s="3"/>
      <c r="H459" s="3"/>
      <c r="I459" s="25"/>
      <c r="J459" s="25"/>
      <c r="K459" s="17"/>
      <c r="L459" s="17"/>
      <c r="M459" s="28"/>
      <c r="N459" s="28"/>
      <c r="O459" s="3"/>
      <c r="P459" s="3"/>
      <c r="Q459" s="3"/>
      <c r="R459" s="17"/>
      <c r="S459" s="17"/>
      <c r="T459" s="17"/>
      <c r="U459" s="17"/>
      <c r="V459" s="17"/>
    </row>
    <row r="460" spans="3:22" ht="14.25" customHeight="1">
      <c r="C460" s="28"/>
      <c r="D460" s="29"/>
      <c r="E460" s="28"/>
      <c r="F460" s="3"/>
      <c r="G460" s="3"/>
      <c r="H460" s="3"/>
      <c r="I460" s="25"/>
      <c r="J460" s="25"/>
      <c r="K460" s="17"/>
      <c r="L460" s="17"/>
      <c r="M460" s="28"/>
      <c r="N460" s="28"/>
      <c r="O460" s="3"/>
      <c r="P460" s="3"/>
      <c r="Q460" s="3"/>
      <c r="R460" s="17"/>
      <c r="S460" s="17"/>
      <c r="T460" s="17"/>
      <c r="U460" s="17"/>
      <c r="V460" s="17"/>
    </row>
    <row r="461" spans="3:22" ht="14.25" customHeight="1">
      <c r="C461" s="28"/>
      <c r="D461" s="29"/>
      <c r="E461" s="28"/>
      <c r="F461" s="3"/>
      <c r="G461" s="3"/>
      <c r="H461" s="3"/>
      <c r="I461" s="25"/>
      <c r="J461" s="25"/>
      <c r="K461" s="17"/>
      <c r="L461" s="17"/>
      <c r="M461" s="28"/>
      <c r="N461" s="28"/>
      <c r="O461" s="3"/>
      <c r="P461" s="3"/>
      <c r="Q461" s="3"/>
      <c r="R461" s="17"/>
      <c r="S461" s="17"/>
      <c r="T461" s="17"/>
      <c r="U461" s="17"/>
      <c r="V461" s="17"/>
    </row>
    <row r="462" spans="3:22" ht="14.25" customHeight="1">
      <c r="C462" s="28"/>
      <c r="D462" s="29"/>
      <c r="E462" s="28"/>
      <c r="F462" s="3"/>
      <c r="G462" s="3"/>
      <c r="H462" s="3"/>
      <c r="I462" s="25"/>
      <c r="J462" s="25"/>
      <c r="K462" s="17"/>
      <c r="L462" s="17"/>
      <c r="M462" s="28"/>
      <c r="N462" s="28"/>
      <c r="O462" s="3"/>
      <c r="P462" s="3"/>
      <c r="Q462" s="3"/>
      <c r="R462" s="17"/>
      <c r="S462" s="17"/>
      <c r="T462" s="17"/>
      <c r="U462" s="17"/>
      <c r="V462" s="17"/>
    </row>
    <row r="463" spans="3:22" ht="14.25" customHeight="1">
      <c r="C463" s="28"/>
      <c r="D463" s="29"/>
      <c r="E463" s="28"/>
      <c r="F463" s="3"/>
      <c r="G463" s="3"/>
      <c r="H463" s="3"/>
      <c r="I463" s="25"/>
      <c r="J463" s="25"/>
      <c r="K463" s="17"/>
      <c r="L463" s="17"/>
      <c r="M463" s="28"/>
      <c r="N463" s="28"/>
      <c r="O463" s="3"/>
      <c r="P463" s="3"/>
      <c r="Q463" s="3"/>
      <c r="R463" s="17"/>
      <c r="S463" s="17"/>
      <c r="T463" s="17"/>
      <c r="U463" s="17"/>
      <c r="V463" s="17"/>
    </row>
    <row r="464" spans="3:22" ht="14.25" customHeight="1">
      <c r="C464" s="28"/>
      <c r="D464" s="29"/>
      <c r="E464" s="28"/>
      <c r="F464" s="3"/>
      <c r="G464" s="3"/>
      <c r="H464" s="3"/>
      <c r="I464" s="25"/>
      <c r="J464" s="25"/>
      <c r="K464" s="17"/>
      <c r="L464" s="17"/>
      <c r="M464" s="28"/>
      <c r="N464" s="28"/>
      <c r="O464" s="3"/>
      <c r="P464" s="3"/>
      <c r="Q464" s="3"/>
      <c r="R464" s="17"/>
      <c r="S464" s="17"/>
      <c r="T464" s="17"/>
      <c r="U464" s="17"/>
      <c r="V464" s="17"/>
    </row>
    <row r="465" spans="3:22" ht="14.25" customHeight="1">
      <c r="C465" s="28"/>
      <c r="D465" s="29"/>
      <c r="E465" s="28"/>
      <c r="F465" s="3"/>
      <c r="G465" s="3"/>
      <c r="H465" s="3"/>
      <c r="I465" s="25"/>
      <c r="J465" s="25"/>
      <c r="K465" s="17"/>
      <c r="L465" s="17"/>
      <c r="M465" s="28"/>
      <c r="N465" s="28"/>
      <c r="O465" s="3"/>
      <c r="P465" s="3"/>
      <c r="Q465" s="3"/>
      <c r="R465" s="17"/>
      <c r="S465" s="17"/>
      <c r="T465" s="17"/>
      <c r="U465" s="17"/>
      <c r="V465" s="17"/>
    </row>
    <row r="466" spans="3:22" ht="14.25" customHeight="1">
      <c r="C466" s="28"/>
      <c r="D466" s="29"/>
      <c r="E466" s="28"/>
      <c r="F466" s="3"/>
      <c r="G466" s="3"/>
      <c r="H466" s="3"/>
      <c r="I466" s="25"/>
      <c r="J466" s="25"/>
      <c r="K466" s="17"/>
      <c r="L466" s="17"/>
      <c r="M466" s="28"/>
      <c r="N466" s="28"/>
      <c r="O466" s="3"/>
      <c r="P466" s="3"/>
      <c r="Q466" s="3"/>
      <c r="R466" s="17"/>
      <c r="S466" s="17"/>
      <c r="T466" s="17"/>
      <c r="U466" s="17"/>
      <c r="V466" s="17"/>
    </row>
    <row r="467" spans="3:22" ht="14.25" customHeight="1">
      <c r="C467" s="28"/>
      <c r="D467" s="29"/>
      <c r="E467" s="28"/>
      <c r="F467" s="3"/>
      <c r="G467" s="3"/>
      <c r="H467" s="3"/>
      <c r="I467" s="25"/>
      <c r="J467" s="25"/>
      <c r="K467" s="17"/>
      <c r="L467" s="17"/>
      <c r="M467" s="28"/>
      <c r="N467" s="28"/>
      <c r="O467" s="3"/>
      <c r="P467" s="3"/>
      <c r="Q467" s="3"/>
      <c r="R467" s="17"/>
      <c r="S467" s="17"/>
      <c r="T467" s="17"/>
      <c r="U467" s="17"/>
      <c r="V467" s="17"/>
    </row>
    <row r="468" spans="3:22" ht="14.25" customHeight="1">
      <c r="C468" s="28"/>
      <c r="D468" s="29"/>
      <c r="E468" s="28"/>
      <c r="F468" s="3"/>
      <c r="G468" s="3"/>
      <c r="H468" s="3"/>
      <c r="I468" s="25"/>
      <c r="J468" s="25"/>
      <c r="K468" s="17"/>
      <c r="L468" s="17"/>
      <c r="M468" s="28"/>
      <c r="N468" s="28"/>
      <c r="O468" s="3"/>
      <c r="P468" s="3"/>
      <c r="Q468" s="3"/>
      <c r="R468" s="17"/>
      <c r="S468" s="17"/>
      <c r="T468" s="17"/>
      <c r="U468" s="17"/>
      <c r="V468" s="17"/>
    </row>
    <row r="469" spans="3:22" ht="14.25" customHeight="1">
      <c r="C469" s="28"/>
      <c r="D469" s="29"/>
      <c r="E469" s="28"/>
      <c r="F469" s="3"/>
      <c r="G469" s="3"/>
      <c r="H469" s="3"/>
      <c r="I469" s="25"/>
      <c r="J469" s="25"/>
      <c r="K469" s="17"/>
      <c r="L469" s="17"/>
      <c r="M469" s="28"/>
      <c r="N469" s="28"/>
      <c r="O469" s="3"/>
      <c r="P469" s="3"/>
      <c r="Q469" s="3"/>
      <c r="R469" s="17"/>
      <c r="S469" s="17"/>
      <c r="T469" s="17"/>
      <c r="U469" s="17"/>
      <c r="V469" s="17"/>
    </row>
    <row r="470" spans="3:22" ht="14.25" customHeight="1">
      <c r="C470" s="28"/>
      <c r="D470" s="29"/>
      <c r="E470" s="28"/>
      <c r="F470" s="3"/>
      <c r="G470" s="3"/>
      <c r="H470" s="3"/>
      <c r="I470" s="25"/>
      <c r="J470" s="25"/>
      <c r="K470" s="17"/>
      <c r="L470" s="17"/>
      <c r="M470" s="28"/>
      <c r="N470" s="28"/>
      <c r="O470" s="3"/>
      <c r="P470" s="3"/>
      <c r="Q470" s="3"/>
      <c r="R470" s="17"/>
      <c r="S470" s="17"/>
      <c r="T470" s="17"/>
      <c r="U470" s="17"/>
      <c r="V470" s="17"/>
    </row>
    <row r="471" spans="3:22" ht="14.25" customHeight="1">
      <c r="C471" s="28"/>
      <c r="D471" s="29"/>
      <c r="E471" s="28"/>
      <c r="F471" s="3"/>
      <c r="G471" s="3"/>
      <c r="H471" s="3"/>
      <c r="I471" s="25"/>
      <c r="J471" s="25"/>
      <c r="K471" s="17"/>
      <c r="L471" s="17"/>
      <c r="M471" s="28"/>
      <c r="N471" s="28"/>
      <c r="O471" s="3"/>
      <c r="P471" s="3"/>
      <c r="Q471" s="3"/>
      <c r="R471" s="17"/>
      <c r="S471" s="17"/>
      <c r="T471" s="17"/>
      <c r="U471" s="17"/>
      <c r="V471" s="17"/>
    </row>
    <row r="472" spans="3:22" ht="14.25" customHeight="1">
      <c r="C472" s="28"/>
      <c r="D472" s="29"/>
      <c r="E472" s="28"/>
      <c r="F472" s="3"/>
      <c r="G472" s="3"/>
      <c r="H472" s="3"/>
      <c r="I472" s="25"/>
      <c r="J472" s="25"/>
      <c r="K472" s="17"/>
      <c r="L472" s="17"/>
      <c r="M472" s="28"/>
      <c r="N472" s="28"/>
      <c r="O472" s="3"/>
      <c r="P472" s="3"/>
      <c r="Q472" s="3"/>
      <c r="R472" s="17"/>
      <c r="S472" s="17"/>
      <c r="T472" s="17"/>
      <c r="U472" s="17"/>
      <c r="V472" s="17"/>
    </row>
    <row r="473" spans="3:22" ht="14.25" customHeight="1">
      <c r="C473" s="28"/>
      <c r="D473" s="29"/>
      <c r="E473" s="28"/>
      <c r="F473" s="3"/>
      <c r="G473" s="3"/>
      <c r="H473" s="3"/>
      <c r="I473" s="25"/>
      <c r="J473" s="25"/>
      <c r="K473" s="17"/>
      <c r="L473" s="17"/>
      <c r="M473" s="28"/>
      <c r="N473" s="28"/>
      <c r="O473" s="3"/>
      <c r="P473" s="3"/>
      <c r="Q473" s="3"/>
      <c r="R473" s="17"/>
      <c r="S473" s="17"/>
      <c r="T473" s="17"/>
      <c r="U473" s="17"/>
      <c r="V473" s="17"/>
    </row>
    <row r="474" spans="3:22" ht="14.25" customHeight="1">
      <c r="C474" s="28"/>
      <c r="D474" s="29"/>
      <c r="E474" s="28"/>
      <c r="F474" s="3"/>
      <c r="G474" s="3"/>
      <c r="H474" s="3"/>
      <c r="I474" s="25"/>
      <c r="J474" s="25"/>
      <c r="K474" s="17"/>
      <c r="L474" s="17"/>
      <c r="M474" s="28"/>
      <c r="N474" s="28"/>
      <c r="O474" s="3"/>
      <c r="P474" s="3"/>
      <c r="Q474" s="3"/>
      <c r="R474" s="17"/>
      <c r="S474" s="17"/>
      <c r="T474" s="17"/>
      <c r="U474" s="17"/>
      <c r="V474" s="17"/>
    </row>
    <row r="475" spans="3:22" ht="14.25" customHeight="1">
      <c r="C475" s="28"/>
      <c r="D475" s="29"/>
      <c r="E475" s="28"/>
      <c r="F475" s="3"/>
      <c r="G475" s="3"/>
      <c r="H475" s="3"/>
      <c r="I475" s="25"/>
      <c r="J475" s="25"/>
      <c r="K475" s="17"/>
      <c r="L475" s="17"/>
      <c r="M475" s="28"/>
      <c r="N475" s="28"/>
      <c r="O475" s="3"/>
      <c r="P475" s="3"/>
      <c r="Q475" s="3"/>
      <c r="R475" s="17"/>
      <c r="S475" s="17"/>
      <c r="T475" s="17"/>
      <c r="U475" s="17"/>
      <c r="V475" s="17"/>
    </row>
    <row r="476" spans="3:22" ht="14.25" customHeight="1">
      <c r="C476" s="28"/>
      <c r="D476" s="29"/>
      <c r="E476" s="28"/>
      <c r="F476" s="3"/>
      <c r="G476" s="3"/>
      <c r="H476" s="3"/>
      <c r="I476" s="25"/>
      <c r="J476" s="25"/>
      <c r="K476" s="17"/>
      <c r="L476" s="17"/>
      <c r="M476" s="28"/>
      <c r="N476" s="28"/>
      <c r="O476" s="3"/>
      <c r="P476" s="3"/>
      <c r="Q476" s="3"/>
      <c r="R476" s="17"/>
      <c r="S476" s="17"/>
      <c r="T476" s="17"/>
      <c r="U476" s="17"/>
      <c r="V476" s="17"/>
    </row>
    <row r="477" spans="3:22" ht="14.25" customHeight="1">
      <c r="C477" s="28"/>
      <c r="D477" s="29"/>
      <c r="E477" s="28"/>
      <c r="F477" s="3"/>
      <c r="G477" s="3"/>
      <c r="H477" s="3"/>
      <c r="I477" s="25"/>
      <c r="J477" s="25"/>
      <c r="K477" s="17"/>
      <c r="L477" s="17"/>
      <c r="M477" s="28"/>
      <c r="N477" s="28"/>
      <c r="O477" s="3"/>
      <c r="P477" s="3"/>
      <c r="Q477" s="3"/>
      <c r="R477" s="17"/>
      <c r="S477" s="17"/>
      <c r="T477" s="17"/>
      <c r="U477" s="17"/>
      <c r="V477" s="17"/>
    </row>
    <row r="478" spans="3:22" ht="14.25" customHeight="1">
      <c r="C478" s="28"/>
      <c r="D478" s="29"/>
      <c r="E478" s="28"/>
      <c r="F478" s="3"/>
      <c r="G478" s="3"/>
      <c r="H478" s="3"/>
      <c r="I478" s="25"/>
      <c r="J478" s="25"/>
      <c r="K478" s="17"/>
      <c r="L478" s="17"/>
      <c r="M478" s="28"/>
      <c r="N478" s="28"/>
      <c r="O478" s="3"/>
      <c r="P478" s="3"/>
      <c r="Q478" s="3"/>
      <c r="R478" s="17"/>
      <c r="S478" s="17"/>
      <c r="T478" s="17"/>
      <c r="U478" s="17"/>
      <c r="V478" s="17"/>
    </row>
    <row r="479" spans="3:22" ht="14.25" customHeight="1">
      <c r="C479" s="28"/>
      <c r="D479" s="29"/>
      <c r="E479" s="28"/>
      <c r="F479" s="3"/>
      <c r="G479" s="3"/>
      <c r="H479" s="3"/>
      <c r="I479" s="25"/>
      <c r="J479" s="25"/>
      <c r="K479" s="17"/>
      <c r="L479" s="17"/>
      <c r="M479" s="28"/>
      <c r="N479" s="28"/>
      <c r="O479" s="3"/>
      <c r="P479" s="3"/>
      <c r="Q479" s="3"/>
      <c r="R479" s="17"/>
      <c r="S479" s="17"/>
      <c r="T479" s="17"/>
      <c r="U479" s="17"/>
      <c r="V479" s="17"/>
    </row>
    <row r="480" spans="3:22" ht="14.25" customHeight="1">
      <c r="C480" s="28"/>
      <c r="D480" s="29"/>
      <c r="E480" s="28"/>
      <c r="F480" s="3"/>
      <c r="G480" s="3"/>
      <c r="H480" s="3"/>
      <c r="I480" s="25"/>
      <c r="J480" s="25"/>
      <c r="K480" s="17"/>
      <c r="L480" s="17"/>
      <c r="M480" s="28"/>
      <c r="N480" s="28"/>
      <c r="O480" s="3"/>
      <c r="P480" s="3"/>
      <c r="Q480" s="3"/>
      <c r="R480" s="17"/>
      <c r="S480" s="17"/>
      <c r="T480" s="17"/>
      <c r="U480" s="17"/>
      <c r="V480" s="17"/>
    </row>
    <row r="481" spans="3:22" ht="14.25" customHeight="1">
      <c r="C481" s="28"/>
      <c r="D481" s="29"/>
      <c r="E481" s="28"/>
      <c r="F481" s="3"/>
      <c r="G481" s="3"/>
      <c r="H481" s="3"/>
      <c r="I481" s="25"/>
      <c r="J481" s="25"/>
      <c r="K481" s="17"/>
      <c r="L481" s="17"/>
      <c r="M481" s="28"/>
      <c r="N481" s="28"/>
      <c r="O481" s="3"/>
      <c r="P481" s="3"/>
      <c r="Q481" s="3"/>
      <c r="R481" s="17"/>
      <c r="S481" s="17"/>
      <c r="T481" s="17"/>
      <c r="U481" s="17"/>
      <c r="V481" s="17"/>
    </row>
    <row r="482" spans="3:22" ht="14.25" customHeight="1">
      <c r="C482" s="28"/>
      <c r="D482" s="29"/>
      <c r="E482" s="28"/>
      <c r="F482" s="3"/>
      <c r="G482" s="3"/>
      <c r="H482" s="3"/>
      <c r="I482" s="25"/>
      <c r="J482" s="25"/>
      <c r="K482" s="17"/>
      <c r="L482" s="17"/>
      <c r="M482" s="28"/>
      <c r="N482" s="28"/>
      <c r="O482" s="3"/>
      <c r="P482" s="3"/>
      <c r="Q482" s="3"/>
      <c r="R482" s="17"/>
      <c r="S482" s="17"/>
      <c r="T482" s="17"/>
      <c r="U482" s="17"/>
      <c r="V482" s="17"/>
    </row>
    <row r="483" spans="3:22" ht="14.25" customHeight="1">
      <c r="C483" s="28"/>
      <c r="D483" s="29"/>
      <c r="E483" s="28"/>
      <c r="F483" s="3"/>
      <c r="G483" s="3"/>
      <c r="H483" s="3"/>
      <c r="I483" s="25"/>
      <c r="J483" s="25"/>
      <c r="K483" s="17"/>
      <c r="L483" s="17"/>
      <c r="M483" s="28"/>
      <c r="N483" s="28"/>
      <c r="O483" s="3"/>
      <c r="P483" s="3"/>
      <c r="Q483" s="3"/>
      <c r="R483" s="17"/>
      <c r="S483" s="17"/>
      <c r="T483" s="17"/>
      <c r="U483" s="17"/>
      <c r="V483" s="17"/>
    </row>
    <row r="484" spans="3:22" ht="14.25" customHeight="1">
      <c r="C484" s="28"/>
      <c r="D484" s="29"/>
      <c r="E484" s="28"/>
      <c r="F484" s="3"/>
      <c r="G484" s="3"/>
      <c r="H484" s="3"/>
      <c r="I484" s="25"/>
      <c r="J484" s="25"/>
      <c r="K484" s="17"/>
      <c r="L484" s="17"/>
      <c r="M484" s="28"/>
      <c r="N484" s="28"/>
      <c r="O484" s="3"/>
      <c r="P484" s="3"/>
      <c r="Q484" s="3"/>
      <c r="R484" s="17"/>
      <c r="S484" s="17"/>
      <c r="T484" s="17"/>
      <c r="U484" s="17"/>
      <c r="V484" s="17"/>
    </row>
    <row r="485" spans="3:22" ht="14.25" customHeight="1">
      <c r="C485" s="28"/>
      <c r="D485" s="29"/>
      <c r="E485" s="28"/>
      <c r="F485" s="3"/>
      <c r="G485" s="3"/>
      <c r="H485" s="3"/>
      <c r="I485" s="25"/>
      <c r="J485" s="25"/>
      <c r="K485" s="17"/>
      <c r="L485" s="17"/>
      <c r="M485" s="28"/>
      <c r="N485" s="28"/>
      <c r="O485" s="3"/>
      <c r="P485" s="3"/>
      <c r="Q485" s="3"/>
      <c r="R485" s="17"/>
      <c r="S485" s="17"/>
      <c r="T485" s="17"/>
      <c r="U485" s="17"/>
      <c r="V485" s="17"/>
    </row>
    <row r="486" spans="3:22" ht="14.25" customHeight="1">
      <c r="C486" s="28"/>
      <c r="D486" s="29"/>
      <c r="E486" s="28"/>
      <c r="F486" s="3"/>
      <c r="G486" s="3"/>
      <c r="H486" s="3"/>
      <c r="I486" s="25"/>
      <c r="J486" s="25"/>
      <c r="K486" s="17"/>
      <c r="L486" s="17"/>
      <c r="M486" s="28"/>
      <c r="N486" s="28"/>
      <c r="O486" s="3"/>
      <c r="P486" s="3"/>
      <c r="Q486" s="3"/>
      <c r="R486" s="17"/>
      <c r="S486" s="17"/>
      <c r="T486" s="17"/>
      <c r="U486" s="17"/>
      <c r="V486" s="17"/>
    </row>
    <row r="487" spans="3:22" ht="14.25" customHeight="1">
      <c r="C487" s="28"/>
      <c r="D487" s="29"/>
      <c r="E487" s="28"/>
      <c r="F487" s="3"/>
      <c r="G487" s="3"/>
      <c r="H487" s="3"/>
      <c r="I487" s="25"/>
      <c r="J487" s="25"/>
      <c r="K487" s="17"/>
      <c r="L487" s="17"/>
      <c r="M487" s="28"/>
      <c r="N487" s="28"/>
      <c r="O487" s="3"/>
      <c r="P487" s="3"/>
      <c r="Q487" s="3"/>
      <c r="R487" s="17"/>
      <c r="S487" s="17"/>
      <c r="T487" s="17"/>
      <c r="U487" s="17"/>
      <c r="V487" s="17"/>
    </row>
    <row r="488" spans="3:22" ht="14.25" customHeight="1">
      <c r="C488" s="28"/>
      <c r="D488" s="29"/>
      <c r="E488" s="28"/>
      <c r="F488" s="3"/>
      <c r="G488" s="3"/>
      <c r="H488" s="3"/>
      <c r="I488" s="25"/>
      <c r="J488" s="25"/>
      <c r="K488" s="17"/>
      <c r="L488" s="17"/>
      <c r="M488" s="28"/>
      <c r="N488" s="28"/>
      <c r="O488" s="3"/>
      <c r="P488" s="3"/>
      <c r="Q488" s="3"/>
      <c r="R488" s="17"/>
      <c r="S488" s="17"/>
      <c r="T488" s="17"/>
      <c r="U488" s="17"/>
      <c r="V488" s="17"/>
    </row>
    <row r="489" spans="3:22" ht="14.25" customHeight="1">
      <c r="C489" s="28"/>
      <c r="D489" s="29"/>
      <c r="E489" s="28"/>
      <c r="F489" s="3"/>
      <c r="G489" s="3"/>
      <c r="H489" s="3"/>
      <c r="I489" s="25"/>
      <c r="J489" s="25"/>
      <c r="K489" s="17"/>
      <c r="L489" s="17"/>
      <c r="M489" s="28"/>
      <c r="N489" s="28"/>
      <c r="O489" s="3"/>
      <c r="P489" s="3"/>
      <c r="Q489" s="3"/>
      <c r="R489" s="17"/>
      <c r="S489" s="17"/>
      <c r="T489" s="17"/>
      <c r="U489" s="17"/>
      <c r="V489" s="17"/>
    </row>
    <row r="490" spans="3:22" ht="14.25" customHeight="1">
      <c r="C490" s="28"/>
      <c r="D490" s="29"/>
      <c r="E490" s="28"/>
      <c r="F490" s="3"/>
      <c r="G490" s="3"/>
      <c r="H490" s="3"/>
      <c r="I490" s="25"/>
      <c r="J490" s="25"/>
      <c r="K490" s="17"/>
      <c r="L490" s="17"/>
      <c r="M490" s="28"/>
      <c r="N490" s="28"/>
      <c r="O490" s="3"/>
      <c r="P490" s="3"/>
      <c r="Q490" s="3"/>
      <c r="R490" s="17"/>
      <c r="S490" s="17"/>
      <c r="T490" s="17"/>
      <c r="U490" s="17"/>
      <c r="V490" s="17"/>
    </row>
    <row r="491" spans="3:22" ht="14.25" customHeight="1">
      <c r="C491" s="28"/>
      <c r="D491" s="29"/>
      <c r="E491" s="28"/>
      <c r="F491" s="3"/>
      <c r="G491" s="3"/>
      <c r="H491" s="3"/>
      <c r="I491" s="25"/>
      <c r="J491" s="25"/>
      <c r="K491" s="17"/>
      <c r="L491" s="17"/>
      <c r="M491" s="28"/>
      <c r="N491" s="28"/>
      <c r="O491" s="3"/>
      <c r="P491" s="3"/>
      <c r="Q491" s="3"/>
      <c r="R491" s="17"/>
      <c r="S491" s="17"/>
      <c r="T491" s="17"/>
      <c r="U491" s="17"/>
      <c r="V491" s="17"/>
    </row>
    <row r="492" spans="3:22" ht="14.25" customHeight="1">
      <c r="C492" s="28"/>
      <c r="D492" s="29"/>
      <c r="E492" s="28"/>
      <c r="F492" s="3"/>
      <c r="G492" s="3"/>
      <c r="H492" s="3"/>
      <c r="I492" s="25"/>
      <c r="J492" s="25"/>
      <c r="K492" s="17"/>
      <c r="L492" s="17"/>
      <c r="M492" s="28"/>
      <c r="N492" s="28"/>
      <c r="O492" s="3"/>
      <c r="P492" s="3"/>
      <c r="Q492" s="3"/>
      <c r="R492" s="17"/>
      <c r="S492" s="17"/>
      <c r="T492" s="17"/>
      <c r="U492" s="17"/>
      <c r="V492" s="17"/>
    </row>
    <row r="493" spans="3:22" ht="14.25" customHeight="1">
      <c r="C493" s="28"/>
      <c r="D493" s="29"/>
      <c r="E493" s="28"/>
      <c r="F493" s="3"/>
      <c r="G493" s="3"/>
      <c r="H493" s="3"/>
      <c r="I493" s="25"/>
      <c r="J493" s="25"/>
      <c r="K493" s="17"/>
      <c r="L493" s="17"/>
      <c r="M493" s="28"/>
      <c r="N493" s="28"/>
      <c r="O493" s="3"/>
      <c r="P493" s="3"/>
      <c r="Q493" s="3"/>
      <c r="R493" s="17"/>
      <c r="S493" s="17"/>
      <c r="T493" s="17"/>
      <c r="U493" s="17"/>
      <c r="V493" s="17"/>
    </row>
    <row r="494" spans="3:22" ht="14.25" customHeight="1">
      <c r="C494" s="28"/>
      <c r="D494" s="29"/>
      <c r="E494" s="28"/>
      <c r="F494" s="3"/>
      <c r="G494" s="3"/>
      <c r="H494" s="3"/>
      <c r="I494" s="25"/>
      <c r="J494" s="25"/>
      <c r="K494" s="17"/>
      <c r="L494" s="17"/>
      <c r="M494" s="28"/>
      <c r="N494" s="28"/>
      <c r="O494" s="3"/>
      <c r="P494" s="3"/>
      <c r="Q494" s="3"/>
      <c r="R494" s="17"/>
      <c r="S494" s="17"/>
      <c r="T494" s="17"/>
      <c r="U494" s="17"/>
      <c r="V494" s="17"/>
    </row>
    <row r="495" spans="3:22" ht="14.25" customHeight="1">
      <c r="C495" s="28"/>
      <c r="D495" s="29"/>
      <c r="E495" s="28"/>
      <c r="F495" s="3"/>
      <c r="G495" s="3"/>
      <c r="H495" s="3"/>
      <c r="I495" s="25"/>
      <c r="J495" s="25"/>
      <c r="K495" s="17"/>
      <c r="L495" s="17"/>
      <c r="M495" s="28"/>
      <c r="N495" s="28"/>
      <c r="O495" s="3"/>
      <c r="P495" s="3"/>
      <c r="Q495" s="3"/>
      <c r="R495" s="17"/>
      <c r="S495" s="17"/>
      <c r="T495" s="17"/>
      <c r="U495" s="17"/>
      <c r="V495" s="17"/>
    </row>
    <row r="496" spans="3:22" ht="14.25" customHeight="1">
      <c r="C496" s="28"/>
      <c r="D496" s="29"/>
      <c r="E496" s="28"/>
      <c r="F496" s="3"/>
      <c r="G496" s="3"/>
      <c r="H496" s="3"/>
      <c r="I496" s="25"/>
      <c r="J496" s="25"/>
      <c r="K496" s="17"/>
      <c r="L496" s="17"/>
      <c r="M496" s="28"/>
      <c r="N496" s="28"/>
      <c r="O496" s="3"/>
      <c r="P496" s="3"/>
      <c r="Q496" s="3"/>
      <c r="R496" s="17"/>
      <c r="S496" s="17"/>
      <c r="T496" s="17"/>
      <c r="U496" s="17"/>
      <c r="V496" s="17"/>
    </row>
    <row r="497" spans="3:22" ht="14.25" customHeight="1">
      <c r="C497" s="28"/>
      <c r="D497" s="29"/>
      <c r="E497" s="28"/>
      <c r="F497" s="3"/>
      <c r="G497" s="3"/>
      <c r="H497" s="3"/>
      <c r="I497" s="25"/>
      <c r="J497" s="25"/>
      <c r="K497" s="17"/>
      <c r="L497" s="17"/>
      <c r="M497" s="28"/>
      <c r="N497" s="28"/>
      <c r="O497" s="3"/>
      <c r="P497" s="3"/>
      <c r="Q497" s="3"/>
      <c r="R497" s="17"/>
      <c r="S497" s="17"/>
      <c r="T497" s="17"/>
      <c r="U497" s="17"/>
      <c r="V497" s="17"/>
    </row>
    <row r="498" spans="3:22" ht="14.25" customHeight="1">
      <c r="C498" s="28"/>
      <c r="D498" s="29"/>
      <c r="E498" s="28"/>
      <c r="F498" s="3"/>
      <c r="G498" s="3"/>
      <c r="H498" s="3"/>
      <c r="I498" s="25"/>
      <c r="J498" s="25"/>
      <c r="K498" s="17"/>
      <c r="L498" s="17"/>
      <c r="M498" s="28"/>
      <c r="N498" s="28"/>
      <c r="O498" s="3"/>
      <c r="P498" s="3"/>
      <c r="Q498" s="3"/>
      <c r="R498" s="17"/>
      <c r="S498" s="17"/>
      <c r="T498" s="17"/>
      <c r="U498" s="17"/>
      <c r="V498" s="17"/>
    </row>
    <row r="499" spans="3:22" ht="14.25" customHeight="1">
      <c r="C499" s="28"/>
      <c r="D499" s="29"/>
      <c r="E499" s="28"/>
      <c r="F499" s="3"/>
      <c r="G499" s="3"/>
      <c r="H499" s="3"/>
      <c r="I499" s="25"/>
      <c r="J499" s="25"/>
      <c r="K499" s="17"/>
      <c r="L499" s="17"/>
      <c r="M499" s="28"/>
      <c r="N499" s="28"/>
      <c r="O499" s="3"/>
      <c r="P499" s="3"/>
      <c r="Q499" s="3"/>
      <c r="R499" s="17"/>
      <c r="S499" s="17"/>
      <c r="T499" s="17"/>
      <c r="U499" s="17"/>
      <c r="V499" s="17"/>
    </row>
    <row r="500" spans="3:22" ht="14.25" customHeight="1">
      <c r="C500" s="28"/>
      <c r="D500" s="29"/>
      <c r="E500" s="28"/>
      <c r="F500" s="3"/>
      <c r="G500" s="3"/>
      <c r="H500" s="3"/>
      <c r="I500" s="25"/>
      <c r="J500" s="25"/>
      <c r="K500" s="17"/>
      <c r="L500" s="17"/>
      <c r="M500" s="28"/>
      <c r="N500" s="28"/>
      <c r="O500" s="3"/>
      <c r="P500" s="3"/>
      <c r="Q500" s="3"/>
      <c r="R500" s="17"/>
      <c r="S500" s="17"/>
      <c r="T500" s="17"/>
      <c r="U500" s="17"/>
      <c r="V500" s="17"/>
    </row>
    <row r="501" spans="3:22" ht="14.25" customHeight="1">
      <c r="C501" s="28"/>
      <c r="D501" s="29"/>
      <c r="E501" s="28"/>
      <c r="F501" s="3"/>
      <c r="G501" s="3"/>
      <c r="H501" s="3"/>
      <c r="I501" s="25"/>
      <c r="J501" s="25"/>
      <c r="K501" s="17"/>
      <c r="L501" s="17"/>
      <c r="M501" s="28"/>
      <c r="N501" s="28"/>
      <c r="O501" s="3"/>
      <c r="P501" s="3"/>
      <c r="Q501" s="3"/>
      <c r="R501" s="17"/>
      <c r="S501" s="17"/>
      <c r="T501" s="17"/>
      <c r="U501" s="17"/>
      <c r="V501" s="17"/>
    </row>
    <row r="502" spans="3:22" ht="14.25" customHeight="1">
      <c r="C502" s="28"/>
      <c r="D502" s="29"/>
      <c r="E502" s="28"/>
      <c r="F502" s="3"/>
      <c r="G502" s="3"/>
      <c r="H502" s="3"/>
      <c r="I502" s="25"/>
      <c r="J502" s="25"/>
      <c r="K502" s="17"/>
      <c r="L502" s="17"/>
      <c r="M502" s="28"/>
      <c r="N502" s="28"/>
      <c r="O502" s="3"/>
      <c r="P502" s="3"/>
      <c r="Q502" s="3"/>
      <c r="R502" s="17"/>
      <c r="S502" s="17"/>
      <c r="T502" s="17"/>
      <c r="U502" s="17"/>
      <c r="V502" s="17"/>
    </row>
    <row r="503" spans="3:22" ht="14.25" customHeight="1">
      <c r="C503" s="28"/>
      <c r="D503" s="29"/>
      <c r="E503" s="28"/>
      <c r="F503" s="3"/>
      <c r="G503" s="3"/>
      <c r="H503" s="3"/>
      <c r="I503" s="25"/>
      <c r="J503" s="25"/>
      <c r="K503" s="17"/>
      <c r="L503" s="17"/>
      <c r="M503" s="28"/>
      <c r="N503" s="28"/>
      <c r="O503" s="3"/>
      <c r="P503" s="3"/>
      <c r="Q503" s="3"/>
      <c r="R503" s="17"/>
      <c r="S503" s="17"/>
      <c r="T503" s="17"/>
      <c r="U503" s="17"/>
      <c r="V503" s="17"/>
    </row>
    <row r="504" spans="3:22" ht="14.25" customHeight="1">
      <c r="C504" s="28"/>
      <c r="D504" s="29"/>
      <c r="E504" s="28"/>
      <c r="F504" s="3"/>
      <c r="G504" s="3"/>
      <c r="H504" s="3"/>
      <c r="I504" s="25"/>
      <c r="J504" s="25"/>
      <c r="K504" s="17"/>
      <c r="L504" s="17"/>
      <c r="M504" s="28"/>
      <c r="N504" s="28"/>
      <c r="O504" s="3"/>
      <c r="P504" s="3"/>
      <c r="Q504" s="3"/>
      <c r="R504" s="17"/>
      <c r="S504" s="17"/>
      <c r="T504" s="17"/>
      <c r="U504" s="17"/>
      <c r="V504" s="17"/>
    </row>
    <row r="505" spans="3:22" ht="14.25" customHeight="1">
      <c r="C505" s="28"/>
      <c r="D505" s="29"/>
      <c r="E505" s="28"/>
      <c r="F505" s="3"/>
      <c r="G505" s="3"/>
      <c r="H505" s="3"/>
      <c r="I505" s="25"/>
      <c r="J505" s="25"/>
      <c r="K505" s="17"/>
      <c r="L505" s="17"/>
      <c r="M505" s="28"/>
      <c r="N505" s="28"/>
      <c r="O505" s="3"/>
      <c r="P505" s="3"/>
      <c r="Q505" s="3"/>
      <c r="R505" s="17"/>
      <c r="S505" s="17"/>
      <c r="T505" s="17"/>
      <c r="U505" s="17"/>
      <c r="V505" s="17"/>
    </row>
    <row r="506" spans="3:22" ht="14.25" customHeight="1">
      <c r="C506" s="28"/>
      <c r="D506" s="29"/>
      <c r="E506" s="28"/>
      <c r="F506" s="3"/>
      <c r="G506" s="3"/>
      <c r="H506" s="3"/>
      <c r="I506" s="25"/>
      <c r="J506" s="25"/>
      <c r="K506" s="17"/>
      <c r="L506" s="17"/>
      <c r="M506" s="28"/>
      <c r="N506" s="28"/>
      <c r="O506" s="3"/>
      <c r="P506" s="3"/>
      <c r="Q506" s="3"/>
      <c r="R506" s="17"/>
      <c r="S506" s="17"/>
      <c r="T506" s="17"/>
      <c r="U506" s="17"/>
      <c r="V506" s="17"/>
    </row>
    <row r="507" spans="3:22" ht="14.25" customHeight="1">
      <c r="C507" s="28"/>
      <c r="D507" s="29"/>
      <c r="E507" s="28"/>
      <c r="F507" s="3"/>
      <c r="G507" s="3"/>
      <c r="H507" s="3"/>
      <c r="I507" s="25"/>
      <c r="J507" s="25"/>
      <c r="K507" s="17"/>
      <c r="L507" s="17"/>
      <c r="M507" s="28"/>
      <c r="N507" s="28"/>
      <c r="O507" s="3"/>
      <c r="P507" s="3"/>
      <c r="Q507" s="3"/>
      <c r="R507" s="17"/>
      <c r="S507" s="17"/>
      <c r="T507" s="17"/>
      <c r="U507" s="17"/>
      <c r="V507" s="17"/>
    </row>
    <row r="508" spans="3:22" ht="14.25" customHeight="1">
      <c r="C508" s="28"/>
      <c r="D508" s="29"/>
      <c r="E508" s="28"/>
      <c r="F508" s="3"/>
      <c r="G508" s="3"/>
      <c r="H508" s="3"/>
      <c r="I508" s="25"/>
      <c r="J508" s="25"/>
      <c r="K508" s="17"/>
      <c r="L508" s="17"/>
      <c r="M508" s="28"/>
      <c r="N508" s="28"/>
      <c r="O508" s="3"/>
      <c r="P508" s="3"/>
      <c r="Q508" s="3"/>
      <c r="R508" s="17"/>
      <c r="S508" s="17"/>
      <c r="T508" s="17"/>
      <c r="U508" s="17"/>
      <c r="V508" s="17"/>
    </row>
    <row r="509" spans="3:22" ht="14.25" customHeight="1">
      <c r="C509" s="28"/>
      <c r="D509" s="29"/>
      <c r="E509" s="28"/>
      <c r="F509" s="3"/>
      <c r="G509" s="3"/>
      <c r="H509" s="3"/>
      <c r="I509" s="25"/>
      <c r="J509" s="25"/>
      <c r="K509" s="17"/>
      <c r="L509" s="17"/>
      <c r="M509" s="28"/>
      <c r="N509" s="28"/>
      <c r="O509" s="3"/>
      <c r="P509" s="3"/>
      <c r="Q509" s="3"/>
      <c r="R509" s="17"/>
      <c r="S509" s="17"/>
      <c r="T509" s="17"/>
      <c r="U509" s="17"/>
      <c r="V509" s="17"/>
    </row>
    <row r="510" spans="3:22" ht="14.25" customHeight="1">
      <c r="C510" s="28"/>
      <c r="D510" s="29"/>
      <c r="E510" s="28"/>
      <c r="F510" s="3"/>
      <c r="G510" s="3"/>
      <c r="H510" s="3"/>
      <c r="I510" s="25"/>
      <c r="J510" s="25"/>
      <c r="K510" s="17"/>
      <c r="L510" s="17"/>
      <c r="M510" s="28"/>
      <c r="N510" s="28"/>
      <c r="O510" s="3"/>
      <c r="P510" s="3"/>
      <c r="Q510" s="3"/>
      <c r="R510" s="17"/>
      <c r="S510" s="17"/>
      <c r="T510" s="17"/>
      <c r="U510" s="17"/>
      <c r="V510" s="17"/>
    </row>
    <row r="511" spans="3:22" ht="14.25" customHeight="1">
      <c r="C511" s="28"/>
      <c r="D511" s="29"/>
      <c r="E511" s="28"/>
      <c r="F511" s="3"/>
      <c r="G511" s="3"/>
      <c r="H511" s="3"/>
      <c r="I511" s="25"/>
      <c r="J511" s="25"/>
      <c r="K511" s="17"/>
      <c r="L511" s="17"/>
      <c r="M511" s="28"/>
      <c r="N511" s="28"/>
      <c r="O511" s="3"/>
      <c r="P511" s="3"/>
      <c r="Q511" s="3"/>
      <c r="R511" s="17"/>
      <c r="S511" s="17"/>
      <c r="T511" s="17"/>
      <c r="U511" s="17"/>
      <c r="V511" s="17"/>
    </row>
    <row r="512" spans="3:22" ht="14.25" customHeight="1">
      <c r="C512" s="28"/>
      <c r="D512" s="29"/>
      <c r="E512" s="28"/>
      <c r="F512" s="3"/>
      <c r="G512" s="3"/>
      <c r="H512" s="3"/>
      <c r="I512" s="25"/>
      <c r="J512" s="25"/>
      <c r="K512" s="17"/>
      <c r="L512" s="17"/>
      <c r="M512" s="28"/>
      <c r="N512" s="28"/>
      <c r="O512" s="3"/>
      <c r="P512" s="3"/>
      <c r="Q512" s="3"/>
      <c r="R512" s="17"/>
      <c r="S512" s="17"/>
      <c r="T512" s="17"/>
      <c r="U512" s="17"/>
      <c r="V512" s="17"/>
    </row>
    <row r="513" spans="3:22" ht="14.25" customHeight="1">
      <c r="C513" s="28"/>
      <c r="D513" s="29"/>
      <c r="E513" s="28"/>
      <c r="F513" s="3"/>
      <c r="G513" s="3"/>
      <c r="H513" s="3"/>
      <c r="I513" s="25"/>
      <c r="J513" s="25"/>
      <c r="K513" s="17"/>
      <c r="L513" s="17"/>
      <c r="M513" s="28"/>
      <c r="N513" s="28"/>
      <c r="O513" s="3"/>
      <c r="P513" s="3"/>
      <c r="Q513" s="3"/>
      <c r="R513" s="17"/>
      <c r="S513" s="17"/>
      <c r="T513" s="17"/>
      <c r="U513" s="17"/>
      <c r="V513" s="17"/>
    </row>
    <row r="514" spans="3:22" ht="14.25" customHeight="1">
      <c r="C514" s="28"/>
      <c r="D514" s="29"/>
      <c r="E514" s="28"/>
      <c r="F514" s="3"/>
      <c r="G514" s="3"/>
      <c r="H514" s="3"/>
      <c r="I514" s="25"/>
      <c r="J514" s="25"/>
      <c r="K514" s="17"/>
      <c r="L514" s="17"/>
      <c r="M514" s="28"/>
      <c r="N514" s="28"/>
      <c r="O514" s="3"/>
      <c r="P514" s="3"/>
      <c r="Q514" s="3"/>
      <c r="R514" s="17"/>
      <c r="S514" s="17"/>
      <c r="T514" s="17"/>
      <c r="U514" s="17"/>
      <c r="V514" s="17"/>
    </row>
    <row r="515" spans="3:22" ht="14.25" customHeight="1">
      <c r="C515" s="28"/>
      <c r="D515" s="29"/>
      <c r="E515" s="28"/>
      <c r="F515" s="3"/>
      <c r="G515" s="3"/>
      <c r="H515" s="3"/>
      <c r="I515" s="25"/>
      <c r="J515" s="25"/>
      <c r="K515" s="17"/>
      <c r="L515" s="17"/>
      <c r="M515" s="28"/>
      <c r="N515" s="28"/>
      <c r="O515" s="3"/>
      <c r="P515" s="3"/>
      <c r="Q515" s="3"/>
      <c r="R515" s="17"/>
      <c r="S515" s="17"/>
      <c r="T515" s="17"/>
      <c r="U515" s="17"/>
      <c r="V515" s="17"/>
    </row>
    <row r="516" spans="3:22" ht="14.25" customHeight="1">
      <c r="C516" s="28"/>
      <c r="D516" s="29"/>
      <c r="E516" s="28"/>
      <c r="F516" s="3"/>
      <c r="G516" s="3"/>
      <c r="H516" s="3"/>
      <c r="I516" s="25"/>
      <c r="J516" s="25"/>
      <c r="K516" s="17"/>
      <c r="L516" s="17"/>
      <c r="M516" s="28"/>
      <c r="N516" s="28"/>
      <c r="O516" s="3"/>
      <c r="P516" s="3"/>
      <c r="Q516" s="3"/>
      <c r="R516" s="17"/>
      <c r="S516" s="17"/>
      <c r="T516" s="17"/>
      <c r="U516" s="17"/>
      <c r="V516" s="17"/>
    </row>
    <row r="517" spans="3:22" ht="14.25" customHeight="1">
      <c r="C517" s="28"/>
      <c r="D517" s="29"/>
      <c r="E517" s="28"/>
      <c r="F517" s="3"/>
      <c r="G517" s="3"/>
      <c r="H517" s="3"/>
      <c r="I517" s="25"/>
      <c r="J517" s="25"/>
      <c r="K517" s="17"/>
      <c r="L517" s="17"/>
      <c r="M517" s="28"/>
      <c r="N517" s="28"/>
      <c r="O517" s="3"/>
      <c r="P517" s="3"/>
      <c r="Q517" s="3"/>
      <c r="R517" s="17"/>
      <c r="S517" s="17"/>
      <c r="T517" s="17"/>
      <c r="U517" s="17"/>
      <c r="V517" s="17"/>
    </row>
    <row r="518" spans="3:22" ht="14.25" customHeight="1">
      <c r="C518" s="28"/>
      <c r="D518" s="29"/>
      <c r="E518" s="28"/>
      <c r="F518" s="3"/>
      <c r="G518" s="3"/>
      <c r="H518" s="3"/>
      <c r="I518" s="25"/>
      <c r="J518" s="25"/>
      <c r="K518" s="17"/>
      <c r="L518" s="17"/>
      <c r="M518" s="28"/>
      <c r="N518" s="28"/>
      <c r="O518" s="3"/>
      <c r="P518" s="3"/>
      <c r="Q518" s="3"/>
      <c r="R518" s="17"/>
      <c r="S518" s="17"/>
      <c r="T518" s="17"/>
      <c r="U518" s="17"/>
      <c r="V518" s="17"/>
    </row>
    <row r="519" spans="3:22" ht="14.25" customHeight="1">
      <c r="C519" s="28"/>
      <c r="D519" s="29"/>
      <c r="E519" s="28"/>
      <c r="F519" s="3"/>
      <c r="G519" s="3"/>
      <c r="H519" s="3"/>
      <c r="I519" s="25"/>
      <c r="J519" s="25"/>
      <c r="K519" s="17"/>
      <c r="L519" s="17"/>
      <c r="M519" s="28"/>
      <c r="N519" s="28"/>
      <c r="O519" s="3"/>
      <c r="P519" s="3"/>
      <c r="Q519" s="3"/>
      <c r="R519" s="17"/>
      <c r="S519" s="17"/>
      <c r="T519" s="17"/>
      <c r="U519" s="17"/>
      <c r="V519" s="17"/>
    </row>
    <row r="520" spans="3:22" ht="14.25" customHeight="1">
      <c r="C520" s="28"/>
      <c r="D520" s="29"/>
      <c r="E520" s="28"/>
      <c r="F520" s="3"/>
      <c r="G520" s="3"/>
      <c r="H520" s="3"/>
      <c r="I520" s="25"/>
      <c r="J520" s="25"/>
      <c r="K520" s="17"/>
      <c r="L520" s="17"/>
      <c r="M520" s="28"/>
      <c r="N520" s="28"/>
      <c r="O520" s="3"/>
      <c r="P520" s="3"/>
      <c r="Q520" s="3"/>
      <c r="R520" s="17"/>
      <c r="S520" s="17"/>
      <c r="T520" s="17"/>
      <c r="U520" s="17"/>
      <c r="V520" s="17"/>
    </row>
    <row r="521" spans="3:22" ht="14.25" customHeight="1">
      <c r="C521" s="28"/>
      <c r="D521" s="29"/>
      <c r="E521" s="28"/>
      <c r="F521" s="3"/>
      <c r="G521" s="3"/>
      <c r="H521" s="3"/>
      <c r="I521" s="25"/>
      <c r="J521" s="25"/>
      <c r="K521" s="17"/>
      <c r="L521" s="17"/>
      <c r="M521" s="28"/>
      <c r="N521" s="28"/>
      <c r="O521" s="3"/>
      <c r="P521" s="3"/>
      <c r="Q521" s="3"/>
      <c r="R521" s="17"/>
      <c r="S521" s="17"/>
      <c r="T521" s="17"/>
      <c r="U521" s="17"/>
      <c r="V521" s="17"/>
    </row>
    <row r="522" spans="3:22" ht="14.25" customHeight="1">
      <c r="C522" s="28"/>
      <c r="D522" s="29"/>
      <c r="E522" s="28"/>
      <c r="F522" s="3"/>
      <c r="G522" s="3"/>
      <c r="H522" s="3"/>
      <c r="I522" s="25"/>
      <c r="J522" s="25"/>
      <c r="K522" s="17"/>
      <c r="L522" s="17"/>
      <c r="M522" s="28"/>
      <c r="N522" s="28"/>
      <c r="O522" s="3"/>
      <c r="P522" s="3"/>
      <c r="Q522" s="3"/>
      <c r="R522" s="17"/>
      <c r="S522" s="17"/>
      <c r="T522" s="17"/>
      <c r="U522" s="17"/>
      <c r="V522" s="17"/>
    </row>
    <row r="523" spans="3:22" ht="14.25" customHeight="1">
      <c r="C523" s="28"/>
      <c r="D523" s="29"/>
      <c r="E523" s="28"/>
      <c r="F523" s="3"/>
      <c r="G523" s="3"/>
      <c r="H523" s="3"/>
      <c r="I523" s="25"/>
      <c r="J523" s="25"/>
      <c r="K523" s="17"/>
      <c r="L523" s="17"/>
      <c r="M523" s="28"/>
      <c r="N523" s="28"/>
      <c r="O523" s="3"/>
      <c r="P523" s="3"/>
      <c r="Q523" s="3"/>
      <c r="R523" s="17"/>
      <c r="S523" s="17"/>
      <c r="T523" s="17"/>
      <c r="U523" s="17"/>
      <c r="V523" s="17"/>
    </row>
    <row r="524" spans="3:22" ht="14.25" customHeight="1">
      <c r="C524" s="28"/>
      <c r="D524" s="29"/>
      <c r="E524" s="28"/>
      <c r="F524" s="3"/>
      <c r="G524" s="3"/>
      <c r="H524" s="3"/>
      <c r="I524" s="25"/>
      <c r="J524" s="25"/>
      <c r="K524" s="17"/>
      <c r="L524" s="17"/>
      <c r="M524" s="28"/>
      <c r="N524" s="28"/>
      <c r="O524" s="3"/>
      <c r="P524" s="3"/>
      <c r="Q524" s="3"/>
      <c r="R524" s="17"/>
      <c r="S524" s="17"/>
      <c r="T524" s="17"/>
      <c r="U524" s="17"/>
      <c r="V524" s="17"/>
    </row>
    <row r="525" spans="3:22" ht="14.25" customHeight="1">
      <c r="C525" s="28"/>
      <c r="D525" s="29"/>
      <c r="E525" s="28"/>
      <c r="F525" s="3"/>
      <c r="G525" s="3"/>
      <c r="H525" s="3"/>
      <c r="I525" s="25"/>
      <c r="J525" s="25"/>
      <c r="K525" s="17"/>
      <c r="L525" s="17"/>
      <c r="M525" s="28"/>
      <c r="N525" s="28"/>
      <c r="O525" s="3"/>
      <c r="P525" s="3"/>
      <c r="Q525" s="3"/>
      <c r="R525" s="17"/>
      <c r="S525" s="17"/>
      <c r="T525" s="17"/>
      <c r="U525" s="17"/>
      <c r="V525" s="17"/>
    </row>
    <row r="526" spans="3:22" ht="14.25" customHeight="1">
      <c r="C526" s="28"/>
      <c r="D526" s="29"/>
      <c r="E526" s="28"/>
      <c r="F526" s="3"/>
      <c r="G526" s="3"/>
      <c r="H526" s="3"/>
      <c r="I526" s="25"/>
      <c r="J526" s="25"/>
      <c r="K526" s="17"/>
      <c r="L526" s="17"/>
      <c r="M526" s="28"/>
      <c r="N526" s="28"/>
      <c r="O526" s="3"/>
      <c r="P526" s="3"/>
      <c r="Q526" s="3"/>
      <c r="R526" s="17"/>
      <c r="S526" s="17"/>
      <c r="T526" s="17"/>
      <c r="U526" s="17"/>
      <c r="V526" s="17"/>
    </row>
    <row r="527" spans="3:22" ht="14.25" customHeight="1">
      <c r="C527" s="28"/>
      <c r="D527" s="29"/>
      <c r="E527" s="28"/>
      <c r="F527" s="3"/>
      <c r="G527" s="3"/>
      <c r="H527" s="3"/>
      <c r="I527" s="25"/>
      <c r="J527" s="25"/>
      <c r="K527" s="17"/>
      <c r="L527" s="17"/>
      <c r="M527" s="28"/>
      <c r="N527" s="28"/>
      <c r="O527" s="3"/>
      <c r="P527" s="3"/>
      <c r="Q527" s="3"/>
      <c r="R527" s="17"/>
      <c r="S527" s="17"/>
      <c r="T527" s="17"/>
      <c r="U527" s="17"/>
      <c r="V527" s="17"/>
    </row>
    <row r="528" spans="3:22" ht="14.25" customHeight="1">
      <c r="C528" s="28"/>
      <c r="D528" s="29"/>
      <c r="E528" s="28"/>
      <c r="F528" s="3"/>
      <c r="G528" s="3"/>
      <c r="H528" s="3"/>
      <c r="I528" s="25"/>
      <c r="J528" s="25"/>
      <c r="K528" s="17"/>
      <c r="L528" s="17"/>
      <c r="M528" s="28"/>
      <c r="N528" s="28"/>
      <c r="O528" s="3"/>
      <c r="P528" s="3"/>
      <c r="Q528" s="3"/>
      <c r="R528" s="17"/>
      <c r="S528" s="17"/>
      <c r="T528" s="17"/>
      <c r="U528" s="17"/>
      <c r="V528" s="17"/>
    </row>
    <row r="529" spans="3:22" ht="14.25" customHeight="1">
      <c r="C529" s="28"/>
      <c r="D529" s="29"/>
      <c r="E529" s="28"/>
      <c r="F529" s="3"/>
      <c r="G529" s="3"/>
      <c r="H529" s="3"/>
      <c r="I529" s="25"/>
      <c r="J529" s="25"/>
      <c r="K529" s="17"/>
      <c r="L529" s="17"/>
      <c r="M529" s="28"/>
      <c r="N529" s="28"/>
      <c r="O529" s="3"/>
      <c r="P529" s="3"/>
      <c r="Q529" s="3"/>
      <c r="R529" s="17"/>
      <c r="S529" s="17"/>
      <c r="T529" s="17"/>
      <c r="U529" s="17"/>
      <c r="V529" s="17"/>
    </row>
    <row r="530" spans="3:22" ht="14.25" customHeight="1">
      <c r="C530" s="28"/>
      <c r="D530" s="29"/>
      <c r="E530" s="28"/>
      <c r="F530" s="3"/>
      <c r="G530" s="3"/>
      <c r="H530" s="3"/>
      <c r="I530" s="25"/>
      <c r="J530" s="25"/>
      <c r="K530" s="17"/>
      <c r="L530" s="17"/>
      <c r="M530" s="28"/>
      <c r="N530" s="28"/>
      <c r="O530" s="3"/>
      <c r="P530" s="3"/>
      <c r="Q530" s="3"/>
      <c r="R530" s="17"/>
      <c r="S530" s="17"/>
      <c r="T530" s="17"/>
      <c r="U530" s="17"/>
      <c r="V530" s="17"/>
    </row>
    <row r="531" spans="3:22" ht="14.25" customHeight="1">
      <c r="C531" s="28"/>
      <c r="D531" s="29"/>
      <c r="E531" s="28"/>
      <c r="F531" s="3"/>
      <c r="G531" s="3"/>
      <c r="H531" s="3"/>
      <c r="I531" s="25"/>
      <c r="J531" s="25"/>
      <c r="K531" s="17"/>
      <c r="L531" s="17"/>
      <c r="M531" s="28"/>
      <c r="N531" s="28"/>
      <c r="O531" s="3"/>
      <c r="P531" s="3"/>
      <c r="Q531" s="3"/>
      <c r="R531" s="17"/>
      <c r="S531" s="17"/>
      <c r="T531" s="17"/>
      <c r="U531" s="17"/>
      <c r="V531" s="17"/>
    </row>
    <row r="532" spans="3:22" ht="14.25" customHeight="1">
      <c r="C532" s="28"/>
      <c r="D532" s="29"/>
      <c r="E532" s="28"/>
      <c r="F532" s="3"/>
      <c r="G532" s="3"/>
      <c r="H532" s="3"/>
      <c r="I532" s="25"/>
      <c r="J532" s="25"/>
      <c r="K532" s="17"/>
      <c r="L532" s="17"/>
      <c r="M532" s="28"/>
      <c r="N532" s="28"/>
      <c r="O532" s="3"/>
      <c r="P532" s="3"/>
      <c r="Q532" s="3"/>
      <c r="R532" s="17"/>
      <c r="S532" s="17"/>
      <c r="T532" s="17"/>
      <c r="U532" s="17"/>
      <c r="V532" s="17"/>
    </row>
    <row r="533" spans="3:22" ht="14.25" customHeight="1">
      <c r="C533" s="28"/>
      <c r="D533" s="29"/>
      <c r="E533" s="28"/>
      <c r="F533" s="3"/>
      <c r="G533" s="3"/>
      <c r="H533" s="3"/>
      <c r="I533" s="25"/>
      <c r="J533" s="25"/>
      <c r="K533" s="17"/>
      <c r="L533" s="17"/>
      <c r="M533" s="28"/>
      <c r="N533" s="28"/>
      <c r="O533" s="3"/>
      <c r="P533" s="3"/>
      <c r="Q533" s="3"/>
      <c r="R533" s="17"/>
      <c r="S533" s="17"/>
      <c r="T533" s="17"/>
      <c r="U533" s="17"/>
      <c r="V533" s="17"/>
    </row>
    <row r="534" spans="3:22" ht="14.25" customHeight="1">
      <c r="C534" s="28"/>
      <c r="D534" s="29"/>
      <c r="E534" s="28"/>
      <c r="F534" s="3"/>
      <c r="G534" s="3"/>
      <c r="H534" s="3"/>
      <c r="I534" s="25"/>
      <c r="J534" s="25"/>
      <c r="K534" s="17"/>
      <c r="L534" s="17"/>
      <c r="M534" s="28"/>
      <c r="N534" s="28"/>
      <c r="O534" s="3"/>
      <c r="P534" s="3"/>
      <c r="Q534" s="3"/>
      <c r="R534" s="17"/>
      <c r="S534" s="17"/>
      <c r="T534" s="17"/>
      <c r="U534" s="17"/>
      <c r="V534" s="17"/>
    </row>
    <row r="535" spans="3:22" ht="14.25" customHeight="1">
      <c r="C535" s="28"/>
      <c r="D535" s="29"/>
      <c r="E535" s="28"/>
      <c r="F535" s="3"/>
      <c r="G535" s="3"/>
      <c r="H535" s="3"/>
      <c r="I535" s="25"/>
      <c r="J535" s="25"/>
      <c r="K535" s="17"/>
      <c r="L535" s="17"/>
      <c r="M535" s="28"/>
      <c r="N535" s="28"/>
      <c r="O535" s="3"/>
      <c r="P535" s="3"/>
      <c r="Q535" s="3"/>
      <c r="R535" s="17"/>
      <c r="S535" s="17"/>
      <c r="T535" s="17"/>
      <c r="U535" s="17"/>
      <c r="V535" s="17"/>
    </row>
    <row r="536" spans="3:22" ht="14.25" customHeight="1">
      <c r="C536" s="28"/>
      <c r="D536" s="29"/>
      <c r="E536" s="28"/>
      <c r="F536" s="3"/>
      <c r="G536" s="3"/>
      <c r="H536" s="3"/>
      <c r="I536" s="25"/>
      <c r="J536" s="25"/>
      <c r="K536" s="17"/>
      <c r="L536" s="17"/>
      <c r="M536" s="28"/>
      <c r="N536" s="28"/>
      <c r="O536" s="3"/>
      <c r="P536" s="3"/>
      <c r="Q536" s="3"/>
      <c r="R536" s="17"/>
      <c r="S536" s="17"/>
      <c r="T536" s="17"/>
      <c r="U536" s="17"/>
      <c r="V536" s="17"/>
    </row>
    <row r="537" spans="3:22" ht="14.25" customHeight="1">
      <c r="C537" s="28"/>
      <c r="D537" s="29"/>
      <c r="E537" s="28"/>
      <c r="F537" s="3"/>
      <c r="G537" s="3"/>
      <c r="H537" s="3"/>
      <c r="I537" s="25"/>
      <c r="J537" s="25"/>
      <c r="K537" s="17"/>
      <c r="L537" s="17"/>
      <c r="M537" s="28"/>
      <c r="N537" s="28"/>
      <c r="O537" s="3"/>
      <c r="P537" s="3"/>
      <c r="Q537" s="3"/>
      <c r="R537" s="17"/>
      <c r="S537" s="17"/>
      <c r="T537" s="17"/>
      <c r="U537" s="17"/>
      <c r="V537" s="17"/>
    </row>
    <row r="538" spans="3:22" ht="14.25" customHeight="1">
      <c r="C538" s="28"/>
      <c r="D538" s="29"/>
      <c r="E538" s="28"/>
      <c r="F538" s="3"/>
      <c r="G538" s="3"/>
      <c r="H538" s="3"/>
      <c r="I538" s="25"/>
      <c r="J538" s="25"/>
      <c r="K538" s="17"/>
      <c r="L538" s="17"/>
      <c r="M538" s="28"/>
      <c r="N538" s="28"/>
      <c r="O538" s="3"/>
      <c r="P538" s="3"/>
      <c r="Q538" s="3"/>
      <c r="R538" s="17"/>
      <c r="S538" s="17"/>
      <c r="T538" s="17"/>
      <c r="U538" s="17"/>
      <c r="V538" s="17"/>
    </row>
    <row r="539" spans="3:22" ht="14.25" customHeight="1">
      <c r="C539" s="28"/>
      <c r="D539" s="29"/>
      <c r="E539" s="28"/>
      <c r="F539" s="3"/>
      <c r="G539" s="3"/>
      <c r="H539" s="3"/>
      <c r="I539" s="25"/>
      <c r="J539" s="25"/>
      <c r="K539" s="17"/>
      <c r="L539" s="17"/>
      <c r="M539" s="28"/>
      <c r="N539" s="28"/>
      <c r="O539" s="3"/>
      <c r="P539" s="3"/>
      <c r="Q539" s="3"/>
      <c r="R539" s="17"/>
      <c r="S539" s="17"/>
      <c r="T539" s="17"/>
      <c r="U539" s="17"/>
      <c r="V539" s="17"/>
    </row>
    <row r="540" spans="3:22" ht="14.25" customHeight="1">
      <c r="C540" s="28"/>
      <c r="D540" s="29"/>
      <c r="E540" s="28"/>
      <c r="F540" s="3"/>
      <c r="G540" s="3"/>
      <c r="H540" s="3"/>
      <c r="I540" s="25"/>
      <c r="J540" s="25"/>
      <c r="K540" s="17"/>
      <c r="L540" s="17"/>
      <c r="M540" s="28"/>
      <c r="N540" s="28"/>
      <c r="O540" s="3"/>
      <c r="P540" s="3"/>
      <c r="Q540" s="3"/>
      <c r="R540" s="17"/>
      <c r="S540" s="17"/>
      <c r="T540" s="17"/>
      <c r="U540" s="17"/>
      <c r="V540" s="17"/>
    </row>
    <row r="541" spans="3:22" ht="14.25" customHeight="1">
      <c r="C541" s="28"/>
      <c r="D541" s="29"/>
      <c r="E541" s="28"/>
      <c r="F541" s="3"/>
      <c r="G541" s="3"/>
      <c r="H541" s="3"/>
      <c r="I541" s="25"/>
      <c r="J541" s="25"/>
      <c r="K541" s="17"/>
      <c r="L541" s="17"/>
      <c r="M541" s="28"/>
      <c r="N541" s="28"/>
      <c r="O541" s="3"/>
      <c r="P541" s="3"/>
      <c r="Q541" s="3"/>
      <c r="R541" s="17"/>
      <c r="S541" s="17"/>
      <c r="T541" s="17"/>
      <c r="U541" s="17"/>
      <c r="V541" s="17"/>
    </row>
    <row r="542" spans="3:22" ht="14.25" customHeight="1">
      <c r="C542" s="28"/>
      <c r="D542" s="29"/>
      <c r="E542" s="28"/>
      <c r="F542" s="3"/>
      <c r="G542" s="3"/>
      <c r="H542" s="3"/>
      <c r="I542" s="25"/>
      <c r="J542" s="25"/>
      <c r="K542" s="17"/>
      <c r="L542" s="17"/>
      <c r="M542" s="28"/>
      <c r="N542" s="28"/>
      <c r="O542" s="3"/>
      <c r="P542" s="3"/>
      <c r="Q542" s="3"/>
      <c r="R542" s="17"/>
      <c r="S542" s="17"/>
      <c r="T542" s="17"/>
      <c r="U542" s="17"/>
      <c r="V542" s="17"/>
    </row>
    <row r="543" spans="3:22" ht="14.25" customHeight="1">
      <c r="C543" s="28"/>
      <c r="D543" s="29"/>
      <c r="E543" s="28"/>
      <c r="F543" s="3"/>
      <c r="G543" s="3"/>
      <c r="H543" s="3"/>
      <c r="I543" s="25"/>
      <c r="J543" s="25"/>
      <c r="K543" s="17"/>
      <c r="L543" s="17"/>
      <c r="M543" s="28"/>
      <c r="N543" s="28"/>
      <c r="O543" s="3"/>
      <c r="P543" s="3"/>
      <c r="Q543" s="3"/>
      <c r="R543" s="17"/>
      <c r="S543" s="17"/>
      <c r="T543" s="17"/>
      <c r="U543" s="17"/>
      <c r="V543" s="17"/>
    </row>
    <row r="544" spans="3:22" ht="14.25" customHeight="1">
      <c r="C544" s="28"/>
      <c r="D544" s="29"/>
      <c r="E544" s="28"/>
      <c r="F544" s="3"/>
      <c r="G544" s="3"/>
      <c r="H544" s="3"/>
      <c r="I544" s="25"/>
      <c r="J544" s="25"/>
      <c r="K544" s="17"/>
      <c r="L544" s="17"/>
      <c r="M544" s="28"/>
      <c r="N544" s="28"/>
      <c r="O544" s="3"/>
      <c r="P544" s="3"/>
      <c r="Q544" s="3"/>
      <c r="R544" s="17"/>
      <c r="S544" s="17"/>
      <c r="T544" s="17"/>
      <c r="U544" s="17"/>
      <c r="V544" s="17"/>
    </row>
    <row r="545" spans="3:22" ht="14.25" customHeight="1">
      <c r="C545" s="28"/>
      <c r="D545" s="29"/>
      <c r="E545" s="28"/>
      <c r="F545" s="3"/>
      <c r="G545" s="3"/>
      <c r="H545" s="3"/>
      <c r="I545" s="25"/>
      <c r="J545" s="25"/>
      <c r="K545" s="17"/>
      <c r="L545" s="17"/>
      <c r="M545" s="28"/>
      <c r="N545" s="28"/>
      <c r="O545" s="3"/>
      <c r="P545" s="3"/>
      <c r="Q545" s="3"/>
      <c r="R545" s="17"/>
      <c r="S545" s="17"/>
      <c r="T545" s="17"/>
      <c r="U545" s="17"/>
      <c r="V545" s="17"/>
    </row>
    <row r="546" spans="3:22" ht="14.25" customHeight="1">
      <c r="C546" s="28"/>
      <c r="D546" s="29"/>
      <c r="E546" s="28"/>
      <c r="F546" s="3"/>
      <c r="G546" s="3"/>
      <c r="H546" s="3"/>
      <c r="I546" s="25"/>
      <c r="J546" s="25"/>
      <c r="K546" s="17"/>
      <c r="L546" s="17"/>
      <c r="M546" s="28"/>
      <c r="N546" s="28"/>
      <c r="O546" s="3"/>
      <c r="P546" s="3"/>
      <c r="Q546" s="3"/>
      <c r="R546" s="17"/>
      <c r="S546" s="17"/>
      <c r="T546" s="17"/>
      <c r="U546" s="17"/>
      <c r="V546" s="17"/>
    </row>
    <row r="547" spans="3:22" ht="14.25" customHeight="1">
      <c r="C547" s="28"/>
      <c r="D547" s="29"/>
      <c r="E547" s="28"/>
      <c r="F547" s="3"/>
      <c r="G547" s="3"/>
      <c r="H547" s="3"/>
      <c r="I547" s="25"/>
      <c r="J547" s="25"/>
      <c r="K547" s="17"/>
      <c r="L547" s="17"/>
      <c r="M547" s="28"/>
      <c r="N547" s="28"/>
      <c r="O547" s="3"/>
      <c r="P547" s="3"/>
      <c r="Q547" s="3"/>
      <c r="R547" s="17"/>
      <c r="S547" s="17"/>
      <c r="T547" s="17"/>
      <c r="U547" s="17"/>
      <c r="V547" s="17"/>
    </row>
    <row r="548" spans="3:22" ht="14.25" customHeight="1">
      <c r="C548" s="28"/>
      <c r="D548" s="29"/>
      <c r="E548" s="28"/>
      <c r="F548" s="3"/>
      <c r="G548" s="3"/>
      <c r="H548" s="3"/>
      <c r="I548" s="25"/>
      <c r="J548" s="25"/>
      <c r="K548" s="17"/>
      <c r="L548" s="17"/>
      <c r="M548" s="28"/>
      <c r="N548" s="28"/>
      <c r="O548" s="3"/>
      <c r="P548" s="3"/>
      <c r="Q548" s="3"/>
      <c r="R548" s="17"/>
      <c r="S548" s="17"/>
      <c r="T548" s="17"/>
      <c r="U548" s="17"/>
      <c r="V548" s="17"/>
    </row>
    <row r="549" spans="3:22" ht="14.25" customHeight="1">
      <c r="C549" s="28"/>
      <c r="D549" s="29"/>
      <c r="E549" s="28"/>
      <c r="F549" s="3"/>
      <c r="G549" s="3"/>
      <c r="H549" s="3"/>
      <c r="I549" s="25"/>
      <c r="J549" s="25"/>
      <c r="K549" s="17"/>
      <c r="L549" s="17"/>
      <c r="M549" s="28"/>
      <c r="N549" s="28"/>
      <c r="O549" s="3"/>
      <c r="P549" s="3"/>
      <c r="Q549" s="3"/>
      <c r="R549" s="17"/>
      <c r="S549" s="17"/>
      <c r="T549" s="17"/>
      <c r="U549" s="17"/>
      <c r="V549" s="17"/>
    </row>
    <row r="550" spans="3:22" ht="14.25" customHeight="1">
      <c r="C550" s="28"/>
      <c r="D550" s="29"/>
      <c r="E550" s="28"/>
      <c r="F550" s="3"/>
      <c r="G550" s="3"/>
      <c r="H550" s="3"/>
      <c r="I550" s="25"/>
      <c r="J550" s="25"/>
      <c r="K550" s="17"/>
      <c r="L550" s="17"/>
      <c r="M550" s="28"/>
      <c r="N550" s="28"/>
      <c r="O550" s="3"/>
      <c r="P550" s="3"/>
      <c r="Q550" s="3"/>
      <c r="R550" s="17"/>
      <c r="S550" s="17"/>
      <c r="T550" s="17"/>
      <c r="U550" s="17"/>
      <c r="V550" s="17"/>
    </row>
    <row r="551" spans="3:22" ht="14.25" customHeight="1">
      <c r="C551" s="28"/>
      <c r="D551" s="29"/>
      <c r="E551" s="28"/>
      <c r="F551" s="3"/>
      <c r="G551" s="3"/>
      <c r="H551" s="3"/>
      <c r="I551" s="25"/>
      <c r="J551" s="25"/>
      <c r="K551" s="17"/>
      <c r="L551" s="17"/>
      <c r="M551" s="28"/>
      <c r="N551" s="28"/>
      <c r="O551" s="3"/>
      <c r="P551" s="3"/>
      <c r="Q551" s="3"/>
      <c r="R551" s="17"/>
      <c r="S551" s="17"/>
      <c r="T551" s="17"/>
      <c r="U551" s="17"/>
      <c r="V551" s="17"/>
    </row>
    <row r="552" spans="3:22" ht="14.25" customHeight="1">
      <c r="C552" s="28"/>
      <c r="D552" s="29"/>
      <c r="E552" s="28"/>
      <c r="F552" s="3"/>
      <c r="G552" s="3"/>
      <c r="H552" s="3"/>
      <c r="I552" s="25"/>
      <c r="J552" s="25"/>
      <c r="K552" s="17"/>
      <c r="L552" s="17"/>
      <c r="M552" s="28"/>
      <c r="N552" s="28"/>
      <c r="O552" s="3"/>
      <c r="P552" s="3"/>
      <c r="Q552" s="3"/>
      <c r="R552" s="17"/>
      <c r="S552" s="17"/>
      <c r="T552" s="17"/>
      <c r="U552" s="17"/>
      <c r="V552" s="17"/>
    </row>
    <row r="553" spans="3:22" ht="14.25" customHeight="1">
      <c r="C553" s="28"/>
      <c r="D553" s="29"/>
      <c r="E553" s="28"/>
      <c r="F553" s="3"/>
      <c r="G553" s="3"/>
      <c r="H553" s="3"/>
      <c r="I553" s="25"/>
      <c r="J553" s="25"/>
      <c r="K553" s="17"/>
      <c r="L553" s="17"/>
      <c r="M553" s="28"/>
      <c r="N553" s="28"/>
      <c r="O553" s="3"/>
      <c r="P553" s="3"/>
      <c r="Q553" s="3"/>
      <c r="R553" s="17"/>
      <c r="S553" s="17"/>
      <c r="T553" s="17"/>
      <c r="U553" s="17"/>
      <c r="V553" s="17"/>
    </row>
    <row r="554" spans="3:22" ht="14.25" customHeight="1">
      <c r="C554" s="28"/>
      <c r="D554" s="29"/>
      <c r="E554" s="28"/>
      <c r="F554" s="3"/>
      <c r="G554" s="3"/>
      <c r="H554" s="3"/>
      <c r="I554" s="25"/>
      <c r="J554" s="25"/>
      <c r="K554" s="17"/>
      <c r="L554" s="17"/>
      <c r="M554" s="28"/>
      <c r="N554" s="28"/>
      <c r="O554" s="3"/>
      <c r="P554" s="3"/>
      <c r="Q554" s="3"/>
      <c r="R554" s="17"/>
      <c r="S554" s="17"/>
      <c r="T554" s="17"/>
      <c r="U554" s="17"/>
      <c r="V554" s="17"/>
    </row>
    <row r="555" spans="3:22" ht="14.25" customHeight="1">
      <c r="C555" s="28"/>
      <c r="D555" s="29"/>
      <c r="E555" s="28"/>
      <c r="F555" s="3"/>
      <c r="G555" s="3"/>
      <c r="H555" s="3"/>
      <c r="I555" s="25"/>
      <c r="J555" s="25"/>
      <c r="K555" s="17"/>
      <c r="L555" s="17"/>
      <c r="M555" s="28"/>
      <c r="N555" s="28"/>
      <c r="O555" s="3"/>
      <c r="P555" s="3"/>
      <c r="Q555" s="3"/>
      <c r="R555" s="17"/>
      <c r="S555" s="17"/>
      <c r="T555" s="17"/>
      <c r="U555" s="17"/>
      <c r="V555" s="17"/>
    </row>
    <row r="556" spans="3:22" ht="14.25" customHeight="1">
      <c r="C556" s="28"/>
      <c r="D556" s="29"/>
      <c r="E556" s="28"/>
      <c r="F556" s="3"/>
      <c r="G556" s="3"/>
      <c r="H556" s="3"/>
      <c r="I556" s="25"/>
      <c r="J556" s="25"/>
      <c r="K556" s="17"/>
      <c r="L556" s="17"/>
      <c r="M556" s="28"/>
      <c r="N556" s="28"/>
      <c r="O556" s="3"/>
      <c r="P556" s="3"/>
      <c r="Q556" s="3"/>
      <c r="R556" s="17"/>
      <c r="S556" s="17"/>
      <c r="T556" s="17"/>
      <c r="U556" s="17"/>
      <c r="V556" s="17"/>
    </row>
    <row r="557" spans="3:22" ht="14.25" customHeight="1">
      <c r="C557" s="28"/>
      <c r="D557" s="29"/>
      <c r="E557" s="28"/>
      <c r="F557" s="3"/>
      <c r="G557" s="3"/>
      <c r="H557" s="3"/>
      <c r="I557" s="25"/>
      <c r="J557" s="25"/>
      <c r="K557" s="17"/>
      <c r="L557" s="17"/>
      <c r="M557" s="28"/>
      <c r="N557" s="28"/>
      <c r="O557" s="3"/>
      <c r="P557" s="3"/>
      <c r="Q557" s="3"/>
      <c r="R557" s="17"/>
      <c r="S557" s="17"/>
      <c r="T557" s="17"/>
      <c r="U557" s="17"/>
      <c r="V557" s="17"/>
    </row>
    <row r="558" spans="3:22" ht="14.25" customHeight="1">
      <c r="C558" s="28"/>
      <c r="D558" s="29"/>
      <c r="E558" s="28"/>
      <c r="F558" s="3"/>
      <c r="G558" s="3"/>
      <c r="H558" s="3"/>
      <c r="I558" s="25"/>
      <c r="J558" s="25"/>
      <c r="K558" s="17"/>
      <c r="L558" s="17"/>
      <c r="M558" s="28"/>
      <c r="N558" s="28"/>
      <c r="O558" s="3"/>
      <c r="P558" s="3"/>
      <c r="Q558" s="3"/>
      <c r="R558" s="17"/>
      <c r="S558" s="17"/>
      <c r="T558" s="17"/>
      <c r="U558" s="17"/>
      <c r="V558" s="17"/>
    </row>
    <row r="559" spans="3:22" ht="14.25" customHeight="1">
      <c r="C559" s="28"/>
      <c r="D559" s="29"/>
      <c r="E559" s="28"/>
      <c r="F559" s="3"/>
      <c r="G559" s="3"/>
      <c r="H559" s="3"/>
      <c r="I559" s="25"/>
      <c r="J559" s="25"/>
      <c r="K559" s="17"/>
      <c r="L559" s="17"/>
      <c r="M559" s="28"/>
      <c r="N559" s="28"/>
      <c r="O559" s="3"/>
      <c r="P559" s="3"/>
      <c r="Q559" s="3"/>
      <c r="R559" s="17"/>
      <c r="S559" s="17"/>
      <c r="T559" s="17"/>
      <c r="U559" s="17"/>
      <c r="V559" s="17"/>
    </row>
    <row r="560" spans="3:22" ht="14.25" customHeight="1">
      <c r="C560" s="28"/>
      <c r="D560" s="29"/>
      <c r="E560" s="28"/>
      <c r="F560" s="3"/>
      <c r="G560" s="3"/>
      <c r="H560" s="3"/>
      <c r="I560" s="25"/>
      <c r="J560" s="25"/>
      <c r="K560" s="17"/>
      <c r="L560" s="17"/>
      <c r="M560" s="28"/>
      <c r="N560" s="28"/>
      <c r="O560" s="3"/>
      <c r="P560" s="3"/>
      <c r="Q560" s="3"/>
      <c r="R560" s="17"/>
      <c r="S560" s="17"/>
      <c r="T560" s="17"/>
      <c r="U560" s="17"/>
      <c r="V560" s="17"/>
    </row>
    <row r="561" spans="3:22" ht="14.25" customHeight="1">
      <c r="C561" s="28"/>
      <c r="D561" s="29"/>
      <c r="E561" s="28"/>
      <c r="F561" s="3"/>
      <c r="G561" s="3"/>
      <c r="H561" s="3"/>
      <c r="I561" s="25"/>
      <c r="J561" s="25"/>
      <c r="K561" s="17"/>
      <c r="L561" s="17"/>
      <c r="M561" s="28"/>
      <c r="N561" s="28"/>
      <c r="O561" s="3"/>
      <c r="P561" s="3"/>
      <c r="Q561" s="3"/>
      <c r="R561" s="17"/>
      <c r="S561" s="17"/>
      <c r="T561" s="17"/>
      <c r="U561" s="17"/>
      <c r="V561" s="17"/>
    </row>
    <row r="562" spans="3:22" ht="14.25" customHeight="1">
      <c r="C562" s="28"/>
      <c r="D562" s="29"/>
      <c r="E562" s="28"/>
      <c r="F562" s="3"/>
      <c r="G562" s="3"/>
      <c r="H562" s="3"/>
      <c r="I562" s="25"/>
      <c r="J562" s="25"/>
      <c r="K562" s="17"/>
      <c r="L562" s="17"/>
      <c r="M562" s="28"/>
      <c r="N562" s="28"/>
      <c r="O562" s="3"/>
      <c r="P562" s="3"/>
      <c r="Q562" s="3"/>
      <c r="R562" s="17"/>
      <c r="S562" s="17"/>
      <c r="T562" s="17"/>
      <c r="U562" s="17"/>
      <c r="V562" s="17"/>
    </row>
    <row r="563" spans="3:22" ht="14.25" customHeight="1">
      <c r="C563" s="28"/>
      <c r="D563" s="29"/>
      <c r="E563" s="28"/>
      <c r="F563" s="3"/>
      <c r="G563" s="3"/>
      <c r="H563" s="3"/>
      <c r="I563" s="25"/>
      <c r="J563" s="25"/>
      <c r="K563" s="17"/>
      <c r="L563" s="17"/>
      <c r="M563" s="28"/>
      <c r="N563" s="28"/>
      <c r="O563" s="3"/>
      <c r="P563" s="3"/>
      <c r="Q563" s="3"/>
      <c r="R563" s="17"/>
      <c r="S563" s="17"/>
      <c r="T563" s="17"/>
      <c r="U563" s="17"/>
      <c r="V563" s="17"/>
    </row>
    <row r="564" spans="3:22" ht="14.25" customHeight="1">
      <c r="C564" s="28"/>
      <c r="D564" s="29"/>
      <c r="E564" s="28"/>
      <c r="F564" s="3"/>
      <c r="G564" s="3"/>
      <c r="H564" s="3"/>
      <c r="I564" s="25"/>
      <c r="J564" s="25"/>
      <c r="K564" s="17"/>
      <c r="L564" s="17"/>
      <c r="M564" s="28"/>
      <c r="N564" s="28"/>
      <c r="O564" s="3"/>
      <c r="P564" s="3"/>
      <c r="Q564" s="3"/>
      <c r="R564" s="17"/>
      <c r="S564" s="17"/>
      <c r="T564" s="17"/>
      <c r="U564" s="17"/>
      <c r="V564" s="17"/>
    </row>
    <row r="565" spans="3:22" ht="14.25" customHeight="1">
      <c r="C565" s="28"/>
      <c r="D565" s="29"/>
      <c r="E565" s="28"/>
      <c r="F565" s="3"/>
      <c r="G565" s="3"/>
      <c r="H565" s="3"/>
      <c r="I565" s="25"/>
      <c r="J565" s="25"/>
      <c r="K565" s="17"/>
      <c r="L565" s="17"/>
      <c r="M565" s="28"/>
      <c r="N565" s="28"/>
      <c r="O565" s="3"/>
      <c r="P565" s="3"/>
      <c r="Q565" s="3"/>
      <c r="R565" s="17"/>
      <c r="S565" s="17"/>
      <c r="T565" s="17"/>
      <c r="U565" s="17"/>
      <c r="V565" s="17"/>
    </row>
    <row r="566" spans="3:22" ht="14.25" customHeight="1">
      <c r="C566" s="28"/>
      <c r="D566" s="29"/>
      <c r="E566" s="28"/>
      <c r="F566" s="3"/>
      <c r="G566" s="3"/>
      <c r="H566" s="3"/>
      <c r="I566" s="25"/>
      <c r="J566" s="25"/>
      <c r="K566" s="17"/>
      <c r="L566" s="17"/>
      <c r="M566" s="28"/>
      <c r="N566" s="28"/>
      <c r="O566" s="3"/>
      <c r="P566" s="3"/>
      <c r="Q566" s="3"/>
      <c r="R566" s="17"/>
      <c r="S566" s="17"/>
      <c r="T566" s="17"/>
      <c r="U566" s="17"/>
      <c r="V566" s="17"/>
    </row>
    <row r="567" spans="3:22" ht="14.25" customHeight="1">
      <c r="C567" s="28"/>
      <c r="D567" s="29"/>
      <c r="E567" s="28"/>
      <c r="F567" s="3"/>
      <c r="G567" s="3"/>
      <c r="H567" s="3"/>
      <c r="I567" s="25"/>
      <c r="J567" s="25"/>
      <c r="K567" s="17"/>
      <c r="L567" s="17"/>
      <c r="M567" s="28"/>
      <c r="N567" s="28"/>
      <c r="O567" s="3"/>
      <c r="P567" s="3"/>
      <c r="Q567" s="3"/>
      <c r="R567" s="17"/>
      <c r="S567" s="17"/>
      <c r="T567" s="17"/>
      <c r="U567" s="17"/>
      <c r="V567" s="17"/>
    </row>
    <row r="568" spans="3:22" ht="14.25" customHeight="1">
      <c r="C568" s="28"/>
      <c r="D568" s="29"/>
      <c r="E568" s="28"/>
      <c r="F568" s="3"/>
      <c r="G568" s="3"/>
      <c r="H568" s="3"/>
      <c r="I568" s="25"/>
      <c r="J568" s="25"/>
      <c r="K568" s="17"/>
      <c r="L568" s="17"/>
      <c r="M568" s="28"/>
      <c r="N568" s="28"/>
      <c r="O568" s="3"/>
      <c r="P568" s="3"/>
      <c r="Q568" s="3"/>
      <c r="R568" s="17"/>
      <c r="S568" s="17"/>
      <c r="T568" s="17"/>
      <c r="U568" s="17"/>
      <c r="V568" s="17"/>
    </row>
    <row r="569" spans="3:22" ht="14.25" customHeight="1">
      <c r="C569" s="28"/>
      <c r="D569" s="29"/>
      <c r="E569" s="28"/>
      <c r="F569" s="3"/>
      <c r="G569" s="3"/>
      <c r="H569" s="3"/>
      <c r="I569" s="25"/>
      <c r="J569" s="25"/>
      <c r="K569" s="17"/>
      <c r="L569" s="17"/>
      <c r="M569" s="28"/>
      <c r="N569" s="28"/>
      <c r="O569" s="3"/>
      <c r="P569" s="3"/>
      <c r="Q569" s="3"/>
      <c r="R569" s="17"/>
      <c r="S569" s="17"/>
      <c r="T569" s="17"/>
      <c r="U569" s="17"/>
      <c r="V569" s="17"/>
    </row>
    <row r="570" spans="3:22" ht="14.25" customHeight="1">
      <c r="C570" s="28"/>
      <c r="D570" s="29"/>
      <c r="E570" s="28"/>
      <c r="F570" s="3"/>
      <c r="G570" s="3"/>
      <c r="H570" s="3"/>
      <c r="I570" s="25"/>
      <c r="J570" s="25"/>
      <c r="K570" s="17"/>
      <c r="L570" s="17"/>
      <c r="M570" s="28"/>
      <c r="N570" s="28"/>
      <c r="O570" s="3"/>
      <c r="P570" s="3"/>
      <c r="Q570" s="3"/>
      <c r="R570" s="17"/>
      <c r="S570" s="17"/>
      <c r="T570" s="17"/>
      <c r="U570" s="17"/>
      <c r="V570" s="17"/>
    </row>
    <row r="571" spans="3:22" ht="14.25" customHeight="1">
      <c r="C571" s="28"/>
      <c r="D571" s="29"/>
      <c r="E571" s="28"/>
      <c r="F571" s="3"/>
      <c r="G571" s="3"/>
      <c r="H571" s="3"/>
      <c r="I571" s="25"/>
      <c r="J571" s="25"/>
      <c r="K571" s="17"/>
      <c r="L571" s="17"/>
      <c r="M571" s="28"/>
      <c r="N571" s="28"/>
      <c r="O571" s="3"/>
      <c r="P571" s="3"/>
      <c r="Q571" s="3"/>
      <c r="R571" s="17"/>
      <c r="S571" s="17"/>
      <c r="T571" s="17"/>
      <c r="U571" s="17"/>
      <c r="V571" s="17"/>
    </row>
    <row r="572" spans="3:22" ht="14.25" customHeight="1">
      <c r="C572" s="28"/>
      <c r="D572" s="29"/>
      <c r="E572" s="28"/>
      <c r="F572" s="3"/>
      <c r="G572" s="3"/>
      <c r="H572" s="3"/>
      <c r="I572" s="25"/>
      <c r="J572" s="25"/>
      <c r="K572" s="17"/>
      <c r="L572" s="17"/>
      <c r="M572" s="28"/>
      <c r="N572" s="28"/>
      <c r="O572" s="3"/>
      <c r="P572" s="3"/>
      <c r="Q572" s="3"/>
      <c r="R572" s="17"/>
      <c r="S572" s="17"/>
      <c r="T572" s="17"/>
      <c r="U572" s="17"/>
      <c r="V572" s="17"/>
    </row>
    <row r="573" spans="3:22" ht="14.25" customHeight="1">
      <c r="C573" s="28"/>
      <c r="D573" s="29"/>
      <c r="E573" s="28"/>
      <c r="F573" s="3"/>
      <c r="G573" s="3"/>
      <c r="H573" s="3"/>
      <c r="I573" s="25"/>
      <c r="J573" s="25"/>
      <c r="K573" s="17"/>
      <c r="L573" s="17"/>
      <c r="M573" s="28"/>
      <c r="N573" s="28"/>
      <c r="O573" s="3"/>
      <c r="P573" s="3"/>
      <c r="Q573" s="3"/>
      <c r="R573" s="17"/>
      <c r="S573" s="17"/>
      <c r="T573" s="17"/>
      <c r="U573" s="17"/>
      <c r="V573" s="17"/>
    </row>
    <row r="574" spans="3:22" ht="14.25" customHeight="1">
      <c r="C574" s="28"/>
      <c r="D574" s="29"/>
      <c r="E574" s="28"/>
      <c r="F574" s="3"/>
      <c r="G574" s="3"/>
      <c r="H574" s="3"/>
      <c r="I574" s="25"/>
      <c r="J574" s="25"/>
      <c r="K574" s="17"/>
      <c r="L574" s="17"/>
      <c r="M574" s="28"/>
      <c r="N574" s="28"/>
      <c r="O574" s="3"/>
      <c r="P574" s="3"/>
      <c r="Q574" s="3"/>
      <c r="R574" s="17"/>
      <c r="S574" s="17"/>
      <c r="T574" s="17"/>
      <c r="U574" s="17"/>
      <c r="V574" s="17"/>
    </row>
    <row r="575" spans="3:22" ht="14.25" customHeight="1">
      <c r="C575" s="28"/>
      <c r="D575" s="29"/>
      <c r="E575" s="28"/>
      <c r="F575" s="3"/>
      <c r="G575" s="3"/>
      <c r="H575" s="3"/>
      <c r="I575" s="25"/>
      <c r="J575" s="25"/>
      <c r="K575" s="17"/>
      <c r="L575" s="17"/>
      <c r="M575" s="28"/>
      <c r="N575" s="28"/>
      <c r="O575" s="3"/>
      <c r="P575" s="3"/>
      <c r="Q575" s="3"/>
      <c r="R575" s="17"/>
      <c r="S575" s="17"/>
      <c r="T575" s="17"/>
      <c r="U575" s="17"/>
      <c r="V575" s="17"/>
    </row>
    <row r="576" spans="3:22" ht="14.25" customHeight="1">
      <c r="C576" s="28"/>
      <c r="D576" s="29"/>
      <c r="E576" s="28"/>
      <c r="F576" s="3"/>
      <c r="G576" s="3"/>
      <c r="H576" s="3"/>
      <c r="I576" s="25"/>
      <c r="J576" s="25"/>
      <c r="K576" s="17"/>
      <c r="L576" s="17"/>
      <c r="M576" s="28"/>
      <c r="N576" s="28"/>
      <c r="O576" s="3"/>
      <c r="P576" s="3"/>
      <c r="Q576" s="3"/>
      <c r="R576" s="17"/>
      <c r="S576" s="17"/>
      <c r="T576" s="17"/>
      <c r="U576" s="17"/>
      <c r="V576" s="17"/>
    </row>
    <row r="577" spans="3:22" ht="14.25" customHeight="1">
      <c r="C577" s="28"/>
      <c r="D577" s="29"/>
      <c r="E577" s="28"/>
      <c r="F577" s="3"/>
      <c r="G577" s="3"/>
      <c r="H577" s="3"/>
      <c r="I577" s="25"/>
      <c r="J577" s="25"/>
      <c r="K577" s="17"/>
      <c r="L577" s="17"/>
      <c r="M577" s="28"/>
      <c r="N577" s="28"/>
      <c r="O577" s="3"/>
      <c r="P577" s="3"/>
      <c r="Q577" s="3"/>
      <c r="R577" s="17"/>
      <c r="S577" s="17"/>
      <c r="T577" s="17"/>
      <c r="U577" s="17"/>
      <c r="V577" s="17"/>
    </row>
    <row r="578" spans="3:22" ht="14.25" customHeight="1">
      <c r="C578" s="28"/>
      <c r="D578" s="29"/>
      <c r="E578" s="28"/>
      <c r="F578" s="3"/>
      <c r="G578" s="3"/>
      <c r="H578" s="3"/>
      <c r="I578" s="25"/>
      <c r="J578" s="25"/>
      <c r="K578" s="17"/>
      <c r="L578" s="17"/>
      <c r="M578" s="28"/>
      <c r="N578" s="28"/>
      <c r="O578" s="3"/>
      <c r="P578" s="3"/>
      <c r="Q578" s="3"/>
      <c r="R578" s="17"/>
      <c r="S578" s="17"/>
      <c r="T578" s="17"/>
      <c r="U578" s="17"/>
      <c r="V578" s="17"/>
    </row>
    <row r="579" spans="3:22" ht="14.25" customHeight="1">
      <c r="C579" s="28"/>
      <c r="D579" s="29"/>
      <c r="E579" s="28"/>
      <c r="F579" s="3"/>
      <c r="G579" s="3"/>
      <c r="H579" s="3"/>
      <c r="I579" s="25"/>
      <c r="J579" s="25"/>
      <c r="K579" s="17"/>
      <c r="L579" s="17"/>
      <c r="M579" s="28"/>
      <c r="N579" s="28"/>
      <c r="O579" s="3"/>
      <c r="P579" s="3"/>
      <c r="Q579" s="3"/>
      <c r="R579" s="17"/>
      <c r="S579" s="17"/>
      <c r="T579" s="17"/>
      <c r="U579" s="17"/>
      <c r="V579" s="17"/>
    </row>
    <row r="580" spans="3:22" ht="14.25" customHeight="1">
      <c r="C580" s="28"/>
      <c r="D580" s="29"/>
      <c r="E580" s="28"/>
      <c r="F580" s="3"/>
      <c r="G580" s="3"/>
      <c r="H580" s="3"/>
      <c r="I580" s="25"/>
      <c r="J580" s="25"/>
      <c r="K580" s="17"/>
      <c r="L580" s="17"/>
      <c r="M580" s="28"/>
      <c r="N580" s="28"/>
      <c r="O580" s="3"/>
      <c r="P580" s="3"/>
      <c r="Q580" s="3"/>
      <c r="R580" s="17"/>
      <c r="S580" s="17"/>
      <c r="T580" s="17"/>
      <c r="U580" s="17"/>
      <c r="V580" s="17"/>
    </row>
    <row r="581" spans="3:22" ht="14.25" customHeight="1">
      <c r="C581" s="28"/>
      <c r="D581" s="29"/>
      <c r="E581" s="28"/>
      <c r="F581" s="3"/>
      <c r="G581" s="3"/>
      <c r="H581" s="3"/>
      <c r="I581" s="25"/>
      <c r="J581" s="25"/>
      <c r="K581" s="17"/>
      <c r="L581" s="17"/>
      <c r="M581" s="28"/>
      <c r="N581" s="28"/>
      <c r="O581" s="3"/>
      <c r="P581" s="3"/>
      <c r="Q581" s="3"/>
      <c r="R581" s="17"/>
      <c r="S581" s="17"/>
      <c r="T581" s="17"/>
      <c r="U581" s="17"/>
      <c r="V581" s="17"/>
    </row>
    <row r="582" spans="3:22" ht="14.25" customHeight="1">
      <c r="C582" s="28"/>
      <c r="D582" s="29"/>
      <c r="E582" s="28"/>
      <c r="F582" s="3"/>
      <c r="G582" s="3"/>
      <c r="H582" s="3"/>
      <c r="I582" s="25"/>
      <c r="J582" s="25"/>
      <c r="K582" s="17"/>
      <c r="L582" s="17"/>
      <c r="M582" s="28"/>
      <c r="N582" s="28"/>
      <c r="O582" s="3"/>
      <c r="P582" s="3"/>
      <c r="Q582" s="3"/>
      <c r="R582" s="17"/>
      <c r="S582" s="17"/>
      <c r="T582" s="17"/>
      <c r="U582" s="17"/>
      <c r="V582" s="17"/>
    </row>
    <row r="583" spans="3:22" ht="14.25" customHeight="1">
      <c r="C583" s="28"/>
      <c r="D583" s="29"/>
      <c r="E583" s="28"/>
      <c r="F583" s="3"/>
      <c r="G583" s="3"/>
      <c r="H583" s="3"/>
      <c r="I583" s="25"/>
      <c r="J583" s="25"/>
      <c r="K583" s="17"/>
      <c r="L583" s="17"/>
      <c r="M583" s="28"/>
      <c r="N583" s="28"/>
      <c r="O583" s="3"/>
      <c r="P583" s="3"/>
      <c r="Q583" s="3"/>
      <c r="R583" s="17"/>
      <c r="S583" s="17"/>
      <c r="T583" s="17"/>
      <c r="U583" s="17"/>
      <c r="V583" s="17"/>
    </row>
    <row r="584" spans="3:22" ht="14.25" customHeight="1">
      <c r="C584" s="28"/>
      <c r="D584" s="29"/>
      <c r="E584" s="28"/>
      <c r="F584" s="3"/>
      <c r="G584" s="3"/>
      <c r="H584" s="3"/>
      <c r="I584" s="25"/>
      <c r="J584" s="25"/>
      <c r="K584" s="17"/>
      <c r="L584" s="17"/>
      <c r="M584" s="28"/>
      <c r="N584" s="28"/>
      <c r="O584" s="3"/>
      <c r="P584" s="3"/>
      <c r="Q584" s="3"/>
      <c r="R584" s="17"/>
      <c r="S584" s="17"/>
      <c r="T584" s="17"/>
      <c r="U584" s="17"/>
      <c r="V584" s="17"/>
    </row>
    <row r="585" spans="3:22" ht="14.25" customHeight="1">
      <c r="C585" s="28"/>
      <c r="D585" s="29"/>
      <c r="E585" s="28"/>
      <c r="F585" s="3"/>
      <c r="G585" s="3"/>
      <c r="H585" s="3"/>
      <c r="I585" s="25"/>
      <c r="J585" s="25"/>
      <c r="K585" s="17"/>
      <c r="L585" s="17"/>
      <c r="M585" s="28"/>
      <c r="N585" s="28"/>
      <c r="O585" s="3"/>
      <c r="P585" s="3"/>
      <c r="Q585" s="3"/>
      <c r="R585" s="17"/>
      <c r="S585" s="17"/>
      <c r="T585" s="17"/>
      <c r="U585" s="17"/>
      <c r="V585" s="17"/>
    </row>
    <row r="586" spans="3:22" ht="14.25" customHeight="1">
      <c r="C586" s="28"/>
      <c r="D586" s="29"/>
      <c r="E586" s="28"/>
      <c r="F586" s="3"/>
      <c r="G586" s="3"/>
      <c r="H586" s="3"/>
      <c r="I586" s="25"/>
      <c r="J586" s="25"/>
      <c r="K586" s="17"/>
      <c r="L586" s="17"/>
      <c r="M586" s="28"/>
      <c r="N586" s="28"/>
      <c r="O586" s="3"/>
      <c r="P586" s="3"/>
      <c r="Q586" s="3"/>
      <c r="R586" s="17"/>
      <c r="S586" s="17"/>
      <c r="T586" s="17"/>
      <c r="U586" s="17"/>
      <c r="V586" s="17"/>
    </row>
    <row r="587" spans="3:22" ht="14.25" customHeight="1">
      <c r="C587" s="28"/>
      <c r="D587" s="29"/>
      <c r="E587" s="28"/>
      <c r="F587" s="3"/>
      <c r="G587" s="3"/>
      <c r="H587" s="3"/>
      <c r="I587" s="25"/>
      <c r="J587" s="25"/>
      <c r="K587" s="17"/>
      <c r="L587" s="17"/>
      <c r="M587" s="28"/>
      <c r="N587" s="28"/>
      <c r="O587" s="3"/>
      <c r="P587" s="3"/>
      <c r="Q587" s="3"/>
      <c r="R587" s="17"/>
      <c r="S587" s="17"/>
      <c r="T587" s="17"/>
      <c r="U587" s="17"/>
      <c r="V587" s="17"/>
    </row>
    <row r="588" spans="3:22" ht="14.25" customHeight="1">
      <c r="C588" s="28"/>
      <c r="D588" s="29"/>
      <c r="E588" s="28"/>
      <c r="F588" s="3"/>
      <c r="G588" s="3"/>
      <c r="H588" s="3"/>
      <c r="I588" s="25"/>
      <c r="J588" s="25"/>
      <c r="K588" s="17"/>
      <c r="L588" s="17"/>
      <c r="M588" s="28"/>
      <c r="N588" s="28"/>
      <c r="O588" s="3"/>
      <c r="P588" s="3"/>
      <c r="Q588" s="3"/>
      <c r="R588" s="17"/>
      <c r="S588" s="17"/>
      <c r="T588" s="17"/>
      <c r="U588" s="17"/>
      <c r="V588" s="17"/>
    </row>
    <row r="589" spans="3:22" ht="14.25" customHeight="1">
      <c r="C589" s="28"/>
      <c r="D589" s="29"/>
      <c r="E589" s="28"/>
      <c r="F589" s="3"/>
      <c r="G589" s="3"/>
      <c r="H589" s="3"/>
      <c r="I589" s="25"/>
      <c r="J589" s="25"/>
      <c r="K589" s="17"/>
      <c r="L589" s="17"/>
      <c r="M589" s="28"/>
      <c r="N589" s="28"/>
      <c r="O589" s="3"/>
      <c r="P589" s="3"/>
      <c r="Q589" s="3"/>
      <c r="R589" s="17"/>
      <c r="S589" s="17"/>
      <c r="T589" s="17"/>
      <c r="U589" s="17"/>
      <c r="V589" s="17"/>
    </row>
    <row r="590" spans="3:22" ht="14.25" customHeight="1">
      <c r="C590" s="28"/>
      <c r="D590" s="29"/>
      <c r="E590" s="28"/>
      <c r="F590" s="3"/>
      <c r="G590" s="3"/>
      <c r="H590" s="3"/>
      <c r="I590" s="25"/>
      <c r="J590" s="25"/>
      <c r="K590" s="17"/>
      <c r="L590" s="17"/>
      <c r="M590" s="28"/>
      <c r="N590" s="28"/>
      <c r="O590" s="3"/>
      <c r="P590" s="3"/>
      <c r="Q590" s="3"/>
      <c r="R590" s="17"/>
      <c r="S590" s="17"/>
      <c r="T590" s="17"/>
      <c r="U590" s="17"/>
      <c r="V590" s="17"/>
    </row>
    <row r="591" spans="3:22" ht="14.25" customHeight="1">
      <c r="C591" s="28"/>
      <c r="D591" s="29"/>
      <c r="E591" s="28"/>
      <c r="F591" s="3"/>
      <c r="G591" s="3"/>
      <c r="H591" s="3"/>
      <c r="I591" s="25"/>
      <c r="J591" s="25"/>
      <c r="K591" s="17"/>
      <c r="L591" s="17"/>
      <c r="M591" s="28"/>
      <c r="N591" s="28"/>
      <c r="O591" s="3"/>
      <c r="P591" s="3"/>
      <c r="Q591" s="3"/>
      <c r="R591" s="17"/>
      <c r="S591" s="17"/>
      <c r="T591" s="17"/>
      <c r="U591" s="17"/>
      <c r="V591" s="17"/>
    </row>
    <row r="592" spans="3:22" ht="14.25" customHeight="1">
      <c r="C592" s="28"/>
      <c r="D592" s="29"/>
      <c r="E592" s="28"/>
      <c r="F592" s="3"/>
      <c r="G592" s="3"/>
      <c r="H592" s="3"/>
      <c r="I592" s="25"/>
      <c r="J592" s="25"/>
      <c r="K592" s="17"/>
      <c r="L592" s="17"/>
      <c r="M592" s="28"/>
      <c r="N592" s="28"/>
      <c r="O592" s="3"/>
      <c r="P592" s="3"/>
      <c r="Q592" s="3"/>
      <c r="R592" s="17"/>
      <c r="S592" s="17"/>
      <c r="T592" s="17"/>
      <c r="U592" s="17"/>
      <c r="V592" s="17"/>
    </row>
    <row r="593" spans="3:22" ht="14.25" customHeight="1">
      <c r="C593" s="28"/>
      <c r="D593" s="29"/>
      <c r="E593" s="28"/>
      <c r="F593" s="3"/>
      <c r="G593" s="3"/>
      <c r="H593" s="3"/>
      <c r="I593" s="25"/>
      <c r="J593" s="25"/>
      <c r="K593" s="17"/>
      <c r="L593" s="17"/>
      <c r="M593" s="28"/>
      <c r="N593" s="28"/>
      <c r="O593" s="3"/>
      <c r="P593" s="3"/>
      <c r="Q593" s="3"/>
      <c r="R593" s="17"/>
      <c r="S593" s="17"/>
      <c r="T593" s="17"/>
      <c r="U593" s="17"/>
      <c r="V593" s="17"/>
    </row>
    <row r="594" spans="3:22" ht="14.25" customHeight="1">
      <c r="C594" s="28"/>
      <c r="D594" s="29"/>
      <c r="E594" s="28"/>
      <c r="F594" s="3"/>
      <c r="G594" s="3"/>
      <c r="H594" s="3"/>
      <c r="I594" s="25"/>
      <c r="J594" s="25"/>
      <c r="K594" s="17"/>
      <c r="L594" s="17"/>
      <c r="M594" s="28"/>
      <c r="N594" s="28"/>
      <c r="O594" s="3"/>
      <c r="P594" s="3"/>
      <c r="Q594" s="3"/>
      <c r="R594" s="17"/>
      <c r="S594" s="17"/>
      <c r="T594" s="17"/>
      <c r="U594" s="17"/>
      <c r="V594" s="17"/>
    </row>
    <row r="595" spans="3:22" ht="14.25" customHeight="1">
      <c r="C595" s="28"/>
      <c r="D595" s="29"/>
      <c r="E595" s="28"/>
      <c r="F595" s="3"/>
      <c r="G595" s="3"/>
      <c r="H595" s="3"/>
      <c r="I595" s="25"/>
      <c r="J595" s="25"/>
      <c r="K595" s="17"/>
      <c r="L595" s="17"/>
      <c r="M595" s="28"/>
      <c r="N595" s="28"/>
      <c r="O595" s="3"/>
      <c r="P595" s="3"/>
      <c r="Q595" s="3"/>
      <c r="R595" s="17"/>
      <c r="S595" s="17"/>
      <c r="T595" s="17"/>
      <c r="U595" s="17"/>
      <c r="V595" s="17"/>
    </row>
    <row r="596" spans="3:22" ht="14.25" customHeight="1">
      <c r="C596" s="28"/>
      <c r="D596" s="29"/>
      <c r="E596" s="28"/>
      <c r="F596" s="3"/>
      <c r="G596" s="3"/>
      <c r="H596" s="3"/>
      <c r="I596" s="25"/>
      <c r="J596" s="25"/>
      <c r="K596" s="17"/>
      <c r="L596" s="17"/>
      <c r="M596" s="28"/>
      <c r="N596" s="28"/>
      <c r="O596" s="3"/>
      <c r="P596" s="3"/>
      <c r="Q596" s="3"/>
      <c r="R596" s="17"/>
      <c r="S596" s="17"/>
      <c r="T596" s="17"/>
      <c r="U596" s="17"/>
      <c r="V596" s="17"/>
    </row>
    <row r="597" spans="3:22" ht="14.25" customHeight="1">
      <c r="C597" s="28"/>
      <c r="D597" s="29"/>
      <c r="E597" s="28"/>
      <c r="F597" s="3"/>
      <c r="G597" s="3"/>
      <c r="H597" s="3"/>
      <c r="I597" s="25"/>
      <c r="J597" s="25"/>
      <c r="K597" s="17"/>
      <c r="L597" s="17"/>
      <c r="M597" s="28"/>
      <c r="N597" s="28"/>
      <c r="O597" s="3"/>
      <c r="P597" s="3"/>
      <c r="Q597" s="3"/>
      <c r="R597" s="17"/>
      <c r="S597" s="17"/>
      <c r="T597" s="17"/>
      <c r="U597" s="17"/>
      <c r="V597" s="17"/>
    </row>
    <row r="598" spans="3:22" ht="14.25" customHeight="1">
      <c r="C598" s="28"/>
      <c r="D598" s="29"/>
      <c r="E598" s="28"/>
      <c r="F598" s="3"/>
      <c r="G598" s="3"/>
      <c r="H598" s="3"/>
      <c r="I598" s="25"/>
      <c r="J598" s="25"/>
      <c r="K598" s="17"/>
      <c r="L598" s="17"/>
      <c r="M598" s="28"/>
      <c r="N598" s="28"/>
      <c r="O598" s="3"/>
      <c r="P598" s="3"/>
      <c r="Q598" s="3"/>
      <c r="R598" s="17"/>
      <c r="S598" s="17"/>
      <c r="T598" s="17"/>
      <c r="U598" s="17"/>
      <c r="V598" s="17"/>
    </row>
    <row r="599" spans="3:22" ht="14.25" customHeight="1">
      <c r="C599" s="28"/>
      <c r="D599" s="29"/>
      <c r="E599" s="28"/>
      <c r="F599" s="3"/>
      <c r="G599" s="3"/>
      <c r="H599" s="3"/>
      <c r="I599" s="25"/>
      <c r="J599" s="25"/>
      <c r="K599" s="17"/>
      <c r="L599" s="17"/>
      <c r="M599" s="28"/>
      <c r="N599" s="28"/>
      <c r="O599" s="3"/>
      <c r="P599" s="3"/>
      <c r="Q599" s="3"/>
      <c r="R599" s="17"/>
      <c r="S599" s="17"/>
      <c r="T599" s="17"/>
      <c r="U599" s="17"/>
      <c r="V599" s="17"/>
    </row>
    <row r="600" spans="3:22" ht="14.25" customHeight="1">
      <c r="C600" s="28"/>
      <c r="D600" s="29"/>
      <c r="E600" s="28"/>
      <c r="F600" s="3"/>
      <c r="G600" s="3"/>
      <c r="H600" s="3"/>
      <c r="I600" s="25"/>
      <c r="J600" s="25"/>
      <c r="K600" s="17"/>
      <c r="L600" s="17"/>
      <c r="M600" s="28"/>
      <c r="N600" s="28"/>
      <c r="O600" s="3"/>
      <c r="P600" s="3"/>
      <c r="Q600" s="3"/>
      <c r="R600" s="17"/>
      <c r="S600" s="17"/>
      <c r="T600" s="17"/>
      <c r="U600" s="17"/>
      <c r="V600" s="17"/>
    </row>
    <row r="601" spans="3:22" ht="14.25" customHeight="1">
      <c r="C601" s="28"/>
      <c r="D601" s="29"/>
      <c r="E601" s="28"/>
      <c r="F601" s="3"/>
      <c r="G601" s="3"/>
      <c r="H601" s="3"/>
      <c r="I601" s="25"/>
      <c r="J601" s="25"/>
      <c r="K601" s="17"/>
      <c r="L601" s="17"/>
      <c r="M601" s="28"/>
      <c r="N601" s="28"/>
      <c r="O601" s="3"/>
      <c r="P601" s="3"/>
      <c r="Q601" s="3"/>
      <c r="R601" s="17"/>
      <c r="S601" s="17"/>
      <c r="T601" s="17"/>
      <c r="U601" s="17"/>
      <c r="V601" s="17"/>
    </row>
    <row r="602" spans="3:22" ht="14.25" customHeight="1">
      <c r="C602" s="28"/>
      <c r="D602" s="29"/>
      <c r="E602" s="28"/>
      <c r="F602" s="3"/>
      <c r="G602" s="3"/>
      <c r="H602" s="3"/>
      <c r="I602" s="25"/>
      <c r="J602" s="25"/>
      <c r="K602" s="17"/>
      <c r="L602" s="17"/>
      <c r="M602" s="28"/>
      <c r="N602" s="28"/>
      <c r="O602" s="3"/>
      <c r="P602" s="3"/>
      <c r="Q602" s="3"/>
      <c r="R602" s="17"/>
      <c r="S602" s="17"/>
      <c r="T602" s="17"/>
      <c r="U602" s="17"/>
      <c r="V602" s="17"/>
    </row>
    <row r="603" spans="3:22" ht="14.25" customHeight="1">
      <c r="C603" s="28"/>
      <c r="D603" s="29"/>
      <c r="E603" s="28"/>
      <c r="F603" s="3"/>
      <c r="G603" s="3"/>
      <c r="H603" s="3"/>
      <c r="I603" s="25"/>
      <c r="J603" s="25"/>
      <c r="K603" s="17"/>
      <c r="L603" s="17"/>
      <c r="M603" s="28"/>
      <c r="N603" s="28"/>
      <c r="O603" s="3"/>
      <c r="P603" s="3"/>
      <c r="Q603" s="3"/>
      <c r="R603" s="17"/>
      <c r="S603" s="17"/>
      <c r="T603" s="17"/>
      <c r="U603" s="17"/>
      <c r="V603" s="17"/>
    </row>
    <row r="604" spans="3:22" ht="14.25" customHeight="1">
      <c r="C604" s="28"/>
      <c r="D604" s="29"/>
      <c r="E604" s="28"/>
      <c r="F604" s="3"/>
      <c r="G604" s="3"/>
      <c r="H604" s="3"/>
      <c r="I604" s="25"/>
      <c r="J604" s="25"/>
      <c r="K604" s="17"/>
      <c r="L604" s="17"/>
      <c r="M604" s="28"/>
      <c r="N604" s="28"/>
      <c r="O604" s="3"/>
      <c r="P604" s="3"/>
      <c r="Q604" s="3"/>
      <c r="R604" s="17"/>
      <c r="S604" s="17"/>
      <c r="T604" s="17"/>
      <c r="U604" s="17"/>
      <c r="V604" s="17"/>
    </row>
    <row r="605" spans="3:22" ht="14.25" customHeight="1">
      <c r="C605" s="28"/>
      <c r="D605" s="29"/>
      <c r="E605" s="28"/>
      <c r="F605" s="3"/>
      <c r="G605" s="3"/>
      <c r="H605" s="3"/>
      <c r="I605" s="25"/>
      <c r="J605" s="25"/>
      <c r="K605" s="17"/>
      <c r="L605" s="17"/>
      <c r="M605" s="28"/>
      <c r="N605" s="28"/>
      <c r="O605" s="3"/>
      <c r="P605" s="3"/>
      <c r="Q605" s="3"/>
      <c r="R605" s="17"/>
      <c r="S605" s="17"/>
      <c r="T605" s="17"/>
      <c r="U605" s="17"/>
      <c r="V605" s="17"/>
    </row>
    <row r="606" spans="3:22" ht="14.25" customHeight="1">
      <c r="C606" s="28"/>
      <c r="D606" s="29"/>
      <c r="E606" s="28"/>
      <c r="F606" s="3"/>
      <c r="G606" s="3"/>
      <c r="H606" s="3"/>
      <c r="I606" s="25"/>
      <c r="J606" s="25"/>
      <c r="K606" s="17"/>
      <c r="L606" s="17"/>
      <c r="M606" s="28"/>
      <c r="N606" s="28"/>
      <c r="O606" s="3"/>
      <c r="P606" s="3"/>
      <c r="Q606" s="3"/>
      <c r="R606" s="17"/>
      <c r="S606" s="17"/>
      <c r="T606" s="17"/>
      <c r="U606" s="17"/>
      <c r="V606" s="17"/>
    </row>
    <row r="607" spans="3:22" ht="14.25" customHeight="1">
      <c r="C607" s="28"/>
      <c r="D607" s="29"/>
      <c r="E607" s="28"/>
      <c r="F607" s="3"/>
      <c r="G607" s="3"/>
      <c r="H607" s="3"/>
      <c r="I607" s="25"/>
      <c r="J607" s="25"/>
      <c r="K607" s="17"/>
      <c r="L607" s="17"/>
      <c r="M607" s="28"/>
      <c r="N607" s="28"/>
      <c r="O607" s="3"/>
      <c r="P607" s="3"/>
      <c r="Q607" s="3"/>
      <c r="R607" s="17"/>
      <c r="S607" s="17"/>
      <c r="T607" s="17"/>
      <c r="U607" s="17"/>
      <c r="V607" s="17"/>
    </row>
    <row r="608" spans="3:22" ht="14.25" customHeight="1">
      <c r="C608" s="28"/>
      <c r="D608" s="29"/>
      <c r="E608" s="28"/>
      <c r="F608" s="3"/>
      <c r="G608" s="3"/>
      <c r="H608" s="3"/>
      <c r="I608" s="25"/>
      <c r="J608" s="25"/>
      <c r="K608" s="17"/>
      <c r="L608" s="17"/>
      <c r="M608" s="28"/>
      <c r="N608" s="28"/>
      <c r="O608" s="3"/>
      <c r="P608" s="3"/>
      <c r="Q608" s="3"/>
      <c r="R608" s="17"/>
      <c r="S608" s="17"/>
      <c r="T608" s="17"/>
      <c r="U608" s="17"/>
      <c r="V608" s="17"/>
    </row>
    <row r="609" spans="3:22" ht="14.25" customHeight="1">
      <c r="C609" s="28"/>
      <c r="D609" s="29"/>
      <c r="E609" s="28"/>
      <c r="F609" s="3"/>
      <c r="G609" s="3"/>
      <c r="H609" s="3"/>
      <c r="I609" s="25"/>
      <c r="J609" s="25"/>
      <c r="K609" s="17"/>
      <c r="L609" s="17"/>
      <c r="M609" s="28"/>
      <c r="N609" s="28"/>
      <c r="O609" s="3"/>
      <c r="P609" s="3"/>
      <c r="Q609" s="3"/>
      <c r="R609" s="17"/>
      <c r="S609" s="17"/>
      <c r="T609" s="17"/>
      <c r="U609" s="17"/>
      <c r="V609" s="17"/>
    </row>
    <row r="610" spans="3:22" ht="14.25" customHeight="1">
      <c r="C610" s="28"/>
      <c r="D610" s="29"/>
      <c r="E610" s="28"/>
      <c r="F610" s="3"/>
      <c r="G610" s="3"/>
      <c r="H610" s="3"/>
      <c r="I610" s="25"/>
      <c r="J610" s="25"/>
      <c r="K610" s="17"/>
      <c r="L610" s="17"/>
      <c r="M610" s="28"/>
      <c r="N610" s="28"/>
      <c r="O610" s="3"/>
      <c r="P610" s="3"/>
      <c r="Q610" s="3"/>
      <c r="R610" s="17"/>
      <c r="S610" s="17"/>
      <c r="T610" s="17"/>
      <c r="U610" s="17"/>
      <c r="V610" s="17"/>
    </row>
    <row r="611" spans="3:22" ht="14.25" customHeight="1">
      <c r="C611" s="28"/>
      <c r="D611" s="29"/>
      <c r="E611" s="28"/>
      <c r="F611" s="3"/>
      <c r="G611" s="3"/>
      <c r="H611" s="3"/>
      <c r="I611" s="25"/>
      <c r="J611" s="25"/>
      <c r="K611" s="17"/>
      <c r="L611" s="17"/>
      <c r="M611" s="28"/>
      <c r="N611" s="28"/>
      <c r="O611" s="3"/>
      <c r="P611" s="3"/>
      <c r="Q611" s="3"/>
      <c r="R611" s="17"/>
      <c r="S611" s="17"/>
      <c r="T611" s="17"/>
      <c r="U611" s="17"/>
      <c r="V611" s="17"/>
    </row>
    <row r="612" spans="3:22" ht="14.25" customHeight="1">
      <c r="C612" s="28"/>
      <c r="D612" s="29"/>
      <c r="E612" s="28"/>
      <c r="F612" s="3"/>
      <c r="G612" s="3"/>
      <c r="H612" s="3"/>
      <c r="I612" s="25"/>
      <c r="J612" s="25"/>
      <c r="K612" s="17"/>
      <c r="L612" s="17"/>
      <c r="M612" s="28"/>
      <c r="N612" s="28"/>
      <c r="O612" s="3"/>
      <c r="P612" s="3"/>
      <c r="Q612" s="3"/>
      <c r="R612" s="17"/>
      <c r="S612" s="17"/>
      <c r="T612" s="17"/>
      <c r="U612" s="17"/>
      <c r="V612" s="17"/>
    </row>
    <row r="613" spans="3:22" ht="14.25" customHeight="1">
      <c r="C613" s="28"/>
      <c r="D613" s="29"/>
      <c r="E613" s="28"/>
      <c r="F613" s="3"/>
      <c r="G613" s="3"/>
      <c r="H613" s="3"/>
      <c r="I613" s="25"/>
      <c r="J613" s="25"/>
      <c r="K613" s="17"/>
      <c r="L613" s="17"/>
      <c r="M613" s="28"/>
      <c r="N613" s="28"/>
      <c r="O613" s="3"/>
      <c r="P613" s="3"/>
      <c r="Q613" s="3"/>
      <c r="R613" s="17"/>
      <c r="S613" s="17"/>
      <c r="T613" s="17"/>
      <c r="U613" s="17"/>
      <c r="V613" s="17"/>
    </row>
    <row r="614" spans="3:22" ht="14.25" customHeight="1">
      <c r="C614" s="28"/>
      <c r="D614" s="29"/>
      <c r="E614" s="28"/>
      <c r="F614" s="3"/>
      <c r="G614" s="3"/>
      <c r="H614" s="3"/>
      <c r="I614" s="25"/>
      <c r="J614" s="25"/>
      <c r="K614" s="17"/>
      <c r="L614" s="17"/>
      <c r="M614" s="28"/>
      <c r="N614" s="28"/>
      <c r="O614" s="3"/>
      <c r="P614" s="3"/>
      <c r="Q614" s="3"/>
      <c r="R614" s="17"/>
      <c r="S614" s="17"/>
      <c r="T614" s="17"/>
      <c r="U614" s="17"/>
      <c r="V614" s="17"/>
    </row>
    <row r="615" spans="3:22" ht="14.25" customHeight="1">
      <c r="C615" s="28"/>
      <c r="D615" s="29"/>
      <c r="E615" s="28"/>
      <c r="F615" s="3"/>
      <c r="G615" s="3"/>
      <c r="H615" s="3"/>
      <c r="I615" s="25"/>
      <c r="J615" s="25"/>
      <c r="K615" s="17"/>
      <c r="L615" s="17"/>
      <c r="M615" s="28"/>
      <c r="N615" s="28"/>
      <c r="O615" s="3"/>
      <c r="P615" s="3"/>
      <c r="Q615" s="3"/>
      <c r="R615" s="17"/>
      <c r="S615" s="17"/>
      <c r="T615" s="17"/>
      <c r="U615" s="17"/>
      <c r="V615" s="17"/>
    </row>
    <row r="616" spans="3:22" ht="14.25" customHeight="1">
      <c r="C616" s="28"/>
      <c r="D616" s="29"/>
      <c r="E616" s="28"/>
      <c r="F616" s="3"/>
      <c r="G616" s="3"/>
      <c r="H616" s="3"/>
      <c r="I616" s="25"/>
      <c r="J616" s="25"/>
      <c r="K616" s="17"/>
      <c r="L616" s="17"/>
      <c r="M616" s="28"/>
      <c r="N616" s="28"/>
      <c r="O616" s="3"/>
      <c r="P616" s="3"/>
      <c r="Q616" s="3"/>
      <c r="R616" s="17"/>
      <c r="S616" s="17"/>
      <c r="T616" s="17"/>
      <c r="U616" s="17"/>
      <c r="V616" s="17"/>
    </row>
    <row r="617" spans="3:22" ht="14.25" customHeight="1">
      <c r="C617" s="28"/>
      <c r="D617" s="29"/>
      <c r="E617" s="28"/>
      <c r="F617" s="3"/>
      <c r="G617" s="3"/>
      <c r="H617" s="3"/>
      <c r="I617" s="25"/>
      <c r="J617" s="25"/>
      <c r="K617" s="17"/>
      <c r="L617" s="17"/>
      <c r="M617" s="28"/>
      <c r="N617" s="28"/>
      <c r="O617" s="3"/>
      <c r="P617" s="3"/>
      <c r="Q617" s="3"/>
      <c r="R617" s="17"/>
      <c r="S617" s="17"/>
      <c r="T617" s="17"/>
      <c r="U617" s="17"/>
      <c r="V617" s="17"/>
    </row>
    <row r="618" spans="3:22" ht="14.25" customHeight="1">
      <c r="C618" s="28"/>
      <c r="D618" s="29"/>
      <c r="E618" s="28"/>
      <c r="F618" s="3"/>
      <c r="G618" s="3"/>
      <c r="H618" s="3"/>
      <c r="I618" s="25"/>
      <c r="J618" s="25"/>
      <c r="K618" s="17"/>
      <c r="L618" s="17"/>
      <c r="M618" s="28"/>
      <c r="N618" s="28"/>
      <c r="O618" s="3"/>
      <c r="P618" s="3"/>
      <c r="Q618" s="3"/>
      <c r="R618" s="17"/>
      <c r="S618" s="17"/>
      <c r="T618" s="17"/>
      <c r="U618" s="17"/>
      <c r="V618" s="17"/>
    </row>
    <row r="619" spans="3:22" ht="14.25" customHeight="1">
      <c r="C619" s="28"/>
      <c r="D619" s="29"/>
      <c r="E619" s="28"/>
      <c r="F619" s="3"/>
      <c r="G619" s="3"/>
      <c r="H619" s="3"/>
      <c r="I619" s="25"/>
      <c r="J619" s="25"/>
      <c r="K619" s="17"/>
      <c r="L619" s="17"/>
      <c r="M619" s="28"/>
      <c r="N619" s="28"/>
      <c r="O619" s="3"/>
      <c r="P619" s="3"/>
      <c r="Q619" s="3"/>
      <c r="R619" s="17"/>
      <c r="S619" s="17"/>
      <c r="T619" s="17"/>
      <c r="U619" s="17"/>
      <c r="V619" s="17"/>
    </row>
    <row r="620" spans="3:22" ht="14.25" customHeight="1">
      <c r="C620" s="28"/>
      <c r="D620" s="29"/>
      <c r="E620" s="28"/>
      <c r="F620" s="3"/>
      <c r="G620" s="3"/>
      <c r="H620" s="3"/>
      <c r="I620" s="25"/>
      <c r="J620" s="25"/>
      <c r="K620" s="17"/>
      <c r="L620" s="17"/>
      <c r="M620" s="28"/>
      <c r="N620" s="28"/>
      <c r="O620" s="3"/>
      <c r="P620" s="3"/>
      <c r="Q620" s="3"/>
      <c r="R620" s="17"/>
      <c r="S620" s="17"/>
      <c r="T620" s="17"/>
      <c r="U620" s="17"/>
      <c r="V620" s="17"/>
    </row>
    <row r="621" spans="3:22" ht="14.25" customHeight="1">
      <c r="C621" s="28"/>
      <c r="D621" s="29"/>
      <c r="E621" s="28"/>
      <c r="F621" s="3"/>
      <c r="G621" s="3"/>
      <c r="H621" s="3"/>
      <c r="I621" s="25"/>
      <c r="J621" s="25"/>
      <c r="K621" s="17"/>
      <c r="L621" s="17"/>
      <c r="M621" s="28"/>
      <c r="N621" s="28"/>
      <c r="O621" s="3"/>
      <c r="P621" s="3"/>
      <c r="Q621" s="3"/>
      <c r="R621" s="17"/>
      <c r="S621" s="17"/>
      <c r="T621" s="17"/>
      <c r="U621" s="17"/>
      <c r="V621" s="17"/>
    </row>
    <row r="622" spans="3:22" ht="14.25" customHeight="1">
      <c r="C622" s="28"/>
      <c r="D622" s="29"/>
      <c r="E622" s="28"/>
      <c r="F622" s="3"/>
      <c r="G622" s="3"/>
      <c r="H622" s="3"/>
      <c r="I622" s="25"/>
      <c r="J622" s="25"/>
      <c r="K622" s="17"/>
      <c r="L622" s="17"/>
      <c r="M622" s="28"/>
      <c r="N622" s="28"/>
      <c r="O622" s="3"/>
      <c r="P622" s="3"/>
      <c r="Q622" s="3"/>
      <c r="R622" s="17"/>
      <c r="S622" s="17"/>
      <c r="T622" s="17"/>
      <c r="U622" s="17"/>
      <c r="V622" s="17"/>
    </row>
    <row r="623" spans="3:22" ht="14.25" customHeight="1">
      <c r="C623" s="28"/>
      <c r="D623" s="29"/>
      <c r="E623" s="28"/>
      <c r="F623" s="3"/>
      <c r="G623" s="3"/>
      <c r="H623" s="3"/>
      <c r="I623" s="25"/>
      <c r="J623" s="25"/>
      <c r="K623" s="17"/>
      <c r="L623" s="17"/>
      <c r="M623" s="28"/>
      <c r="N623" s="28"/>
      <c r="O623" s="3"/>
      <c r="P623" s="3"/>
      <c r="Q623" s="3"/>
      <c r="R623" s="17"/>
      <c r="S623" s="17"/>
      <c r="T623" s="17"/>
      <c r="U623" s="17"/>
      <c r="V623" s="17"/>
    </row>
    <row r="624" spans="3:22" ht="14.25" customHeight="1">
      <c r="C624" s="28"/>
      <c r="D624" s="29"/>
      <c r="E624" s="28"/>
      <c r="F624" s="3"/>
      <c r="G624" s="3"/>
      <c r="H624" s="3"/>
      <c r="I624" s="25"/>
      <c r="J624" s="25"/>
      <c r="K624" s="17"/>
      <c r="L624" s="17"/>
      <c r="M624" s="28"/>
      <c r="N624" s="28"/>
      <c r="O624" s="3"/>
      <c r="P624" s="3"/>
      <c r="Q624" s="3"/>
      <c r="R624" s="17"/>
      <c r="S624" s="17"/>
      <c r="T624" s="17"/>
      <c r="U624" s="17"/>
      <c r="V624" s="17"/>
    </row>
    <row r="625" spans="3:22" ht="14.25" customHeight="1">
      <c r="C625" s="28"/>
      <c r="D625" s="29"/>
      <c r="E625" s="28"/>
      <c r="F625" s="3"/>
      <c r="G625" s="3"/>
      <c r="H625" s="3"/>
      <c r="I625" s="25"/>
      <c r="J625" s="25"/>
      <c r="K625" s="17"/>
      <c r="L625" s="17"/>
      <c r="M625" s="28"/>
      <c r="N625" s="28"/>
      <c r="O625" s="3"/>
      <c r="P625" s="3"/>
      <c r="Q625" s="3"/>
      <c r="R625" s="17"/>
      <c r="S625" s="17"/>
      <c r="T625" s="17"/>
      <c r="U625" s="17"/>
      <c r="V625" s="17"/>
    </row>
    <row r="626" spans="3:22" ht="14.25" customHeight="1">
      <c r="C626" s="28"/>
      <c r="D626" s="29"/>
      <c r="E626" s="28"/>
      <c r="F626" s="3"/>
      <c r="G626" s="3"/>
      <c r="H626" s="3"/>
      <c r="I626" s="25"/>
      <c r="J626" s="25"/>
      <c r="K626" s="17"/>
      <c r="L626" s="17"/>
      <c r="M626" s="28"/>
      <c r="N626" s="28"/>
      <c r="O626" s="3"/>
      <c r="P626" s="3"/>
      <c r="Q626" s="3"/>
      <c r="R626" s="17"/>
      <c r="S626" s="17"/>
      <c r="T626" s="17"/>
      <c r="U626" s="17"/>
      <c r="V626" s="17"/>
    </row>
    <row r="627" spans="3:22" ht="14.25" customHeight="1">
      <c r="C627" s="28"/>
      <c r="D627" s="29"/>
      <c r="E627" s="28"/>
      <c r="F627" s="3"/>
      <c r="G627" s="3"/>
      <c r="H627" s="3"/>
      <c r="I627" s="25"/>
      <c r="J627" s="25"/>
      <c r="K627" s="17"/>
      <c r="L627" s="17"/>
      <c r="M627" s="28"/>
      <c r="N627" s="28"/>
      <c r="O627" s="3"/>
      <c r="P627" s="3"/>
      <c r="Q627" s="3"/>
      <c r="R627" s="17"/>
      <c r="S627" s="17"/>
      <c r="T627" s="17"/>
      <c r="U627" s="17"/>
      <c r="V627" s="17"/>
    </row>
    <row r="628" spans="3:22" ht="14.25" customHeight="1">
      <c r="C628" s="28"/>
      <c r="D628" s="29"/>
      <c r="E628" s="28"/>
      <c r="F628" s="3"/>
      <c r="G628" s="3"/>
      <c r="H628" s="3"/>
      <c r="I628" s="25"/>
      <c r="J628" s="25"/>
      <c r="K628" s="17"/>
      <c r="L628" s="17"/>
      <c r="M628" s="28"/>
      <c r="N628" s="28"/>
      <c r="O628" s="3"/>
      <c r="P628" s="3"/>
      <c r="Q628" s="3"/>
      <c r="R628" s="17"/>
      <c r="S628" s="17"/>
      <c r="T628" s="17"/>
      <c r="U628" s="17"/>
      <c r="V628" s="17"/>
    </row>
    <row r="629" spans="3:22" ht="14.25" customHeight="1">
      <c r="C629" s="28"/>
      <c r="D629" s="29"/>
      <c r="E629" s="28"/>
      <c r="F629" s="3"/>
      <c r="G629" s="3"/>
      <c r="H629" s="3"/>
      <c r="I629" s="25"/>
      <c r="J629" s="25"/>
      <c r="K629" s="17"/>
      <c r="L629" s="17"/>
      <c r="M629" s="28"/>
      <c r="N629" s="28"/>
      <c r="O629" s="3"/>
      <c r="P629" s="3"/>
      <c r="Q629" s="3"/>
      <c r="R629" s="17"/>
      <c r="S629" s="17"/>
      <c r="T629" s="17"/>
      <c r="U629" s="17"/>
      <c r="V629" s="17"/>
    </row>
    <row r="630" spans="3:22" ht="14.25" customHeight="1">
      <c r="C630" s="28"/>
      <c r="D630" s="29"/>
      <c r="E630" s="28"/>
      <c r="F630" s="3"/>
      <c r="G630" s="3"/>
      <c r="H630" s="3"/>
      <c r="I630" s="25"/>
      <c r="J630" s="25"/>
      <c r="K630" s="17"/>
      <c r="L630" s="17"/>
      <c r="M630" s="28"/>
      <c r="N630" s="28"/>
      <c r="O630" s="3"/>
      <c r="P630" s="3"/>
      <c r="Q630" s="3"/>
      <c r="R630" s="17"/>
      <c r="S630" s="17"/>
      <c r="T630" s="17"/>
      <c r="U630" s="17"/>
      <c r="V630" s="17"/>
    </row>
    <row r="631" spans="3:22" ht="14.25" customHeight="1">
      <c r="C631" s="28"/>
      <c r="D631" s="29"/>
      <c r="E631" s="28"/>
      <c r="F631" s="3"/>
      <c r="G631" s="3"/>
      <c r="H631" s="3"/>
      <c r="I631" s="25"/>
      <c r="J631" s="25"/>
      <c r="K631" s="17"/>
      <c r="L631" s="17"/>
      <c r="M631" s="28"/>
      <c r="N631" s="28"/>
      <c r="O631" s="3"/>
      <c r="P631" s="3"/>
      <c r="Q631" s="3"/>
      <c r="R631" s="17"/>
      <c r="S631" s="17"/>
      <c r="T631" s="17"/>
      <c r="U631" s="17"/>
      <c r="V631" s="17"/>
    </row>
    <row r="632" spans="3:22" ht="14.25" customHeight="1">
      <c r="C632" s="28"/>
      <c r="D632" s="29"/>
      <c r="E632" s="28"/>
      <c r="F632" s="3"/>
      <c r="G632" s="3"/>
      <c r="H632" s="3"/>
      <c r="I632" s="25"/>
      <c r="J632" s="25"/>
      <c r="K632" s="17"/>
      <c r="L632" s="17"/>
      <c r="M632" s="28"/>
      <c r="N632" s="28"/>
      <c r="O632" s="3"/>
      <c r="P632" s="3"/>
      <c r="Q632" s="3"/>
      <c r="R632" s="17"/>
      <c r="S632" s="17"/>
      <c r="T632" s="17"/>
      <c r="U632" s="17"/>
      <c r="V632" s="17"/>
    </row>
    <row r="633" spans="3:22" ht="14.25" customHeight="1">
      <c r="C633" s="28"/>
      <c r="D633" s="29"/>
      <c r="E633" s="28"/>
      <c r="F633" s="3"/>
      <c r="G633" s="3"/>
      <c r="H633" s="3"/>
      <c r="I633" s="25"/>
      <c r="J633" s="25"/>
      <c r="K633" s="17"/>
      <c r="L633" s="17"/>
      <c r="M633" s="28"/>
      <c r="N633" s="28"/>
      <c r="O633" s="3"/>
      <c r="P633" s="3"/>
      <c r="Q633" s="3"/>
      <c r="R633" s="17"/>
      <c r="S633" s="17"/>
      <c r="T633" s="17"/>
      <c r="U633" s="17"/>
      <c r="V633" s="17"/>
    </row>
    <row r="634" spans="3:22" ht="14.25" customHeight="1">
      <c r="C634" s="28"/>
      <c r="D634" s="29"/>
      <c r="E634" s="28"/>
      <c r="F634" s="3"/>
      <c r="G634" s="3"/>
      <c r="H634" s="3"/>
      <c r="I634" s="25"/>
      <c r="J634" s="25"/>
      <c r="K634" s="17"/>
      <c r="L634" s="17"/>
      <c r="M634" s="28"/>
      <c r="N634" s="28"/>
      <c r="O634" s="3"/>
      <c r="P634" s="3"/>
      <c r="Q634" s="3"/>
      <c r="R634" s="17"/>
      <c r="S634" s="17"/>
      <c r="T634" s="17"/>
      <c r="U634" s="17"/>
      <c r="V634" s="17"/>
    </row>
    <row r="635" spans="3:22" ht="14.25" customHeight="1">
      <c r="C635" s="28"/>
      <c r="D635" s="29"/>
      <c r="E635" s="28"/>
      <c r="F635" s="3"/>
      <c r="G635" s="3"/>
      <c r="H635" s="3"/>
      <c r="I635" s="25"/>
      <c r="J635" s="25"/>
      <c r="K635" s="17"/>
      <c r="L635" s="17"/>
      <c r="M635" s="28"/>
      <c r="N635" s="28"/>
      <c r="O635" s="3"/>
      <c r="P635" s="3"/>
      <c r="Q635" s="3"/>
      <c r="R635" s="17"/>
      <c r="S635" s="17"/>
      <c r="T635" s="17"/>
      <c r="U635" s="17"/>
      <c r="V635" s="17"/>
    </row>
    <row r="636" spans="3:22" ht="14.25" customHeight="1">
      <c r="C636" s="28"/>
      <c r="D636" s="29"/>
      <c r="E636" s="28"/>
      <c r="F636" s="3"/>
      <c r="G636" s="3"/>
      <c r="H636" s="3"/>
      <c r="I636" s="25"/>
      <c r="J636" s="25"/>
      <c r="K636" s="17"/>
      <c r="L636" s="17"/>
      <c r="M636" s="28"/>
      <c r="N636" s="28"/>
      <c r="O636" s="3"/>
      <c r="P636" s="3"/>
      <c r="Q636" s="3"/>
      <c r="R636" s="17"/>
      <c r="S636" s="17"/>
      <c r="T636" s="17"/>
      <c r="U636" s="17"/>
      <c r="V636" s="17"/>
    </row>
    <row r="637" spans="3:22" ht="14.25" customHeight="1">
      <c r="C637" s="28"/>
      <c r="D637" s="29"/>
      <c r="E637" s="28"/>
      <c r="F637" s="3"/>
      <c r="G637" s="3"/>
      <c r="H637" s="3"/>
      <c r="I637" s="25"/>
      <c r="J637" s="25"/>
      <c r="K637" s="17"/>
      <c r="L637" s="17"/>
      <c r="M637" s="28"/>
      <c r="N637" s="28"/>
      <c r="O637" s="3"/>
      <c r="P637" s="3"/>
      <c r="Q637" s="3"/>
      <c r="R637" s="17"/>
      <c r="S637" s="17"/>
      <c r="T637" s="17"/>
      <c r="U637" s="17"/>
      <c r="V637" s="17"/>
    </row>
    <row r="638" spans="3:22" ht="14.25" customHeight="1">
      <c r="C638" s="28"/>
      <c r="D638" s="29"/>
      <c r="E638" s="28"/>
      <c r="F638" s="3"/>
      <c r="G638" s="3"/>
      <c r="H638" s="3"/>
      <c r="I638" s="25"/>
      <c r="J638" s="25"/>
      <c r="K638" s="17"/>
      <c r="L638" s="17"/>
      <c r="M638" s="28"/>
      <c r="N638" s="28"/>
      <c r="O638" s="3"/>
      <c r="P638" s="3"/>
      <c r="Q638" s="3"/>
      <c r="R638" s="17"/>
      <c r="S638" s="17"/>
      <c r="T638" s="17"/>
      <c r="U638" s="17"/>
      <c r="V638" s="17"/>
    </row>
    <row r="639" spans="3:22" ht="14.25" customHeight="1">
      <c r="C639" s="28"/>
      <c r="D639" s="29"/>
      <c r="E639" s="28"/>
      <c r="F639" s="3"/>
      <c r="G639" s="3"/>
      <c r="H639" s="3"/>
      <c r="I639" s="25"/>
      <c r="J639" s="25"/>
      <c r="K639" s="17"/>
      <c r="L639" s="17"/>
      <c r="M639" s="28"/>
      <c r="N639" s="28"/>
      <c r="O639" s="3"/>
      <c r="P639" s="3"/>
      <c r="Q639" s="3"/>
      <c r="R639" s="17"/>
      <c r="S639" s="17"/>
      <c r="T639" s="17"/>
      <c r="U639" s="17"/>
      <c r="V639" s="17"/>
    </row>
    <row r="640" spans="3:22" ht="14.25" customHeight="1">
      <c r="C640" s="28"/>
      <c r="D640" s="29"/>
      <c r="E640" s="28"/>
      <c r="F640" s="3"/>
      <c r="G640" s="3"/>
      <c r="H640" s="3"/>
      <c r="I640" s="25"/>
      <c r="J640" s="25"/>
      <c r="K640" s="17"/>
      <c r="L640" s="17"/>
      <c r="M640" s="28"/>
      <c r="N640" s="28"/>
      <c r="O640" s="3"/>
      <c r="P640" s="3"/>
      <c r="Q640" s="3"/>
      <c r="R640" s="17"/>
      <c r="S640" s="17"/>
      <c r="T640" s="17"/>
      <c r="U640" s="17"/>
      <c r="V640" s="17"/>
    </row>
    <row r="641" spans="3:22" ht="14.25" customHeight="1">
      <c r="C641" s="28"/>
      <c r="D641" s="29"/>
      <c r="E641" s="28"/>
      <c r="F641" s="3"/>
      <c r="G641" s="3"/>
      <c r="H641" s="3"/>
      <c r="I641" s="25"/>
      <c r="J641" s="25"/>
      <c r="K641" s="17"/>
      <c r="L641" s="17"/>
      <c r="M641" s="28"/>
      <c r="N641" s="28"/>
      <c r="O641" s="3"/>
      <c r="P641" s="3"/>
      <c r="Q641" s="3"/>
      <c r="R641" s="17"/>
      <c r="S641" s="17"/>
      <c r="T641" s="17"/>
      <c r="U641" s="17"/>
      <c r="V641" s="17"/>
    </row>
    <row r="642" spans="3:22" ht="14.25" customHeight="1">
      <c r="C642" s="28"/>
      <c r="D642" s="29"/>
      <c r="E642" s="28"/>
      <c r="F642" s="3"/>
      <c r="G642" s="3"/>
      <c r="H642" s="3"/>
      <c r="I642" s="25"/>
      <c r="J642" s="25"/>
      <c r="K642" s="17"/>
      <c r="L642" s="17"/>
      <c r="M642" s="28"/>
      <c r="N642" s="28"/>
      <c r="O642" s="3"/>
      <c r="P642" s="3"/>
      <c r="Q642" s="3"/>
      <c r="R642" s="17"/>
      <c r="S642" s="17"/>
      <c r="T642" s="17"/>
      <c r="U642" s="17"/>
      <c r="V642" s="17"/>
    </row>
    <row r="643" spans="3:22" ht="14.25" customHeight="1">
      <c r="C643" s="28"/>
      <c r="D643" s="29"/>
      <c r="E643" s="28"/>
      <c r="F643" s="3"/>
      <c r="G643" s="3"/>
      <c r="H643" s="3"/>
      <c r="I643" s="25"/>
      <c r="J643" s="25"/>
      <c r="K643" s="17"/>
      <c r="L643" s="17"/>
      <c r="M643" s="28"/>
      <c r="N643" s="28"/>
      <c r="O643" s="3"/>
      <c r="P643" s="3"/>
      <c r="Q643" s="3"/>
      <c r="R643" s="17"/>
      <c r="S643" s="17"/>
      <c r="T643" s="17"/>
      <c r="U643" s="17"/>
      <c r="V643" s="17"/>
    </row>
    <row r="644" spans="3:22" ht="14.25" customHeight="1">
      <c r="C644" s="28"/>
      <c r="D644" s="29"/>
      <c r="E644" s="28"/>
      <c r="F644" s="3"/>
      <c r="G644" s="3"/>
      <c r="H644" s="3"/>
      <c r="I644" s="25"/>
      <c r="J644" s="25"/>
      <c r="K644" s="17"/>
      <c r="L644" s="17"/>
      <c r="M644" s="28"/>
      <c r="N644" s="28"/>
      <c r="O644" s="3"/>
      <c r="P644" s="3"/>
      <c r="Q644" s="3"/>
      <c r="R644" s="17"/>
      <c r="S644" s="17"/>
      <c r="T644" s="17"/>
      <c r="U644" s="17"/>
      <c r="V644" s="17"/>
    </row>
    <row r="645" spans="3:22" ht="14.25" customHeight="1">
      <c r="C645" s="28"/>
      <c r="D645" s="29"/>
      <c r="E645" s="28"/>
      <c r="F645" s="3"/>
      <c r="G645" s="3"/>
      <c r="H645" s="3"/>
      <c r="I645" s="25"/>
      <c r="J645" s="25"/>
      <c r="K645" s="17"/>
      <c r="L645" s="17"/>
      <c r="M645" s="28"/>
      <c r="N645" s="28"/>
      <c r="O645" s="3"/>
      <c r="P645" s="3"/>
      <c r="Q645" s="3"/>
      <c r="R645" s="17"/>
      <c r="S645" s="17"/>
      <c r="T645" s="17"/>
      <c r="U645" s="17"/>
      <c r="V645" s="17"/>
    </row>
    <row r="646" spans="3:22" ht="14.25" customHeight="1">
      <c r="C646" s="28"/>
      <c r="D646" s="29"/>
      <c r="E646" s="28"/>
      <c r="F646" s="3"/>
      <c r="G646" s="3"/>
      <c r="H646" s="3"/>
      <c r="I646" s="25"/>
      <c r="J646" s="25"/>
      <c r="K646" s="17"/>
      <c r="L646" s="17"/>
      <c r="M646" s="28"/>
      <c r="N646" s="28"/>
      <c r="O646" s="3"/>
      <c r="P646" s="3"/>
      <c r="Q646" s="3"/>
      <c r="R646" s="17"/>
      <c r="S646" s="17"/>
      <c r="T646" s="17"/>
      <c r="U646" s="17"/>
      <c r="V646" s="17"/>
    </row>
    <row r="647" spans="3:22" ht="14.25" customHeight="1">
      <c r="C647" s="28"/>
      <c r="D647" s="29"/>
      <c r="E647" s="28"/>
      <c r="F647" s="3"/>
      <c r="G647" s="3"/>
      <c r="H647" s="3"/>
      <c r="I647" s="25"/>
      <c r="J647" s="25"/>
      <c r="K647" s="17"/>
      <c r="L647" s="17"/>
      <c r="M647" s="28"/>
      <c r="N647" s="28"/>
      <c r="O647" s="3"/>
      <c r="P647" s="3"/>
      <c r="Q647" s="3"/>
      <c r="R647" s="17"/>
      <c r="S647" s="17"/>
      <c r="T647" s="17"/>
      <c r="U647" s="17"/>
      <c r="V647" s="17"/>
    </row>
    <row r="648" spans="3:22" ht="14.25" customHeight="1">
      <c r="C648" s="28"/>
      <c r="D648" s="29"/>
      <c r="E648" s="28"/>
      <c r="F648" s="3"/>
      <c r="G648" s="3"/>
      <c r="H648" s="3"/>
      <c r="I648" s="25"/>
      <c r="J648" s="25"/>
      <c r="K648" s="17"/>
      <c r="L648" s="17"/>
      <c r="M648" s="28"/>
      <c r="N648" s="28"/>
      <c r="O648" s="3"/>
      <c r="P648" s="3"/>
      <c r="Q648" s="3"/>
      <c r="R648" s="17"/>
      <c r="S648" s="17"/>
      <c r="T648" s="17"/>
      <c r="U648" s="17"/>
      <c r="V648" s="17"/>
    </row>
    <row r="649" spans="3:22" ht="14.25" customHeight="1">
      <c r="C649" s="28"/>
      <c r="D649" s="29"/>
      <c r="E649" s="28"/>
      <c r="F649" s="3"/>
      <c r="G649" s="3"/>
      <c r="H649" s="3"/>
      <c r="I649" s="25"/>
      <c r="J649" s="25"/>
      <c r="K649" s="17"/>
      <c r="L649" s="17"/>
      <c r="M649" s="28"/>
      <c r="N649" s="28"/>
      <c r="O649" s="3"/>
      <c r="P649" s="3"/>
      <c r="Q649" s="3"/>
      <c r="R649" s="17"/>
      <c r="S649" s="17"/>
      <c r="T649" s="17"/>
      <c r="U649" s="17"/>
      <c r="V649" s="17"/>
    </row>
    <row r="650" spans="3:22" ht="14.25" customHeight="1">
      <c r="C650" s="28"/>
      <c r="D650" s="29"/>
      <c r="E650" s="28"/>
      <c r="F650" s="3"/>
      <c r="G650" s="3"/>
      <c r="H650" s="3"/>
      <c r="I650" s="25"/>
      <c r="J650" s="25"/>
      <c r="K650" s="17"/>
      <c r="L650" s="17"/>
      <c r="M650" s="28"/>
      <c r="N650" s="28"/>
      <c r="O650" s="3"/>
      <c r="P650" s="3"/>
      <c r="Q650" s="3"/>
      <c r="R650" s="17"/>
      <c r="S650" s="17"/>
      <c r="T650" s="17"/>
      <c r="U650" s="17"/>
      <c r="V650" s="17"/>
    </row>
    <row r="651" spans="3:22" ht="14.25" customHeight="1">
      <c r="C651" s="28"/>
      <c r="D651" s="29"/>
      <c r="E651" s="28"/>
      <c r="F651" s="3"/>
      <c r="G651" s="3"/>
      <c r="H651" s="3"/>
      <c r="I651" s="25"/>
      <c r="J651" s="25"/>
      <c r="K651" s="17"/>
      <c r="L651" s="17"/>
      <c r="M651" s="28"/>
      <c r="N651" s="28"/>
      <c r="O651" s="3"/>
      <c r="P651" s="3"/>
      <c r="Q651" s="3"/>
      <c r="R651" s="17"/>
      <c r="S651" s="17"/>
      <c r="T651" s="17"/>
      <c r="U651" s="17"/>
      <c r="V651" s="17"/>
    </row>
    <row r="652" spans="3:22" ht="14.25" customHeight="1">
      <c r="C652" s="28"/>
      <c r="D652" s="29"/>
      <c r="E652" s="28"/>
      <c r="F652" s="3"/>
      <c r="G652" s="3"/>
      <c r="H652" s="3"/>
      <c r="I652" s="25"/>
      <c r="J652" s="25"/>
      <c r="K652" s="17"/>
      <c r="L652" s="17"/>
      <c r="M652" s="28"/>
      <c r="N652" s="28"/>
      <c r="O652" s="3"/>
      <c r="P652" s="3"/>
      <c r="Q652" s="3"/>
      <c r="R652" s="17"/>
      <c r="S652" s="17"/>
      <c r="T652" s="17"/>
      <c r="U652" s="17"/>
      <c r="V652" s="17"/>
    </row>
    <row r="653" spans="3:22" ht="14.25" customHeight="1">
      <c r="C653" s="28"/>
      <c r="D653" s="29"/>
      <c r="E653" s="28"/>
      <c r="F653" s="3"/>
      <c r="G653" s="3"/>
      <c r="H653" s="3"/>
      <c r="I653" s="25"/>
      <c r="J653" s="25"/>
      <c r="K653" s="17"/>
      <c r="L653" s="17"/>
      <c r="M653" s="28"/>
      <c r="N653" s="28"/>
      <c r="O653" s="3"/>
      <c r="P653" s="3"/>
      <c r="Q653" s="3"/>
      <c r="R653" s="17"/>
      <c r="S653" s="17"/>
      <c r="T653" s="17"/>
      <c r="U653" s="17"/>
      <c r="V653" s="17"/>
    </row>
    <row r="654" spans="3:22" ht="14.25" customHeight="1">
      <c r="C654" s="28"/>
      <c r="D654" s="29"/>
      <c r="E654" s="28"/>
      <c r="F654" s="3"/>
      <c r="G654" s="3"/>
      <c r="H654" s="3"/>
      <c r="I654" s="25"/>
      <c r="J654" s="25"/>
      <c r="K654" s="17"/>
      <c r="L654" s="17"/>
      <c r="M654" s="28"/>
      <c r="N654" s="28"/>
      <c r="O654" s="3"/>
      <c r="P654" s="3"/>
      <c r="Q654" s="3"/>
      <c r="R654" s="17"/>
      <c r="S654" s="17"/>
      <c r="T654" s="17"/>
      <c r="U654" s="17"/>
      <c r="V654" s="17"/>
    </row>
    <row r="655" spans="3:22" ht="14.25" customHeight="1">
      <c r="C655" s="28"/>
      <c r="D655" s="29"/>
      <c r="E655" s="28"/>
      <c r="F655" s="3"/>
      <c r="G655" s="3"/>
      <c r="H655" s="3"/>
      <c r="I655" s="25"/>
      <c r="J655" s="25"/>
      <c r="K655" s="17"/>
      <c r="L655" s="17"/>
      <c r="M655" s="28"/>
      <c r="N655" s="28"/>
      <c r="O655" s="3"/>
      <c r="P655" s="3"/>
      <c r="Q655" s="3"/>
      <c r="R655" s="17"/>
      <c r="S655" s="17"/>
      <c r="T655" s="17"/>
      <c r="U655" s="17"/>
      <c r="V655" s="17"/>
    </row>
    <row r="656" spans="3:22" ht="14.25" customHeight="1">
      <c r="C656" s="28"/>
      <c r="D656" s="29"/>
      <c r="E656" s="28"/>
      <c r="F656" s="3"/>
      <c r="G656" s="3"/>
      <c r="H656" s="3"/>
      <c r="I656" s="25"/>
      <c r="J656" s="25"/>
      <c r="K656" s="17"/>
      <c r="L656" s="17"/>
      <c r="M656" s="28"/>
      <c r="N656" s="28"/>
      <c r="O656" s="3"/>
      <c r="P656" s="3"/>
      <c r="Q656" s="3"/>
      <c r="R656" s="17"/>
      <c r="S656" s="17"/>
      <c r="T656" s="17"/>
      <c r="U656" s="17"/>
      <c r="V656" s="17"/>
    </row>
    <row r="657" spans="3:22" ht="14.25" customHeight="1">
      <c r="C657" s="28"/>
      <c r="D657" s="29"/>
      <c r="E657" s="28"/>
      <c r="F657" s="3"/>
      <c r="G657" s="3"/>
      <c r="H657" s="3"/>
      <c r="I657" s="25"/>
      <c r="J657" s="25"/>
      <c r="K657" s="17"/>
      <c r="L657" s="17"/>
      <c r="M657" s="28"/>
      <c r="N657" s="28"/>
      <c r="O657" s="3"/>
      <c r="P657" s="3"/>
      <c r="Q657" s="3"/>
      <c r="R657" s="17"/>
      <c r="S657" s="17"/>
      <c r="T657" s="17"/>
      <c r="U657" s="17"/>
      <c r="V657" s="17"/>
    </row>
    <row r="658" spans="3:22" ht="14.25" customHeight="1">
      <c r="C658" s="28"/>
      <c r="D658" s="29"/>
      <c r="E658" s="28"/>
      <c r="F658" s="3"/>
      <c r="G658" s="3"/>
      <c r="H658" s="3"/>
      <c r="I658" s="25"/>
      <c r="J658" s="25"/>
      <c r="K658" s="17"/>
      <c r="L658" s="17"/>
      <c r="M658" s="28"/>
      <c r="N658" s="28"/>
      <c r="O658" s="3"/>
      <c r="P658" s="3"/>
      <c r="Q658" s="3"/>
      <c r="R658" s="17"/>
      <c r="S658" s="17"/>
      <c r="T658" s="17"/>
      <c r="U658" s="17"/>
      <c r="V658" s="17"/>
    </row>
    <row r="659" spans="3:22" ht="14.25" customHeight="1">
      <c r="C659" s="28"/>
      <c r="D659" s="29"/>
      <c r="E659" s="28"/>
      <c r="F659" s="3"/>
      <c r="G659" s="3"/>
      <c r="H659" s="3"/>
      <c r="I659" s="25"/>
      <c r="J659" s="25"/>
      <c r="K659" s="17"/>
      <c r="L659" s="17"/>
      <c r="M659" s="28"/>
      <c r="N659" s="28"/>
      <c r="O659" s="3"/>
      <c r="P659" s="3"/>
      <c r="Q659" s="3"/>
      <c r="R659" s="17"/>
      <c r="S659" s="17"/>
      <c r="T659" s="17"/>
      <c r="U659" s="17"/>
      <c r="V659" s="17"/>
    </row>
    <row r="660" spans="3:22" ht="14.25" customHeight="1">
      <c r="C660" s="28"/>
      <c r="D660" s="29"/>
      <c r="E660" s="28"/>
      <c r="F660" s="3"/>
      <c r="G660" s="3"/>
      <c r="H660" s="3"/>
      <c r="I660" s="25"/>
      <c r="J660" s="25"/>
      <c r="K660" s="17"/>
      <c r="L660" s="17"/>
      <c r="M660" s="28"/>
      <c r="N660" s="28"/>
      <c r="O660" s="3"/>
      <c r="P660" s="3"/>
      <c r="Q660" s="3"/>
      <c r="R660" s="17"/>
      <c r="S660" s="17"/>
      <c r="T660" s="17"/>
      <c r="U660" s="17"/>
      <c r="V660" s="17"/>
    </row>
    <row r="661" spans="3:22" ht="14.25" customHeight="1">
      <c r="C661" s="28"/>
      <c r="D661" s="29"/>
      <c r="E661" s="28"/>
      <c r="F661" s="3"/>
      <c r="G661" s="3"/>
      <c r="H661" s="3"/>
      <c r="I661" s="25"/>
      <c r="J661" s="25"/>
      <c r="K661" s="17"/>
      <c r="L661" s="17"/>
      <c r="M661" s="28"/>
      <c r="N661" s="28"/>
      <c r="O661" s="3"/>
      <c r="P661" s="3"/>
      <c r="Q661" s="3"/>
      <c r="R661" s="17"/>
      <c r="S661" s="17"/>
      <c r="T661" s="17"/>
      <c r="U661" s="17"/>
      <c r="V661" s="17"/>
    </row>
    <row r="662" spans="3:22" ht="14.25" customHeight="1">
      <c r="C662" s="28"/>
      <c r="D662" s="29"/>
      <c r="E662" s="28"/>
      <c r="F662" s="3"/>
      <c r="G662" s="3"/>
      <c r="H662" s="3"/>
      <c r="I662" s="25"/>
      <c r="J662" s="25"/>
      <c r="K662" s="17"/>
      <c r="L662" s="17"/>
      <c r="M662" s="28"/>
      <c r="N662" s="28"/>
      <c r="O662" s="3"/>
      <c r="P662" s="3"/>
      <c r="Q662" s="3"/>
      <c r="R662" s="17"/>
      <c r="S662" s="17"/>
      <c r="T662" s="17"/>
      <c r="U662" s="17"/>
      <c r="V662" s="17"/>
    </row>
    <row r="663" spans="3:22" ht="14.25" customHeight="1">
      <c r="C663" s="28"/>
      <c r="D663" s="29"/>
      <c r="E663" s="28"/>
      <c r="F663" s="3"/>
      <c r="G663" s="3"/>
      <c r="H663" s="3"/>
      <c r="I663" s="25"/>
      <c r="J663" s="25"/>
      <c r="K663" s="17"/>
      <c r="L663" s="17"/>
      <c r="M663" s="28"/>
      <c r="N663" s="28"/>
      <c r="O663" s="3"/>
      <c r="P663" s="3"/>
      <c r="Q663" s="3"/>
      <c r="R663" s="17"/>
      <c r="S663" s="17"/>
      <c r="T663" s="17"/>
      <c r="U663" s="17"/>
      <c r="V663" s="17"/>
    </row>
    <row r="664" spans="3:22" ht="14.25" customHeight="1">
      <c r="C664" s="28"/>
      <c r="D664" s="29"/>
      <c r="E664" s="28"/>
      <c r="F664" s="3"/>
      <c r="G664" s="3"/>
      <c r="H664" s="3"/>
      <c r="I664" s="25"/>
      <c r="J664" s="25"/>
      <c r="K664" s="17"/>
      <c r="L664" s="17"/>
      <c r="M664" s="28"/>
      <c r="N664" s="28"/>
      <c r="O664" s="3"/>
      <c r="P664" s="3"/>
      <c r="Q664" s="3"/>
      <c r="R664" s="17"/>
      <c r="S664" s="17"/>
      <c r="T664" s="17"/>
      <c r="U664" s="17"/>
      <c r="V664" s="17"/>
    </row>
    <row r="665" spans="3:22" ht="14.25" customHeight="1">
      <c r="C665" s="28"/>
      <c r="D665" s="29"/>
      <c r="E665" s="28"/>
      <c r="F665" s="3"/>
      <c r="G665" s="3"/>
      <c r="H665" s="3"/>
      <c r="I665" s="25"/>
      <c r="J665" s="25"/>
      <c r="K665" s="17"/>
      <c r="L665" s="17"/>
      <c r="M665" s="28"/>
      <c r="N665" s="28"/>
      <c r="O665" s="3"/>
      <c r="P665" s="3"/>
      <c r="Q665" s="3"/>
      <c r="R665" s="17"/>
      <c r="S665" s="17"/>
      <c r="T665" s="17"/>
      <c r="U665" s="17"/>
      <c r="V665" s="17"/>
    </row>
    <row r="666" spans="3:22" ht="14.25" customHeight="1">
      <c r="C666" s="28"/>
      <c r="D666" s="29"/>
      <c r="E666" s="28"/>
      <c r="F666" s="3"/>
      <c r="G666" s="3"/>
      <c r="H666" s="3"/>
      <c r="I666" s="25"/>
      <c r="J666" s="25"/>
      <c r="K666" s="17"/>
      <c r="L666" s="17"/>
      <c r="M666" s="28"/>
      <c r="N666" s="28"/>
      <c r="O666" s="3"/>
      <c r="P666" s="3"/>
      <c r="Q666" s="3"/>
      <c r="R666" s="17"/>
      <c r="S666" s="17"/>
      <c r="T666" s="17"/>
      <c r="U666" s="17"/>
      <c r="V666" s="17"/>
    </row>
    <row r="667" spans="3:22" ht="14.25" customHeight="1">
      <c r="C667" s="28"/>
      <c r="D667" s="29"/>
      <c r="E667" s="28"/>
      <c r="F667" s="3"/>
      <c r="G667" s="3"/>
      <c r="H667" s="3"/>
      <c r="I667" s="25"/>
      <c r="J667" s="25"/>
      <c r="K667" s="17"/>
      <c r="L667" s="17"/>
      <c r="M667" s="28"/>
      <c r="N667" s="28"/>
      <c r="O667" s="3"/>
      <c r="P667" s="3"/>
      <c r="Q667" s="3"/>
      <c r="R667" s="17"/>
      <c r="S667" s="17"/>
      <c r="T667" s="17"/>
      <c r="U667" s="17"/>
      <c r="V667" s="17"/>
    </row>
    <row r="668" spans="3:22" ht="14.25" customHeight="1">
      <c r="C668" s="28"/>
      <c r="D668" s="29"/>
      <c r="E668" s="28"/>
      <c r="F668" s="3"/>
      <c r="G668" s="3"/>
      <c r="H668" s="3"/>
      <c r="I668" s="25"/>
      <c r="J668" s="25"/>
      <c r="K668" s="17"/>
      <c r="L668" s="17"/>
      <c r="M668" s="28"/>
      <c r="N668" s="28"/>
      <c r="O668" s="3"/>
      <c r="P668" s="3"/>
      <c r="Q668" s="3"/>
      <c r="R668" s="17"/>
      <c r="S668" s="17"/>
      <c r="T668" s="17"/>
      <c r="U668" s="17"/>
      <c r="V668" s="17"/>
    </row>
    <row r="669" spans="3:22" ht="14.25" customHeight="1">
      <c r="C669" s="28"/>
      <c r="D669" s="29"/>
      <c r="E669" s="28"/>
      <c r="F669" s="3"/>
      <c r="G669" s="3"/>
      <c r="H669" s="3"/>
      <c r="I669" s="25"/>
      <c r="J669" s="25"/>
      <c r="K669" s="17"/>
      <c r="L669" s="17"/>
      <c r="M669" s="28"/>
      <c r="N669" s="28"/>
      <c r="O669" s="3"/>
      <c r="P669" s="3"/>
      <c r="Q669" s="3"/>
      <c r="R669" s="17"/>
      <c r="S669" s="17"/>
      <c r="T669" s="17"/>
      <c r="U669" s="17"/>
      <c r="V669" s="17"/>
    </row>
    <row r="670" spans="3:22" ht="14.25" customHeight="1">
      <c r="C670" s="28"/>
      <c r="D670" s="29"/>
      <c r="E670" s="28"/>
      <c r="F670" s="3"/>
      <c r="G670" s="3"/>
      <c r="H670" s="3"/>
      <c r="I670" s="25"/>
      <c r="J670" s="25"/>
      <c r="K670" s="17"/>
      <c r="L670" s="17"/>
      <c r="M670" s="28"/>
      <c r="N670" s="28"/>
      <c r="O670" s="3"/>
      <c r="P670" s="3"/>
      <c r="Q670" s="3"/>
      <c r="R670" s="17"/>
      <c r="S670" s="17"/>
      <c r="T670" s="17"/>
      <c r="U670" s="17"/>
      <c r="V670" s="17"/>
    </row>
    <row r="671" spans="3:22" ht="14.25" customHeight="1">
      <c r="C671" s="28"/>
      <c r="D671" s="29"/>
      <c r="E671" s="28"/>
      <c r="F671" s="3"/>
      <c r="G671" s="3"/>
      <c r="H671" s="3"/>
      <c r="I671" s="25"/>
      <c r="J671" s="25"/>
      <c r="K671" s="17"/>
      <c r="L671" s="17"/>
      <c r="M671" s="28"/>
      <c r="N671" s="28"/>
      <c r="O671" s="3"/>
      <c r="P671" s="3"/>
      <c r="Q671" s="3"/>
      <c r="R671" s="17"/>
      <c r="S671" s="17"/>
      <c r="T671" s="17"/>
      <c r="U671" s="17"/>
      <c r="V671" s="17"/>
    </row>
    <row r="672" spans="3:22" ht="14.25" customHeight="1">
      <c r="C672" s="28"/>
      <c r="D672" s="29"/>
      <c r="E672" s="28"/>
      <c r="F672" s="3"/>
      <c r="G672" s="3"/>
      <c r="H672" s="3"/>
      <c r="I672" s="25"/>
      <c r="J672" s="25"/>
      <c r="K672" s="17"/>
      <c r="L672" s="17"/>
      <c r="M672" s="28"/>
      <c r="N672" s="28"/>
      <c r="O672" s="3"/>
      <c r="P672" s="3"/>
      <c r="Q672" s="3"/>
      <c r="R672" s="17"/>
      <c r="S672" s="17"/>
      <c r="T672" s="17"/>
      <c r="U672" s="17"/>
      <c r="V672" s="17"/>
    </row>
    <row r="673" spans="3:22" ht="14.25" customHeight="1">
      <c r="C673" s="28"/>
      <c r="D673" s="29"/>
      <c r="E673" s="28"/>
      <c r="F673" s="3"/>
      <c r="G673" s="3"/>
      <c r="H673" s="3"/>
      <c r="I673" s="25"/>
      <c r="J673" s="25"/>
      <c r="K673" s="17"/>
      <c r="L673" s="17"/>
      <c r="M673" s="28"/>
      <c r="N673" s="28"/>
      <c r="O673" s="3"/>
      <c r="P673" s="3"/>
      <c r="Q673" s="3"/>
      <c r="R673" s="17"/>
      <c r="S673" s="17"/>
      <c r="T673" s="17"/>
      <c r="U673" s="17"/>
      <c r="V673" s="17"/>
    </row>
    <row r="674" spans="3:22" ht="14.25" customHeight="1">
      <c r="C674" s="28"/>
      <c r="D674" s="29"/>
      <c r="E674" s="28"/>
      <c r="F674" s="3"/>
      <c r="G674" s="3"/>
      <c r="H674" s="3"/>
      <c r="I674" s="25"/>
      <c r="J674" s="25"/>
      <c r="K674" s="17"/>
      <c r="L674" s="17"/>
      <c r="M674" s="28"/>
      <c r="N674" s="28"/>
      <c r="O674" s="3"/>
      <c r="P674" s="3"/>
      <c r="Q674" s="3"/>
      <c r="R674" s="17"/>
      <c r="S674" s="17"/>
      <c r="T674" s="17"/>
      <c r="U674" s="17"/>
      <c r="V674" s="17"/>
    </row>
    <row r="675" spans="3:22" ht="14.25" customHeight="1">
      <c r="C675" s="28"/>
      <c r="D675" s="29"/>
      <c r="E675" s="28"/>
      <c r="F675" s="3"/>
      <c r="G675" s="3"/>
      <c r="H675" s="3"/>
      <c r="I675" s="25"/>
      <c r="J675" s="25"/>
      <c r="K675" s="17"/>
      <c r="L675" s="17"/>
      <c r="M675" s="28"/>
      <c r="N675" s="28"/>
      <c r="O675" s="3"/>
      <c r="P675" s="3"/>
      <c r="Q675" s="3"/>
      <c r="R675" s="17"/>
      <c r="S675" s="17"/>
      <c r="T675" s="17"/>
      <c r="U675" s="17"/>
      <c r="V675" s="17"/>
    </row>
    <row r="676" spans="3:22" ht="14.25" customHeight="1">
      <c r="C676" s="28"/>
      <c r="D676" s="29"/>
      <c r="E676" s="28"/>
      <c r="F676" s="3"/>
      <c r="G676" s="3"/>
      <c r="H676" s="3"/>
      <c r="I676" s="25"/>
      <c r="J676" s="25"/>
      <c r="K676" s="17"/>
      <c r="L676" s="17"/>
      <c r="M676" s="28"/>
      <c r="N676" s="28"/>
      <c r="O676" s="3"/>
      <c r="P676" s="3"/>
      <c r="Q676" s="3"/>
      <c r="R676" s="17"/>
      <c r="S676" s="17"/>
      <c r="T676" s="17"/>
      <c r="U676" s="17"/>
      <c r="V676" s="17"/>
    </row>
    <row r="677" spans="3:22" ht="14.25" customHeight="1">
      <c r="C677" s="28"/>
      <c r="D677" s="29"/>
      <c r="E677" s="28"/>
      <c r="F677" s="3"/>
      <c r="G677" s="3"/>
      <c r="H677" s="3"/>
      <c r="I677" s="25"/>
      <c r="J677" s="25"/>
      <c r="K677" s="17"/>
      <c r="L677" s="17"/>
      <c r="M677" s="28"/>
      <c r="N677" s="28"/>
      <c r="O677" s="3"/>
      <c r="P677" s="3"/>
      <c r="Q677" s="3"/>
      <c r="R677" s="17"/>
      <c r="S677" s="17"/>
      <c r="T677" s="17"/>
      <c r="U677" s="17"/>
      <c r="V677" s="17"/>
    </row>
    <row r="678" spans="3:22" ht="14.25" customHeight="1">
      <c r="C678" s="28"/>
      <c r="D678" s="29"/>
      <c r="E678" s="28"/>
      <c r="F678" s="3"/>
      <c r="G678" s="3"/>
      <c r="H678" s="3"/>
      <c r="I678" s="25"/>
      <c r="J678" s="25"/>
      <c r="K678" s="17"/>
      <c r="L678" s="17"/>
      <c r="M678" s="28"/>
      <c r="N678" s="28"/>
      <c r="O678" s="3"/>
      <c r="P678" s="3"/>
      <c r="Q678" s="3"/>
      <c r="R678" s="17"/>
      <c r="S678" s="17"/>
      <c r="T678" s="17"/>
      <c r="U678" s="17"/>
      <c r="V678" s="17"/>
    </row>
    <row r="679" spans="3:22" ht="14.25" customHeight="1">
      <c r="C679" s="28"/>
      <c r="D679" s="29"/>
      <c r="E679" s="28"/>
      <c r="F679" s="3"/>
      <c r="G679" s="3"/>
      <c r="H679" s="3"/>
      <c r="I679" s="25"/>
      <c r="J679" s="25"/>
      <c r="K679" s="17"/>
      <c r="L679" s="17"/>
      <c r="M679" s="28"/>
      <c r="N679" s="28"/>
      <c r="O679" s="3"/>
      <c r="P679" s="3"/>
      <c r="Q679" s="3"/>
      <c r="R679" s="17"/>
      <c r="S679" s="17"/>
      <c r="T679" s="17"/>
      <c r="U679" s="17"/>
      <c r="V679" s="17"/>
    </row>
    <row r="680" spans="3:22" ht="14.25" customHeight="1">
      <c r="C680" s="28"/>
      <c r="D680" s="29"/>
      <c r="E680" s="28"/>
      <c r="F680" s="3"/>
      <c r="G680" s="3"/>
      <c r="H680" s="3"/>
      <c r="I680" s="25"/>
      <c r="J680" s="25"/>
      <c r="K680" s="17"/>
      <c r="L680" s="17"/>
      <c r="M680" s="28"/>
      <c r="N680" s="28"/>
      <c r="O680" s="3"/>
      <c r="P680" s="3"/>
      <c r="Q680" s="3"/>
      <c r="R680" s="17"/>
      <c r="S680" s="17"/>
      <c r="T680" s="17"/>
      <c r="U680" s="17"/>
      <c r="V680" s="17"/>
    </row>
    <row r="681" spans="3:22" ht="14.25" customHeight="1">
      <c r="C681" s="28"/>
      <c r="D681" s="29"/>
      <c r="E681" s="28"/>
      <c r="F681" s="3"/>
      <c r="G681" s="3"/>
      <c r="H681" s="3"/>
      <c r="I681" s="25"/>
      <c r="J681" s="25"/>
      <c r="K681" s="17"/>
      <c r="L681" s="17"/>
      <c r="M681" s="28"/>
      <c r="N681" s="28"/>
      <c r="O681" s="3"/>
      <c r="P681" s="3"/>
      <c r="Q681" s="3"/>
      <c r="R681" s="17"/>
      <c r="S681" s="17"/>
      <c r="T681" s="17"/>
      <c r="U681" s="17"/>
      <c r="V681" s="17"/>
    </row>
    <row r="682" spans="3:22" ht="14.25" customHeight="1">
      <c r="C682" s="28"/>
      <c r="D682" s="29"/>
      <c r="E682" s="28"/>
      <c r="F682" s="3"/>
      <c r="G682" s="3"/>
      <c r="H682" s="3"/>
      <c r="I682" s="25"/>
      <c r="J682" s="25"/>
      <c r="K682" s="17"/>
      <c r="L682" s="17"/>
      <c r="M682" s="28"/>
      <c r="N682" s="28"/>
      <c r="O682" s="3"/>
      <c r="P682" s="3"/>
      <c r="Q682" s="3"/>
      <c r="R682" s="17"/>
      <c r="S682" s="17"/>
      <c r="T682" s="17"/>
      <c r="U682" s="17"/>
      <c r="V682" s="17"/>
    </row>
    <row r="683" spans="3:22" ht="14.25" customHeight="1">
      <c r="C683" s="28"/>
      <c r="D683" s="29"/>
      <c r="E683" s="28"/>
      <c r="F683" s="3"/>
      <c r="G683" s="3"/>
      <c r="H683" s="3"/>
      <c r="I683" s="25"/>
      <c r="J683" s="25"/>
      <c r="K683" s="17"/>
      <c r="L683" s="17"/>
      <c r="M683" s="28"/>
      <c r="N683" s="28"/>
      <c r="O683" s="3"/>
      <c r="P683" s="3"/>
      <c r="Q683" s="3"/>
      <c r="R683" s="17"/>
      <c r="S683" s="17"/>
      <c r="T683" s="17"/>
      <c r="U683" s="17"/>
      <c r="V683" s="17"/>
    </row>
    <row r="684" spans="3:22" ht="14.25" customHeight="1">
      <c r="C684" s="28"/>
      <c r="D684" s="29"/>
      <c r="E684" s="28"/>
      <c r="F684" s="3"/>
      <c r="G684" s="3"/>
      <c r="H684" s="3"/>
      <c r="I684" s="25"/>
      <c r="J684" s="25"/>
      <c r="K684" s="17"/>
      <c r="L684" s="17"/>
      <c r="M684" s="28"/>
      <c r="N684" s="28"/>
      <c r="O684" s="3"/>
      <c r="P684" s="3"/>
      <c r="Q684" s="3"/>
      <c r="R684" s="17"/>
      <c r="S684" s="17"/>
      <c r="T684" s="17"/>
      <c r="U684" s="17"/>
      <c r="V684" s="17"/>
    </row>
    <row r="685" spans="3:22" ht="14.25" customHeight="1">
      <c r="C685" s="28"/>
      <c r="D685" s="29"/>
      <c r="E685" s="28"/>
      <c r="F685" s="3"/>
      <c r="G685" s="3"/>
      <c r="H685" s="3"/>
      <c r="I685" s="25"/>
      <c r="J685" s="25"/>
      <c r="K685" s="17"/>
      <c r="L685" s="17"/>
      <c r="M685" s="28"/>
      <c r="N685" s="28"/>
      <c r="O685" s="3"/>
      <c r="P685" s="3"/>
      <c r="Q685" s="3"/>
      <c r="R685" s="17"/>
      <c r="S685" s="17"/>
      <c r="T685" s="17"/>
      <c r="U685" s="17"/>
      <c r="V685" s="17"/>
    </row>
    <row r="686" spans="3:22" ht="14.25" customHeight="1">
      <c r="C686" s="28"/>
      <c r="D686" s="29"/>
      <c r="E686" s="28"/>
      <c r="F686" s="3"/>
      <c r="G686" s="3"/>
      <c r="H686" s="3"/>
      <c r="I686" s="25"/>
      <c r="J686" s="25"/>
      <c r="K686" s="17"/>
      <c r="L686" s="17"/>
      <c r="M686" s="28"/>
      <c r="N686" s="28"/>
      <c r="O686" s="3"/>
      <c r="P686" s="3"/>
      <c r="Q686" s="3"/>
      <c r="R686" s="17"/>
      <c r="S686" s="17"/>
      <c r="T686" s="17"/>
      <c r="U686" s="17"/>
      <c r="V686" s="17"/>
    </row>
    <row r="687" spans="3:22" ht="14.25" customHeight="1">
      <c r="C687" s="28"/>
      <c r="D687" s="29"/>
      <c r="E687" s="28"/>
      <c r="F687" s="3"/>
      <c r="G687" s="3"/>
      <c r="H687" s="3"/>
      <c r="I687" s="25"/>
      <c r="J687" s="25"/>
      <c r="K687" s="17"/>
      <c r="L687" s="17"/>
      <c r="M687" s="28"/>
      <c r="N687" s="28"/>
      <c r="O687" s="3"/>
      <c r="P687" s="3"/>
      <c r="Q687" s="3"/>
      <c r="R687" s="17"/>
      <c r="S687" s="17"/>
      <c r="T687" s="17"/>
      <c r="U687" s="17"/>
      <c r="V687" s="17"/>
    </row>
    <row r="688" spans="3:22" ht="14.25" customHeight="1">
      <c r="C688" s="28"/>
      <c r="D688" s="29"/>
      <c r="E688" s="28"/>
      <c r="F688" s="3"/>
      <c r="G688" s="3"/>
      <c r="H688" s="3"/>
      <c r="I688" s="25"/>
      <c r="J688" s="25"/>
      <c r="K688" s="17"/>
      <c r="L688" s="17"/>
      <c r="M688" s="28"/>
      <c r="N688" s="28"/>
      <c r="O688" s="3"/>
      <c r="P688" s="3"/>
      <c r="Q688" s="3"/>
      <c r="R688" s="17"/>
      <c r="S688" s="17"/>
      <c r="T688" s="17"/>
      <c r="U688" s="17"/>
      <c r="V688" s="17"/>
    </row>
    <row r="689" spans="3:22" ht="14.25" customHeight="1">
      <c r="C689" s="28"/>
      <c r="D689" s="29"/>
      <c r="E689" s="28"/>
      <c r="F689" s="3"/>
      <c r="G689" s="3"/>
      <c r="H689" s="3"/>
      <c r="I689" s="25"/>
      <c r="J689" s="25"/>
      <c r="K689" s="17"/>
      <c r="L689" s="17"/>
      <c r="M689" s="28"/>
      <c r="N689" s="28"/>
      <c r="O689" s="3"/>
      <c r="P689" s="3"/>
      <c r="Q689" s="3"/>
      <c r="R689" s="17"/>
      <c r="S689" s="17"/>
      <c r="T689" s="17"/>
      <c r="U689" s="17"/>
      <c r="V689" s="17"/>
    </row>
    <row r="690" spans="3:22" ht="14.25" customHeight="1">
      <c r="C690" s="28"/>
      <c r="D690" s="29"/>
      <c r="E690" s="28"/>
      <c r="F690" s="3"/>
      <c r="G690" s="3"/>
      <c r="H690" s="3"/>
      <c r="I690" s="25"/>
      <c r="J690" s="25"/>
      <c r="K690" s="17"/>
      <c r="L690" s="17"/>
      <c r="M690" s="28"/>
      <c r="N690" s="28"/>
      <c r="O690" s="3"/>
      <c r="P690" s="3"/>
      <c r="Q690" s="3"/>
      <c r="R690" s="17"/>
      <c r="S690" s="17"/>
      <c r="T690" s="17"/>
      <c r="U690" s="17"/>
      <c r="V690" s="17"/>
    </row>
    <row r="691" spans="3:22" ht="14.25" customHeight="1">
      <c r="C691" s="28"/>
      <c r="D691" s="29"/>
      <c r="E691" s="28"/>
      <c r="F691" s="3"/>
      <c r="G691" s="3"/>
      <c r="H691" s="3"/>
      <c r="I691" s="25"/>
      <c r="J691" s="25"/>
      <c r="K691" s="17"/>
      <c r="L691" s="17"/>
      <c r="M691" s="28"/>
      <c r="N691" s="28"/>
      <c r="O691" s="3"/>
      <c r="P691" s="3"/>
      <c r="Q691" s="3"/>
      <c r="R691" s="17"/>
      <c r="S691" s="17"/>
      <c r="T691" s="17"/>
      <c r="U691" s="17"/>
      <c r="V691" s="17"/>
    </row>
    <row r="692" spans="3:22" ht="14.25" customHeight="1">
      <c r="C692" s="28"/>
      <c r="D692" s="29"/>
      <c r="E692" s="28"/>
      <c r="F692" s="3"/>
      <c r="G692" s="3"/>
      <c r="H692" s="3"/>
      <c r="I692" s="25"/>
      <c r="J692" s="25"/>
      <c r="K692" s="17"/>
      <c r="L692" s="17"/>
      <c r="M692" s="28"/>
      <c r="N692" s="28"/>
      <c r="O692" s="3"/>
      <c r="P692" s="3"/>
      <c r="Q692" s="3"/>
      <c r="R692" s="17"/>
      <c r="S692" s="17"/>
      <c r="T692" s="17"/>
      <c r="U692" s="17"/>
      <c r="V692" s="17"/>
    </row>
    <row r="693" spans="3:22" ht="14.25" customHeight="1">
      <c r="C693" s="28"/>
      <c r="D693" s="29"/>
      <c r="E693" s="28"/>
      <c r="F693" s="3"/>
      <c r="G693" s="3"/>
      <c r="H693" s="3"/>
      <c r="I693" s="25"/>
      <c r="J693" s="25"/>
      <c r="K693" s="17"/>
      <c r="L693" s="17"/>
      <c r="M693" s="28"/>
      <c r="N693" s="28"/>
      <c r="O693" s="3"/>
      <c r="P693" s="3"/>
      <c r="Q693" s="3"/>
      <c r="R693" s="17"/>
      <c r="S693" s="17"/>
      <c r="T693" s="17"/>
      <c r="U693" s="17"/>
      <c r="V693" s="17"/>
    </row>
    <row r="694" spans="3:22" ht="14.25" customHeight="1">
      <c r="C694" s="28"/>
      <c r="D694" s="29"/>
      <c r="E694" s="28"/>
      <c r="F694" s="3"/>
      <c r="G694" s="3"/>
      <c r="H694" s="3"/>
      <c r="I694" s="25"/>
      <c r="J694" s="25"/>
      <c r="K694" s="17"/>
      <c r="L694" s="17"/>
      <c r="M694" s="28"/>
      <c r="N694" s="28"/>
      <c r="O694" s="3"/>
      <c r="P694" s="3"/>
      <c r="Q694" s="3"/>
      <c r="R694" s="17"/>
      <c r="S694" s="17"/>
      <c r="T694" s="17"/>
      <c r="U694" s="17"/>
      <c r="V694" s="17"/>
    </row>
    <row r="695" spans="3:22" ht="14.25" customHeight="1">
      <c r="C695" s="28"/>
      <c r="D695" s="29"/>
      <c r="E695" s="28"/>
      <c r="F695" s="3"/>
      <c r="G695" s="3"/>
      <c r="H695" s="3"/>
      <c r="I695" s="25"/>
      <c r="J695" s="25"/>
      <c r="K695" s="17"/>
      <c r="L695" s="17"/>
      <c r="M695" s="28"/>
      <c r="N695" s="28"/>
      <c r="O695" s="3"/>
      <c r="P695" s="3"/>
      <c r="Q695" s="3"/>
      <c r="R695" s="17"/>
      <c r="S695" s="17"/>
      <c r="T695" s="17"/>
      <c r="U695" s="17"/>
      <c r="V695" s="17"/>
    </row>
    <row r="696" spans="3:22" ht="14.25" customHeight="1">
      <c r="C696" s="28"/>
      <c r="D696" s="29"/>
      <c r="E696" s="28"/>
      <c r="F696" s="3"/>
      <c r="G696" s="3"/>
      <c r="H696" s="3"/>
      <c r="I696" s="25"/>
      <c r="J696" s="25"/>
      <c r="K696" s="17"/>
      <c r="L696" s="17"/>
      <c r="M696" s="28"/>
      <c r="N696" s="28"/>
      <c r="O696" s="3"/>
      <c r="P696" s="3"/>
      <c r="Q696" s="3"/>
      <c r="R696" s="17"/>
      <c r="S696" s="17"/>
      <c r="T696" s="17"/>
      <c r="U696" s="17"/>
      <c r="V696" s="17"/>
    </row>
    <row r="697" spans="3:22" ht="14.25" customHeight="1">
      <c r="C697" s="28"/>
      <c r="D697" s="29"/>
      <c r="E697" s="28"/>
      <c r="F697" s="3"/>
      <c r="G697" s="3"/>
      <c r="H697" s="3"/>
      <c r="I697" s="25"/>
      <c r="J697" s="25"/>
      <c r="K697" s="17"/>
      <c r="L697" s="17"/>
      <c r="M697" s="28"/>
      <c r="N697" s="28"/>
      <c r="O697" s="3"/>
      <c r="P697" s="3"/>
      <c r="Q697" s="3"/>
      <c r="R697" s="17"/>
      <c r="S697" s="17"/>
      <c r="T697" s="17"/>
      <c r="U697" s="17"/>
      <c r="V697" s="17"/>
    </row>
    <row r="698" spans="3:22" ht="14.25" customHeight="1">
      <c r="C698" s="28"/>
      <c r="D698" s="29"/>
      <c r="E698" s="28"/>
      <c r="F698" s="3"/>
      <c r="G698" s="3"/>
      <c r="H698" s="3"/>
      <c r="I698" s="25"/>
      <c r="J698" s="25"/>
      <c r="K698" s="17"/>
      <c r="L698" s="17"/>
      <c r="M698" s="28"/>
      <c r="N698" s="28"/>
      <c r="O698" s="3"/>
      <c r="P698" s="3"/>
      <c r="Q698" s="3"/>
      <c r="R698" s="17"/>
      <c r="S698" s="17"/>
      <c r="T698" s="17"/>
      <c r="U698" s="17"/>
      <c r="V698" s="17"/>
    </row>
    <row r="699" spans="3:22" ht="14.25" customHeight="1">
      <c r="C699" s="28"/>
      <c r="D699" s="29"/>
      <c r="E699" s="28"/>
      <c r="F699" s="3"/>
      <c r="G699" s="3"/>
      <c r="H699" s="3"/>
      <c r="I699" s="25"/>
      <c r="J699" s="25"/>
      <c r="K699" s="17"/>
      <c r="L699" s="17"/>
      <c r="M699" s="28"/>
      <c r="N699" s="28"/>
      <c r="O699" s="3"/>
      <c r="P699" s="3"/>
      <c r="Q699" s="3"/>
      <c r="R699" s="17"/>
      <c r="S699" s="17"/>
      <c r="T699" s="17"/>
      <c r="U699" s="17"/>
      <c r="V699" s="17"/>
    </row>
    <row r="700" spans="3:22" ht="14.25" customHeight="1">
      <c r="C700" s="28"/>
      <c r="D700" s="29"/>
      <c r="E700" s="28"/>
      <c r="F700" s="3"/>
      <c r="G700" s="3"/>
      <c r="H700" s="3"/>
      <c r="I700" s="25"/>
      <c r="J700" s="25"/>
      <c r="K700" s="17"/>
      <c r="L700" s="17"/>
      <c r="M700" s="28"/>
      <c r="N700" s="28"/>
      <c r="O700" s="3"/>
      <c r="P700" s="3"/>
      <c r="Q700" s="3"/>
      <c r="R700" s="17"/>
      <c r="S700" s="17"/>
      <c r="T700" s="17"/>
      <c r="U700" s="17"/>
      <c r="V700" s="17"/>
    </row>
    <row r="701" spans="3:22" ht="14.25" customHeight="1">
      <c r="C701" s="28"/>
      <c r="D701" s="29"/>
      <c r="E701" s="28"/>
      <c r="F701" s="3"/>
      <c r="G701" s="3"/>
      <c r="H701" s="3"/>
      <c r="I701" s="25"/>
      <c r="J701" s="25"/>
      <c r="K701" s="17"/>
      <c r="L701" s="17"/>
      <c r="M701" s="28"/>
      <c r="N701" s="28"/>
      <c r="O701" s="3"/>
      <c r="P701" s="3"/>
      <c r="Q701" s="3"/>
      <c r="R701" s="17"/>
      <c r="S701" s="17"/>
      <c r="T701" s="17"/>
      <c r="U701" s="17"/>
      <c r="V701" s="17"/>
    </row>
    <row r="702" spans="3:22" ht="14.25" customHeight="1">
      <c r="C702" s="28"/>
      <c r="D702" s="29"/>
      <c r="E702" s="28"/>
      <c r="F702" s="3"/>
      <c r="G702" s="3"/>
      <c r="H702" s="3"/>
      <c r="I702" s="25"/>
      <c r="J702" s="25"/>
      <c r="K702" s="17"/>
      <c r="L702" s="17"/>
      <c r="M702" s="28"/>
      <c r="N702" s="28"/>
      <c r="O702" s="3"/>
      <c r="P702" s="3"/>
      <c r="Q702" s="3"/>
      <c r="R702" s="17"/>
      <c r="S702" s="17"/>
      <c r="T702" s="17"/>
      <c r="U702" s="17"/>
      <c r="V702" s="17"/>
    </row>
    <row r="703" spans="3:22" ht="14.25" customHeight="1">
      <c r="C703" s="28"/>
      <c r="D703" s="29"/>
      <c r="E703" s="28"/>
      <c r="F703" s="3"/>
      <c r="G703" s="3"/>
      <c r="H703" s="3"/>
      <c r="I703" s="25"/>
      <c r="J703" s="25"/>
      <c r="K703" s="17"/>
      <c r="L703" s="17"/>
      <c r="M703" s="28"/>
      <c r="N703" s="28"/>
      <c r="O703" s="3"/>
      <c r="P703" s="3"/>
      <c r="Q703" s="3"/>
      <c r="R703" s="17"/>
      <c r="S703" s="17"/>
      <c r="T703" s="17"/>
      <c r="U703" s="17"/>
      <c r="V703" s="17"/>
    </row>
    <row r="704" spans="3:22" ht="14.25" customHeight="1">
      <c r="C704" s="28"/>
      <c r="D704" s="29"/>
      <c r="E704" s="28"/>
      <c r="F704" s="3"/>
      <c r="G704" s="3"/>
      <c r="H704" s="3"/>
      <c r="I704" s="25"/>
      <c r="J704" s="25"/>
      <c r="K704" s="17"/>
      <c r="L704" s="17"/>
      <c r="M704" s="28"/>
      <c r="N704" s="28"/>
      <c r="O704" s="3"/>
      <c r="P704" s="3"/>
      <c r="Q704" s="3"/>
      <c r="R704" s="17"/>
      <c r="S704" s="17"/>
      <c r="T704" s="17"/>
      <c r="U704" s="17"/>
      <c r="V704" s="17"/>
    </row>
    <row r="705" spans="3:22" ht="14.25" customHeight="1">
      <c r="C705" s="28"/>
      <c r="D705" s="29"/>
      <c r="E705" s="28"/>
      <c r="F705" s="3"/>
      <c r="G705" s="3"/>
      <c r="H705" s="3"/>
      <c r="I705" s="25"/>
      <c r="J705" s="25"/>
      <c r="K705" s="17"/>
      <c r="L705" s="17"/>
      <c r="M705" s="28"/>
      <c r="N705" s="28"/>
      <c r="O705" s="3"/>
      <c r="P705" s="3"/>
      <c r="Q705" s="3"/>
      <c r="R705" s="17"/>
      <c r="S705" s="17"/>
      <c r="T705" s="17"/>
      <c r="U705" s="17"/>
      <c r="V705" s="17"/>
    </row>
    <row r="706" spans="3:22" ht="14.25" customHeight="1">
      <c r="C706" s="28"/>
      <c r="D706" s="29"/>
      <c r="E706" s="28"/>
      <c r="F706" s="3"/>
      <c r="G706" s="3"/>
      <c r="H706" s="3"/>
      <c r="I706" s="25"/>
      <c r="J706" s="25"/>
      <c r="K706" s="17"/>
      <c r="L706" s="17"/>
      <c r="M706" s="28"/>
      <c r="N706" s="28"/>
      <c r="O706" s="3"/>
      <c r="P706" s="3"/>
      <c r="Q706" s="3"/>
      <c r="R706" s="17"/>
      <c r="S706" s="17"/>
      <c r="T706" s="17"/>
      <c r="U706" s="17"/>
      <c r="V706" s="17"/>
    </row>
    <row r="707" spans="3:22" ht="14.25" customHeight="1">
      <c r="C707" s="28"/>
      <c r="D707" s="29"/>
      <c r="E707" s="28"/>
      <c r="F707" s="3"/>
      <c r="G707" s="3"/>
      <c r="H707" s="3"/>
      <c r="I707" s="25"/>
      <c r="J707" s="25"/>
      <c r="K707" s="17"/>
      <c r="L707" s="17"/>
      <c r="M707" s="28"/>
      <c r="N707" s="28"/>
      <c r="O707" s="3"/>
      <c r="P707" s="3"/>
      <c r="Q707" s="3"/>
      <c r="R707" s="17"/>
      <c r="S707" s="17"/>
      <c r="T707" s="17"/>
      <c r="U707" s="17"/>
      <c r="V707" s="17"/>
    </row>
    <row r="708" spans="3:22" ht="14.25" customHeight="1">
      <c r="C708" s="28"/>
      <c r="D708" s="29"/>
      <c r="E708" s="28"/>
      <c r="F708" s="3"/>
      <c r="G708" s="3"/>
      <c r="H708" s="3"/>
      <c r="I708" s="25"/>
      <c r="J708" s="25"/>
      <c r="K708" s="17"/>
      <c r="L708" s="17"/>
      <c r="M708" s="28"/>
      <c r="N708" s="28"/>
      <c r="O708" s="3"/>
      <c r="P708" s="3"/>
      <c r="Q708" s="3"/>
      <c r="R708" s="17"/>
      <c r="S708" s="17"/>
      <c r="T708" s="17"/>
      <c r="U708" s="17"/>
      <c r="V708" s="17"/>
    </row>
    <row r="709" spans="3:22" ht="14.25" customHeight="1">
      <c r="C709" s="28"/>
      <c r="D709" s="29"/>
      <c r="E709" s="28"/>
      <c r="F709" s="3"/>
      <c r="G709" s="3"/>
      <c r="H709" s="3"/>
      <c r="I709" s="25"/>
      <c r="J709" s="25"/>
      <c r="K709" s="17"/>
      <c r="L709" s="17"/>
      <c r="M709" s="28"/>
      <c r="N709" s="28"/>
      <c r="O709" s="3"/>
      <c r="P709" s="3"/>
      <c r="Q709" s="3"/>
      <c r="R709" s="17"/>
      <c r="S709" s="17"/>
      <c r="T709" s="17"/>
      <c r="U709" s="17"/>
      <c r="V709" s="17"/>
    </row>
    <row r="710" spans="3:22" ht="14.25" customHeight="1">
      <c r="C710" s="28"/>
      <c r="D710" s="29"/>
      <c r="E710" s="28"/>
      <c r="F710" s="3"/>
      <c r="G710" s="3"/>
      <c r="H710" s="3"/>
      <c r="I710" s="25"/>
      <c r="J710" s="25"/>
      <c r="K710" s="17"/>
      <c r="L710" s="17"/>
      <c r="M710" s="28"/>
      <c r="N710" s="28"/>
      <c r="O710" s="3"/>
      <c r="P710" s="3"/>
      <c r="Q710" s="3"/>
      <c r="R710" s="17"/>
      <c r="S710" s="17"/>
      <c r="T710" s="17"/>
      <c r="U710" s="17"/>
      <c r="V710" s="17"/>
    </row>
    <row r="711" spans="3:22" ht="14.25" customHeight="1">
      <c r="C711" s="28"/>
      <c r="D711" s="29"/>
      <c r="E711" s="28"/>
      <c r="F711" s="3"/>
      <c r="G711" s="3"/>
      <c r="H711" s="3"/>
      <c r="I711" s="25"/>
      <c r="J711" s="25"/>
      <c r="K711" s="17"/>
      <c r="L711" s="17"/>
      <c r="M711" s="28"/>
      <c r="N711" s="28"/>
      <c r="O711" s="3"/>
      <c r="P711" s="3"/>
      <c r="Q711" s="3"/>
      <c r="R711" s="17"/>
      <c r="S711" s="17"/>
      <c r="T711" s="17"/>
      <c r="U711" s="17"/>
      <c r="V711" s="17"/>
    </row>
    <row r="712" spans="3:22" ht="14.25" customHeight="1">
      <c r="C712" s="28"/>
      <c r="D712" s="29"/>
      <c r="E712" s="28"/>
      <c r="F712" s="3"/>
      <c r="G712" s="3"/>
      <c r="H712" s="3"/>
      <c r="I712" s="25"/>
      <c r="J712" s="25"/>
      <c r="K712" s="17"/>
      <c r="L712" s="17"/>
      <c r="M712" s="28"/>
      <c r="N712" s="28"/>
      <c r="O712" s="3"/>
      <c r="P712" s="3"/>
      <c r="Q712" s="3"/>
      <c r="R712" s="17"/>
      <c r="S712" s="17"/>
      <c r="T712" s="17"/>
      <c r="U712" s="17"/>
      <c r="V712" s="17"/>
    </row>
    <row r="713" spans="3:22" ht="14.25" customHeight="1">
      <c r="C713" s="28"/>
      <c r="D713" s="29"/>
      <c r="E713" s="28"/>
      <c r="F713" s="3"/>
      <c r="G713" s="3"/>
      <c r="H713" s="3"/>
      <c r="I713" s="25"/>
      <c r="J713" s="25"/>
      <c r="K713" s="17"/>
      <c r="L713" s="17"/>
      <c r="M713" s="28"/>
      <c r="N713" s="28"/>
      <c r="O713" s="3"/>
      <c r="P713" s="3"/>
      <c r="Q713" s="3"/>
      <c r="R713" s="17"/>
      <c r="S713" s="17"/>
      <c r="T713" s="17"/>
      <c r="U713" s="17"/>
      <c r="V713" s="17"/>
    </row>
    <row r="714" spans="3:22" ht="14.25" customHeight="1">
      <c r="C714" s="28"/>
      <c r="D714" s="29"/>
      <c r="E714" s="28"/>
      <c r="F714" s="3"/>
      <c r="G714" s="3"/>
      <c r="H714" s="3"/>
      <c r="I714" s="25"/>
      <c r="J714" s="25"/>
      <c r="K714" s="17"/>
      <c r="L714" s="17"/>
      <c r="M714" s="28"/>
      <c r="N714" s="28"/>
      <c r="O714" s="3"/>
      <c r="P714" s="3"/>
      <c r="Q714" s="3"/>
      <c r="R714" s="17"/>
      <c r="S714" s="17"/>
      <c r="T714" s="17"/>
      <c r="U714" s="17"/>
      <c r="V714" s="17"/>
    </row>
    <row r="715" spans="3:22" ht="14.25" customHeight="1">
      <c r="C715" s="28"/>
      <c r="D715" s="29"/>
      <c r="E715" s="28"/>
      <c r="F715" s="3"/>
      <c r="G715" s="3"/>
      <c r="H715" s="3"/>
      <c r="I715" s="25"/>
      <c r="J715" s="25"/>
      <c r="K715" s="17"/>
      <c r="L715" s="17"/>
      <c r="M715" s="28"/>
      <c r="N715" s="28"/>
      <c r="O715" s="3"/>
      <c r="P715" s="3"/>
      <c r="Q715" s="3"/>
      <c r="R715" s="17"/>
      <c r="S715" s="17"/>
      <c r="T715" s="17"/>
      <c r="U715" s="17"/>
      <c r="V715" s="17"/>
    </row>
    <row r="716" spans="3:22" ht="14.25" customHeight="1">
      <c r="C716" s="28"/>
      <c r="D716" s="29"/>
      <c r="E716" s="28"/>
      <c r="F716" s="3"/>
      <c r="G716" s="3"/>
      <c r="H716" s="3"/>
      <c r="I716" s="25"/>
      <c r="J716" s="25"/>
      <c r="K716" s="17"/>
      <c r="L716" s="17"/>
      <c r="M716" s="28"/>
      <c r="N716" s="28"/>
      <c r="O716" s="3"/>
      <c r="P716" s="3"/>
      <c r="Q716" s="3"/>
      <c r="R716" s="17"/>
      <c r="S716" s="17"/>
      <c r="T716" s="17"/>
      <c r="U716" s="17"/>
      <c r="V716" s="17"/>
    </row>
    <row r="717" spans="3:22" ht="14.25" customHeight="1">
      <c r="C717" s="28"/>
      <c r="D717" s="29"/>
      <c r="E717" s="28"/>
      <c r="F717" s="3"/>
      <c r="G717" s="3"/>
      <c r="H717" s="3"/>
      <c r="I717" s="25"/>
      <c r="J717" s="25"/>
      <c r="K717" s="17"/>
      <c r="L717" s="17"/>
      <c r="M717" s="28"/>
      <c r="N717" s="28"/>
      <c r="O717" s="3"/>
      <c r="P717" s="3"/>
      <c r="Q717" s="3"/>
      <c r="R717" s="17"/>
      <c r="S717" s="17"/>
      <c r="T717" s="17"/>
      <c r="U717" s="17"/>
      <c r="V717" s="17"/>
    </row>
    <row r="718" spans="3:22" ht="14.25" customHeight="1">
      <c r="C718" s="28"/>
      <c r="D718" s="29"/>
      <c r="E718" s="28"/>
      <c r="F718" s="3"/>
      <c r="G718" s="3"/>
      <c r="H718" s="3"/>
      <c r="I718" s="25"/>
      <c r="J718" s="25"/>
      <c r="K718" s="17"/>
      <c r="L718" s="17"/>
      <c r="M718" s="28"/>
      <c r="N718" s="28"/>
      <c r="O718" s="3"/>
      <c r="P718" s="3"/>
      <c r="Q718" s="3"/>
      <c r="R718" s="17"/>
      <c r="S718" s="17"/>
      <c r="T718" s="17"/>
      <c r="U718" s="17"/>
      <c r="V718" s="17"/>
    </row>
    <row r="719" spans="3:22" ht="14.25" customHeight="1">
      <c r="C719" s="28"/>
      <c r="D719" s="29"/>
      <c r="E719" s="28"/>
      <c r="F719" s="3"/>
      <c r="G719" s="3"/>
      <c r="H719" s="3"/>
      <c r="I719" s="25"/>
      <c r="J719" s="25"/>
      <c r="K719" s="17"/>
      <c r="L719" s="17"/>
      <c r="M719" s="28"/>
      <c r="N719" s="28"/>
      <c r="O719" s="3"/>
      <c r="P719" s="3"/>
      <c r="Q719" s="3"/>
      <c r="R719" s="17"/>
      <c r="S719" s="17"/>
      <c r="T719" s="17"/>
      <c r="U719" s="17"/>
      <c r="V719" s="17"/>
    </row>
    <row r="720" spans="3:22" ht="14.25" customHeight="1">
      <c r="C720" s="28"/>
      <c r="D720" s="29"/>
      <c r="E720" s="28"/>
      <c r="F720" s="3"/>
      <c r="G720" s="3"/>
      <c r="H720" s="3"/>
      <c r="I720" s="25"/>
      <c r="J720" s="25"/>
      <c r="K720" s="17"/>
      <c r="L720" s="17"/>
      <c r="M720" s="28"/>
      <c r="N720" s="28"/>
      <c r="O720" s="3"/>
      <c r="P720" s="3"/>
      <c r="Q720" s="3"/>
      <c r="R720" s="17"/>
      <c r="S720" s="17"/>
      <c r="T720" s="17"/>
      <c r="U720" s="17"/>
      <c r="V720" s="17"/>
    </row>
    <row r="721" spans="3:22" ht="14.25" customHeight="1">
      <c r="C721" s="28"/>
      <c r="D721" s="29"/>
      <c r="E721" s="28"/>
      <c r="F721" s="3"/>
      <c r="G721" s="3"/>
      <c r="H721" s="3"/>
      <c r="I721" s="25"/>
      <c r="J721" s="25"/>
      <c r="K721" s="17"/>
      <c r="L721" s="17"/>
      <c r="M721" s="28"/>
      <c r="N721" s="28"/>
      <c r="O721" s="3"/>
      <c r="P721" s="3"/>
      <c r="Q721" s="3"/>
      <c r="R721" s="17"/>
      <c r="S721" s="17"/>
      <c r="T721" s="17"/>
      <c r="U721" s="17"/>
      <c r="V721" s="17"/>
    </row>
    <row r="722" spans="3:22" ht="14.25" customHeight="1">
      <c r="C722" s="28"/>
      <c r="D722" s="29"/>
      <c r="E722" s="28"/>
      <c r="F722" s="3"/>
      <c r="G722" s="3"/>
      <c r="H722" s="3"/>
      <c r="I722" s="25"/>
      <c r="J722" s="25"/>
      <c r="K722" s="17"/>
      <c r="L722" s="17"/>
      <c r="M722" s="28"/>
      <c r="N722" s="28"/>
      <c r="O722" s="3"/>
      <c r="P722" s="3"/>
      <c r="Q722" s="3"/>
      <c r="R722" s="17"/>
      <c r="S722" s="17"/>
      <c r="T722" s="17"/>
      <c r="U722" s="17"/>
      <c r="V722" s="17"/>
    </row>
    <row r="723" spans="3:22" ht="14.25" customHeight="1">
      <c r="C723" s="28"/>
      <c r="D723" s="29"/>
      <c r="E723" s="28"/>
      <c r="F723" s="3"/>
      <c r="G723" s="3"/>
      <c r="H723" s="3"/>
      <c r="I723" s="25"/>
      <c r="J723" s="25"/>
      <c r="K723" s="17"/>
      <c r="L723" s="17"/>
      <c r="M723" s="28"/>
      <c r="N723" s="28"/>
      <c r="O723" s="3"/>
      <c r="P723" s="3"/>
      <c r="Q723" s="3"/>
      <c r="R723" s="17"/>
      <c r="S723" s="17"/>
      <c r="T723" s="17"/>
      <c r="U723" s="17"/>
      <c r="V723" s="17"/>
    </row>
    <row r="724" spans="3:22" ht="14.25" customHeight="1">
      <c r="C724" s="28"/>
      <c r="D724" s="29"/>
      <c r="E724" s="28"/>
      <c r="F724" s="3"/>
      <c r="G724" s="3"/>
      <c r="H724" s="3"/>
      <c r="I724" s="25"/>
      <c r="J724" s="25"/>
      <c r="K724" s="17"/>
      <c r="L724" s="17"/>
      <c r="M724" s="28"/>
      <c r="N724" s="28"/>
      <c r="O724" s="3"/>
      <c r="P724" s="3"/>
      <c r="Q724" s="3"/>
      <c r="R724" s="17"/>
      <c r="S724" s="17"/>
      <c r="T724" s="17"/>
      <c r="U724" s="17"/>
      <c r="V724" s="17"/>
    </row>
    <row r="725" spans="3:22" ht="14.25" customHeight="1">
      <c r="C725" s="28"/>
      <c r="D725" s="29"/>
      <c r="E725" s="28"/>
      <c r="F725" s="3"/>
      <c r="G725" s="3"/>
      <c r="H725" s="3"/>
      <c r="I725" s="25"/>
      <c r="J725" s="25"/>
      <c r="K725" s="17"/>
      <c r="L725" s="17"/>
      <c r="M725" s="28"/>
      <c r="N725" s="28"/>
      <c r="O725" s="3"/>
      <c r="P725" s="3"/>
      <c r="Q725" s="3"/>
      <c r="R725" s="17"/>
      <c r="S725" s="17"/>
      <c r="T725" s="17"/>
      <c r="U725" s="17"/>
      <c r="V725" s="17"/>
    </row>
    <row r="726" spans="3:22" ht="14.25" customHeight="1">
      <c r="C726" s="28"/>
      <c r="D726" s="29"/>
      <c r="E726" s="28"/>
      <c r="F726" s="3"/>
      <c r="G726" s="3"/>
      <c r="H726" s="3"/>
      <c r="I726" s="25"/>
      <c r="J726" s="25"/>
      <c r="K726" s="17"/>
      <c r="L726" s="17"/>
      <c r="M726" s="28"/>
      <c r="N726" s="28"/>
      <c r="O726" s="3"/>
      <c r="P726" s="3"/>
      <c r="Q726" s="3"/>
      <c r="R726" s="17"/>
      <c r="S726" s="17"/>
      <c r="T726" s="17"/>
      <c r="U726" s="17"/>
      <c r="V726" s="17"/>
    </row>
    <row r="727" spans="3:22" ht="14.25" customHeight="1">
      <c r="C727" s="28"/>
      <c r="D727" s="29"/>
      <c r="E727" s="28"/>
      <c r="F727" s="3"/>
      <c r="G727" s="3"/>
      <c r="H727" s="3"/>
      <c r="I727" s="25"/>
      <c r="J727" s="25"/>
      <c r="K727" s="17"/>
      <c r="L727" s="17"/>
      <c r="M727" s="28"/>
      <c r="N727" s="28"/>
      <c r="O727" s="3"/>
      <c r="P727" s="3"/>
      <c r="Q727" s="3"/>
      <c r="R727" s="17"/>
      <c r="S727" s="17"/>
      <c r="T727" s="17"/>
      <c r="U727" s="17"/>
      <c r="V727" s="17"/>
    </row>
    <row r="728" spans="3:22" ht="14.25" customHeight="1">
      <c r="C728" s="28"/>
      <c r="D728" s="29"/>
      <c r="E728" s="28"/>
      <c r="F728" s="3"/>
      <c r="G728" s="3"/>
      <c r="H728" s="3"/>
      <c r="I728" s="25"/>
      <c r="J728" s="25"/>
      <c r="K728" s="17"/>
      <c r="L728" s="17"/>
      <c r="M728" s="28"/>
      <c r="N728" s="28"/>
      <c r="O728" s="3"/>
      <c r="P728" s="3"/>
      <c r="Q728" s="3"/>
      <c r="R728" s="17"/>
      <c r="S728" s="17"/>
      <c r="T728" s="17"/>
      <c r="U728" s="17"/>
      <c r="V728" s="17"/>
    </row>
    <row r="729" spans="3:22" ht="14.25" customHeight="1">
      <c r="C729" s="28"/>
      <c r="D729" s="29"/>
      <c r="E729" s="28"/>
      <c r="F729" s="3"/>
      <c r="G729" s="3"/>
      <c r="H729" s="3"/>
      <c r="I729" s="25"/>
      <c r="J729" s="25"/>
      <c r="K729" s="17"/>
      <c r="L729" s="17"/>
      <c r="M729" s="28"/>
      <c r="N729" s="28"/>
      <c r="O729" s="3"/>
      <c r="P729" s="3"/>
      <c r="Q729" s="3"/>
      <c r="R729" s="17"/>
      <c r="S729" s="17"/>
      <c r="T729" s="17"/>
      <c r="U729" s="17"/>
      <c r="V729" s="17"/>
    </row>
    <row r="730" spans="3:22" ht="14.25" customHeight="1">
      <c r="C730" s="28"/>
      <c r="D730" s="29"/>
      <c r="E730" s="28"/>
      <c r="F730" s="3"/>
      <c r="G730" s="3"/>
      <c r="H730" s="3"/>
      <c r="I730" s="25"/>
      <c r="J730" s="25"/>
      <c r="K730" s="17"/>
      <c r="L730" s="17"/>
      <c r="M730" s="28"/>
      <c r="N730" s="28"/>
      <c r="O730" s="3"/>
      <c r="P730" s="3"/>
      <c r="Q730" s="3"/>
      <c r="R730" s="17"/>
      <c r="S730" s="17"/>
      <c r="T730" s="17"/>
      <c r="U730" s="17"/>
      <c r="V730" s="17"/>
    </row>
    <row r="731" spans="3:22" ht="14.25" customHeight="1">
      <c r="C731" s="28"/>
      <c r="D731" s="29"/>
      <c r="E731" s="28"/>
      <c r="F731" s="3"/>
      <c r="G731" s="3"/>
      <c r="H731" s="3"/>
      <c r="I731" s="25"/>
      <c r="J731" s="25"/>
      <c r="K731" s="17"/>
      <c r="L731" s="17"/>
      <c r="M731" s="28"/>
      <c r="N731" s="28"/>
      <c r="O731" s="3"/>
      <c r="P731" s="3"/>
      <c r="Q731" s="3"/>
      <c r="R731" s="17"/>
      <c r="S731" s="17"/>
      <c r="T731" s="17"/>
      <c r="U731" s="17"/>
      <c r="V731" s="17"/>
    </row>
    <row r="732" spans="3:22" ht="14.25" customHeight="1">
      <c r="C732" s="28"/>
      <c r="D732" s="29"/>
      <c r="E732" s="28"/>
      <c r="F732" s="3"/>
      <c r="G732" s="3"/>
      <c r="H732" s="3"/>
      <c r="I732" s="25"/>
      <c r="J732" s="25"/>
      <c r="K732" s="17"/>
      <c r="L732" s="17"/>
      <c r="M732" s="28"/>
      <c r="N732" s="28"/>
      <c r="O732" s="3"/>
      <c r="P732" s="3"/>
      <c r="Q732" s="3"/>
      <c r="R732" s="17"/>
      <c r="S732" s="17"/>
      <c r="T732" s="17"/>
      <c r="U732" s="17"/>
      <c r="V732" s="17"/>
    </row>
    <row r="733" spans="3:22" ht="14.25" customHeight="1">
      <c r="C733" s="28"/>
      <c r="D733" s="29"/>
      <c r="E733" s="28"/>
      <c r="F733" s="3"/>
      <c r="G733" s="3"/>
      <c r="H733" s="3"/>
      <c r="I733" s="25"/>
      <c r="J733" s="25"/>
      <c r="K733" s="17"/>
      <c r="L733" s="17"/>
      <c r="M733" s="28"/>
      <c r="N733" s="28"/>
      <c r="O733" s="3"/>
      <c r="P733" s="3"/>
      <c r="Q733" s="3"/>
      <c r="R733" s="17"/>
      <c r="S733" s="17"/>
      <c r="T733" s="17"/>
      <c r="U733" s="17"/>
      <c r="V733" s="17"/>
    </row>
    <row r="734" spans="3:22" ht="14.25" customHeight="1">
      <c r="C734" s="28"/>
      <c r="D734" s="29"/>
      <c r="E734" s="28"/>
      <c r="F734" s="3"/>
      <c r="G734" s="3"/>
      <c r="H734" s="3"/>
      <c r="I734" s="25"/>
      <c r="J734" s="25"/>
      <c r="K734" s="17"/>
      <c r="L734" s="17"/>
      <c r="M734" s="28"/>
      <c r="N734" s="28"/>
      <c r="O734" s="3"/>
      <c r="P734" s="3"/>
      <c r="Q734" s="3"/>
      <c r="R734" s="17"/>
      <c r="S734" s="17"/>
      <c r="T734" s="17"/>
      <c r="U734" s="17"/>
      <c r="V734" s="17"/>
    </row>
    <row r="735" spans="3:22" ht="14.25" customHeight="1">
      <c r="C735" s="28"/>
      <c r="D735" s="29"/>
      <c r="E735" s="28"/>
      <c r="F735" s="3"/>
      <c r="G735" s="3"/>
      <c r="H735" s="3"/>
      <c r="I735" s="25"/>
      <c r="J735" s="25"/>
      <c r="K735" s="17"/>
      <c r="L735" s="17"/>
      <c r="M735" s="28"/>
      <c r="N735" s="28"/>
      <c r="O735" s="3"/>
      <c r="P735" s="3"/>
      <c r="Q735" s="3"/>
      <c r="R735" s="17"/>
      <c r="S735" s="17"/>
      <c r="T735" s="17"/>
      <c r="U735" s="17"/>
      <c r="V735" s="17"/>
    </row>
    <row r="736" spans="3:22" ht="14.25" customHeight="1">
      <c r="C736" s="28"/>
      <c r="D736" s="29"/>
      <c r="E736" s="28"/>
      <c r="F736" s="3"/>
      <c r="G736" s="3"/>
      <c r="H736" s="3"/>
      <c r="I736" s="25"/>
      <c r="J736" s="25"/>
      <c r="K736" s="17"/>
      <c r="L736" s="17"/>
      <c r="M736" s="28"/>
      <c r="N736" s="28"/>
      <c r="O736" s="3"/>
      <c r="P736" s="3"/>
      <c r="Q736" s="3"/>
      <c r="R736" s="17"/>
      <c r="S736" s="17"/>
      <c r="T736" s="17"/>
      <c r="U736" s="17"/>
      <c r="V736" s="17"/>
    </row>
    <row r="737" spans="3:22" ht="14.25" customHeight="1">
      <c r="C737" s="28"/>
      <c r="D737" s="29"/>
      <c r="E737" s="28"/>
      <c r="F737" s="3"/>
      <c r="G737" s="3"/>
      <c r="H737" s="3"/>
      <c r="I737" s="25"/>
      <c r="J737" s="25"/>
      <c r="K737" s="17"/>
      <c r="L737" s="17"/>
      <c r="M737" s="28"/>
      <c r="N737" s="28"/>
      <c r="O737" s="3"/>
      <c r="P737" s="3"/>
      <c r="Q737" s="3"/>
      <c r="R737" s="17"/>
      <c r="S737" s="17"/>
      <c r="T737" s="17"/>
      <c r="U737" s="17"/>
      <c r="V737" s="17"/>
    </row>
    <row r="738" spans="3:22" ht="14.25" customHeight="1">
      <c r="C738" s="28"/>
      <c r="D738" s="29"/>
      <c r="E738" s="28"/>
      <c r="F738" s="3"/>
      <c r="G738" s="3"/>
      <c r="H738" s="3"/>
      <c r="I738" s="25"/>
      <c r="J738" s="25"/>
      <c r="K738" s="17"/>
      <c r="L738" s="17"/>
      <c r="M738" s="28"/>
      <c r="N738" s="28"/>
      <c r="O738" s="3"/>
      <c r="P738" s="3"/>
      <c r="Q738" s="3"/>
      <c r="R738" s="17"/>
      <c r="S738" s="17"/>
      <c r="T738" s="17"/>
      <c r="U738" s="17"/>
      <c r="V738" s="17"/>
    </row>
    <row r="739" spans="3:22" ht="14.25" customHeight="1">
      <c r="C739" s="28"/>
      <c r="D739" s="29"/>
      <c r="E739" s="28"/>
      <c r="F739" s="3"/>
      <c r="G739" s="3"/>
      <c r="H739" s="3"/>
      <c r="I739" s="25"/>
      <c r="J739" s="25"/>
      <c r="K739" s="17"/>
      <c r="L739" s="17"/>
      <c r="M739" s="28"/>
      <c r="N739" s="28"/>
      <c r="O739" s="3"/>
      <c r="P739" s="3"/>
      <c r="Q739" s="3"/>
      <c r="R739" s="17"/>
      <c r="S739" s="17"/>
      <c r="T739" s="17"/>
      <c r="U739" s="17"/>
      <c r="V739" s="17"/>
    </row>
    <row r="740" spans="3:22" ht="14.25" customHeight="1">
      <c r="C740" s="28"/>
      <c r="D740" s="29"/>
      <c r="E740" s="28"/>
      <c r="F740" s="3"/>
      <c r="G740" s="3"/>
      <c r="H740" s="3"/>
      <c r="I740" s="25"/>
      <c r="J740" s="25"/>
      <c r="K740" s="17"/>
      <c r="L740" s="17"/>
      <c r="M740" s="28"/>
      <c r="N740" s="28"/>
      <c r="O740" s="3"/>
      <c r="P740" s="3"/>
      <c r="Q740" s="3"/>
      <c r="R740" s="17"/>
      <c r="S740" s="17"/>
      <c r="T740" s="17"/>
      <c r="U740" s="17"/>
      <c r="V740" s="17"/>
    </row>
    <row r="741" spans="3:22" ht="14.25" customHeight="1">
      <c r="C741" s="28"/>
      <c r="D741" s="29"/>
      <c r="E741" s="28"/>
      <c r="F741" s="3"/>
      <c r="G741" s="3"/>
      <c r="H741" s="3"/>
      <c r="I741" s="25"/>
      <c r="J741" s="25"/>
      <c r="K741" s="17"/>
      <c r="L741" s="17"/>
      <c r="M741" s="28"/>
      <c r="N741" s="28"/>
      <c r="O741" s="3"/>
      <c r="P741" s="3"/>
      <c r="Q741" s="3"/>
      <c r="R741" s="17"/>
      <c r="S741" s="17"/>
      <c r="T741" s="17"/>
      <c r="U741" s="17"/>
      <c r="V741" s="17"/>
    </row>
    <row r="742" spans="3:22" ht="14.25" customHeight="1">
      <c r="C742" s="28"/>
      <c r="D742" s="29"/>
      <c r="E742" s="28"/>
      <c r="F742" s="3"/>
      <c r="G742" s="3"/>
      <c r="H742" s="3"/>
      <c r="I742" s="25"/>
      <c r="J742" s="25"/>
      <c r="K742" s="17"/>
      <c r="L742" s="17"/>
      <c r="M742" s="28"/>
      <c r="N742" s="28"/>
      <c r="O742" s="3"/>
      <c r="P742" s="3"/>
      <c r="Q742" s="3"/>
      <c r="R742" s="17"/>
      <c r="S742" s="17"/>
      <c r="T742" s="17"/>
      <c r="U742" s="17"/>
      <c r="V742" s="17"/>
    </row>
    <row r="743" spans="3:22" ht="14.25" customHeight="1">
      <c r="C743" s="28"/>
      <c r="D743" s="29"/>
      <c r="E743" s="28"/>
      <c r="F743" s="3"/>
      <c r="G743" s="3"/>
      <c r="H743" s="3"/>
      <c r="I743" s="25"/>
      <c r="J743" s="25"/>
      <c r="K743" s="17"/>
      <c r="L743" s="17"/>
      <c r="M743" s="28"/>
      <c r="N743" s="28"/>
      <c r="O743" s="3"/>
      <c r="P743" s="3"/>
      <c r="Q743" s="3"/>
      <c r="R743" s="17"/>
      <c r="S743" s="17"/>
      <c r="T743" s="17"/>
      <c r="U743" s="17"/>
      <c r="V743" s="17"/>
    </row>
    <row r="744" spans="3:22" ht="14.25" customHeight="1">
      <c r="C744" s="28"/>
      <c r="D744" s="29"/>
      <c r="E744" s="28"/>
      <c r="F744" s="3"/>
      <c r="G744" s="3"/>
      <c r="H744" s="3"/>
      <c r="I744" s="25"/>
      <c r="J744" s="25"/>
      <c r="K744" s="17"/>
      <c r="L744" s="17"/>
      <c r="M744" s="28"/>
      <c r="N744" s="28"/>
      <c r="O744" s="3"/>
      <c r="P744" s="3"/>
      <c r="Q744" s="3"/>
      <c r="R744" s="17"/>
      <c r="S744" s="17"/>
      <c r="T744" s="17"/>
      <c r="U744" s="17"/>
      <c r="V744" s="17"/>
    </row>
    <row r="745" spans="3:22" ht="14.25" customHeight="1">
      <c r="C745" s="28"/>
      <c r="D745" s="29"/>
      <c r="E745" s="28"/>
      <c r="F745" s="3"/>
      <c r="G745" s="3"/>
      <c r="H745" s="3"/>
      <c r="I745" s="25"/>
      <c r="J745" s="25"/>
      <c r="K745" s="17"/>
      <c r="L745" s="17"/>
      <c r="M745" s="28"/>
      <c r="N745" s="28"/>
      <c r="O745" s="3"/>
      <c r="P745" s="3"/>
      <c r="Q745" s="3"/>
      <c r="R745" s="17"/>
      <c r="S745" s="17"/>
      <c r="T745" s="17"/>
      <c r="U745" s="17"/>
      <c r="V745" s="17"/>
    </row>
    <row r="746" spans="3:22" ht="14.25" customHeight="1">
      <c r="C746" s="28"/>
      <c r="D746" s="29"/>
      <c r="E746" s="28"/>
      <c r="F746" s="3"/>
      <c r="G746" s="3"/>
      <c r="H746" s="3"/>
      <c r="I746" s="25"/>
      <c r="J746" s="25"/>
      <c r="K746" s="17"/>
      <c r="L746" s="17"/>
      <c r="M746" s="28"/>
      <c r="N746" s="28"/>
      <c r="O746" s="3"/>
      <c r="P746" s="3"/>
      <c r="Q746" s="3"/>
      <c r="R746" s="17"/>
      <c r="S746" s="17"/>
      <c r="T746" s="17"/>
      <c r="U746" s="17"/>
      <c r="V746" s="17"/>
    </row>
    <row r="747" spans="3:22" ht="14.25" customHeight="1">
      <c r="C747" s="28"/>
      <c r="D747" s="29"/>
      <c r="E747" s="28"/>
      <c r="F747" s="3"/>
      <c r="G747" s="3"/>
      <c r="H747" s="3"/>
      <c r="I747" s="25"/>
      <c r="J747" s="25"/>
      <c r="K747" s="17"/>
      <c r="L747" s="17"/>
      <c r="M747" s="28"/>
      <c r="N747" s="28"/>
      <c r="O747" s="3"/>
      <c r="P747" s="3"/>
      <c r="Q747" s="3"/>
      <c r="R747" s="17"/>
      <c r="S747" s="17"/>
      <c r="T747" s="17"/>
      <c r="U747" s="17"/>
      <c r="V747" s="17"/>
    </row>
    <row r="748" spans="3:22" ht="14.25" customHeight="1">
      <c r="C748" s="28"/>
      <c r="D748" s="29"/>
      <c r="E748" s="28"/>
      <c r="F748" s="3"/>
      <c r="G748" s="3"/>
      <c r="H748" s="3"/>
      <c r="I748" s="25"/>
      <c r="J748" s="25"/>
      <c r="K748" s="17"/>
      <c r="L748" s="17"/>
      <c r="M748" s="28"/>
      <c r="N748" s="28"/>
      <c r="O748" s="3"/>
      <c r="P748" s="3"/>
      <c r="Q748" s="3"/>
      <c r="R748" s="17"/>
      <c r="S748" s="17"/>
      <c r="T748" s="17"/>
      <c r="U748" s="17"/>
      <c r="V748" s="17"/>
    </row>
    <row r="749" spans="3:22" ht="14.25" customHeight="1">
      <c r="C749" s="28"/>
      <c r="D749" s="29"/>
      <c r="E749" s="28"/>
      <c r="F749" s="3"/>
      <c r="G749" s="3"/>
      <c r="H749" s="3"/>
      <c r="I749" s="25"/>
      <c r="J749" s="25"/>
      <c r="K749" s="17"/>
      <c r="L749" s="17"/>
      <c r="M749" s="28"/>
      <c r="N749" s="28"/>
      <c r="O749" s="3"/>
      <c r="P749" s="3"/>
      <c r="Q749" s="3"/>
      <c r="R749" s="17"/>
      <c r="S749" s="17"/>
      <c r="T749" s="17"/>
      <c r="U749" s="17"/>
      <c r="V749" s="17"/>
    </row>
    <row r="750" spans="3:22" ht="14.25" customHeight="1">
      <c r="C750" s="28"/>
      <c r="D750" s="29"/>
      <c r="E750" s="28"/>
      <c r="F750" s="3"/>
      <c r="G750" s="3"/>
      <c r="H750" s="3"/>
      <c r="I750" s="25"/>
      <c r="J750" s="25"/>
      <c r="K750" s="17"/>
      <c r="L750" s="17"/>
      <c r="M750" s="28"/>
      <c r="N750" s="28"/>
      <c r="O750" s="3"/>
      <c r="P750" s="3"/>
      <c r="Q750" s="3"/>
      <c r="R750" s="17"/>
      <c r="S750" s="17"/>
      <c r="T750" s="17"/>
      <c r="U750" s="17"/>
      <c r="V750" s="17"/>
    </row>
    <row r="751" spans="3:22" ht="14.25" customHeight="1">
      <c r="C751" s="28"/>
      <c r="D751" s="29"/>
      <c r="E751" s="28"/>
      <c r="F751" s="3"/>
      <c r="G751" s="3"/>
      <c r="H751" s="3"/>
      <c r="I751" s="25"/>
      <c r="J751" s="25"/>
      <c r="K751" s="17"/>
      <c r="L751" s="17"/>
      <c r="M751" s="28"/>
      <c r="N751" s="28"/>
      <c r="O751" s="3"/>
      <c r="P751" s="3"/>
      <c r="Q751" s="3"/>
      <c r="R751" s="17"/>
      <c r="S751" s="17"/>
      <c r="T751" s="17"/>
      <c r="U751" s="17"/>
      <c r="V751" s="17"/>
    </row>
    <row r="752" spans="3:22" ht="14.25" customHeight="1">
      <c r="C752" s="28"/>
      <c r="D752" s="29"/>
      <c r="E752" s="28"/>
      <c r="F752" s="3"/>
      <c r="G752" s="3"/>
      <c r="H752" s="3"/>
      <c r="I752" s="25"/>
      <c r="J752" s="25"/>
      <c r="K752" s="17"/>
      <c r="L752" s="17"/>
      <c r="M752" s="28"/>
      <c r="N752" s="28"/>
      <c r="O752" s="3"/>
      <c r="P752" s="3"/>
      <c r="Q752" s="3"/>
      <c r="R752" s="17"/>
      <c r="S752" s="17"/>
      <c r="T752" s="17"/>
      <c r="U752" s="17"/>
      <c r="V752" s="17"/>
    </row>
    <row r="753" spans="3:22" ht="14.25" customHeight="1">
      <c r="C753" s="28"/>
      <c r="D753" s="29"/>
      <c r="E753" s="28"/>
      <c r="F753" s="3"/>
      <c r="G753" s="3"/>
      <c r="H753" s="3"/>
      <c r="I753" s="25"/>
      <c r="J753" s="25"/>
      <c r="K753" s="17"/>
      <c r="L753" s="17"/>
      <c r="M753" s="28"/>
      <c r="N753" s="28"/>
      <c r="O753" s="3"/>
      <c r="P753" s="3"/>
      <c r="Q753" s="3"/>
      <c r="R753" s="17"/>
      <c r="S753" s="17"/>
      <c r="T753" s="17"/>
      <c r="U753" s="17"/>
      <c r="V753" s="17"/>
    </row>
    <row r="754" spans="3:22" ht="14.25" customHeight="1">
      <c r="C754" s="28"/>
      <c r="D754" s="29"/>
      <c r="E754" s="28"/>
      <c r="F754" s="3"/>
      <c r="G754" s="3"/>
      <c r="H754" s="3"/>
      <c r="I754" s="25"/>
      <c r="J754" s="25"/>
      <c r="K754" s="17"/>
      <c r="L754" s="17"/>
      <c r="M754" s="28"/>
      <c r="N754" s="28"/>
      <c r="O754" s="3"/>
      <c r="P754" s="3"/>
      <c r="Q754" s="3"/>
      <c r="R754" s="17"/>
      <c r="S754" s="17"/>
      <c r="T754" s="17"/>
      <c r="U754" s="17"/>
      <c r="V754" s="17"/>
    </row>
    <row r="755" spans="3:22" ht="14.25" customHeight="1">
      <c r="C755" s="28"/>
      <c r="D755" s="29"/>
      <c r="E755" s="28"/>
      <c r="F755" s="3"/>
      <c r="G755" s="3"/>
      <c r="H755" s="3"/>
      <c r="I755" s="25"/>
      <c r="J755" s="25"/>
      <c r="K755" s="17"/>
      <c r="L755" s="17"/>
      <c r="M755" s="28"/>
      <c r="N755" s="28"/>
      <c r="O755" s="3"/>
      <c r="P755" s="3"/>
      <c r="Q755" s="3"/>
      <c r="R755" s="17"/>
      <c r="S755" s="17"/>
      <c r="T755" s="17"/>
      <c r="U755" s="17"/>
      <c r="V755" s="17"/>
    </row>
    <row r="756" spans="3:22" ht="14.25" customHeight="1">
      <c r="C756" s="28"/>
      <c r="D756" s="29"/>
      <c r="E756" s="28"/>
      <c r="F756" s="3"/>
      <c r="G756" s="3"/>
      <c r="H756" s="3"/>
      <c r="I756" s="25"/>
      <c r="J756" s="25"/>
      <c r="K756" s="17"/>
      <c r="L756" s="17"/>
      <c r="M756" s="28"/>
      <c r="N756" s="28"/>
      <c r="O756" s="3"/>
      <c r="P756" s="3"/>
      <c r="Q756" s="3"/>
      <c r="R756" s="17"/>
      <c r="S756" s="17"/>
      <c r="T756" s="17"/>
      <c r="U756" s="17"/>
      <c r="V756" s="17"/>
    </row>
    <row r="757" spans="3:22" ht="14.25" customHeight="1">
      <c r="C757" s="28"/>
      <c r="D757" s="29"/>
      <c r="E757" s="28"/>
      <c r="F757" s="3"/>
      <c r="G757" s="3"/>
      <c r="H757" s="3"/>
      <c r="I757" s="25"/>
      <c r="J757" s="25"/>
      <c r="K757" s="17"/>
      <c r="L757" s="17"/>
      <c r="M757" s="28"/>
      <c r="N757" s="28"/>
      <c r="O757" s="3"/>
      <c r="P757" s="3"/>
      <c r="Q757" s="3"/>
      <c r="R757" s="17"/>
      <c r="S757" s="17"/>
      <c r="T757" s="17"/>
      <c r="U757" s="17"/>
      <c r="V757" s="17"/>
    </row>
    <row r="758" spans="3:22" ht="14.25" customHeight="1">
      <c r="C758" s="28"/>
      <c r="D758" s="29"/>
      <c r="E758" s="28"/>
      <c r="F758" s="3"/>
      <c r="G758" s="3"/>
      <c r="H758" s="3"/>
      <c r="I758" s="25"/>
      <c r="J758" s="25"/>
      <c r="K758" s="17"/>
      <c r="L758" s="17"/>
      <c r="M758" s="28"/>
      <c r="N758" s="28"/>
      <c r="O758" s="3"/>
      <c r="P758" s="3"/>
      <c r="Q758" s="3"/>
      <c r="R758" s="17"/>
      <c r="S758" s="17"/>
      <c r="T758" s="17"/>
      <c r="U758" s="17"/>
      <c r="V758" s="17"/>
    </row>
    <row r="759" spans="3:22" ht="14.25" customHeight="1">
      <c r="C759" s="28"/>
      <c r="D759" s="29"/>
      <c r="E759" s="28"/>
      <c r="F759" s="3"/>
      <c r="G759" s="3"/>
      <c r="H759" s="3"/>
      <c r="I759" s="25"/>
      <c r="J759" s="25"/>
      <c r="K759" s="17"/>
      <c r="L759" s="17"/>
      <c r="M759" s="28"/>
      <c r="N759" s="28"/>
      <c r="O759" s="3"/>
      <c r="P759" s="3"/>
      <c r="Q759" s="3"/>
      <c r="R759" s="17"/>
      <c r="S759" s="17"/>
      <c r="T759" s="17"/>
      <c r="U759" s="17"/>
      <c r="V759" s="17"/>
    </row>
    <row r="760" spans="3:22" ht="14.25" customHeight="1">
      <c r="C760" s="28"/>
      <c r="D760" s="29"/>
      <c r="E760" s="28"/>
      <c r="F760" s="3"/>
      <c r="G760" s="3"/>
      <c r="H760" s="3"/>
      <c r="I760" s="25"/>
      <c r="J760" s="25"/>
      <c r="K760" s="17"/>
      <c r="L760" s="17"/>
      <c r="M760" s="28"/>
      <c r="N760" s="28"/>
      <c r="O760" s="3"/>
      <c r="P760" s="3"/>
      <c r="Q760" s="3"/>
      <c r="R760" s="17"/>
      <c r="S760" s="17"/>
      <c r="T760" s="17"/>
      <c r="U760" s="17"/>
      <c r="V760" s="17"/>
    </row>
    <row r="761" spans="3:22" ht="14.25" customHeight="1">
      <c r="C761" s="28"/>
      <c r="D761" s="29"/>
      <c r="E761" s="28"/>
      <c r="F761" s="3"/>
      <c r="G761" s="3"/>
      <c r="H761" s="3"/>
      <c r="I761" s="25"/>
      <c r="J761" s="25"/>
      <c r="K761" s="17"/>
      <c r="L761" s="17"/>
      <c r="M761" s="28"/>
      <c r="N761" s="28"/>
      <c r="O761" s="3"/>
      <c r="P761" s="3"/>
      <c r="Q761" s="3"/>
      <c r="R761" s="17"/>
      <c r="S761" s="17"/>
      <c r="T761" s="17"/>
      <c r="U761" s="17"/>
      <c r="V761" s="17"/>
    </row>
    <row r="762" spans="3:22" ht="14.25" customHeight="1">
      <c r="C762" s="28"/>
      <c r="D762" s="29"/>
      <c r="E762" s="28"/>
      <c r="F762" s="3"/>
      <c r="G762" s="3"/>
      <c r="H762" s="3"/>
      <c r="I762" s="25"/>
      <c r="J762" s="25"/>
      <c r="K762" s="17"/>
      <c r="L762" s="17"/>
      <c r="M762" s="28"/>
      <c r="N762" s="28"/>
      <c r="O762" s="3"/>
      <c r="P762" s="3"/>
      <c r="Q762" s="3"/>
      <c r="R762" s="17"/>
      <c r="S762" s="17"/>
      <c r="T762" s="17"/>
      <c r="U762" s="17"/>
      <c r="V762" s="17"/>
    </row>
    <row r="763" spans="3:22" ht="14.25" customHeight="1">
      <c r="C763" s="28"/>
      <c r="D763" s="29"/>
      <c r="E763" s="28"/>
      <c r="F763" s="3"/>
      <c r="G763" s="3"/>
      <c r="H763" s="3"/>
      <c r="I763" s="25"/>
      <c r="J763" s="25"/>
      <c r="K763" s="17"/>
      <c r="L763" s="17"/>
      <c r="M763" s="28"/>
      <c r="N763" s="28"/>
      <c r="O763" s="3"/>
      <c r="P763" s="3"/>
      <c r="Q763" s="3"/>
      <c r="R763" s="17"/>
      <c r="S763" s="17"/>
      <c r="T763" s="17"/>
      <c r="U763" s="17"/>
      <c r="V763" s="17"/>
    </row>
    <row r="764" spans="3:22" ht="14.25" customHeight="1">
      <c r="C764" s="28"/>
      <c r="D764" s="29"/>
      <c r="E764" s="28"/>
      <c r="F764" s="3"/>
      <c r="G764" s="3"/>
      <c r="H764" s="3"/>
      <c r="I764" s="25"/>
      <c r="J764" s="25"/>
      <c r="K764" s="17"/>
      <c r="L764" s="17"/>
      <c r="M764" s="28"/>
      <c r="N764" s="28"/>
      <c r="O764" s="3"/>
      <c r="P764" s="3"/>
      <c r="Q764" s="3"/>
      <c r="R764" s="17"/>
      <c r="S764" s="17"/>
      <c r="T764" s="17"/>
      <c r="U764" s="17"/>
      <c r="V764" s="17"/>
    </row>
    <row r="765" spans="3:22" ht="14.25" customHeight="1">
      <c r="C765" s="28"/>
      <c r="D765" s="29"/>
      <c r="E765" s="28"/>
      <c r="F765" s="3"/>
      <c r="G765" s="3"/>
      <c r="H765" s="3"/>
      <c r="I765" s="25"/>
      <c r="J765" s="25"/>
      <c r="K765" s="17"/>
      <c r="L765" s="17"/>
      <c r="M765" s="28"/>
      <c r="N765" s="28"/>
      <c r="O765" s="3"/>
      <c r="P765" s="3"/>
      <c r="Q765" s="3"/>
      <c r="R765" s="17"/>
      <c r="S765" s="17"/>
      <c r="T765" s="17"/>
      <c r="U765" s="17"/>
      <c r="V765" s="17"/>
    </row>
    <row r="766" spans="3:22" ht="14.25" customHeight="1">
      <c r="C766" s="28"/>
      <c r="D766" s="29"/>
      <c r="E766" s="28"/>
      <c r="F766" s="3"/>
      <c r="G766" s="3"/>
      <c r="H766" s="3"/>
      <c r="I766" s="25"/>
      <c r="J766" s="25"/>
      <c r="K766" s="17"/>
      <c r="L766" s="17"/>
      <c r="M766" s="28"/>
      <c r="N766" s="28"/>
      <c r="O766" s="3"/>
      <c r="P766" s="3"/>
      <c r="Q766" s="3"/>
      <c r="R766" s="17"/>
      <c r="S766" s="17"/>
      <c r="T766" s="17"/>
      <c r="U766" s="17"/>
      <c r="V766" s="17"/>
    </row>
    <row r="767" spans="3:22" ht="14.25" customHeight="1">
      <c r="C767" s="28"/>
      <c r="D767" s="29"/>
      <c r="E767" s="28"/>
      <c r="F767" s="3"/>
      <c r="G767" s="3"/>
      <c r="H767" s="3"/>
      <c r="I767" s="25"/>
      <c r="J767" s="25"/>
      <c r="K767" s="17"/>
      <c r="L767" s="17"/>
      <c r="M767" s="28"/>
      <c r="N767" s="28"/>
      <c r="O767" s="3"/>
      <c r="P767" s="3"/>
      <c r="Q767" s="3"/>
      <c r="R767" s="17"/>
      <c r="S767" s="17"/>
      <c r="T767" s="17"/>
      <c r="U767" s="17"/>
      <c r="V767" s="17"/>
    </row>
    <row r="768" spans="3:22" ht="14.25" customHeight="1">
      <c r="C768" s="28"/>
      <c r="D768" s="29"/>
      <c r="E768" s="28"/>
      <c r="F768" s="3"/>
      <c r="G768" s="3"/>
      <c r="H768" s="3"/>
      <c r="I768" s="25"/>
      <c r="J768" s="25"/>
      <c r="K768" s="17"/>
      <c r="L768" s="17"/>
      <c r="M768" s="28"/>
      <c r="N768" s="28"/>
      <c r="O768" s="3"/>
      <c r="P768" s="3"/>
      <c r="Q768" s="3"/>
      <c r="R768" s="17"/>
      <c r="S768" s="17"/>
      <c r="T768" s="17"/>
      <c r="U768" s="17"/>
      <c r="V768" s="17"/>
    </row>
    <row r="769" spans="3:22" ht="14.25" customHeight="1">
      <c r="C769" s="28"/>
      <c r="D769" s="29"/>
      <c r="E769" s="28"/>
      <c r="F769" s="3"/>
      <c r="G769" s="3"/>
      <c r="H769" s="3"/>
      <c r="I769" s="25"/>
      <c r="J769" s="25"/>
      <c r="K769" s="17"/>
      <c r="L769" s="17"/>
      <c r="M769" s="28"/>
      <c r="N769" s="28"/>
      <c r="O769" s="3"/>
      <c r="P769" s="3"/>
      <c r="Q769" s="3"/>
      <c r="R769" s="17"/>
      <c r="S769" s="17"/>
      <c r="T769" s="17"/>
      <c r="U769" s="17"/>
      <c r="V769" s="17"/>
    </row>
    <row r="770" spans="3:22" ht="14.25" customHeight="1">
      <c r="C770" s="28"/>
      <c r="D770" s="29"/>
      <c r="E770" s="28"/>
      <c r="F770" s="3"/>
      <c r="G770" s="3"/>
      <c r="H770" s="3"/>
      <c r="I770" s="25"/>
      <c r="J770" s="25"/>
      <c r="K770" s="17"/>
      <c r="L770" s="17"/>
      <c r="M770" s="28"/>
      <c r="N770" s="28"/>
      <c r="O770" s="3"/>
      <c r="P770" s="3"/>
      <c r="Q770" s="3"/>
      <c r="R770" s="17"/>
      <c r="S770" s="17"/>
      <c r="T770" s="17"/>
      <c r="U770" s="17"/>
      <c r="V770" s="17"/>
    </row>
    <row r="771" spans="3:22" ht="14.25" customHeight="1">
      <c r="C771" s="28"/>
      <c r="D771" s="29"/>
      <c r="E771" s="28"/>
      <c r="F771" s="3"/>
      <c r="G771" s="3"/>
      <c r="H771" s="3"/>
      <c r="I771" s="25"/>
      <c r="J771" s="25"/>
      <c r="K771" s="17"/>
      <c r="L771" s="17"/>
      <c r="M771" s="28"/>
      <c r="N771" s="28"/>
      <c r="O771" s="3"/>
      <c r="P771" s="3"/>
      <c r="Q771" s="3"/>
      <c r="R771" s="17"/>
      <c r="S771" s="17"/>
      <c r="T771" s="17"/>
      <c r="U771" s="17"/>
      <c r="V771" s="17"/>
    </row>
    <row r="772" spans="3:22" ht="14.25" customHeight="1">
      <c r="C772" s="28"/>
      <c r="D772" s="29"/>
      <c r="E772" s="28"/>
      <c r="F772" s="3"/>
      <c r="G772" s="3"/>
      <c r="H772" s="3"/>
      <c r="I772" s="25"/>
      <c r="J772" s="25"/>
      <c r="K772" s="17"/>
      <c r="L772" s="17"/>
      <c r="M772" s="28"/>
      <c r="N772" s="28"/>
      <c r="O772" s="3"/>
      <c r="P772" s="3"/>
      <c r="Q772" s="3"/>
      <c r="R772" s="17"/>
      <c r="S772" s="17"/>
      <c r="T772" s="17"/>
      <c r="U772" s="17"/>
      <c r="V772" s="17"/>
    </row>
    <row r="773" spans="3:22" ht="14.25" customHeight="1">
      <c r="C773" s="28"/>
      <c r="D773" s="29"/>
      <c r="E773" s="28"/>
      <c r="F773" s="3"/>
      <c r="G773" s="3"/>
      <c r="H773" s="3"/>
      <c r="I773" s="25"/>
      <c r="J773" s="25"/>
      <c r="K773" s="17"/>
      <c r="L773" s="17"/>
      <c r="M773" s="28"/>
      <c r="N773" s="28"/>
      <c r="O773" s="3"/>
      <c r="P773" s="3"/>
      <c r="Q773" s="3"/>
      <c r="R773" s="17"/>
      <c r="S773" s="17"/>
      <c r="T773" s="17"/>
      <c r="U773" s="17"/>
      <c r="V773" s="17"/>
    </row>
    <row r="774" spans="3:22" ht="14.25" customHeight="1">
      <c r="C774" s="28"/>
      <c r="D774" s="29"/>
      <c r="E774" s="28"/>
      <c r="F774" s="3"/>
      <c r="G774" s="3"/>
      <c r="H774" s="3"/>
      <c r="I774" s="25"/>
      <c r="J774" s="25"/>
      <c r="K774" s="17"/>
      <c r="L774" s="17"/>
      <c r="M774" s="28"/>
      <c r="N774" s="28"/>
      <c r="O774" s="3"/>
      <c r="P774" s="3"/>
      <c r="Q774" s="3"/>
      <c r="R774" s="17"/>
      <c r="S774" s="17"/>
      <c r="T774" s="17"/>
      <c r="U774" s="17"/>
      <c r="V774" s="17"/>
    </row>
    <row r="775" spans="3:22" ht="14.25" customHeight="1">
      <c r="C775" s="28"/>
      <c r="D775" s="29"/>
      <c r="E775" s="28"/>
      <c r="F775" s="3"/>
      <c r="G775" s="3"/>
      <c r="H775" s="3"/>
      <c r="I775" s="25"/>
      <c r="J775" s="25"/>
      <c r="K775" s="17"/>
      <c r="L775" s="17"/>
      <c r="M775" s="28"/>
      <c r="N775" s="28"/>
      <c r="O775" s="3"/>
      <c r="P775" s="3"/>
      <c r="Q775" s="3"/>
      <c r="R775" s="17"/>
      <c r="S775" s="17"/>
      <c r="T775" s="17"/>
      <c r="U775" s="17"/>
      <c r="V775" s="17"/>
    </row>
    <row r="776" spans="3:22" ht="14.25" customHeight="1">
      <c r="C776" s="28"/>
      <c r="D776" s="29"/>
      <c r="E776" s="28"/>
      <c r="F776" s="3"/>
      <c r="G776" s="3"/>
      <c r="H776" s="3"/>
      <c r="I776" s="25"/>
      <c r="J776" s="25"/>
      <c r="K776" s="17"/>
      <c r="L776" s="17"/>
      <c r="M776" s="28"/>
      <c r="N776" s="28"/>
      <c r="O776" s="3"/>
      <c r="P776" s="3"/>
      <c r="Q776" s="3"/>
      <c r="R776" s="17"/>
      <c r="S776" s="17"/>
      <c r="T776" s="17"/>
      <c r="U776" s="17"/>
      <c r="V776" s="17"/>
    </row>
    <row r="777" spans="3:22" ht="14.25" customHeight="1">
      <c r="C777" s="28"/>
      <c r="D777" s="29"/>
      <c r="E777" s="28"/>
      <c r="F777" s="3"/>
      <c r="G777" s="3"/>
      <c r="H777" s="3"/>
      <c r="I777" s="25"/>
      <c r="J777" s="25"/>
      <c r="K777" s="17"/>
      <c r="L777" s="17"/>
      <c r="M777" s="28"/>
      <c r="N777" s="28"/>
      <c r="O777" s="3"/>
      <c r="P777" s="3"/>
      <c r="Q777" s="3"/>
      <c r="R777" s="17"/>
      <c r="S777" s="17"/>
      <c r="T777" s="17"/>
      <c r="U777" s="17"/>
      <c r="V777" s="17"/>
    </row>
    <row r="778" spans="3:22" ht="14.25" customHeight="1">
      <c r="C778" s="28"/>
      <c r="D778" s="29"/>
      <c r="E778" s="28"/>
      <c r="F778" s="3"/>
      <c r="G778" s="3"/>
      <c r="H778" s="3"/>
      <c r="I778" s="25"/>
      <c r="J778" s="25"/>
      <c r="K778" s="17"/>
      <c r="L778" s="17"/>
      <c r="M778" s="28"/>
      <c r="N778" s="28"/>
      <c r="O778" s="3"/>
      <c r="P778" s="3"/>
      <c r="Q778" s="3"/>
      <c r="R778" s="17"/>
      <c r="S778" s="17"/>
      <c r="T778" s="17"/>
      <c r="U778" s="17"/>
      <c r="V778" s="17"/>
    </row>
    <row r="779" spans="3:22" ht="14.25" customHeight="1">
      <c r="C779" s="28"/>
      <c r="D779" s="29"/>
      <c r="E779" s="28"/>
      <c r="F779" s="3"/>
      <c r="G779" s="3"/>
      <c r="H779" s="3"/>
      <c r="I779" s="25"/>
      <c r="J779" s="25"/>
      <c r="K779" s="17"/>
      <c r="L779" s="17"/>
      <c r="M779" s="28"/>
      <c r="N779" s="28"/>
      <c r="O779" s="3"/>
      <c r="P779" s="3"/>
      <c r="Q779" s="3"/>
      <c r="R779" s="17"/>
      <c r="S779" s="17"/>
      <c r="T779" s="17"/>
      <c r="U779" s="17"/>
      <c r="V779" s="17"/>
    </row>
    <row r="780" spans="3:22" ht="14.25" customHeight="1">
      <c r="C780" s="28"/>
      <c r="D780" s="29"/>
      <c r="E780" s="28"/>
      <c r="F780" s="3"/>
      <c r="G780" s="3"/>
      <c r="H780" s="3"/>
      <c r="I780" s="25"/>
      <c r="J780" s="25"/>
      <c r="K780" s="17"/>
      <c r="L780" s="17"/>
      <c r="M780" s="28"/>
      <c r="N780" s="28"/>
      <c r="O780" s="3"/>
      <c r="P780" s="3"/>
      <c r="Q780" s="3"/>
      <c r="R780" s="17"/>
      <c r="S780" s="17"/>
      <c r="T780" s="17"/>
      <c r="U780" s="17"/>
      <c r="V780" s="17"/>
    </row>
    <row r="781" spans="3:22" ht="14.25" customHeight="1">
      <c r="C781" s="28"/>
      <c r="D781" s="29"/>
      <c r="E781" s="28"/>
      <c r="F781" s="3"/>
      <c r="G781" s="3"/>
      <c r="H781" s="3"/>
      <c r="I781" s="25"/>
      <c r="J781" s="25"/>
      <c r="K781" s="17"/>
      <c r="L781" s="17"/>
      <c r="M781" s="28"/>
      <c r="N781" s="28"/>
      <c r="O781" s="3"/>
      <c r="P781" s="3"/>
      <c r="Q781" s="3"/>
      <c r="R781" s="17"/>
      <c r="S781" s="17"/>
      <c r="T781" s="17"/>
      <c r="U781" s="17"/>
      <c r="V781" s="17"/>
    </row>
    <row r="782" spans="3:22" ht="14.25" customHeight="1">
      <c r="C782" s="28"/>
      <c r="D782" s="29"/>
      <c r="E782" s="28"/>
      <c r="F782" s="3"/>
      <c r="G782" s="3"/>
      <c r="H782" s="3"/>
      <c r="I782" s="25"/>
      <c r="J782" s="25"/>
      <c r="K782" s="17"/>
      <c r="L782" s="17"/>
      <c r="M782" s="28"/>
      <c r="N782" s="28"/>
      <c r="O782" s="3"/>
      <c r="P782" s="3"/>
      <c r="Q782" s="3"/>
      <c r="R782" s="17"/>
      <c r="S782" s="17"/>
      <c r="T782" s="17"/>
      <c r="U782" s="17"/>
      <c r="V782" s="17"/>
    </row>
    <row r="783" spans="3:22" ht="14.25" customHeight="1">
      <c r="C783" s="28"/>
      <c r="D783" s="29"/>
      <c r="E783" s="28"/>
      <c r="F783" s="3"/>
      <c r="G783" s="3"/>
      <c r="H783" s="3"/>
      <c r="I783" s="25"/>
      <c r="J783" s="25"/>
      <c r="K783" s="17"/>
      <c r="L783" s="17"/>
      <c r="M783" s="28"/>
      <c r="N783" s="28"/>
      <c r="O783" s="3"/>
      <c r="P783" s="3"/>
      <c r="Q783" s="3"/>
      <c r="R783" s="17"/>
      <c r="S783" s="17"/>
      <c r="T783" s="17"/>
      <c r="U783" s="17"/>
      <c r="V783" s="17"/>
    </row>
    <row r="784" spans="3:22" ht="14.25" customHeight="1">
      <c r="C784" s="28"/>
      <c r="D784" s="29"/>
      <c r="E784" s="28"/>
      <c r="F784" s="3"/>
      <c r="G784" s="3"/>
      <c r="H784" s="3"/>
      <c r="I784" s="25"/>
      <c r="J784" s="25"/>
      <c r="K784" s="17"/>
      <c r="L784" s="17"/>
      <c r="M784" s="28"/>
      <c r="N784" s="28"/>
      <c r="O784" s="3"/>
      <c r="P784" s="3"/>
      <c r="Q784" s="3"/>
      <c r="R784" s="17"/>
      <c r="S784" s="17"/>
      <c r="T784" s="17"/>
      <c r="U784" s="17"/>
      <c r="V784" s="17"/>
    </row>
    <row r="785" spans="3:22" ht="14.25" customHeight="1">
      <c r="C785" s="28"/>
      <c r="D785" s="29"/>
      <c r="E785" s="28"/>
      <c r="F785" s="3"/>
      <c r="G785" s="3"/>
      <c r="H785" s="3"/>
      <c r="I785" s="25"/>
      <c r="J785" s="25"/>
      <c r="K785" s="17"/>
      <c r="L785" s="17"/>
      <c r="M785" s="28"/>
      <c r="N785" s="28"/>
      <c r="O785" s="3"/>
      <c r="P785" s="3"/>
      <c r="Q785" s="3"/>
      <c r="R785" s="17"/>
      <c r="S785" s="17"/>
      <c r="T785" s="17"/>
      <c r="U785" s="17"/>
      <c r="V785" s="17"/>
    </row>
    <row r="786" spans="3:22" ht="14.25" customHeight="1">
      <c r="C786" s="28"/>
      <c r="D786" s="29"/>
      <c r="E786" s="28"/>
      <c r="F786" s="3"/>
      <c r="G786" s="3"/>
      <c r="H786" s="3"/>
      <c r="I786" s="25"/>
      <c r="J786" s="25"/>
      <c r="K786" s="17"/>
      <c r="L786" s="17"/>
      <c r="M786" s="28"/>
      <c r="N786" s="28"/>
      <c r="O786" s="3"/>
      <c r="P786" s="3"/>
      <c r="Q786" s="3"/>
      <c r="R786" s="17"/>
      <c r="S786" s="17"/>
      <c r="T786" s="17"/>
      <c r="U786" s="17"/>
      <c r="V786" s="17"/>
    </row>
    <row r="787" spans="3:22" ht="14.25" customHeight="1">
      <c r="C787" s="28"/>
      <c r="D787" s="29"/>
      <c r="E787" s="28"/>
      <c r="F787" s="3"/>
      <c r="G787" s="3"/>
      <c r="H787" s="3"/>
      <c r="I787" s="25"/>
      <c r="J787" s="25"/>
      <c r="K787" s="17"/>
      <c r="L787" s="17"/>
      <c r="M787" s="28"/>
      <c r="N787" s="28"/>
      <c r="O787" s="3"/>
      <c r="P787" s="3"/>
      <c r="Q787" s="3"/>
      <c r="R787" s="17"/>
      <c r="S787" s="17"/>
      <c r="T787" s="17"/>
      <c r="U787" s="17"/>
      <c r="V787" s="17"/>
    </row>
    <row r="788" spans="3:22" ht="14.25" customHeight="1">
      <c r="C788" s="28"/>
      <c r="D788" s="29"/>
      <c r="E788" s="28"/>
      <c r="F788" s="3"/>
      <c r="G788" s="3"/>
      <c r="H788" s="3"/>
      <c r="I788" s="25"/>
      <c r="J788" s="25"/>
      <c r="K788" s="17"/>
      <c r="L788" s="17"/>
      <c r="M788" s="28"/>
      <c r="N788" s="28"/>
      <c r="O788" s="3"/>
      <c r="P788" s="3"/>
      <c r="Q788" s="3"/>
      <c r="R788" s="17"/>
      <c r="S788" s="17"/>
      <c r="T788" s="17"/>
      <c r="U788" s="17"/>
      <c r="V788" s="17"/>
    </row>
    <row r="789" spans="3:22" ht="14.25" customHeight="1">
      <c r="C789" s="28"/>
      <c r="D789" s="29"/>
      <c r="E789" s="28"/>
      <c r="F789" s="3"/>
      <c r="G789" s="3"/>
      <c r="H789" s="3"/>
      <c r="I789" s="25"/>
      <c r="J789" s="25"/>
      <c r="K789" s="17"/>
      <c r="L789" s="17"/>
      <c r="M789" s="28"/>
      <c r="N789" s="28"/>
      <c r="O789" s="3"/>
      <c r="P789" s="3"/>
      <c r="Q789" s="3"/>
      <c r="R789" s="17"/>
      <c r="S789" s="17"/>
      <c r="T789" s="17"/>
      <c r="U789" s="17"/>
      <c r="V789" s="17"/>
    </row>
    <row r="790" spans="3:22" ht="14.25" customHeight="1">
      <c r="C790" s="28"/>
      <c r="D790" s="29"/>
      <c r="E790" s="28"/>
      <c r="F790" s="3"/>
      <c r="G790" s="3"/>
      <c r="H790" s="3"/>
      <c r="I790" s="25"/>
      <c r="J790" s="25"/>
      <c r="K790" s="17"/>
      <c r="L790" s="17"/>
      <c r="M790" s="28"/>
      <c r="N790" s="28"/>
      <c r="O790" s="3"/>
      <c r="P790" s="3"/>
      <c r="Q790" s="3"/>
      <c r="R790" s="17"/>
      <c r="S790" s="17"/>
      <c r="T790" s="17"/>
      <c r="U790" s="17"/>
      <c r="V790" s="17"/>
    </row>
    <row r="791" spans="3:22" ht="14.25" customHeight="1">
      <c r="C791" s="28"/>
      <c r="D791" s="29"/>
      <c r="E791" s="28"/>
      <c r="F791" s="3"/>
      <c r="G791" s="3"/>
      <c r="H791" s="3"/>
      <c r="I791" s="25"/>
      <c r="J791" s="25"/>
      <c r="K791" s="17"/>
      <c r="L791" s="17"/>
      <c r="M791" s="28"/>
      <c r="N791" s="28"/>
      <c r="O791" s="3"/>
      <c r="P791" s="3"/>
      <c r="Q791" s="3"/>
      <c r="R791" s="17"/>
      <c r="S791" s="17"/>
      <c r="T791" s="17"/>
      <c r="U791" s="17"/>
      <c r="V791" s="17"/>
    </row>
    <row r="792" spans="3:22" ht="14.25" customHeight="1">
      <c r="C792" s="28"/>
      <c r="D792" s="29"/>
      <c r="E792" s="28"/>
      <c r="F792" s="3"/>
      <c r="G792" s="3"/>
      <c r="H792" s="3"/>
      <c r="I792" s="25"/>
      <c r="J792" s="25"/>
      <c r="K792" s="17"/>
      <c r="L792" s="17"/>
      <c r="M792" s="28"/>
      <c r="N792" s="28"/>
      <c r="O792" s="3"/>
      <c r="P792" s="3"/>
      <c r="Q792" s="3"/>
      <c r="R792" s="17"/>
      <c r="S792" s="17"/>
      <c r="T792" s="17"/>
      <c r="U792" s="17"/>
      <c r="V792" s="17"/>
    </row>
    <row r="793" spans="3:22" ht="14.25" customHeight="1">
      <c r="C793" s="28"/>
      <c r="D793" s="29"/>
      <c r="E793" s="28"/>
      <c r="F793" s="3"/>
      <c r="G793" s="3"/>
      <c r="H793" s="3"/>
      <c r="I793" s="25"/>
      <c r="J793" s="25"/>
      <c r="K793" s="17"/>
      <c r="L793" s="17"/>
      <c r="M793" s="28"/>
      <c r="N793" s="28"/>
      <c r="O793" s="3"/>
      <c r="P793" s="3"/>
      <c r="Q793" s="3"/>
      <c r="R793" s="17"/>
      <c r="S793" s="17"/>
      <c r="T793" s="17"/>
      <c r="U793" s="17"/>
      <c r="V793" s="17"/>
    </row>
    <row r="794" spans="3:22" ht="14.25" customHeight="1">
      <c r="C794" s="28"/>
      <c r="D794" s="29"/>
      <c r="E794" s="28"/>
      <c r="F794" s="3"/>
      <c r="G794" s="3"/>
      <c r="H794" s="3"/>
      <c r="I794" s="25"/>
      <c r="J794" s="25"/>
      <c r="K794" s="17"/>
      <c r="L794" s="17"/>
      <c r="M794" s="28"/>
      <c r="N794" s="28"/>
      <c r="O794" s="3"/>
      <c r="P794" s="3"/>
      <c r="Q794" s="3"/>
      <c r="R794" s="17"/>
      <c r="S794" s="17"/>
      <c r="T794" s="17"/>
      <c r="U794" s="17"/>
      <c r="V794" s="17"/>
    </row>
    <row r="795" spans="3:22" ht="14.25" customHeight="1">
      <c r="C795" s="28"/>
      <c r="D795" s="29"/>
      <c r="E795" s="28"/>
      <c r="F795" s="3"/>
      <c r="G795" s="3"/>
      <c r="H795" s="3"/>
      <c r="I795" s="25"/>
      <c r="J795" s="25"/>
      <c r="K795" s="17"/>
      <c r="L795" s="17"/>
      <c r="M795" s="28"/>
      <c r="N795" s="28"/>
      <c r="O795" s="3"/>
      <c r="P795" s="3"/>
      <c r="Q795" s="3"/>
      <c r="R795" s="17"/>
      <c r="S795" s="17"/>
      <c r="T795" s="17"/>
      <c r="U795" s="17"/>
      <c r="V795" s="17"/>
    </row>
    <row r="796" spans="3:22" ht="14.25" customHeight="1">
      <c r="C796" s="28"/>
      <c r="D796" s="29"/>
      <c r="E796" s="28"/>
      <c r="F796" s="3"/>
      <c r="G796" s="3"/>
      <c r="H796" s="3"/>
      <c r="I796" s="25"/>
      <c r="J796" s="25"/>
      <c r="K796" s="17"/>
      <c r="L796" s="17"/>
      <c r="M796" s="28"/>
      <c r="N796" s="28"/>
      <c r="O796" s="3"/>
      <c r="P796" s="3"/>
      <c r="Q796" s="3"/>
      <c r="R796" s="17"/>
      <c r="S796" s="17"/>
      <c r="T796" s="17"/>
      <c r="U796" s="17"/>
      <c r="V796" s="17"/>
    </row>
    <row r="797" spans="3:22" ht="14.25" customHeight="1">
      <c r="C797" s="28"/>
      <c r="D797" s="29"/>
      <c r="E797" s="28"/>
      <c r="F797" s="3"/>
      <c r="G797" s="3"/>
      <c r="H797" s="3"/>
      <c r="I797" s="25"/>
      <c r="J797" s="25"/>
      <c r="K797" s="17"/>
      <c r="L797" s="17"/>
      <c r="M797" s="28"/>
      <c r="N797" s="28"/>
      <c r="O797" s="3"/>
      <c r="P797" s="3"/>
      <c r="Q797" s="3"/>
      <c r="R797" s="17"/>
      <c r="S797" s="17"/>
      <c r="T797" s="17"/>
      <c r="U797" s="17"/>
      <c r="V797" s="17"/>
    </row>
    <row r="798" spans="3:22" ht="14.25" customHeight="1">
      <c r="C798" s="28"/>
      <c r="D798" s="29"/>
      <c r="E798" s="28"/>
      <c r="F798" s="3"/>
      <c r="G798" s="3"/>
      <c r="H798" s="3"/>
      <c r="I798" s="25"/>
      <c r="J798" s="25"/>
      <c r="K798" s="17"/>
      <c r="L798" s="17"/>
      <c r="M798" s="28"/>
      <c r="N798" s="28"/>
      <c r="O798" s="3"/>
      <c r="P798" s="3"/>
      <c r="Q798" s="3"/>
      <c r="R798" s="17"/>
      <c r="S798" s="17"/>
      <c r="T798" s="17"/>
      <c r="U798" s="17"/>
      <c r="V798" s="17"/>
    </row>
    <row r="799" spans="3:22" ht="14.25" customHeight="1">
      <c r="C799" s="28"/>
      <c r="D799" s="29"/>
      <c r="E799" s="28"/>
      <c r="F799" s="3"/>
      <c r="G799" s="3"/>
      <c r="H799" s="3"/>
      <c r="I799" s="25"/>
      <c r="J799" s="25"/>
      <c r="K799" s="17"/>
      <c r="L799" s="17"/>
      <c r="M799" s="28"/>
      <c r="N799" s="28"/>
      <c r="O799" s="3"/>
      <c r="P799" s="3"/>
      <c r="Q799" s="3"/>
      <c r="R799" s="17"/>
      <c r="S799" s="17"/>
      <c r="T799" s="17"/>
      <c r="U799" s="17"/>
      <c r="V799" s="17"/>
    </row>
    <row r="800" spans="3:22" ht="14.25" customHeight="1">
      <c r="C800" s="28"/>
      <c r="D800" s="29"/>
      <c r="E800" s="28"/>
      <c r="F800" s="3"/>
      <c r="G800" s="3"/>
      <c r="H800" s="3"/>
      <c r="I800" s="25"/>
      <c r="J800" s="25"/>
      <c r="K800" s="17"/>
      <c r="L800" s="17"/>
      <c r="M800" s="28"/>
      <c r="N800" s="28"/>
      <c r="O800" s="3"/>
      <c r="P800" s="3"/>
      <c r="Q800" s="3"/>
      <c r="R800" s="17"/>
      <c r="S800" s="17"/>
      <c r="T800" s="17"/>
      <c r="U800" s="17"/>
      <c r="V800" s="17"/>
    </row>
    <row r="801" spans="3:22" ht="14.25" customHeight="1">
      <c r="C801" s="28"/>
      <c r="D801" s="29"/>
      <c r="E801" s="28"/>
      <c r="F801" s="3"/>
      <c r="G801" s="3"/>
      <c r="H801" s="3"/>
      <c r="I801" s="25"/>
      <c r="J801" s="25"/>
      <c r="K801" s="17"/>
      <c r="L801" s="17"/>
      <c r="M801" s="28"/>
      <c r="N801" s="28"/>
      <c r="O801" s="3"/>
      <c r="P801" s="3"/>
      <c r="Q801" s="3"/>
      <c r="R801" s="17"/>
      <c r="S801" s="17"/>
      <c r="T801" s="17"/>
      <c r="U801" s="17"/>
      <c r="V801" s="17"/>
    </row>
    <row r="802" spans="3:22" ht="14.25" customHeight="1">
      <c r="C802" s="28"/>
      <c r="D802" s="29"/>
      <c r="E802" s="28"/>
      <c r="F802" s="3"/>
      <c r="G802" s="3"/>
      <c r="H802" s="3"/>
      <c r="I802" s="25"/>
      <c r="J802" s="25"/>
      <c r="K802" s="17"/>
      <c r="L802" s="17"/>
      <c r="M802" s="28"/>
      <c r="N802" s="28"/>
      <c r="O802" s="3"/>
      <c r="P802" s="3"/>
      <c r="Q802" s="3"/>
      <c r="R802" s="17"/>
      <c r="S802" s="17"/>
      <c r="T802" s="17"/>
      <c r="U802" s="17"/>
      <c r="V802" s="17"/>
    </row>
    <row r="803" spans="3:22" ht="14.25" customHeight="1">
      <c r="C803" s="28"/>
      <c r="D803" s="29"/>
      <c r="E803" s="28"/>
      <c r="F803" s="3"/>
      <c r="G803" s="3"/>
      <c r="H803" s="3"/>
      <c r="I803" s="25"/>
      <c r="J803" s="25"/>
      <c r="K803" s="17"/>
      <c r="L803" s="17"/>
      <c r="M803" s="28"/>
      <c r="N803" s="28"/>
      <c r="O803" s="3"/>
      <c r="P803" s="3"/>
      <c r="Q803" s="3"/>
      <c r="R803" s="17"/>
      <c r="S803" s="17"/>
      <c r="T803" s="17"/>
      <c r="U803" s="17"/>
      <c r="V803" s="17"/>
    </row>
    <row r="804" spans="3:22" ht="14.25" customHeight="1">
      <c r="C804" s="28"/>
      <c r="D804" s="29"/>
      <c r="E804" s="28"/>
      <c r="F804" s="3"/>
      <c r="G804" s="3"/>
      <c r="H804" s="3"/>
      <c r="I804" s="25"/>
      <c r="J804" s="25"/>
      <c r="K804" s="17"/>
      <c r="L804" s="17"/>
      <c r="M804" s="28"/>
      <c r="N804" s="28"/>
      <c r="O804" s="3"/>
      <c r="P804" s="3"/>
      <c r="Q804" s="3"/>
      <c r="R804" s="17"/>
      <c r="S804" s="17"/>
      <c r="T804" s="17"/>
      <c r="U804" s="17"/>
      <c r="V804" s="17"/>
    </row>
    <row r="805" spans="3:22" ht="14.25" customHeight="1">
      <c r="C805" s="28"/>
      <c r="D805" s="29"/>
      <c r="E805" s="28"/>
      <c r="F805" s="3"/>
      <c r="G805" s="3"/>
      <c r="H805" s="3"/>
      <c r="I805" s="25"/>
      <c r="J805" s="25"/>
      <c r="K805" s="17"/>
      <c r="L805" s="17"/>
      <c r="M805" s="28"/>
      <c r="N805" s="28"/>
      <c r="O805" s="3"/>
      <c r="P805" s="3"/>
      <c r="Q805" s="3"/>
      <c r="R805" s="17"/>
      <c r="S805" s="17"/>
      <c r="T805" s="17"/>
      <c r="U805" s="17"/>
      <c r="V805" s="17"/>
    </row>
    <row r="806" spans="3:22" ht="14.25" customHeight="1">
      <c r="C806" s="28"/>
      <c r="D806" s="29"/>
      <c r="E806" s="28"/>
      <c r="F806" s="3"/>
      <c r="G806" s="3"/>
      <c r="H806" s="3"/>
      <c r="I806" s="25"/>
      <c r="J806" s="25"/>
      <c r="K806" s="17"/>
      <c r="L806" s="17"/>
      <c r="M806" s="28"/>
      <c r="N806" s="28"/>
      <c r="O806" s="3"/>
      <c r="P806" s="3"/>
      <c r="Q806" s="3"/>
      <c r="R806" s="17"/>
      <c r="S806" s="17"/>
      <c r="T806" s="17"/>
      <c r="U806" s="17"/>
      <c r="V806" s="17"/>
    </row>
    <row r="807" spans="3:22" ht="14.25" customHeight="1">
      <c r="C807" s="28"/>
      <c r="D807" s="29"/>
      <c r="E807" s="28"/>
      <c r="F807" s="3"/>
      <c r="G807" s="3"/>
      <c r="H807" s="3"/>
      <c r="I807" s="25"/>
      <c r="J807" s="25"/>
      <c r="K807" s="17"/>
      <c r="L807" s="17"/>
      <c r="M807" s="28"/>
      <c r="N807" s="28"/>
      <c r="O807" s="3"/>
      <c r="P807" s="3"/>
      <c r="Q807" s="3"/>
      <c r="R807" s="17"/>
      <c r="S807" s="17"/>
      <c r="T807" s="17"/>
      <c r="U807" s="17"/>
      <c r="V807" s="17"/>
    </row>
    <row r="808" spans="3:22" ht="14.25" customHeight="1">
      <c r="C808" s="28"/>
      <c r="D808" s="29"/>
      <c r="E808" s="28"/>
      <c r="F808" s="3"/>
      <c r="G808" s="3"/>
      <c r="H808" s="3"/>
      <c r="I808" s="25"/>
      <c r="J808" s="25"/>
      <c r="K808" s="17"/>
      <c r="L808" s="17"/>
      <c r="M808" s="28"/>
      <c r="N808" s="28"/>
      <c r="O808" s="3"/>
      <c r="P808" s="3"/>
      <c r="Q808" s="3"/>
      <c r="R808" s="17"/>
      <c r="S808" s="17"/>
      <c r="T808" s="17"/>
      <c r="U808" s="17"/>
      <c r="V808" s="17"/>
    </row>
    <row r="809" spans="3:22" ht="14.25" customHeight="1">
      <c r="C809" s="28"/>
      <c r="D809" s="29"/>
      <c r="E809" s="28"/>
      <c r="F809" s="3"/>
      <c r="G809" s="3"/>
      <c r="H809" s="3"/>
      <c r="I809" s="25"/>
      <c r="J809" s="25"/>
      <c r="K809" s="17"/>
      <c r="L809" s="17"/>
      <c r="M809" s="28"/>
      <c r="N809" s="28"/>
      <c r="O809" s="3"/>
      <c r="P809" s="3"/>
      <c r="Q809" s="3"/>
      <c r="R809" s="17"/>
      <c r="S809" s="17"/>
      <c r="T809" s="17"/>
      <c r="U809" s="17"/>
      <c r="V809" s="17"/>
    </row>
    <row r="810" spans="3:22" ht="14.25" customHeight="1">
      <c r="C810" s="28"/>
      <c r="D810" s="29"/>
      <c r="E810" s="28"/>
      <c r="F810" s="3"/>
      <c r="G810" s="3"/>
      <c r="H810" s="3"/>
      <c r="I810" s="25"/>
      <c r="J810" s="25"/>
      <c r="K810" s="17"/>
      <c r="L810" s="17"/>
      <c r="M810" s="28"/>
      <c r="N810" s="28"/>
      <c r="O810" s="3"/>
      <c r="P810" s="3"/>
      <c r="Q810" s="3"/>
      <c r="R810" s="17"/>
      <c r="S810" s="17"/>
      <c r="T810" s="17"/>
      <c r="U810" s="17"/>
      <c r="V810" s="17"/>
    </row>
    <row r="811" spans="3:22" ht="14.25" customHeight="1">
      <c r="C811" s="28"/>
      <c r="D811" s="29"/>
      <c r="E811" s="28"/>
      <c r="F811" s="3"/>
      <c r="G811" s="3"/>
      <c r="H811" s="3"/>
      <c r="I811" s="25"/>
      <c r="J811" s="25"/>
      <c r="K811" s="17"/>
      <c r="L811" s="17"/>
      <c r="M811" s="28"/>
      <c r="N811" s="28"/>
      <c r="O811" s="3"/>
      <c r="P811" s="3"/>
      <c r="Q811" s="3"/>
      <c r="R811" s="17"/>
      <c r="S811" s="17"/>
      <c r="T811" s="17"/>
      <c r="U811" s="17"/>
      <c r="V811" s="17"/>
    </row>
    <row r="812" spans="3:22" ht="14.25" customHeight="1">
      <c r="C812" s="28"/>
      <c r="D812" s="29"/>
      <c r="E812" s="28"/>
      <c r="F812" s="3"/>
      <c r="G812" s="3"/>
      <c r="H812" s="3"/>
      <c r="I812" s="25"/>
      <c r="J812" s="25"/>
      <c r="K812" s="17"/>
      <c r="L812" s="17"/>
      <c r="M812" s="28"/>
      <c r="N812" s="28"/>
      <c r="O812" s="3"/>
      <c r="P812" s="3"/>
      <c r="Q812" s="3"/>
      <c r="R812" s="17"/>
      <c r="S812" s="17"/>
      <c r="T812" s="17"/>
      <c r="U812" s="17"/>
      <c r="V812" s="17"/>
    </row>
    <row r="813" spans="3:22" ht="14.25" customHeight="1">
      <c r="C813" s="28"/>
      <c r="D813" s="29"/>
      <c r="E813" s="28"/>
      <c r="F813" s="3"/>
      <c r="G813" s="3"/>
      <c r="H813" s="3"/>
      <c r="I813" s="25"/>
      <c r="J813" s="25"/>
      <c r="K813" s="17"/>
      <c r="L813" s="17"/>
      <c r="M813" s="28"/>
      <c r="N813" s="28"/>
      <c r="O813" s="3"/>
      <c r="P813" s="3"/>
      <c r="Q813" s="3"/>
      <c r="R813" s="17"/>
      <c r="S813" s="17"/>
      <c r="T813" s="17"/>
      <c r="U813" s="17"/>
      <c r="V813" s="17"/>
    </row>
    <row r="814" spans="3:22" ht="14.25" customHeight="1">
      <c r="C814" s="28"/>
      <c r="D814" s="29"/>
      <c r="E814" s="28"/>
      <c r="F814" s="3"/>
      <c r="G814" s="3"/>
      <c r="H814" s="3"/>
      <c r="I814" s="25"/>
      <c r="J814" s="25"/>
      <c r="K814" s="17"/>
      <c r="L814" s="17"/>
      <c r="M814" s="28"/>
      <c r="N814" s="28"/>
      <c r="O814" s="3"/>
      <c r="P814" s="3"/>
      <c r="Q814" s="3"/>
      <c r="R814" s="17"/>
      <c r="S814" s="17"/>
      <c r="T814" s="17"/>
      <c r="U814" s="17"/>
      <c r="V814" s="17"/>
    </row>
    <row r="815" spans="3:22" ht="14.25" customHeight="1">
      <c r="C815" s="28"/>
      <c r="D815" s="29"/>
      <c r="E815" s="28"/>
      <c r="F815" s="3"/>
      <c r="G815" s="3"/>
      <c r="H815" s="3"/>
      <c r="I815" s="25"/>
      <c r="J815" s="25"/>
      <c r="K815" s="17"/>
      <c r="L815" s="17"/>
      <c r="M815" s="28"/>
      <c r="N815" s="28"/>
      <c r="O815" s="3"/>
      <c r="P815" s="3"/>
      <c r="Q815" s="3"/>
      <c r="R815" s="17"/>
      <c r="S815" s="17"/>
      <c r="T815" s="17"/>
      <c r="U815" s="17"/>
      <c r="V815" s="17"/>
    </row>
    <row r="816" spans="3:22" ht="14.25" customHeight="1">
      <c r="C816" s="28"/>
      <c r="D816" s="29"/>
      <c r="E816" s="28"/>
      <c r="F816" s="3"/>
      <c r="G816" s="3"/>
      <c r="H816" s="3"/>
      <c r="I816" s="25"/>
      <c r="J816" s="25"/>
      <c r="K816" s="17"/>
      <c r="L816" s="17"/>
      <c r="M816" s="28"/>
      <c r="N816" s="28"/>
      <c r="O816" s="3"/>
      <c r="P816" s="3"/>
      <c r="Q816" s="3"/>
      <c r="R816" s="17"/>
      <c r="S816" s="17"/>
      <c r="T816" s="17"/>
      <c r="U816" s="17"/>
      <c r="V816" s="17"/>
    </row>
    <row r="817" spans="3:22" ht="14.25" customHeight="1">
      <c r="C817" s="28"/>
      <c r="D817" s="29"/>
      <c r="E817" s="28"/>
      <c r="F817" s="3"/>
      <c r="G817" s="3"/>
      <c r="H817" s="3"/>
      <c r="I817" s="25"/>
      <c r="J817" s="25"/>
      <c r="K817" s="17"/>
      <c r="L817" s="17"/>
      <c r="M817" s="28"/>
      <c r="N817" s="28"/>
      <c r="O817" s="3"/>
      <c r="P817" s="3"/>
      <c r="Q817" s="3"/>
      <c r="R817" s="17"/>
      <c r="S817" s="17"/>
      <c r="T817" s="17"/>
      <c r="U817" s="17"/>
      <c r="V817" s="17"/>
    </row>
    <row r="818" spans="3:22" ht="14.25" customHeight="1">
      <c r="C818" s="28"/>
      <c r="D818" s="29"/>
      <c r="E818" s="28"/>
      <c r="F818" s="3"/>
      <c r="G818" s="3"/>
      <c r="H818" s="3"/>
      <c r="I818" s="25"/>
      <c r="J818" s="25"/>
      <c r="K818" s="17"/>
      <c r="L818" s="17"/>
      <c r="M818" s="28"/>
      <c r="N818" s="28"/>
      <c r="O818" s="3"/>
      <c r="P818" s="3"/>
      <c r="Q818" s="3"/>
      <c r="R818" s="17"/>
      <c r="S818" s="17"/>
      <c r="T818" s="17"/>
      <c r="U818" s="17"/>
      <c r="V818" s="17"/>
    </row>
    <row r="819" spans="3:22" ht="14.25" customHeight="1">
      <c r="C819" s="28"/>
      <c r="D819" s="29"/>
      <c r="E819" s="28"/>
      <c r="F819" s="3"/>
      <c r="G819" s="3"/>
      <c r="H819" s="3"/>
      <c r="I819" s="25"/>
      <c r="J819" s="25"/>
      <c r="K819" s="17"/>
      <c r="L819" s="17"/>
      <c r="M819" s="28"/>
      <c r="N819" s="28"/>
      <c r="O819" s="3"/>
      <c r="P819" s="3"/>
      <c r="Q819" s="3"/>
      <c r="R819" s="17"/>
      <c r="S819" s="17"/>
      <c r="T819" s="17"/>
      <c r="U819" s="17"/>
      <c r="V819" s="17"/>
    </row>
    <row r="820" spans="3:22" ht="14.25" customHeight="1">
      <c r="C820" s="28"/>
      <c r="D820" s="29"/>
      <c r="E820" s="28"/>
      <c r="F820" s="3"/>
      <c r="G820" s="3"/>
      <c r="H820" s="3"/>
      <c r="I820" s="25"/>
      <c r="J820" s="25"/>
      <c r="K820" s="17"/>
      <c r="L820" s="17"/>
      <c r="M820" s="28"/>
      <c r="N820" s="28"/>
      <c r="O820" s="3"/>
      <c r="P820" s="3"/>
      <c r="Q820" s="3"/>
      <c r="R820" s="17"/>
      <c r="S820" s="17"/>
      <c r="T820" s="17"/>
      <c r="U820" s="17"/>
      <c r="V820" s="17"/>
    </row>
    <row r="821" spans="3:22" ht="14.25" customHeight="1">
      <c r="C821" s="28"/>
      <c r="D821" s="29"/>
      <c r="E821" s="28"/>
      <c r="F821" s="3"/>
      <c r="G821" s="3"/>
      <c r="H821" s="3"/>
      <c r="I821" s="25"/>
      <c r="J821" s="25"/>
      <c r="K821" s="17"/>
      <c r="L821" s="17"/>
      <c r="M821" s="28"/>
      <c r="N821" s="28"/>
      <c r="O821" s="3"/>
      <c r="P821" s="3"/>
      <c r="Q821" s="3"/>
      <c r="R821" s="17"/>
      <c r="S821" s="17"/>
      <c r="T821" s="17"/>
      <c r="U821" s="17"/>
      <c r="V821" s="17"/>
    </row>
    <row r="822" spans="3:22" ht="14.25" customHeight="1">
      <c r="C822" s="28"/>
      <c r="D822" s="29"/>
      <c r="E822" s="28"/>
      <c r="F822" s="3"/>
      <c r="G822" s="3"/>
      <c r="H822" s="3"/>
      <c r="I822" s="25"/>
      <c r="J822" s="25"/>
      <c r="K822" s="17"/>
      <c r="L822" s="17"/>
      <c r="M822" s="28"/>
      <c r="N822" s="28"/>
      <c r="O822" s="3"/>
      <c r="P822" s="3"/>
      <c r="Q822" s="3"/>
      <c r="R822" s="17"/>
      <c r="S822" s="17"/>
      <c r="T822" s="17"/>
      <c r="U822" s="17"/>
      <c r="V822" s="17"/>
    </row>
    <row r="823" spans="3:22" ht="14.25" customHeight="1">
      <c r="C823" s="28"/>
      <c r="D823" s="29"/>
      <c r="E823" s="28"/>
      <c r="F823" s="3"/>
      <c r="G823" s="3"/>
      <c r="H823" s="3"/>
      <c r="I823" s="25"/>
      <c r="J823" s="25"/>
      <c r="K823" s="17"/>
      <c r="L823" s="17"/>
      <c r="M823" s="28"/>
      <c r="N823" s="28"/>
      <c r="O823" s="3"/>
      <c r="P823" s="3"/>
      <c r="Q823" s="3"/>
      <c r="R823" s="17"/>
      <c r="S823" s="17"/>
      <c r="T823" s="17"/>
      <c r="U823" s="17"/>
      <c r="V823" s="17"/>
    </row>
    <row r="824" spans="3:22" ht="14.25" customHeight="1">
      <c r="C824" s="28"/>
      <c r="D824" s="29"/>
      <c r="E824" s="28"/>
      <c r="F824" s="3"/>
      <c r="G824" s="3"/>
      <c r="H824" s="3"/>
      <c r="I824" s="25"/>
      <c r="J824" s="25"/>
      <c r="K824" s="17"/>
      <c r="L824" s="17"/>
      <c r="M824" s="28"/>
      <c r="N824" s="28"/>
      <c r="O824" s="3"/>
      <c r="P824" s="3"/>
      <c r="Q824" s="3"/>
      <c r="R824" s="17"/>
      <c r="S824" s="17"/>
      <c r="T824" s="17"/>
      <c r="U824" s="17"/>
      <c r="V824" s="17"/>
    </row>
    <row r="825" spans="3:22" ht="14.25" customHeight="1">
      <c r="C825" s="28"/>
      <c r="D825" s="29"/>
      <c r="E825" s="28"/>
      <c r="F825" s="3"/>
      <c r="G825" s="3"/>
      <c r="H825" s="3"/>
      <c r="I825" s="25"/>
      <c r="J825" s="25"/>
      <c r="K825" s="17"/>
      <c r="L825" s="17"/>
      <c r="M825" s="28"/>
      <c r="N825" s="28"/>
      <c r="O825" s="3"/>
      <c r="P825" s="3"/>
      <c r="Q825" s="3"/>
      <c r="R825" s="17"/>
      <c r="S825" s="17"/>
      <c r="T825" s="17"/>
      <c r="U825" s="17"/>
      <c r="V825" s="17"/>
    </row>
    <row r="826" spans="3:22" ht="14.25" customHeight="1">
      <c r="C826" s="28"/>
      <c r="D826" s="29"/>
      <c r="E826" s="28"/>
      <c r="F826" s="3"/>
      <c r="G826" s="3"/>
      <c r="H826" s="3"/>
      <c r="I826" s="25"/>
      <c r="J826" s="25"/>
      <c r="K826" s="17"/>
      <c r="L826" s="17"/>
      <c r="M826" s="28"/>
      <c r="N826" s="28"/>
      <c r="O826" s="3"/>
      <c r="P826" s="3"/>
      <c r="Q826" s="3"/>
      <c r="R826" s="17"/>
      <c r="S826" s="17"/>
      <c r="T826" s="17"/>
      <c r="U826" s="17"/>
      <c r="V826" s="17"/>
    </row>
    <row r="827" spans="3:22" ht="14.25" customHeight="1">
      <c r="C827" s="28"/>
      <c r="D827" s="29"/>
      <c r="E827" s="28"/>
      <c r="F827" s="3"/>
      <c r="G827" s="3"/>
      <c r="H827" s="3"/>
      <c r="I827" s="25"/>
      <c r="J827" s="25"/>
      <c r="K827" s="17"/>
      <c r="L827" s="17"/>
      <c r="M827" s="28"/>
      <c r="N827" s="28"/>
      <c r="O827" s="3"/>
      <c r="P827" s="3"/>
      <c r="Q827" s="3"/>
      <c r="R827" s="17"/>
      <c r="S827" s="17"/>
      <c r="T827" s="17"/>
      <c r="U827" s="17"/>
      <c r="V827" s="17"/>
    </row>
    <row r="828" spans="3:22" ht="14.25" customHeight="1">
      <c r="C828" s="28"/>
      <c r="D828" s="29"/>
      <c r="E828" s="28"/>
      <c r="F828" s="3"/>
      <c r="G828" s="3"/>
      <c r="H828" s="3"/>
      <c r="I828" s="25"/>
      <c r="J828" s="25"/>
      <c r="K828" s="17"/>
      <c r="L828" s="17"/>
      <c r="M828" s="28"/>
      <c r="N828" s="28"/>
      <c r="O828" s="3"/>
      <c r="P828" s="3"/>
      <c r="Q828" s="3"/>
      <c r="R828" s="17"/>
      <c r="S828" s="17"/>
      <c r="T828" s="17"/>
      <c r="U828" s="17"/>
      <c r="V828" s="17"/>
    </row>
    <row r="829" spans="3:22" ht="14.25" customHeight="1">
      <c r="C829" s="28"/>
      <c r="D829" s="29"/>
      <c r="E829" s="28"/>
      <c r="F829" s="3"/>
      <c r="G829" s="3"/>
      <c r="H829" s="3"/>
      <c r="I829" s="25"/>
      <c r="J829" s="25"/>
      <c r="K829" s="17"/>
      <c r="L829" s="17"/>
      <c r="M829" s="28"/>
      <c r="N829" s="28"/>
      <c r="O829" s="3"/>
      <c r="P829" s="3"/>
      <c r="Q829" s="3"/>
      <c r="R829" s="17"/>
      <c r="S829" s="17"/>
      <c r="T829" s="17"/>
      <c r="U829" s="17"/>
      <c r="V829" s="17"/>
    </row>
    <row r="830" spans="3:22" ht="14.25" customHeight="1">
      <c r="C830" s="28"/>
      <c r="D830" s="29"/>
      <c r="E830" s="28"/>
      <c r="F830" s="3"/>
      <c r="G830" s="3"/>
      <c r="H830" s="3"/>
      <c r="I830" s="25"/>
      <c r="J830" s="25"/>
      <c r="K830" s="17"/>
      <c r="L830" s="17"/>
      <c r="M830" s="28"/>
      <c r="N830" s="28"/>
      <c r="O830" s="3"/>
      <c r="P830" s="3"/>
      <c r="Q830" s="3"/>
      <c r="R830" s="17"/>
      <c r="S830" s="17"/>
      <c r="T830" s="17"/>
      <c r="U830" s="17"/>
      <c r="V830" s="17"/>
    </row>
    <row r="831" spans="3:22" ht="14.25" customHeight="1">
      <c r="C831" s="28"/>
      <c r="D831" s="29"/>
      <c r="E831" s="28"/>
      <c r="F831" s="3"/>
      <c r="G831" s="3"/>
      <c r="H831" s="3"/>
      <c r="I831" s="25"/>
      <c r="J831" s="25"/>
      <c r="K831" s="17"/>
      <c r="L831" s="17"/>
      <c r="M831" s="28"/>
      <c r="N831" s="28"/>
      <c r="O831" s="3"/>
      <c r="P831" s="3"/>
      <c r="Q831" s="3"/>
      <c r="R831" s="17"/>
      <c r="S831" s="17"/>
      <c r="T831" s="17"/>
      <c r="U831" s="17"/>
      <c r="V831" s="17"/>
    </row>
    <row r="832" spans="3:22" ht="14.25" customHeight="1">
      <c r="C832" s="28"/>
      <c r="D832" s="29"/>
      <c r="E832" s="28"/>
      <c r="F832" s="3"/>
      <c r="G832" s="3"/>
      <c r="H832" s="3"/>
      <c r="I832" s="25"/>
      <c r="J832" s="25"/>
      <c r="K832" s="17"/>
      <c r="L832" s="17"/>
      <c r="M832" s="28"/>
      <c r="N832" s="28"/>
      <c r="O832" s="3"/>
      <c r="P832" s="3"/>
      <c r="Q832" s="3"/>
      <c r="R832" s="17"/>
      <c r="S832" s="17"/>
      <c r="T832" s="17"/>
      <c r="U832" s="17"/>
      <c r="V832" s="17"/>
    </row>
    <row r="833" spans="3:22" ht="14.25" customHeight="1">
      <c r="C833" s="28"/>
      <c r="D833" s="29"/>
      <c r="E833" s="28"/>
      <c r="F833" s="3"/>
      <c r="G833" s="3"/>
      <c r="H833" s="3"/>
      <c r="I833" s="25"/>
      <c r="J833" s="25"/>
      <c r="K833" s="17"/>
      <c r="L833" s="17"/>
      <c r="M833" s="28"/>
      <c r="N833" s="28"/>
      <c r="O833" s="3"/>
      <c r="P833" s="3"/>
      <c r="Q833" s="3"/>
      <c r="R833" s="17"/>
      <c r="S833" s="17"/>
      <c r="T833" s="17"/>
      <c r="U833" s="17"/>
      <c r="V833" s="17"/>
    </row>
    <row r="834" spans="3:22" ht="14.25" customHeight="1">
      <c r="C834" s="28"/>
      <c r="D834" s="29"/>
      <c r="E834" s="28"/>
      <c r="F834" s="3"/>
      <c r="G834" s="3"/>
      <c r="H834" s="3"/>
      <c r="I834" s="25"/>
      <c r="J834" s="25"/>
      <c r="K834" s="17"/>
      <c r="L834" s="17"/>
      <c r="M834" s="28"/>
      <c r="N834" s="28"/>
      <c r="O834" s="3"/>
      <c r="P834" s="3"/>
      <c r="Q834" s="3"/>
      <c r="R834" s="17"/>
      <c r="S834" s="17"/>
      <c r="T834" s="17"/>
      <c r="U834" s="17"/>
      <c r="V834" s="17"/>
    </row>
    <row r="835" spans="3:22" ht="14.25" customHeight="1">
      <c r="C835" s="28"/>
      <c r="D835" s="29"/>
      <c r="E835" s="28"/>
      <c r="F835" s="3"/>
      <c r="G835" s="3"/>
      <c r="H835" s="3"/>
      <c r="I835" s="25"/>
      <c r="J835" s="25"/>
      <c r="K835" s="17"/>
      <c r="L835" s="17"/>
      <c r="M835" s="28"/>
      <c r="N835" s="28"/>
      <c r="O835" s="3"/>
      <c r="P835" s="3"/>
      <c r="Q835" s="3"/>
      <c r="R835" s="17"/>
      <c r="S835" s="17"/>
      <c r="T835" s="17"/>
      <c r="U835" s="17"/>
      <c r="V835" s="17"/>
    </row>
    <row r="836" spans="3:22" ht="14.25" customHeight="1">
      <c r="C836" s="28"/>
      <c r="D836" s="29"/>
      <c r="E836" s="28"/>
      <c r="F836" s="3"/>
      <c r="G836" s="3"/>
      <c r="H836" s="3"/>
      <c r="I836" s="25"/>
      <c r="J836" s="25"/>
      <c r="K836" s="17"/>
      <c r="L836" s="17"/>
      <c r="M836" s="28"/>
      <c r="N836" s="28"/>
      <c r="O836" s="3"/>
      <c r="P836" s="3"/>
      <c r="Q836" s="3"/>
      <c r="R836" s="17"/>
      <c r="S836" s="17"/>
      <c r="T836" s="17"/>
      <c r="U836" s="17"/>
      <c r="V836" s="17"/>
    </row>
    <row r="837" spans="3:22" ht="14.25" customHeight="1">
      <c r="C837" s="28"/>
      <c r="D837" s="29"/>
      <c r="E837" s="28"/>
      <c r="F837" s="3"/>
      <c r="G837" s="3"/>
      <c r="H837" s="3"/>
      <c r="I837" s="25"/>
      <c r="J837" s="25"/>
      <c r="K837" s="17"/>
      <c r="L837" s="17"/>
      <c r="M837" s="28"/>
      <c r="N837" s="28"/>
      <c r="O837" s="3"/>
      <c r="P837" s="3"/>
      <c r="Q837" s="3"/>
      <c r="R837" s="17"/>
      <c r="S837" s="17"/>
      <c r="T837" s="17"/>
      <c r="U837" s="17"/>
      <c r="V837" s="17"/>
    </row>
    <row r="838" spans="3:22" ht="14.25" customHeight="1">
      <c r="C838" s="28"/>
      <c r="D838" s="29"/>
      <c r="E838" s="28"/>
      <c r="F838" s="3"/>
      <c r="G838" s="3"/>
      <c r="H838" s="3"/>
      <c r="I838" s="25"/>
      <c r="J838" s="25"/>
      <c r="K838" s="17"/>
      <c r="L838" s="17"/>
      <c r="M838" s="28"/>
      <c r="N838" s="28"/>
      <c r="O838" s="3"/>
      <c r="P838" s="3"/>
      <c r="Q838" s="3"/>
      <c r="R838" s="17"/>
      <c r="S838" s="17"/>
      <c r="T838" s="17"/>
      <c r="U838" s="17"/>
      <c r="V838" s="17"/>
    </row>
    <row r="839" spans="3:22" ht="14.25" customHeight="1">
      <c r="C839" s="28"/>
      <c r="D839" s="29"/>
      <c r="E839" s="28"/>
      <c r="F839" s="3"/>
      <c r="G839" s="3"/>
      <c r="H839" s="3"/>
      <c r="I839" s="25"/>
      <c r="J839" s="25"/>
      <c r="K839" s="17"/>
      <c r="L839" s="17"/>
      <c r="M839" s="28"/>
      <c r="N839" s="28"/>
      <c r="O839" s="3"/>
      <c r="P839" s="3"/>
      <c r="Q839" s="3"/>
      <c r="R839" s="17"/>
      <c r="S839" s="17"/>
      <c r="T839" s="17"/>
      <c r="U839" s="17"/>
      <c r="V839" s="17"/>
    </row>
    <row r="840" spans="3:22" ht="14.25" customHeight="1">
      <c r="C840" s="28"/>
      <c r="D840" s="29"/>
      <c r="E840" s="28"/>
      <c r="F840" s="3"/>
      <c r="G840" s="3"/>
      <c r="H840" s="3"/>
      <c r="I840" s="25"/>
      <c r="J840" s="25"/>
      <c r="K840" s="17"/>
      <c r="L840" s="17"/>
      <c r="M840" s="28"/>
      <c r="N840" s="28"/>
      <c r="O840" s="3"/>
      <c r="P840" s="3"/>
      <c r="Q840" s="3"/>
      <c r="R840" s="17"/>
      <c r="S840" s="17"/>
      <c r="T840" s="17"/>
      <c r="U840" s="17"/>
      <c r="V840" s="17"/>
    </row>
    <row r="841" spans="3:22" ht="14.25" customHeight="1">
      <c r="C841" s="28"/>
      <c r="D841" s="29"/>
      <c r="E841" s="28"/>
      <c r="F841" s="3"/>
      <c r="G841" s="3"/>
      <c r="H841" s="3"/>
      <c r="I841" s="25"/>
      <c r="J841" s="25"/>
      <c r="K841" s="17"/>
      <c r="L841" s="17"/>
      <c r="M841" s="28"/>
      <c r="N841" s="28"/>
      <c r="O841" s="3"/>
      <c r="P841" s="3"/>
      <c r="Q841" s="3"/>
      <c r="R841" s="17"/>
      <c r="S841" s="17"/>
      <c r="T841" s="17"/>
      <c r="U841" s="17"/>
      <c r="V841" s="17"/>
    </row>
    <row r="842" spans="3:22" ht="14.25" customHeight="1">
      <c r="C842" s="28"/>
      <c r="D842" s="29"/>
      <c r="E842" s="28"/>
      <c r="F842" s="3"/>
      <c r="G842" s="3"/>
      <c r="H842" s="3"/>
      <c r="I842" s="25"/>
      <c r="J842" s="25"/>
      <c r="K842" s="17"/>
      <c r="L842" s="17"/>
      <c r="M842" s="28"/>
      <c r="N842" s="28"/>
      <c r="O842" s="3"/>
      <c r="P842" s="3"/>
      <c r="Q842" s="3"/>
      <c r="R842" s="17"/>
      <c r="S842" s="17"/>
      <c r="T842" s="17"/>
      <c r="U842" s="17"/>
      <c r="V842" s="17"/>
    </row>
    <row r="843" spans="3:22" ht="14.25" customHeight="1">
      <c r="C843" s="28"/>
      <c r="D843" s="29"/>
      <c r="E843" s="28"/>
      <c r="F843" s="3"/>
      <c r="G843" s="3"/>
      <c r="H843" s="3"/>
      <c r="I843" s="25"/>
      <c r="J843" s="25"/>
      <c r="K843" s="17"/>
      <c r="L843" s="17"/>
      <c r="M843" s="28"/>
      <c r="N843" s="28"/>
      <c r="O843" s="3"/>
      <c r="P843" s="3"/>
      <c r="Q843" s="3"/>
      <c r="R843" s="17"/>
      <c r="S843" s="17"/>
      <c r="T843" s="17"/>
      <c r="U843" s="17"/>
      <c r="V843" s="17"/>
    </row>
    <row r="844" spans="3:22" ht="14.25" customHeight="1">
      <c r="C844" s="28"/>
      <c r="D844" s="29"/>
      <c r="E844" s="28"/>
      <c r="F844" s="3"/>
      <c r="G844" s="3"/>
      <c r="H844" s="3"/>
      <c r="I844" s="25"/>
      <c r="J844" s="25"/>
      <c r="K844" s="17"/>
      <c r="L844" s="17"/>
      <c r="M844" s="28"/>
      <c r="N844" s="28"/>
      <c r="O844" s="3"/>
      <c r="P844" s="3"/>
      <c r="Q844" s="3"/>
      <c r="R844" s="17"/>
      <c r="S844" s="17"/>
      <c r="T844" s="17"/>
      <c r="U844" s="17"/>
      <c r="V844" s="17"/>
    </row>
    <row r="845" spans="3:22" ht="14.25" customHeight="1">
      <c r="C845" s="28"/>
      <c r="D845" s="29"/>
      <c r="E845" s="28"/>
      <c r="F845" s="3"/>
      <c r="G845" s="3"/>
      <c r="H845" s="3"/>
      <c r="I845" s="25"/>
      <c r="J845" s="25"/>
      <c r="K845" s="17"/>
      <c r="L845" s="17"/>
      <c r="M845" s="28"/>
      <c r="N845" s="28"/>
      <c r="O845" s="3"/>
      <c r="P845" s="3"/>
      <c r="Q845" s="3"/>
      <c r="R845" s="17"/>
      <c r="S845" s="17"/>
      <c r="T845" s="17"/>
      <c r="U845" s="17"/>
      <c r="V845" s="17"/>
    </row>
    <row r="846" spans="3:22" ht="14.25" customHeight="1">
      <c r="C846" s="28"/>
      <c r="D846" s="29"/>
      <c r="E846" s="28"/>
      <c r="F846" s="3"/>
      <c r="G846" s="3"/>
      <c r="H846" s="3"/>
      <c r="I846" s="25"/>
      <c r="J846" s="25"/>
      <c r="K846" s="17"/>
      <c r="L846" s="17"/>
      <c r="M846" s="28"/>
      <c r="N846" s="28"/>
      <c r="O846" s="3"/>
      <c r="P846" s="3"/>
      <c r="Q846" s="3"/>
      <c r="R846" s="17"/>
      <c r="S846" s="17"/>
      <c r="T846" s="17"/>
      <c r="U846" s="17"/>
      <c r="V846" s="17"/>
    </row>
    <row r="847" spans="3:22" ht="14.25" customHeight="1">
      <c r="C847" s="28"/>
      <c r="D847" s="29"/>
      <c r="E847" s="28"/>
      <c r="F847" s="3"/>
      <c r="G847" s="3"/>
      <c r="H847" s="3"/>
      <c r="I847" s="25"/>
      <c r="J847" s="25"/>
      <c r="K847" s="17"/>
      <c r="L847" s="17"/>
      <c r="M847" s="28"/>
      <c r="N847" s="28"/>
      <c r="O847" s="3"/>
      <c r="P847" s="3"/>
      <c r="Q847" s="3"/>
      <c r="R847" s="17"/>
      <c r="S847" s="17"/>
      <c r="T847" s="17"/>
      <c r="U847" s="17"/>
      <c r="V847" s="17"/>
    </row>
    <row r="848" spans="3:22" ht="14.25" customHeight="1">
      <c r="C848" s="28"/>
      <c r="D848" s="29"/>
      <c r="E848" s="28"/>
      <c r="F848" s="3"/>
      <c r="G848" s="3"/>
      <c r="H848" s="3"/>
      <c r="I848" s="25"/>
      <c r="J848" s="25"/>
      <c r="K848" s="17"/>
      <c r="L848" s="17"/>
      <c r="M848" s="28"/>
      <c r="N848" s="28"/>
      <c r="O848" s="3"/>
      <c r="P848" s="3"/>
      <c r="Q848" s="3"/>
      <c r="R848" s="17"/>
      <c r="S848" s="17"/>
      <c r="T848" s="17"/>
      <c r="U848" s="17"/>
      <c r="V848" s="17"/>
    </row>
    <row r="849" spans="3:22" ht="14.25" customHeight="1">
      <c r="C849" s="28"/>
      <c r="D849" s="29"/>
      <c r="E849" s="28"/>
      <c r="F849" s="3"/>
      <c r="G849" s="3"/>
      <c r="H849" s="3"/>
      <c r="I849" s="25"/>
      <c r="J849" s="25"/>
      <c r="K849" s="17"/>
      <c r="L849" s="17"/>
      <c r="M849" s="28"/>
      <c r="N849" s="28"/>
      <c r="O849" s="3"/>
      <c r="P849" s="3"/>
      <c r="Q849" s="3"/>
      <c r="R849" s="17"/>
      <c r="S849" s="17"/>
      <c r="T849" s="17"/>
      <c r="U849" s="17"/>
      <c r="V849" s="17"/>
    </row>
    <row r="850" spans="3:22" ht="14.25" customHeight="1">
      <c r="C850" s="28"/>
      <c r="D850" s="29"/>
      <c r="E850" s="28"/>
      <c r="F850" s="3"/>
      <c r="G850" s="3"/>
      <c r="H850" s="3"/>
      <c r="I850" s="25"/>
      <c r="J850" s="25"/>
      <c r="K850" s="17"/>
      <c r="L850" s="17"/>
      <c r="M850" s="28"/>
      <c r="N850" s="28"/>
      <c r="O850" s="3"/>
      <c r="P850" s="3"/>
      <c r="Q850" s="3"/>
      <c r="R850" s="17"/>
      <c r="S850" s="17"/>
      <c r="T850" s="17"/>
      <c r="U850" s="17"/>
      <c r="V850" s="17"/>
    </row>
    <row r="851" spans="3:22" ht="14.25" customHeight="1">
      <c r="C851" s="28"/>
      <c r="D851" s="29"/>
      <c r="E851" s="28"/>
      <c r="F851" s="3"/>
      <c r="G851" s="3"/>
      <c r="H851" s="3"/>
      <c r="I851" s="25"/>
      <c r="J851" s="25"/>
      <c r="K851" s="17"/>
      <c r="L851" s="17"/>
      <c r="M851" s="28"/>
      <c r="N851" s="28"/>
      <c r="O851" s="3"/>
      <c r="P851" s="3"/>
      <c r="Q851" s="3"/>
      <c r="R851" s="17"/>
      <c r="S851" s="17"/>
      <c r="T851" s="17"/>
      <c r="U851" s="17"/>
      <c r="V851" s="17"/>
    </row>
    <row r="852" spans="3:22" ht="14.25" customHeight="1">
      <c r="C852" s="28"/>
      <c r="D852" s="29"/>
      <c r="E852" s="28"/>
      <c r="F852" s="3"/>
      <c r="G852" s="3"/>
      <c r="H852" s="3"/>
      <c r="I852" s="25"/>
      <c r="J852" s="25"/>
      <c r="K852" s="17"/>
      <c r="L852" s="17"/>
      <c r="M852" s="28"/>
      <c r="N852" s="28"/>
      <c r="O852" s="3"/>
      <c r="P852" s="3"/>
      <c r="Q852" s="3"/>
      <c r="R852" s="17"/>
      <c r="S852" s="17"/>
      <c r="T852" s="17"/>
      <c r="U852" s="17"/>
      <c r="V852" s="17"/>
    </row>
    <row r="853" spans="3:22" ht="14.25" customHeight="1">
      <c r="C853" s="28"/>
      <c r="D853" s="29"/>
      <c r="E853" s="28"/>
      <c r="F853" s="3"/>
      <c r="G853" s="3"/>
      <c r="H853" s="3"/>
      <c r="I853" s="25"/>
      <c r="J853" s="25"/>
      <c r="K853" s="17"/>
      <c r="L853" s="17"/>
      <c r="M853" s="28"/>
      <c r="N853" s="28"/>
      <c r="O853" s="3"/>
      <c r="P853" s="3"/>
      <c r="Q853" s="3"/>
      <c r="R853" s="17"/>
      <c r="S853" s="17"/>
      <c r="T853" s="17"/>
      <c r="U853" s="17"/>
      <c r="V853" s="17"/>
    </row>
    <row r="854" spans="3:22" ht="14.25" customHeight="1">
      <c r="C854" s="28"/>
      <c r="D854" s="29"/>
      <c r="E854" s="28"/>
      <c r="F854" s="3"/>
      <c r="G854" s="3"/>
      <c r="H854" s="3"/>
      <c r="I854" s="25"/>
      <c r="J854" s="25"/>
      <c r="K854" s="17"/>
      <c r="L854" s="17"/>
      <c r="M854" s="28"/>
      <c r="N854" s="28"/>
      <c r="O854" s="3"/>
      <c r="P854" s="3"/>
      <c r="Q854" s="3"/>
      <c r="R854" s="17"/>
      <c r="S854" s="17"/>
      <c r="T854" s="17"/>
      <c r="U854" s="17"/>
      <c r="V854" s="17"/>
    </row>
    <row r="855" spans="3:22" ht="14.25" customHeight="1">
      <c r="C855" s="28"/>
      <c r="D855" s="29"/>
      <c r="E855" s="28"/>
      <c r="F855" s="3"/>
      <c r="G855" s="3"/>
      <c r="H855" s="3"/>
      <c r="I855" s="25"/>
      <c r="J855" s="25"/>
      <c r="K855" s="17"/>
      <c r="L855" s="17"/>
      <c r="M855" s="28"/>
      <c r="N855" s="28"/>
      <c r="O855" s="3"/>
      <c r="P855" s="3"/>
      <c r="Q855" s="3"/>
      <c r="R855" s="17"/>
      <c r="S855" s="17"/>
      <c r="T855" s="17"/>
      <c r="U855" s="17"/>
      <c r="V855" s="17"/>
    </row>
    <row r="856" spans="3:22" ht="14.25" customHeight="1">
      <c r="C856" s="28"/>
      <c r="D856" s="29"/>
      <c r="E856" s="28"/>
      <c r="F856" s="3"/>
      <c r="G856" s="3"/>
      <c r="H856" s="3"/>
      <c r="I856" s="25"/>
      <c r="J856" s="25"/>
      <c r="K856" s="17"/>
      <c r="L856" s="17"/>
      <c r="M856" s="28"/>
      <c r="N856" s="28"/>
      <c r="O856" s="3"/>
      <c r="P856" s="3"/>
      <c r="Q856" s="3"/>
      <c r="R856" s="17"/>
      <c r="S856" s="17"/>
      <c r="T856" s="17"/>
      <c r="U856" s="17"/>
      <c r="V856" s="17"/>
    </row>
    <row r="857" spans="3:22" ht="14.25" customHeight="1">
      <c r="C857" s="28"/>
      <c r="D857" s="29"/>
      <c r="E857" s="28"/>
      <c r="F857" s="3"/>
      <c r="G857" s="3"/>
      <c r="H857" s="3"/>
      <c r="I857" s="25"/>
      <c r="J857" s="25"/>
      <c r="K857" s="17"/>
      <c r="L857" s="17"/>
      <c r="M857" s="28"/>
      <c r="N857" s="28"/>
      <c r="O857" s="3"/>
      <c r="P857" s="3"/>
      <c r="Q857" s="3"/>
      <c r="R857" s="17"/>
      <c r="S857" s="17"/>
      <c r="T857" s="17"/>
      <c r="U857" s="17"/>
      <c r="V857" s="17"/>
    </row>
    <row r="858" spans="3:22" ht="14.25" customHeight="1">
      <c r="C858" s="28"/>
      <c r="D858" s="29"/>
      <c r="E858" s="28"/>
      <c r="F858" s="3"/>
      <c r="G858" s="3"/>
      <c r="H858" s="3"/>
      <c r="I858" s="25"/>
      <c r="J858" s="25"/>
      <c r="K858" s="17"/>
      <c r="L858" s="17"/>
      <c r="M858" s="28"/>
      <c r="N858" s="28"/>
      <c r="O858" s="3"/>
      <c r="P858" s="3"/>
      <c r="Q858" s="3"/>
      <c r="R858" s="17"/>
      <c r="S858" s="17"/>
      <c r="T858" s="17"/>
      <c r="U858" s="17"/>
      <c r="V858" s="17"/>
    </row>
    <row r="859" spans="3:22" ht="14.25" customHeight="1">
      <c r="C859" s="28"/>
      <c r="D859" s="29"/>
      <c r="E859" s="28"/>
      <c r="F859" s="3"/>
      <c r="G859" s="3"/>
      <c r="H859" s="3"/>
      <c r="I859" s="25"/>
      <c r="J859" s="25"/>
      <c r="K859" s="17"/>
      <c r="L859" s="17"/>
      <c r="M859" s="28"/>
      <c r="N859" s="28"/>
      <c r="O859" s="3"/>
      <c r="P859" s="3"/>
      <c r="Q859" s="3"/>
      <c r="R859" s="17"/>
      <c r="S859" s="17"/>
      <c r="T859" s="17"/>
      <c r="U859" s="17"/>
      <c r="V859" s="17"/>
    </row>
    <row r="860" spans="3:22" ht="14.25" customHeight="1">
      <c r="C860" s="28"/>
      <c r="D860" s="29"/>
      <c r="E860" s="28"/>
      <c r="F860" s="3"/>
      <c r="G860" s="3"/>
      <c r="H860" s="3"/>
      <c r="I860" s="25"/>
      <c r="J860" s="25"/>
      <c r="K860" s="17"/>
      <c r="L860" s="17"/>
      <c r="M860" s="28"/>
      <c r="N860" s="28"/>
      <c r="O860" s="3"/>
      <c r="P860" s="3"/>
      <c r="Q860" s="3"/>
      <c r="R860" s="17"/>
      <c r="S860" s="17"/>
      <c r="T860" s="17"/>
      <c r="U860" s="17"/>
      <c r="V860" s="17"/>
    </row>
    <row r="861" spans="3:22" ht="14.25" customHeight="1">
      <c r="C861" s="28"/>
      <c r="D861" s="29"/>
      <c r="E861" s="28"/>
      <c r="F861" s="3"/>
      <c r="G861" s="3"/>
      <c r="H861" s="3"/>
      <c r="I861" s="25"/>
      <c r="J861" s="25"/>
      <c r="K861" s="17"/>
      <c r="L861" s="17"/>
      <c r="M861" s="28"/>
      <c r="N861" s="28"/>
      <c r="O861" s="3"/>
      <c r="P861" s="3"/>
      <c r="Q861" s="3"/>
      <c r="R861" s="17"/>
      <c r="S861" s="17"/>
      <c r="T861" s="17"/>
      <c r="U861" s="17"/>
      <c r="V861" s="17"/>
    </row>
    <row r="862" spans="3:22" ht="14.25" customHeight="1">
      <c r="C862" s="28"/>
      <c r="D862" s="29"/>
      <c r="E862" s="28"/>
      <c r="F862" s="3"/>
      <c r="G862" s="3"/>
      <c r="H862" s="3"/>
      <c r="I862" s="25"/>
      <c r="J862" s="25"/>
      <c r="K862" s="17"/>
      <c r="L862" s="17"/>
      <c r="M862" s="28"/>
      <c r="N862" s="28"/>
      <c r="O862" s="3"/>
      <c r="P862" s="3"/>
      <c r="Q862" s="3"/>
      <c r="R862" s="17"/>
      <c r="S862" s="17"/>
      <c r="T862" s="17"/>
      <c r="U862" s="17"/>
      <c r="V862" s="17"/>
    </row>
    <row r="863" spans="3:22" ht="14.25" customHeight="1">
      <c r="C863" s="28"/>
      <c r="D863" s="29"/>
      <c r="E863" s="28"/>
      <c r="F863" s="3"/>
      <c r="G863" s="3"/>
      <c r="H863" s="3"/>
      <c r="I863" s="25"/>
      <c r="J863" s="25"/>
      <c r="K863" s="17"/>
      <c r="L863" s="17"/>
      <c r="M863" s="28"/>
      <c r="N863" s="28"/>
      <c r="O863" s="3"/>
      <c r="P863" s="3"/>
      <c r="Q863" s="3"/>
      <c r="R863" s="17"/>
      <c r="S863" s="17"/>
      <c r="T863" s="17"/>
      <c r="U863" s="17"/>
      <c r="V863" s="17"/>
    </row>
    <row r="864" spans="3:22" ht="14.25" customHeight="1">
      <c r="C864" s="28"/>
      <c r="D864" s="29"/>
      <c r="E864" s="28"/>
      <c r="F864" s="3"/>
      <c r="G864" s="3"/>
      <c r="H864" s="3"/>
      <c r="I864" s="25"/>
      <c r="J864" s="25"/>
      <c r="K864" s="17"/>
      <c r="L864" s="17"/>
      <c r="M864" s="28"/>
      <c r="N864" s="28"/>
      <c r="O864" s="3"/>
      <c r="P864" s="3"/>
      <c r="Q864" s="3"/>
      <c r="R864" s="17"/>
      <c r="S864" s="17"/>
      <c r="T864" s="17"/>
      <c r="U864" s="17"/>
      <c r="V864" s="17"/>
    </row>
    <row r="865" spans="3:22" ht="14.25" customHeight="1">
      <c r="C865" s="28"/>
      <c r="D865" s="29"/>
      <c r="E865" s="28"/>
      <c r="F865" s="3"/>
      <c r="G865" s="3"/>
      <c r="H865" s="3"/>
      <c r="I865" s="25"/>
      <c r="J865" s="25"/>
      <c r="K865" s="17"/>
      <c r="L865" s="17"/>
      <c r="M865" s="28"/>
      <c r="N865" s="28"/>
      <c r="O865" s="3"/>
      <c r="P865" s="3"/>
      <c r="Q865" s="3"/>
      <c r="R865" s="17"/>
      <c r="S865" s="17"/>
      <c r="T865" s="17"/>
      <c r="U865" s="17"/>
      <c r="V865" s="17"/>
    </row>
    <row r="866" spans="3:22" ht="14.25" customHeight="1">
      <c r="C866" s="28"/>
      <c r="D866" s="29"/>
      <c r="E866" s="28"/>
      <c r="F866" s="3"/>
      <c r="G866" s="3"/>
      <c r="H866" s="3"/>
      <c r="I866" s="25"/>
      <c r="J866" s="25"/>
      <c r="K866" s="17"/>
      <c r="L866" s="17"/>
      <c r="M866" s="28"/>
      <c r="N866" s="28"/>
      <c r="O866" s="3"/>
      <c r="P866" s="3"/>
      <c r="Q866" s="3"/>
      <c r="R866" s="17"/>
      <c r="S866" s="17"/>
      <c r="T866" s="17"/>
      <c r="U866" s="17"/>
      <c r="V866" s="17"/>
    </row>
    <row r="867" spans="3:22" ht="14.25" customHeight="1">
      <c r="C867" s="28"/>
      <c r="D867" s="29"/>
      <c r="E867" s="28"/>
      <c r="F867" s="3"/>
      <c r="G867" s="3"/>
      <c r="H867" s="3"/>
      <c r="I867" s="25"/>
      <c r="J867" s="25"/>
      <c r="K867" s="17"/>
      <c r="L867" s="17"/>
      <c r="M867" s="28"/>
      <c r="N867" s="28"/>
      <c r="O867" s="3"/>
      <c r="P867" s="3"/>
      <c r="Q867" s="3"/>
      <c r="R867" s="17"/>
      <c r="S867" s="17"/>
      <c r="T867" s="17"/>
      <c r="U867" s="17"/>
      <c r="V867" s="17"/>
    </row>
    <row r="868" spans="3:22" ht="14.25" customHeight="1">
      <c r="C868" s="28"/>
      <c r="D868" s="29"/>
      <c r="E868" s="28"/>
      <c r="F868" s="3"/>
      <c r="G868" s="3"/>
      <c r="H868" s="3"/>
      <c r="I868" s="25"/>
      <c r="J868" s="25"/>
      <c r="K868" s="17"/>
      <c r="L868" s="17"/>
      <c r="M868" s="28"/>
      <c r="N868" s="28"/>
      <c r="O868" s="3"/>
      <c r="P868" s="3"/>
      <c r="Q868" s="3"/>
      <c r="R868" s="17"/>
      <c r="S868" s="17"/>
      <c r="T868" s="17"/>
      <c r="U868" s="17"/>
      <c r="V868" s="17"/>
    </row>
    <row r="869" spans="3:22" ht="14.25" customHeight="1">
      <c r="C869" s="28"/>
      <c r="D869" s="29"/>
      <c r="E869" s="28"/>
      <c r="F869" s="3"/>
      <c r="G869" s="3"/>
      <c r="H869" s="3"/>
      <c r="I869" s="25"/>
      <c r="J869" s="25"/>
      <c r="K869" s="17"/>
      <c r="L869" s="17"/>
      <c r="M869" s="28"/>
      <c r="N869" s="28"/>
      <c r="O869" s="3"/>
      <c r="P869" s="3"/>
      <c r="Q869" s="3"/>
      <c r="R869" s="17"/>
      <c r="S869" s="17"/>
      <c r="T869" s="17"/>
      <c r="U869" s="17"/>
      <c r="V869" s="17"/>
    </row>
    <row r="870" spans="3:22" ht="14.25" customHeight="1">
      <c r="C870" s="28"/>
      <c r="D870" s="29"/>
      <c r="E870" s="28"/>
      <c r="F870" s="3"/>
      <c r="G870" s="3"/>
      <c r="H870" s="3"/>
      <c r="I870" s="25"/>
      <c r="J870" s="25"/>
      <c r="K870" s="17"/>
      <c r="L870" s="17"/>
      <c r="M870" s="28"/>
      <c r="N870" s="28"/>
      <c r="O870" s="3"/>
      <c r="P870" s="3"/>
      <c r="Q870" s="3"/>
      <c r="R870" s="17"/>
      <c r="S870" s="17"/>
      <c r="T870" s="17"/>
      <c r="U870" s="17"/>
      <c r="V870" s="17"/>
    </row>
    <row r="871" spans="3:22" ht="14.25" customHeight="1">
      <c r="C871" s="28"/>
      <c r="D871" s="29"/>
      <c r="E871" s="28"/>
      <c r="F871" s="3"/>
      <c r="G871" s="3"/>
      <c r="H871" s="3"/>
      <c r="I871" s="25"/>
      <c r="J871" s="25"/>
      <c r="K871" s="17"/>
      <c r="L871" s="17"/>
      <c r="M871" s="28"/>
      <c r="N871" s="28"/>
      <c r="O871" s="3"/>
      <c r="P871" s="3"/>
      <c r="Q871" s="3"/>
      <c r="R871" s="17"/>
      <c r="S871" s="17"/>
      <c r="T871" s="17"/>
      <c r="U871" s="17"/>
      <c r="V871" s="17"/>
    </row>
    <row r="872" spans="3:22" ht="14.25" customHeight="1">
      <c r="C872" s="28"/>
      <c r="D872" s="29"/>
      <c r="E872" s="28"/>
      <c r="F872" s="3"/>
      <c r="G872" s="3"/>
      <c r="H872" s="3"/>
      <c r="I872" s="25"/>
      <c r="J872" s="25"/>
      <c r="K872" s="17"/>
      <c r="L872" s="17"/>
      <c r="M872" s="28"/>
      <c r="N872" s="28"/>
      <c r="O872" s="3"/>
      <c r="P872" s="3"/>
      <c r="Q872" s="3"/>
      <c r="R872" s="17"/>
      <c r="S872" s="17"/>
      <c r="T872" s="17"/>
      <c r="U872" s="17"/>
      <c r="V872" s="17"/>
    </row>
    <row r="873" spans="3:22" ht="14.25" customHeight="1">
      <c r="C873" s="28"/>
      <c r="D873" s="29"/>
      <c r="E873" s="28"/>
      <c r="F873" s="3"/>
      <c r="G873" s="3"/>
      <c r="H873" s="3"/>
      <c r="I873" s="25"/>
      <c r="J873" s="25"/>
      <c r="K873" s="17"/>
      <c r="L873" s="17"/>
      <c r="M873" s="28"/>
      <c r="N873" s="28"/>
      <c r="O873" s="3"/>
      <c r="P873" s="3"/>
      <c r="Q873" s="3"/>
      <c r="R873" s="17"/>
      <c r="S873" s="17"/>
      <c r="T873" s="17"/>
      <c r="U873" s="17"/>
      <c r="V873" s="17"/>
    </row>
    <row r="874" spans="3:22" ht="14.25" customHeight="1">
      <c r="C874" s="28"/>
      <c r="D874" s="29"/>
      <c r="E874" s="28"/>
      <c r="F874" s="3"/>
      <c r="G874" s="3"/>
      <c r="H874" s="3"/>
      <c r="I874" s="25"/>
      <c r="J874" s="25"/>
      <c r="K874" s="17"/>
      <c r="L874" s="17"/>
      <c r="M874" s="28"/>
      <c r="N874" s="28"/>
      <c r="O874" s="3"/>
      <c r="P874" s="3"/>
      <c r="Q874" s="3"/>
      <c r="R874" s="17"/>
      <c r="S874" s="17"/>
      <c r="T874" s="17"/>
      <c r="U874" s="17"/>
      <c r="V874" s="17"/>
    </row>
    <row r="875" spans="3:22" ht="14.25" customHeight="1">
      <c r="C875" s="28"/>
      <c r="D875" s="29"/>
      <c r="E875" s="28"/>
      <c r="F875" s="3"/>
      <c r="G875" s="3"/>
      <c r="H875" s="3"/>
      <c r="I875" s="25"/>
      <c r="J875" s="25"/>
      <c r="K875" s="17"/>
      <c r="L875" s="17"/>
      <c r="M875" s="28"/>
      <c r="N875" s="28"/>
      <c r="O875" s="3"/>
      <c r="P875" s="3"/>
      <c r="Q875" s="3"/>
      <c r="R875" s="17"/>
      <c r="S875" s="17"/>
      <c r="T875" s="17"/>
      <c r="U875" s="17"/>
      <c r="V875" s="17"/>
    </row>
    <row r="876" spans="3:22" ht="14.25" customHeight="1">
      <c r="C876" s="28"/>
      <c r="D876" s="29"/>
      <c r="E876" s="28"/>
      <c r="F876" s="3"/>
      <c r="G876" s="3"/>
      <c r="H876" s="3"/>
      <c r="I876" s="25"/>
      <c r="J876" s="25"/>
      <c r="K876" s="17"/>
      <c r="L876" s="17"/>
      <c r="M876" s="28"/>
      <c r="N876" s="28"/>
      <c r="O876" s="3"/>
      <c r="P876" s="3"/>
      <c r="Q876" s="3"/>
      <c r="R876" s="17"/>
      <c r="S876" s="17"/>
      <c r="T876" s="17"/>
      <c r="U876" s="17"/>
      <c r="V876" s="17"/>
    </row>
    <row r="877" spans="3:22" ht="14.25" customHeight="1">
      <c r="C877" s="28"/>
      <c r="D877" s="29"/>
      <c r="E877" s="28"/>
      <c r="F877" s="3"/>
      <c r="G877" s="3"/>
      <c r="H877" s="3"/>
      <c r="I877" s="25"/>
      <c r="J877" s="25"/>
      <c r="K877" s="17"/>
      <c r="L877" s="17"/>
      <c r="M877" s="28"/>
      <c r="N877" s="28"/>
      <c r="O877" s="3"/>
      <c r="P877" s="3"/>
      <c r="Q877" s="3"/>
      <c r="R877" s="17"/>
      <c r="S877" s="17"/>
      <c r="T877" s="17"/>
      <c r="U877" s="17"/>
      <c r="V877" s="17"/>
    </row>
    <row r="878" spans="3:22" ht="14.25" customHeight="1">
      <c r="C878" s="28"/>
      <c r="D878" s="29"/>
      <c r="E878" s="28"/>
      <c r="F878" s="3"/>
      <c r="G878" s="3"/>
      <c r="H878" s="3"/>
      <c r="I878" s="25"/>
      <c r="J878" s="25"/>
      <c r="K878" s="17"/>
      <c r="L878" s="17"/>
      <c r="M878" s="28"/>
      <c r="N878" s="28"/>
      <c r="O878" s="3"/>
      <c r="P878" s="3"/>
      <c r="Q878" s="3"/>
      <c r="R878" s="17"/>
      <c r="S878" s="17"/>
      <c r="T878" s="17"/>
      <c r="U878" s="17"/>
      <c r="V878" s="17"/>
    </row>
    <row r="879" spans="3:22" ht="14.25" customHeight="1">
      <c r="C879" s="28"/>
      <c r="D879" s="29"/>
      <c r="E879" s="28"/>
      <c r="F879" s="3"/>
      <c r="G879" s="3"/>
      <c r="H879" s="3"/>
      <c r="I879" s="25"/>
      <c r="J879" s="25"/>
      <c r="K879" s="17"/>
      <c r="L879" s="17"/>
      <c r="M879" s="28"/>
      <c r="N879" s="28"/>
      <c r="O879" s="3"/>
      <c r="P879" s="3"/>
      <c r="Q879" s="3"/>
      <c r="R879" s="17"/>
      <c r="S879" s="17"/>
      <c r="T879" s="17"/>
      <c r="U879" s="17"/>
      <c r="V879" s="17"/>
    </row>
    <row r="880" spans="3:22" ht="14.25" customHeight="1">
      <c r="C880" s="28"/>
      <c r="D880" s="29"/>
      <c r="E880" s="28"/>
      <c r="F880" s="3"/>
      <c r="G880" s="3"/>
      <c r="H880" s="3"/>
      <c r="I880" s="25"/>
      <c r="J880" s="25"/>
      <c r="K880" s="17"/>
      <c r="L880" s="17"/>
      <c r="M880" s="28"/>
      <c r="N880" s="28"/>
      <c r="O880" s="3"/>
      <c r="P880" s="3"/>
      <c r="Q880" s="3"/>
      <c r="R880" s="17"/>
      <c r="S880" s="17"/>
      <c r="T880" s="17"/>
      <c r="U880" s="17"/>
      <c r="V880" s="17"/>
    </row>
    <row r="881" spans="3:22" ht="14.25" customHeight="1">
      <c r="C881" s="28"/>
      <c r="D881" s="29"/>
      <c r="E881" s="28"/>
      <c r="F881" s="3"/>
      <c r="G881" s="3"/>
      <c r="H881" s="3"/>
      <c r="I881" s="25"/>
      <c r="J881" s="25"/>
      <c r="K881" s="17"/>
      <c r="L881" s="17"/>
      <c r="M881" s="28"/>
      <c r="N881" s="28"/>
      <c r="O881" s="3"/>
      <c r="P881" s="3"/>
      <c r="Q881" s="3"/>
      <c r="R881" s="17"/>
      <c r="S881" s="17"/>
      <c r="T881" s="17"/>
      <c r="U881" s="17"/>
      <c r="V881" s="17"/>
    </row>
    <row r="882" spans="3:22" ht="14.25" customHeight="1">
      <c r="C882" s="28"/>
      <c r="D882" s="29"/>
      <c r="E882" s="28"/>
      <c r="F882" s="3"/>
      <c r="G882" s="3"/>
      <c r="H882" s="3"/>
      <c r="I882" s="25"/>
      <c r="J882" s="25"/>
      <c r="K882" s="17"/>
      <c r="L882" s="17"/>
      <c r="M882" s="28"/>
      <c r="N882" s="28"/>
      <c r="O882" s="3"/>
      <c r="P882" s="3"/>
      <c r="Q882" s="3"/>
      <c r="R882" s="17"/>
      <c r="S882" s="17"/>
      <c r="T882" s="17"/>
      <c r="U882" s="17"/>
      <c r="V882" s="17"/>
    </row>
    <row r="883" spans="3:22" ht="14.25" customHeight="1">
      <c r="C883" s="28"/>
      <c r="D883" s="29"/>
      <c r="E883" s="28"/>
      <c r="F883" s="3"/>
      <c r="G883" s="3"/>
      <c r="H883" s="3"/>
      <c r="I883" s="25"/>
      <c r="J883" s="25"/>
      <c r="K883" s="17"/>
      <c r="L883" s="17"/>
      <c r="M883" s="28"/>
      <c r="N883" s="28"/>
      <c r="O883" s="3"/>
      <c r="P883" s="3"/>
      <c r="Q883" s="3"/>
      <c r="R883" s="17"/>
      <c r="S883" s="17"/>
      <c r="T883" s="17"/>
      <c r="U883" s="17"/>
      <c r="V883" s="17"/>
    </row>
    <row r="884" spans="3:22" ht="14.25" customHeight="1">
      <c r="C884" s="28"/>
      <c r="D884" s="29"/>
      <c r="E884" s="28"/>
      <c r="F884" s="3"/>
      <c r="G884" s="3"/>
      <c r="H884" s="3"/>
      <c r="I884" s="25"/>
      <c r="J884" s="25"/>
      <c r="K884" s="17"/>
      <c r="L884" s="17"/>
      <c r="M884" s="28"/>
      <c r="N884" s="28"/>
      <c r="O884" s="3"/>
      <c r="P884" s="3"/>
      <c r="Q884" s="3"/>
      <c r="R884" s="17"/>
      <c r="S884" s="17"/>
      <c r="T884" s="17"/>
      <c r="U884" s="17"/>
      <c r="V884" s="17"/>
    </row>
    <row r="885" spans="3:22" ht="14.25" customHeight="1">
      <c r="C885" s="28"/>
      <c r="D885" s="29"/>
      <c r="E885" s="28"/>
      <c r="F885" s="3"/>
      <c r="G885" s="3"/>
      <c r="H885" s="3"/>
      <c r="I885" s="25"/>
      <c r="J885" s="25"/>
      <c r="K885" s="17"/>
      <c r="L885" s="17"/>
      <c r="M885" s="28"/>
      <c r="N885" s="28"/>
      <c r="O885" s="3"/>
      <c r="P885" s="3"/>
      <c r="Q885" s="3"/>
      <c r="R885" s="17"/>
      <c r="S885" s="17"/>
      <c r="T885" s="17"/>
      <c r="U885" s="17"/>
      <c r="V885" s="17"/>
    </row>
    <row r="886" spans="3:22" ht="14.25" customHeight="1">
      <c r="C886" s="28"/>
      <c r="D886" s="29"/>
      <c r="E886" s="28"/>
      <c r="F886" s="3"/>
      <c r="G886" s="3"/>
      <c r="H886" s="3"/>
      <c r="I886" s="25"/>
      <c r="J886" s="25"/>
      <c r="K886" s="17"/>
      <c r="L886" s="17"/>
      <c r="M886" s="28"/>
      <c r="N886" s="28"/>
      <c r="O886" s="3"/>
      <c r="P886" s="3"/>
      <c r="Q886" s="3"/>
      <c r="R886" s="17"/>
      <c r="S886" s="17"/>
      <c r="T886" s="17"/>
      <c r="U886" s="17"/>
      <c r="V886" s="17"/>
    </row>
    <row r="887" spans="3:22" ht="14.25" customHeight="1">
      <c r="C887" s="28"/>
      <c r="D887" s="29"/>
      <c r="E887" s="28"/>
      <c r="F887" s="3"/>
      <c r="G887" s="3"/>
      <c r="H887" s="3"/>
      <c r="I887" s="25"/>
      <c r="J887" s="25"/>
      <c r="K887" s="17"/>
      <c r="L887" s="17"/>
      <c r="M887" s="28"/>
      <c r="N887" s="28"/>
      <c r="O887" s="3"/>
      <c r="P887" s="3"/>
      <c r="Q887" s="3"/>
      <c r="R887" s="17"/>
      <c r="S887" s="17"/>
      <c r="T887" s="17"/>
      <c r="U887" s="17"/>
      <c r="V887" s="17"/>
    </row>
    <row r="888" spans="3:22" ht="14.25" customHeight="1">
      <c r="C888" s="28"/>
      <c r="D888" s="29"/>
      <c r="E888" s="28"/>
      <c r="F888" s="3"/>
      <c r="G888" s="3"/>
      <c r="H888" s="3"/>
      <c r="I888" s="25"/>
      <c r="J888" s="25"/>
      <c r="K888" s="17"/>
      <c r="L888" s="17"/>
      <c r="M888" s="28"/>
      <c r="N888" s="28"/>
      <c r="O888" s="3"/>
      <c r="P888" s="3"/>
      <c r="Q888" s="3"/>
      <c r="R888" s="17"/>
      <c r="S888" s="17"/>
      <c r="T888" s="17"/>
      <c r="U888" s="17"/>
      <c r="V888" s="17"/>
    </row>
    <row r="889" spans="3:22" ht="14.25" customHeight="1">
      <c r="C889" s="28"/>
      <c r="D889" s="29"/>
      <c r="E889" s="28"/>
      <c r="F889" s="3"/>
      <c r="G889" s="3"/>
      <c r="H889" s="3"/>
      <c r="I889" s="25"/>
      <c r="J889" s="25"/>
      <c r="K889" s="17"/>
      <c r="L889" s="17"/>
      <c r="M889" s="28"/>
      <c r="N889" s="28"/>
      <c r="O889" s="3"/>
      <c r="P889" s="3"/>
      <c r="Q889" s="3"/>
      <c r="R889" s="17"/>
      <c r="S889" s="17"/>
      <c r="T889" s="17"/>
      <c r="U889" s="17"/>
      <c r="V889" s="17"/>
    </row>
    <row r="890" spans="3:22" ht="14.25" customHeight="1">
      <c r="C890" s="28"/>
      <c r="D890" s="29"/>
      <c r="E890" s="28"/>
      <c r="F890" s="3"/>
      <c r="G890" s="3"/>
      <c r="H890" s="3"/>
      <c r="I890" s="25"/>
      <c r="J890" s="25"/>
      <c r="K890" s="17"/>
      <c r="L890" s="17"/>
      <c r="M890" s="28"/>
      <c r="N890" s="28"/>
      <c r="O890" s="3"/>
      <c r="P890" s="3"/>
      <c r="Q890" s="3"/>
      <c r="R890" s="17"/>
      <c r="S890" s="17"/>
      <c r="T890" s="17"/>
      <c r="U890" s="17"/>
      <c r="V890" s="17"/>
    </row>
    <row r="891" spans="3:22" ht="14.25" customHeight="1">
      <c r="C891" s="28"/>
      <c r="D891" s="29"/>
      <c r="E891" s="28"/>
      <c r="F891" s="3"/>
      <c r="G891" s="3"/>
      <c r="H891" s="3"/>
      <c r="I891" s="25"/>
      <c r="J891" s="25"/>
      <c r="K891" s="17"/>
      <c r="L891" s="17"/>
      <c r="M891" s="28"/>
      <c r="N891" s="28"/>
      <c r="O891" s="3"/>
      <c r="P891" s="3"/>
      <c r="Q891" s="3"/>
      <c r="R891" s="17"/>
      <c r="S891" s="17"/>
      <c r="T891" s="17"/>
      <c r="U891" s="17"/>
      <c r="V891" s="17"/>
    </row>
    <row r="892" spans="3:22" ht="14.25" customHeight="1">
      <c r="C892" s="28"/>
      <c r="D892" s="29"/>
      <c r="E892" s="28"/>
      <c r="F892" s="3"/>
      <c r="G892" s="3"/>
      <c r="H892" s="3"/>
      <c r="I892" s="25"/>
      <c r="J892" s="25"/>
      <c r="K892" s="17"/>
      <c r="L892" s="17"/>
      <c r="M892" s="28"/>
      <c r="N892" s="28"/>
      <c r="O892" s="3"/>
      <c r="P892" s="3"/>
      <c r="Q892" s="3"/>
      <c r="R892" s="17"/>
      <c r="S892" s="17"/>
      <c r="T892" s="17"/>
      <c r="U892" s="17"/>
      <c r="V892" s="17"/>
    </row>
    <row r="893" spans="3:22" ht="14.25" customHeight="1">
      <c r="C893" s="28"/>
      <c r="D893" s="29"/>
      <c r="E893" s="28"/>
      <c r="F893" s="3"/>
      <c r="G893" s="3"/>
      <c r="H893" s="3"/>
      <c r="I893" s="25"/>
      <c r="J893" s="25"/>
      <c r="K893" s="17"/>
      <c r="L893" s="17"/>
      <c r="M893" s="28"/>
      <c r="N893" s="28"/>
      <c r="O893" s="3"/>
      <c r="P893" s="3"/>
      <c r="Q893" s="3"/>
      <c r="R893" s="17"/>
      <c r="S893" s="17"/>
      <c r="T893" s="17"/>
      <c r="U893" s="17"/>
      <c r="V893" s="17"/>
    </row>
    <row r="894" spans="3:22" ht="14.25" customHeight="1">
      <c r="C894" s="28"/>
      <c r="D894" s="29"/>
      <c r="E894" s="28"/>
      <c r="F894" s="3"/>
      <c r="G894" s="3"/>
      <c r="H894" s="3"/>
      <c r="I894" s="25"/>
      <c r="J894" s="25"/>
      <c r="K894" s="17"/>
      <c r="L894" s="17"/>
      <c r="M894" s="28"/>
      <c r="N894" s="28"/>
      <c r="O894" s="3"/>
      <c r="P894" s="3"/>
      <c r="Q894" s="3"/>
      <c r="R894" s="17"/>
      <c r="S894" s="17"/>
      <c r="T894" s="17"/>
      <c r="U894" s="17"/>
      <c r="V894" s="17"/>
    </row>
    <row r="895" spans="3:22" ht="14.25" customHeight="1">
      <c r="C895" s="28"/>
      <c r="D895" s="29"/>
      <c r="E895" s="28"/>
      <c r="F895" s="3"/>
      <c r="G895" s="3"/>
      <c r="H895" s="3"/>
      <c r="I895" s="25"/>
      <c r="J895" s="25"/>
      <c r="K895" s="17"/>
      <c r="L895" s="17"/>
      <c r="M895" s="28"/>
      <c r="N895" s="28"/>
      <c r="O895" s="3"/>
      <c r="P895" s="3"/>
      <c r="Q895" s="3"/>
      <c r="R895" s="17"/>
      <c r="S895" s="17"/>
      <c r="T895" s="17"/>
      <c r="U895" s="17"/>
      <c r="V895" s="17"/>
    </row>
    <row r="896" spans="3:22" ht="14.25" customHeight="1">
      <c r="C896" s="28"/>
      <c r="D896" s="29"/>
      <c r="E896" s="28"/>
      <c r="F896" s="3"/>
      <c r="G896" s="3"/>
      <c r="H896" s="3"/>
      <c r="I896" s="25"/>
      <c r="J896" s="25"/>
      <c r="K896" s="17"/>
      <c r="L896" s="17"/>
      <c r="M896" s="28"/>
      <c r="N896" s="28"/>
      <c r="O896" s="3"/>
      <c r="P896" s="3"/>
      <c r="Q896" s="3"/>
      <c r="R896" s="17"/>
      <c r="S896" s="17"/>
      <c r="T896" s="17"/>
      <c r="U896" s="17"/>
      <c r="V896" s="17"/>
    </row>
    <row r="897" spans="3:22" ht="14.25" customHeight="1">
      <c r="C897" s="28"/>
      <c r="D897" s="29"/>
      <c r="E897" s="28"/>
      <c r="F897" s="3"/>
      <c r="G897" s="3"/>
      <c r="H897" s="3"/>
      <c r="I897" s="25"/>
      <c r="J897" s="25"/>
      <c r="K897" s="17"/>
      <c r="L897" s="17"/>
      <c r="M897" s="28"/>
      <c r="N897" s="28"/>
      <c r="O897" s="3"/>
      <c r="P897" s="3"/>
      <c r="Q897" s="3"/>
      <c r="R897" s="17"/>
      <c r="S897" s="17"/>
      <c r="T897" s="17"/>
      <c r="U897" s="17"/>
      <c r="V897" s="17"/>
    </row>
    <row r="898" spans="3:22" ht="14.25" customHeight="1">
      <c r="C898" s="28"/>
      <c r="D898" s="29"/>
      <c r="E898" s="28"/>
      <c r="F898" s="3"/>
      <c r="G898" s="3"/>
      <c r="H898" s="3"/>
      <c r="I898" s="25"/>
      <c r="J898" s="25"/>
      <c r="K898" s="17"/>
      <c r="L898" s="17"/>
      <c r="M898" s="28"/>
      <c r="N898" s="28"/>
      <c r="O898" s="3"/>
      <c r="P898" s="3"/>
      <c r="Q898" s="3"/>
      <c r="R898" s="17"/>
      <c r="S898" s="17"/>
      <c r="T898" s="17"/>
      <c r="U898" s="17"/>
      <c r="V898" s="17"/>
    </row>
    <row r="899" spans="3:22" ht="14.25" customHeight="1">
      <c r="C899" s="28"/>
      <c r="D899" s="29"/>
      <c r="E899" s="28"/>
      <c r="F899" s="3"/>
      <c r="G899" s="3"/>
      <c r="H899" s="3"/>
      <c r="I899" s="25"/>
      <c r="J899" s="25"/>
      <c r="K899" s="17"/>
      <c r="L899" s="17"/>
      <c r="M899" s="28"/>
      <c r="N899" s="28"/>
      <c r="O899" s="3"/>
      <c r="P899" s="3"/>
      <c r="Q899" s="3"/>
      <c r="R899" s="17"/>
      <c r="S899" s="17"/>
      <c r="T899" s="17"/>
      <c r="U899" s="17"/>
      <c r="V899" s="17"/>
    </row>
    <row r="900" spans="3:22" ht="14.25" customHeight="1">
      <c r="C900" s="28"/>
      <c r="D900" s="29"/>
      <c r="E900" s="28"/>
      <c r="F900" s="3"/>
      <c r="G900" s="3"/>
      <c r="H900" s="3"/>
      <c r="I900" s="25"/>
      <c r="J900" s="25"/>
      <c r="K900" s="17"/>
      <c r="L900" s="17"/>
      <c r="M900" s="28"/>
      <c r="N900" s="28"/>
      <c r="O900" s="3"/>
      <c r="P900" s="3"/>
      <c r="Q900" s="3"/>
      <c r="R900" s="17"/>
      <c r="S900" s="17"/>
      <c r="T900" s="17"/>
      <c r="U900" s="17"/>
      <c r="V900" s="17"/>
    </row>
    <row r="901" spans="3:22" ht="14.25" customHeight="1">
      <c r="C901" s="28"/>
      <c r="D901" s="29"/>
      <c r="E901" s="28"/>
      <c r="F901" s="3"/>
      <c r="G901" s="3"/>
      <c r="H901" s="3"/>
      <c r="I901" s="25"/>
      <c r="J901" s="25"/>
      <c r="K901" s="17"/>
      <c r="L901" s="17"/>
      <c r="M901" s="28"/>
      <c r="N901" s="28"/>
      <c r="O901" s="3"/>
      <c r="P901" s="3"/>
      <c r="Q901" s="3"/>
      <c r="R901" s="17"/>
      <c r="S901" s="17"/>
      <c r="T901" s="17"/>
      <c r="U901" s="17"/>
      <c r="V901" s="17"/>
    </row>
    <row r="902" spans="3:22" ht="14.25" customHeight="1">
      <c r="C902" s="28"/>
      <c r="D902" s="29"/>
      <c r="E902" s="28"/>
      <c r="F902" s="3"/>
      <c r="G902" s="3"/>
      <c r="H902" s="3"/>
      <c r="I902" s="25"/>
      <c r="J902" s="25"/>
      <c r="K902" s="17"/>
      <c r="L902" s="17"/>
      <c r="M902" s="28"/>
      <c r="N902" s="28"/>
      <c r="O902" s="3"/>
      <c r="P902" s="3"/>
      <c r="Q902" s="3"/>
      <c r="R902" s="17"/>
      <c r="S902" s="17"/>
      <c r="T902" s="17"/>
      <c r="U902" s="17"/>
      <c r="V902" s="17"/>
    </row>
    <row r="903" spans="3:22" ht="14.25" customHeight="1">
      <c r="C903" s="28"/>
      <c r="D903" s="29"/>
      <c r="E903" s="28"/>
      <c r="F903" s="3"/>
      <c r="G903" s="3"/>
      <c r="H903" s="3"/>
      <c r="I903" s="25"/>
      <c r="J903" s="25"/>
      <c r="K903" s="17"/>
      <c r="L903" s="17"/>
      <c r="M903" s="28"/>
      <c r="N903" s="28"/>
      <c r="O903" s="3"/>
      <c r="P903" s="3"/>
      <c r="Q903" s="3"/>
      <c r="R903" s="17"/>
      <c r="S903" s="17"/>
      <c r="T903" s="17"/>
      <c r="U903" s="17"/>
      <c r="V903" s="17"/>
    </row>
    <row r="904" spans="3:22" ht="14.25" customHeight="1">
      <c r="C904" s="28"/>
      <c r="D904" s="29"/>
      <c r="E904" s="28"/>
      <c r="F904" s="3"/>
      <c r="G904" s="3"/>
      <c r="H904" s="3"/>
      <c r="I904" s="25"/>
      <c r="J904" s="25"/>
      <c r="K904" s="17"/>
      <c r="L904" s="17"/>
      <c r="M904" s="28"/>
      <c r="N904" s="28"/>
      <c r="O904" s="3"/>
      <c r="P904" s="3"/>
      <c r="Q904" s="3"/>
      <c r="R904" s="17"/>
      <c r="S904" s="17"/>
      <c r="T904" s="17"/>
      <c r="U904" s="17"/>
      <c r="V904" s="17"/>
    </row>
    <row r="905" spans="3:22" ht="14.25" customHeight="1">
      <c r="C905" s="28"/>
      <c r="D905" s="29"/>
      <c r="E905" s="28"/>
      <c r="F905" s="3"/>
      <c r="G905" s="3"/>
      <c r="H905" s="3"/>
      <c r="I905" s="25"/>
      <c r="J905" s="25"/>
      <c r="K905" s="17"/>
      <c r="L905" s="17"/>
      <c r="M905" s="28"/>
      <c r="N905" s="28"/>
      <c r="O905" s="3"/>
      <c r="P905" s="3"/>
      <c r="Q905" s="3"/>
      <c r="R905" s="17"/>
      <c r="S905" s="17"/>
      <c r="T905" s="17"/>
      <c r="U905" s="17"/>
      <c r="V905" s="17"/>
    </row>
    <row r="906" spans="3:22" ht="14.25" customHeight="1">
      <c r="C906" s="28"/>
      <c r="D906" s="29"/>
      <c r="E906" s="28"/>
      <c r="F906" s="3"/>
      <c r="G906" s="3"/>
      <c r="H906" s="3"/>
      <c r="I906" s="25"/>
      <c r="J906" s="25"/>
      <c r="K906" s="17"/>
      <c r="L906" s="17"/>
      <c r="M906" s="28"/>
      <c r="N906" s="28"/>
      <c r="O906" s="3"/>
      <c r="P906" s="3"/>
      <c r="Q906" s="3"/>
      <c r="R906" s="17"/>
      <c r="S906" s="17"/>
      <c r="T906" s="17"/>
      <c r="U906" s="17"/>
      <c r="V906" s="17"/>
    </row>
    <row r="907" spans="3:22" ht="14.25" customHeight="1">
      <c r="C907" s="28"/>
      <c r="D907" s="29"/>
      <c r="E907" s="28"/>
      <c r="F907" s="3"/>
      <c r="G907" s="3"/>
      <c r="H907" s="3"/>
      <c r="I907" s="25"/>
      <c r="J907" s="25"/>
      <c r="K907" s="17"/>
      <c r="L907" s="17"/>
      <c r="M907" s="28"/>
      <c r="N907" s="28"/>
      <c r="O907" s="3"/>
      <c r="P907" s="3"/>
      <c r="Q907" s="3"/>
      <c r="R907" s="17"/>
      <c r="S907" s="17"/>
      <c r="T907" s="17"/>
      <c r="U907" s="17"/>
      <c r="V907" s="17"/>
    </row>
    <row r="908" spans="3:22" ht="14.25" customHeight="1">
      <c r="C908" s="28"/>
      <c r="D908" s="29"/>
      <c r="E908" s="28"/>
      <c r="F908" s="3"/>
      <c r="G908" s="3"/>
      <c r="H908" s="3"/>
      <c r="I908" s="25"/>
      <c r="J908" s="25"/>
      <c r="K908" s="17"/>
      <c r="L908" s="17"/>
      <c r="M908" s="28"/>
      <c r="N908" s="28"/>
      <c r="O908" s="3"/>
      <c r="P908" s="3"/>
      <c r="Q908" s="3"/>
      <c r="R908" s="17"/>
      <c r="S908" s="17"/>
      <c r="T908" s="17"/>
      <c r="U908" s="17"/>
      <c r="V908" s="17"/>
    </row>
    <row r="909" spans="3:22" ht="14.25" customHeight="1">
      <c r="C909" s="28"/>
      <c r="D909" s="29"/>
      <c r="E909" s="28"/>
      <c r="F909" s="3"/>
      <c r="G909" s="3"/>
      <c r="H909" s="3"/>
      <c r="I909" s="25"/>
      <c r="J909" s="25"/>
      <c r="K909" s="17"/>
      <c r="L909" s="17"/>
      <c r="M909" s="28"/>
      <c r="N909" s="28"/>
      <c r="O909" s="3"/>
      <c r="P909" s="3"/>
      <c r="Q909" s="3"/>
      <c r="R909" s="17"/>
      <c r="S909" s="17"/>
      <c r="T909" s="17"/>
      <c r="U909" s="17"/>
      <c r="V909" s="17"/>
    </row>
    <row r="910" spans="3:22" ht="14.25" customHeight="1">
      <c r="C910" s="28"/>
      <c r="D910" s="29"/>
      <c r="E910" s="28"/>
      <c r="F910" s="3"/>
      <c r="G910" s="3"/>
      <c r="H910" s="3"/>
      <c r="I910" s="25"/>
      <c r="J910" s="25"/>
      <c r="K910" s="17"/>
      <c r="L910" s="17"/>
      <c r="M910" s="28"/>
      <c r="N910" s="28"/>
      <c r="O910" s="3"/>
      <c r="P910" s="3"/>
      <c r="Q910" s="3"/>
      <c r="R910" s="17"/>
      <c r="S910" s="17"/>
      <c r="T910" s="17"/>
      <c r="U910" s="17"/>
      <c r="V910" s="17"/>
    </row>
    <row r="911" spans="3:22" ht="14.25" customHeight="1">
      <c r="C911" s="28"/>
      <c r="D911" s="29"/>
      <c r="E911" s="28"/>
      <c r="F911" s="3"/>
      <c r="G911" s="3"/>
      <c r="H911" s="3"/>
      <c r="I911" s="25"/>
      <c r="J911" s="25"/>
      <c r="K911" s="17"/>
      <c r="L911" s="17"/>
      <c r="M911" s="28"/>
      <c r="N911" s="28"/>
      <c r="O911" s="3"/>
      <c r="P911" s="3"/>
      <c r="Q911" s="3"/>
      <c r="R911" s="17"/>
      <c r="S911" s="17"/>
      <c r="T911" s="17"/>
      <c r="U911" s="17"/>
      <c r="V911" s="17"/>
    </row>
    <row r="912" spans="3:22" ht="14.25" customHeight="1">
      <c r="C912" s="28"/>
      <c r="D912" s="29"/>
      <c r="E912" s="28"/>
      <c r="F912" s="3"/>
      <c r="G912" s="3"/>
      <c r="H912" s="3"/>
      <c r="I912" s="25"/>
      <c r="J912" s="25"/>
      <c r="K912" s="17"/>
      <c r="L912" s="17"/>
      <c r="M912" s="28"/>
      <c r="N912" s="28"/>
      <c r="O912" s="3"/>
      <c r="P912" s="3"/>
      <c r="Q912" s="3"/>
      <c r="R912" s="17"/>
      <c r="S912" s="17"/>
      <c r="T912" s="17"/>
      <c r="U912" s="17"/>
      <c r="V912" s="17"/>
    </row>
    <row r="913" spans="3:22" ht="14.25" customHeight="1">
      <c r="C913" s="28"/>
      <c r="D913" s="29"/>
      <c r="E913" s="28"/>
      <c r="F913" s="3"/>
      <c r="G913" s="3"/>
      <c r="H913" s="3"/>
      <c r="I913" s="25"/>
      <c r="J913" s="25"/>
      <c r="K913" s="17"/>
      <c r="L913" s="17"/>
      <c r="M913" s="28"/>
      <c r="N913" s="28"/>
      <c r="O913" s="3"/>
      <c r="P913" s="3"/>
      <c r="Q913" s="3"/>
      <c r="R913" s="17"/>
      <c r="S913" s="17"/>
      <c r="T913" s="17"/>
      <c r="U913" s="17"/>
      <c r="V913" s="17"/>
    </row>
    <row r="914" spans="3:22" ht="14.25" customHeight="1">
      <c r="C914" s="28"/>
      <c r="D914" s="29"/>
      <c r="E914" s="28"/>
      <c r="F914" s="3"/>
      <c r="G914" s="3"/>
      <c r="H914" s="3"/>
      <c r="I914" s="25"/>
      <c r="J914" s="25"/>
      <c r="K914" s="17"/>
      <c r="L914" s="17"/>
      <c r="M914" s="28"/>
      <c r="N914" s="28"/>
      <c r="O914" s="3"/>
      <c r="P914" s="3"/>
      <c r="Q914" s="3"/>
      <c r="R914" s="17"/>
      <c r="S914" s="17"/>
      <c r="T914" s="17"/>
      <c r="U914" s="17"/>
      <c r="V914" s="17"/>
    </row>
    <row r="915" spans="3:22" ht="14.25" customHeight="1">
      <c r="C915" s="28"/>
      <c r="D915" s="29"/>
      <c r="E915" s="28"/>
      <c r="F915" s="3"/>
      <c r="G915" s="3"/>
      <c r="H915" s="3"/>
      <c r="I915" s="25"/>
      <c r="J915" s="25"/>
      <c r="K915" s="17"/>
      <c r="L915" s="17"/>
      <c r="M915" s="28"/>
      <c r="N915" s="28"/>
      <c r="O915" s="3"/>
      <c r="P915" s="3"/>
      <c r="Q915" s="3"/>
      <c r="R915" s="17"/>
      <c r="S915" s="17"/>
      <c r="T915" s="17"/>
      <c r="U915" s="17"/>
      <c r="V915" s="17"/>
    </row>
    <row r="916" spans="3:22" ht="14.25" customHeight="1">
      <c r="C916" s="28"/>
      <c r="D916" s="29"/>
      <c r="E916" s="28"/>
      <c r="F916" s="3"/>
      <c r="G916" s="3"/>
      <c r="H916" s="3"/>
      <c r="I916" s="25"/>
      <c r="J916" s="25"/>
      <c r="K916" s="17"/>
      <c r="L916" s="17"/>
      <c r="M916" s="28"/>
      <c r="N916" s="28"/>
      <c r="O916" s="3"/>
      <c r="P916" s="3"/>
      <c r="Q916" s="3"/>
      <c r="R916" s="17"/>
      <c r="S916" s="17"/>
      <c r="T916" s="17"/>
      <c r="U916" s="17"/>
      <c r="V916" s="17"/>
    </row>
    <row r="917" spans="3:22" ht="14.25" customHeight="1">
      <c r="C917" s="28"/>
      <c r="D917" s="29"/>
      <c r="E917" s="28"/>
      <c r="F917" s="3"/>
      <c r="G917" s="3"/>
      <c r="H917" s="3"/>
      <c r="I917" s="25"/>
      <c r="J917" s="25"/>
      <c r="K917" s="17"/>
      <c r="L917" s="17"/>
      <c r="M917" s="28"/>
      <c r="N917" s="28"/>
      <c r="O917" s="3"/>
      <c r="P917" s="3"/>
      <c r="Q917" s="3"/>
      <c r="R917" s="17"/>
      <c r="S917" s="17"/>
      <c r="T917" s="17"/>
      <c r="U917" s="17"/>
      <c r="V917" s="17"/>
    </row>
    <row r="918" spans="3:22" ht="14.25" customHeight="1">
      <c r="C918" s="28"/>
      <c r="D918" s="29"/>
      <c r="E918" s="28"/>
      <c r="F918" s="3"/>
      <c r="G918" s="3"/>
      <c r="H918" s="3"/>
      <c r="I918" s="25"/>
      <c r="J918" s="25"/>
      <c r="K918" s="17"/>
      <c r="L918" s="17"/>
      <c r="M918" s="28"/>
      <c r="N918" s="28"/>
      <c r="O918" s="3"/>
      <c r="P918" s="3"/>
      <c r="Q918" s="3"/>
      <c r="R918" s="17"/>
      <c r="S918" s="17"/>
      <c r="T918" s="17"/>
      <c r="U918" s="17"/>
      <c r="V918" s="17"/>
    </row>
    <row r="919" spans="3:22" ht="14.25" customHeight="1">
      <c r="C919" s="28"/>
      <c r="D919" s="29"/>
      <c r="E919" s="28"/>
      <c r="F919" s="3"/>
      <c r="G919" s="3"/>
      <c r="H919" s="3"/>
      <c r="I919" s="25"/>
      <c r="J919" s="25"/>
      <c r="K919" s="17"/>
      <c r="L919" s="17"/>
      <c r="M919" s="28"/>
      <c r="N919" s="28"/>
      <c r="O919" s="3"/>
      <c r="P919" s="3"/>
      <c r="Q919" s="3"/>
      <c r="R919" s="17"/>
      <c r="S919" s="17"/>
      <c r="T919" s="17"/>
      <c r="U919" s="17"/>
      <c r="V919" s="17"/>
    </row>
    <row r="920" spans="3:22" ht="14.25" customHeight="1">
      <c r="C920" s="28"/>
      <c r="D920" s="29"/>
      <c r="E920" s="28"/>
      <c r="F920" s="3"/>
      <c r="G920" s="3"/>
      <c r="H920" s="3"/>
      <c r="I920" s="25"/>
      <c r="J920" s="25"/>
      <c r="K920" s="17"/>
      <c r="L920" s="17"/>
      <c r="M920" s="28"/>
      <c r="N920" s="28"/>
      <c r="O920" s="3"/>
      <c r="P920" s="3"/>
      <c r="Q920" s="3"/>
      <c r="R920" s="17"/>
      <c r="S920" s="17"/>
      <c r="T920" s="17"/>
      <c r="U920" s="17"/>
      <c r="V920" s="17"/>
    </row>
    <row r="921" spans="3:22" ht="14.25" customHeight="1">
      <c r="C921" s="28"/>
      <c r="D921" s="29"/>
      <c r="E921" s="28"/>
      <c r="F921" s="3"/>
      <c r="G921" s="3"/>
      <c r="H921" s="3"/>
      <c r="I921" s="25"/>
      <c r="J921" s="25"/>
      <c r="K921" s="17"/>
      <c r="L921" s="17"/>
      <c r="M921" s="28"/>
      <c r="N921" s="28"/>
      <c r="O921" s="3"/>
      <c r="P921" s="3"/>
      <c r="Q921" s="3"/>
      <c r="R921" s="17"/>
      <c r="S921" s="17"/>
      <c r="T921" s="17"/>
      <c r="U921" s="17"/>
      <c r="V921" s="17"/>
    </row>
    <row r="922" spans="3:22" ht="14.25" customHeight="1">
      <c r="C922" s="28"/>
      <c r="D922" s="29"/>
      <c r="E922" s="28"/>
      <c r="F922" s="3"/>
      <c r="G922" s="3"/>
      <c r="H922" s="3"/>
      <c r="I922" s="25"/>
      <c r="J922" s="25"/>
      <c r="K922" s="17"/>
      <c r="L922" s="17"/>
      <c r="M922" s="28"/>
      <c r="N922" s="28"/>
      <c r="O922" s="3"/>
      <c r="P922" s="3"/>
      <c r="Q922" s="3"/>
      <c r="R922" s="17"/>
      <c r="S922" s="17"/>
      <c r="T922" s="17"/>
      <c r="U922" s="17"/>
      <c r="V922" s="17"/>
    </row>
    <row r="923" spans="3:22" ht="14.25" customHeight="1">
      <c r="C923" s="28"/>
      <c r="D923" s="29"/>
      <c r="E923" s="28"/>
      <c r="F923" s="3"/>
      <c r="G923" s="3"/>
      <c r="H923" s="3"/>
      <c r="I923" s="25"/>
      <c r="J923" s="25"/>
      <c r="K923" s="17"/>
      <c r="L923" s="17"/>
      <c r="M923" s="28"/>
      <c r="N923" s="28"/>
      <c r="O923" s="3"/>
      <c r="P923" s="3"/>
      <c r="Q923" s="3"/>
      <c r="R923" s="17"/>
      <c r="S923" s="17"/>
      <c r="T923" s="17"/>
      <c r="U923" s="17"/>
      <c r="V923" s="17"/>
    </row>
    <row r="924" spans="3:22" ht="14.25" customHeight="1">
      <c r="C924" s="28"/>
      <c r="D924" s="29"/>
      <c r="E924" s="28"/>
      <c r="F924" s="3"/>
      <c r="G924" s="3"/>
      <c r="H924" s="3"/>
      <c r="I924" s="25"/>
      <c r="J924" s="25"/>
      <c r="K924" s="17"/>
      <c r="L924" s="17"/>
      <c r="M924" s="28"/>
      <c r="N924" s="28"/>
      <c r="O924" s="3"/>
      <c r="P924" s="3"/>
      <c r="Q924" s="3"/>
      <c r="R924" s="17"/>
      <c r="S924" s="17"/>
      <c r="T924" s="17"/>
      <c r="U924" s="17"/>
      <c r="V924" s="17"/>
    </row>
    <row r="925" spans="3:22" ht="14.25" customHeight="1">
      <c r="C925" s="28"/>
      <c r="D925" s="29"/>
      <c r="E925" s="28"/>
      <c r="F925" s="3"/>
      <c r="G925" s="3"/>
      <c r="H925" s="3"/>
      <c r="I925" s="25"/>
      <c r="J925" s="25"/>
      <c r="K925" s="17"/>
      <c r="L925" s="17"/>
      <c r="M925" s="28"/>
      <c r="N925" s="28"/>
      <c r="O925" s="3"/>
      <c r="P925" s="3"/>
      <c r="Q925" s="3"/>
      <c r="R925" s="17"/>
      <c r="S925" s="17"/>
      <c r="T925" s="17"/>
      <c r="U925" s="17"/>
      <c r="V925" s="17"/>
    </row>
    <row r="926" spans="3:22" ht="14.25" customHeight="1">
      <c r="C926" s="28"/>
      <c r="D926" s="29"/>
      <c r="E926" s="28"/>
      <c r="F926" s="3"/>
      <c r="G926" s="3"/>
      <c r="H926" s="3"/>
      <c r="I926" s="25"/>
      <c r="J926" s="25"/>
      <c r="K926" s="17"/>
      <c r="L926" s="17"/>
      <c r="M926" s="28"/>
      <c r="N926" s="28"/>
      <c r="O926" s="3"/>
      <c r="P926" s="3"/>
      <c r="Q926" s="3"/>
      <c r="R926" s="17"/>
      <c r="S926" s="17"/>
      <c r="T926" s="17"/>
      <c r="U926" s="17"/>
      <c r="V926" s="17"/>
    </row>
    <row r="927" spans="3:22" ht="14.25" customHeight="1">
      <c r="C927" s="28"/>
      <c r="D927" s="29"/>
      <c r="E927" s="28"/>
      <c r="F927" s="3"/>
      <c r="G927" s="3"/>
      <c r="H927" s="3"/>
      <c r="I927" s="25"/>
      <c r="J927" s="25"/>
      <c r="K927" s="17"/>
      <c r="L927" s="17"/>
      <c r="M927" s="28"/>
      <c r="N927" s="28"/>
      <c r="O927" s="3"/>
      <c r="P927" s="3"/>
      <c r="Q927" s="3"/>
      <c r="R927" s="17"/>
      <c r="S927" s="17"/>
      <c r="T927" s="17"/>
      <c r="U927" s="17"/>
      <c r="V927" s="17"/>
    </row>
    <row r="928" spans="3:22" ht="14.25" customHeight="1">
      <c r="C928" s="28"/>
      <c r="D928" s="29"/>
      <c r="E928" s="28"/>
      <c r="F928" s="3"/>
      <c r="G928" s="3"/>
      <c r="H928" s="3"/>
      <c r="I928" s="25"/>
      <c r="J928" s="25"/>
      <c r="K928" s="17"/>
      <c r="L928" s="17"/>
      <c r="M928" s="28"/>
      <c r="N928" s="28"/>
      <c r="O928" s="3"/>
      <c r="P928" s="3"/>
      <c r="Q928" s="3"/>
      <c r="R928" s="17"/>
      <c r="S928" s="17"/>
      <c r="T928" s="17"/>
      <c r="U928" s="17"/>
      <c r="V928" s="17"/>
    </row>
    <row r="929" spans="3:22" ht="14.25" customHeight="1">
      <c r="C929" s="28"/>
      <c r="D929" s="29"/>
      <c r="E929" s="28"/>
      <c r="F929" s="3"/>
      <c r="G929" s="3"/>
      <c r="H929" s="3"/>
      <c r="I929" s="25"/>
      <c r="J929" s="25"/>
      <c r="K929" s="17"/>
      <c r="L929" s="17"/>
      <c r="M929" s="28"/>
      <c r="N929" s="28"/>
      <c r="O929" s="3"/>
      <c r="P929" s="3"/>
      <c r="Q929" s="3"/>
      <c r="R929" s="17"/>
      <c r="S929" s="17"/>
      <c r="T929" s="17"/>
      <c r="U929" s="17"/>
      <c r="V929" s="17"/>
    </row>
    <row r="930" spans="3:22" ht="14.25" customHeight="1">
      <c r="C930" s="28"/>
      <c r="D930" s="29"/>
      <c r="E930" s="28"/>
      <c r="F930" s="3"/>
      <c r="G930" s="3"/>
      <c r="H930" s="3"/>
      <c r="I930" s="25"/>
      <c r="J930" s="25"/>
      <c r="K930" s="17"/>
      <c r="L930" s="17"/>
      <c r="M930" s="28"/>
      <c r="N930" s="28"/>
      <c r="O930" s="3"/>
      <c r="P930" s="3"/>
      <c r="Q930" s="3"/>
      <c r="R930" s="17"/>
      <c r="S930" s="17"/>
      <c r="T930" s="17"/>
      <c r="U930" s="17"/>
      <c r="V930" s="17"/>
    </row>
    <row r="931" spans="3:22" ht="14.25" customHeight="1">
      <c r="C931" s="28"/>
      <c r="D931" s="29"/>
      <c r="E931" s="28"/>
      <c r="F931" s="3"/>
      <c r="G931" s="3"/>
      <c r="H931" s="3"/>
      <c r="I931" s="25"/>
      <c r="J931" s="25"/>
      <c r="K931" s="17"/>
      <c r="L931" s="17"/>
      <c r="M931" s="28"/>
      <c r="N931" s="28"/>
      <c r="O931" s="3"/>
      <c r="P931" s="3"/>
      <c r="Q931" s="3"/>
      <c r="R931" s="17"/>
      <c r="S931" s="17"/>
      <c r="T931" s="17"/>
      <c r="U931" s="17"/>
      <c r="V931" s="17"/>
    </row>
    <row r="932" spans="3:22" ht="14.25" customHeight="1">
      <c r="C932" s="28"/>
      <c r="D932" s="29"/>
      <c r="E932" s="28"/>
      <c r="F932" s="3"/>
      <c r="G932" s="3"/>
      <c r="H932" s="3"/>
      <c r="I932" s="25"/>
      <c r="J932" s="25"/>
      <c r="K932" s="17"/>
      <c r="L932" s="17"/>
      <c r="M932" s="28"/>
      <c r="N932" s="28"/>
      <c r="O932" s="3"/>
      <c r="P932" s="3"/>
      <c r="Q932" s="3"/>
      <c r="R932" s="17"/>
      <c r="S932" s="17"/>
      <c r="T932" s="17"/>
      <c r="U932" s="17"/>
      <c r="V932" s="17"/>
    </row>
    <row r="933" spans="3:22" ht="14.25" customHeight="1">
      <c r="C933" s="28"/>
      <c r="D933" s="29"/>
      <c r="E933" s="28"/>
      <c r="F933" s="3"/>
      <c r="G933" s="3"/>
      <c r="H933" s="3"/>
      <c r="I933" s="25"/>
      <c r="J933" s="25"/>
      <c r="K933" s="17"/>
      <c r="L933" s="17"/>
      <c r="M933" s="28"/>
      <c r="N933" s="28"/>
      <c r="O933" s="3"/>
      <c r="P933" s="3"/>
      <c r="Q933" s="3"/>
      <c r="R933" s="17"/>
      <c r="S933" s="17"/>
      <c r="T933" s="17"/>
      <c r="U933" s="17"/>
      <c r="V933" s="17"/>
    </row>
    <row r="934" spans="3:22" ht="14.25" customHeight="1">
      <c r="C934" s="28"/>
      <c r="D934" s="29"/>
      <c r="E934" s="28"/>
      <c r="F934" s="3"/>
      <c r="G934" s="3"/>
      <c r="H934" s="3"/>
      <c r="I934" s="25"/>
      <c r="J934" s="25"/>
      <c r="K934" s="17"/>
      <c r="L934" s="17"/>
      <c r="M934" s="28"/>
      <c r="N934" s="28"/>
      <c r="O934" s="3"/>
      <c r="P934" s="3"/>
      <c r="Q934" s="3"/>
      <c r="R934" s="17"/>
      <c r="S934" s="17"/>
      <c r="T934" s="17"/>
      <c r="U934" s="17"/>
      <c r="V934" s="17"/>
    </row>
    <row r="935" spans="3:22" ht="14.25" customHeight="1">
      <c r="C935" s="28"/>
      <c r="D935" s="29"/>
      <c r="E935" s="28"/>
      <c r="F935" s="3"/>
      <c r="G935" s="3"/>
      <c r="H935" s="3"/>
      <c r="I935" s="25"/>
      <c r="J935" s="25"/>
      <c r="K935" s="17"/>
      <c r="L935" s="17"/>
      <c r="M935" s="28"/>
      <c r="N935" s="28"/>
      <c r="O935" s="3"/>
      <c r="P935" s="3"/>
      <c r="Q935" s="3"/>
      <c r="R935" s="17"/>
      <c r="S935" s="17"/>
      <c r="T935" s="17"/>
      <c r="U935" s="17"/>
      <c r="V935" s="17"/>
    </row>
    <row r="936" spans="3:22" ht="14.25" customHeight="1">
      <c r="C936" s="28"/>
      <c r="D936" s="29"/>
      <c r="E936" s="28"/>
      <c r="F936" s="3"/>
      <c r="G936" s="3"/>
      <c r="H936" s="3"/>
      <c r="I936" s="25"/>
      <c r="J936" s="25"/>
      <c r="K936" s="17"/>
      <c r="L936" s="17"/>
      <c r="M936" s="28"/>
      <c r="N936" s="28"/>
      <c r="O936" s="3"/>
      <c r="P936" s="3"/>
      <c r="Q936" s="3"/>
      <c r="R936" s="17"/>
      <c r="S936" s="17"/>
      <c r="T936" s="17"/>
      <c r="U936" s="17"/>
      <c r="V936" s="17"/>
    </row>
    <row r="937" spans="3:22" ht="14.25" customHeight="1">
      <c r="C937" s="28"/>
      <c r="D937" s="29"/>
      <c r="E937" s="28"/>
      <c r="F937" s="3"/>
      <c r="G937" s="3"/>
      <c r="H937" s="3"/>
      <c r="I937" s="25"/>
      <c r="J937" s="25"/>
      <c r="K937" s="17"/>
      <c r="L937" s="17"/>
      <c r="M937" s="28"/>
      <c r="N937" s="28"/>
      <c r="O937" s="3"/>
      <c r="P937" s="3"/>
      <c r="Q937" s="3"/>
      <c r="R937" s="17"/>
      <c r="S937" s="17"/>
      <c r="T937" s="17"/>
      <c r="U937" s="17"/>
      <c r="V937" s="17"/>
    </row>
    <row r="938" spans="3:22" ht="14.25" customHeight="1">
      <c r="C938" s="28"/>
      <c r="D938" s="29"/>
      <c r="E938" s="28"/>
      <c r="F938" s="3"/>
      <c r="G938" s="3"/>
      <c r="H938" s="3"/>
      <c r="I938" s="25"/>
      <c r="J938" s="25"/>
      <c r="K938" s="17"/>
      <c r="L938" s="17"/>
      <c r="M938" s="28"/>
      <c r="N938" s="28"/>
      <c r="O938" s="3"/>
      <c r="P938" s="3"/>
      <c r="Q938" s="3"/>
      <c r="R938" s="17"/>
      <c r="S938" s="17"/>
      <c r="T938" s="17"/>
      <c r="U938" s="17"/>
      <c r="V938" s="17"/>
    </row>
    <row r="939" spans="3:22" ht="14.25" customHeight="1">
      <c r="C939" s="28"/>
      <c r="D939" s="29"/>
      <c r="E939" s="28"/>
      <c r="F939" s="3"/>
      <c r="G939" s="3"/>
      <c r="H939" s="3"/>
      <c r="I939" s="25"/>
      <c r="J939" s="25"/>
      <c r="K939" s="17"/>
      <c r="L939" s="17"/>
      <c r="M939" s="28"/>
      <c r="N939" s="28"/>
      <c r="O939" s="3"/>
      <c r="P939" s="3"/>
      <c r="Q939" s="3"/>
      <c r="R939" s="17"/>
      <c r="S939" s="17"/>
      <c r="T939" s="17"/>
      <c r="U939" s="17"/>
      <c r="V939" s="17"/>
    </row>
    <row r="940" spans="3:22" ht="14.25" customHeight="1">
      <c r="C940" s="28"/>
      <c r="D940" s="29"/>
      <c r="E940" s="28"/>
      <c r="F940" s="3"/>
      <c r="G940" s="3"/>
      <c r="H940" s="3"/>
      <c r="I940" s="25"/>
      <c r="J940" s="25"/>
      <c r="K940" s="17"/>
      <c r="L940" s="17"/>
      <c r="M940" s="28"/>
      <c r="N940" s="28"/>
      <c r="O940" s="3"/>
      <c r="P940" s="3"/>
      <c r="Q940" s="3"/>
      <c r="R940" s="17"/>
      <c r="S940" s="17"/>
      <c r="T940" s="17"/>
      <c r="U940" s="17"/>
      <c r="V940" s="17"/>
    </row>
    <row r="941" spans="3:22" ht="14.25" customHeight="1">
      <c r="C941" s="28"/>
      <c r="D941" s="29"/>
      <c r="E941" s="28"/>
      <c r="F941" s="3"/>
      <c r="G941" s="3"/>
      <c r="H941" s="3"/>
      <c r="I941" s="25"/>
      <c r="J941" s="25"/>
      <c r="K941" s="17"/>
      <c r="L941" s="17"/>
      <c r="M941" s="28"/>
      <c r="N941" s="28"/>
      <c r="O941" s="3"/>
      <c r="P941" s="3"/>
      <c r="Q941" s="3"/>
      <c r="R941" s="17"/>
      <c r="S941" s="17"/>
      <c r="T941" s="17"/>
      <c r="U941" s="17"/>
      <c r="V941" s="17"/>
    </row>
    <row r="942" spans="3:22" ht="14.25" customHeight="1">
      <c r="C942" s="28"/>
      <c r="D942" s="29"/>
      <c r="E942" s="28"/>
      <c r="F942" s="3"/>
      <c r="G942" s="3"/>
      <c r="H942" s="3"/>
      <c r="I942" s="25"/>
      <c r="J942" s="25"/>
      <c r="K942" s="17"/>
      <c r="L942" s="17"/>
      <c r="M942" s="28"/>
      <c r="N942" s="28"/>
      <c r="O942" s="3"/>
      <c r="P942" s="3"/>
      <c r="Q942" s="3"/>
      <c r="R942" s="17"/>
      <c r="S942" s="17"/>
      <c r="T942" s="17"/>
      <c r="U942" s="17"/>
      <c r="V942" s="17"/>
    </row>
    <row r="943" spans="3:22" ht="14.25" customHeight="1">
      <c r="C943" s="28"/>
      <c r="D943" s="29"/>
      <c r="E943" s="28"/>
      <c r="F943" s="3"/>
      <c r="G943" s="3"/>
      <c r="H943" s="3"/>
      <c r="I943" s="25"/>
      <c r="J943" s="25"/>
      <c r="K943" s="17"/>
      <c r="L943" s="17"/>
      <c r="M943" s="28"/>
      <c r="N943" s="28"/>
      <c r="O943" s="3"/>
      <c r="P943" s="3"/>
      <c r="Q943" s="3"/>
      <c r="R943" s="17"/>
      <c r="S943" s="17"/>
      <c r="T943" s="17"/>
      <c r="U943" s="17"/>
      <c r="V943" s="17"/>
    </row>
    <row r="944" spans="3:22" ht="14.25" customHeight="1">
      <c r="C944" s="28"/>
      <c r="D944" s="29"/>
      <c r="E944" s="28"/>
      <c r="F944" s="3"/>
      <c r="G944" s="3"/>
      <c r="H944" s="3"/>
      <c r="I944" s="25"/>
      <c r="J944" s="25"/>
      <c r="K944" s="17"/>
      <c r="L944" s="17"/>
      <c r="M944" s="28"/>
      <c r="N944" s="28"/>
      <c r="O944" s="3"/>
      <c r="P944" s="3"/>
      <c r="Q944" s="3"/>
      <c r="R944" s="17"/>
      <c r="S944" s="17"/>
      <c r="T944" s="17"/>
      <c r="U944" s="17"/>
      <c r="V944" s="17"/>
    </row>
    <row r="945" spans="3:22" ht="14.25" customHeight="1">
      <c r="C945" s="28"/>
      <c r="D945" s="29"/>
      <c r="E945" s="28"/>
      <c r="F945" s="3"/>
      <c r="G945" s="3"/>
      <c r="H945" s="3"/>
      <c r="I945" s="25"/>
      <c r="J945" s="25"/>
      <c r="K945" s="17"/>
      <c r="L945" s="17"/>
      <c r="M945" s="28"/>
      <c r="N945" s="28"/>
      <c r="O945" s="3"/>
      <c r="P945" s="3"/>
      <c r="Q945" s="3"/>
      <c r="R945" s="17"/>
      <c r="S945" s="17"/>
      <c r="T945" s="17"/>
      <c r="U945" s="17"/>
      <c r="V945" s="17"/>
    </row>
    <row r="946" spans="3:22" ht="14.25" customHeight="1">
      <c r="C946" s="28"/>
      <c r="D946" s="29"/>
      <c r="E946" s="28"/>
      <c r="F946" s="3"/>
      <c r="G946" s="3"/>
      <c r="H946" s="3"/>
      <c r="I946" s="25"/>
      <c r="J946" s="25"/>
      <c r="K946" s="17"/>
      <c r="L946" s="17"/>
      <c r="M946" s="28"/>
      <c r="N946" s="28"/>
      <c r="O946" s="3"/>
      <c r="P946" s="3"/>
      <c r="Q946" s="3"/>
      <c r="R946" s="17"/>
      <c r="S946" s="17"/>
      <c r="T946" s="17"/>
      <c r="U946" s="17"/>
      <c r="V946" s="17"/>
    </row>
    <row r="947" spans="3:22" ht="14.25" customHeight="1">
      <c r="C947" s="28"/>
      <c r="D947" s="29"/>
      <c r="E947" s="28"/>
      <c r="F947" s="3"/>
      <c r="G947" s="3"/>
      <c r="H947" s="3"/>
      <c r="I947" s="25"/>
      <c r="J947" s="25"/>
      <c r="K947" s="17"/>
      <c r="L947" s="17"/>
      <c r="M947" s="28"/>
      <c r="N947" s="28"/>
      <c r="O947" s="3"/>
      <c r="P947" s="3"/>
      <c r="Q947" s="3"/>
      <c r="R947" s="17"/>
      <c r="S947" s="17"/>
      <c r="T947" s="17"/>
      <c r="U947" s="17"/>
      <c r="V947" s="17"/>
    </row>
    <row r="948" spans="3:22" ht="14.25" customHeight="1">
      <c r="C948" s="28"/>
      <c r="D948" s="29"/>
      <c r="E948" s="28"/>
      <c r="F948" s="3"/>
      <c r="G948" s="3"/>
      <c r="H948" s="3"/>
      <c r="I948" s="25"/>
      <c r="J948" s="25"/>
      <c r="K948" s="17"/>
      <c r="L948" s="17"/>
      <c r="M948" s="28"/>
      <c r="N948" s="28"/>
      <c r="O948" s="3"/>
      <c r="P948" s="3"/>
      <c r="Q948" s="3"/>
      <c r="R948" s="17"/>
      <c r="S948" s="17"/>
      <c r="T948" s="17"/>
      <c r="U948" s="17"/>
      <c r="V948" s="17"/>
    </row>
    <row r="949" spans="3:22" ht="14.25" customHeight="1">
      <c r="C949" s="28"/>
      <c r="D949" s="29"/>
      <c r="E949" s="28"/>
      <c r="F949" s="3"/>
      <c r="G949" s="3"/>
      <c r="H949" s="3"/>
      <c r="I949" s="25"/>
      <c r="J949" s="25"/>
      <c r="K949" s="17"/>
      <c r="L949" s="17"/>
      <c r="M949" s="28"/>
      <c r="N949" s="28"/>
      <c r="O949" s="3"/>
      <c r="P949" s="3"/>
      <c r="Q949" s="3"/>
      <c r="R949" s="17"/>
      <c r="S949" s="17"/>
      <c r="T949" s="17"/>
      <c r="U949" s="17"/>
      <c r="V949" s="17"/>
    </row>
    <row r="950" spans="3:22" ht="14.25" customHeight="1">
      <c r="C950" s="28"/>
      <c r="D950" s="29"/>
      <c r="E950" s="28"/>
      <c r="F950" s="3"/>
      <c r="G950" s="3"/>
      <c r="H950" s="3"/>
      <c r="I950" s="25"/>
      <c r="J950" s="25"/>
      <c r="K950" s="17"/>
      <c r="L950" s="17"/>
      <c r="M950" s="28"/>
      <c r="N950" s="28"/>
      <c r="O950" s="3"/>
      <c r="P950" s="3"/>
      <c r="Q950" s="3"/>
      <c r="R950" s="17"/>
      <c r="S950" s="17"/>
      <c r="T950" s="17"/>
      <c r="U950" s="17"/>
      <c r="V950" s="17"/>
    </row>
    <row r="951" spans="3:22" ht="14.25" customHeight="1">
      <c r="C951" s="28"/>
      <c r="D951" s="29"/>
      <c r="E951" s="28"/>
      <c r="F951" s="3"/>
      <c r="G951" s="3"/>
      <c r="H951" s="3"/>
      <c r="I951" s="25"/>
      <c r="J951" s="25"/>
      <c r="K951" s="17"/>
      <c r="L951" s="17"/>
      <c r="M951" s="28"/>
      <c r="N951" s="28"/>
      <c r="O951" s="3"/>
      <c r="P951" s="3"/>
      <c r="Q951" s="3"/>
      <c r="R951" s="17"/>
      <c r="S951" s="17"/>
      <c r="T951" s="17"/>
      <c r="U951" s="17"/>
      <c r="V951" s="17"/>
    </row>
    <row r="952" spans="3:22" ht="14.25" customHeight="1">
      <c r="C952" s="28"/>
      <c r="D952" s="29"/>
      <c r="E952" s="28"/>
      <c r="F952" s="3"/>
      <c r="G952" s="3"/>
      <c r="H952" s="3"/>
      <c r="I952" s="25"/>
      <c r="J952" s="25"/>
      <c r="K952" s="17"/>
      <c r="L952" s="17"/>
      <c r="M952" s="28"/>
      <c r="N952" s="28"/>
      <c r="O952" s="3"/>
      <c r="P952" s="3"/>
      <c r="Q952" s="3"/>
      <c r="R952" s="17"/>
      <c r="S952" s="17"/>
      <c r="T952" s="17"/>
      <c r="U952" s="17"/>
      <c r="V952" s="17"/>
    </row>
    <row r="953" spans="3:22" ht="14.25" customHeight="1">
      <c r="C953" s="28"/>
      <c r="D953" s="29"/>
      <c r="E953" s="28"/>
      <c r="F953" s="3"/>
      <c r="G953" s="3"/>
      <c r="H953" s="3"/>
      <c r="I953" s="25"/>
      <c r="J953" s="25"/>
      <c r="K953" s="17"/>
      <c r="L953" s="17"/>
      <c r="M953" s="28"/>
      <c r="N953" s="28"/>
      <c r="O953" s="3"/>
      <c r="P953" s="3"/>
      <c r="Q953" s="3"/>
      <c r="R953" s="17"/>
      <c r="S953" s="17"/>
      <c r="T953" s="17"/>
      <c r="U953" s="17"/>
      <c r="V953" s="17"/>
    </row>
    <row r="954" spans="3:22" ht="14.25" customHeight="1">
      <c r="C954" s="28"/>
      <c r="D954" s="29"/>
      <c r="E954" s="28"/>
      <c r="F954" s="3"/>
      <c r="G954" s="3"/>
      <c r="H954" s="3"/>
      <c r="I954" s="25"/>
      <c r="J954" s="25"/>
      <c r="K954" s="17"/>
      <c r="L954" s="17"/>
      <c r="M954" s="28"/>
      <c r="N954" s="28"/>
      <c r="O954" s="3"/>
      <c r="P954" s="3"/>
      <c r="Q954" s="3"/>
      <c r="R954" s="17"/>
      <c r="S954" s="17"/>
      <c r="T954" s="17"/>
      <c r="U954" s="17"/>
      <c r="V954" s="17"/>
    </row>
    <row r="955" spans="3:22" ht="14.25" customHeight="1">
      <c r="C955" s="28"/>
      <c r="D955" s="29"/>
      <c r="E955" s="28"/>
      <c r="F955" s="3"/>
      <c r="G955" s="3"/>
      <c r="H955" s="3"/>
      <c r="I955" s="25"/>
      <c r="J955" s="25"/>
      <c r="K955" s="17"/>
      <c r="L955" s="17"/>
      <c r="M955" s="28"/>
      <c r="N955" s="28"/>
      <c r="O955" s="3"/>
      <c r="P955" s="3"/>
      <c r="Q955" s="3"/>
      <c r="R955" s="17"/>
      <c r="S955" s="17"/>
      <c r="T955" s="17"/>
      <c r="U955" s="17"/>
      <c r="V955" s="17"/>
    </row>
    <row r="956" spans="3:22" ht="14.25" customHeight="1">
      <c r="C956" s="28"/>
      <c r="D956" s="29"/>
      <c r="E956" s="28"/>
      <c r="F956" s="3"/>
      <c r="G956" s="3"/>
      <c r="H956" s="3"/>
      <c r="I956" s="25"/>
      <c r="J956" s="25"/>
      <c r="K956" s="17"/>
      <c r="L956" s="17"/>
      <c r="M956" s="28"/>
      <c r="N956" s="28"/>
      <c r="O956" s="3"/>
      <c r="P956" s="3"/>
      <c r="Q956" s="3"/>
      <c r="R956" s="17"/>
      <c r="S956" s="17"/>
      <c r="T956" s="17"/>
      <c r="U956" s="17"/>
      <c r="V956" s="17"/>
    </row>
    <row r="957" spans="3:22" ht="14.25" customHeight="1">
      <c r="C957" s="28"/>
      <c r="D957" s="29"/>
      <c r="E957" s="28"/>
      <c r="F957" s="3"/>
      <c r="G957" s="3"/>
      <c r="H957" s="3"/>
      <c r="I957" s="25"/>
      <c r="J957" s="25"/>
      <c r="K957" s="17"/>
      <c r="L957" s="17"/>
      <c r="M957" s="28"/>
      <c r="N957" s="28"/>
      <c r="O957" s="3"/>
      <c r="P957" s="3"/>
      <c r="Q957" s="3"/>
      <c r="R957" s="17"/>
      <c r="S957" s="17"/>
      <c r="T957" s="17"/>
      <c r="U957" s="17"/>
      <c r="V957" s="17"/>
    </row>
    <row r="958" spans="3:22" ht="14.25" customHeight="1">
      <c r="C958" s="28"/>
      <c r="D958" s="29"/>
      <c r="E958" s="28"/>
      <c r="F958" s="3"/>
      <c r="G958" s="3"/>
      <c r="H958" s="3"/>
      <c r="I958" s="25"/>
      <c r="J958" s="25"/>
      <c r="K958" s="17"/>
      <c r="L958" s="17"/>
      <c r="M958" s="28"/>
      <c r="N958" s="28"/>
      <c r="O958" s="3"/>
      <c r="P958" s="3"/>
      <c r="Q958" s="3"/>
      <c r="R958" s="17"/>
      <c r="S958" s="17"/>
      <c r="T958" s="17"/>
      <c r="U958" s="17"/>
      <c r="V958" s="17"/>
    </row>
    <row r="959" spans="3:22" ht="14.25" customHeight="1">
      <c r="C959" s="28"/>
      <c r="D959" s="29"/>
      <c r="E959" s="28"/>
      <c r="F959" s="3"/>
      <c r="G959" s="3"/>
      <c r="H959" s="3"/>
      <c r="I959" s="25"/>
      <c r="J959" s="25"/>
      <c r="K959" s="17"/>
      <c r="L959" s="17"/>
      <c r="M959" s="28"/>
      <c r="N959" s="28"/>
      <c r="O959" s="3"/>
      <c r="P959" s="3"/>
      <c r="Q959" s="3"/>
      <c r="R959" s="17"/>
      <c r="S959" s="17"/>
      <c r="T959" s="17"/>
      <c r="U959" s="17"/>
      <c r="V959" s="17"/>
    </row>
    <row r="960" spans="3:22" ht="14.25" customHeight="1">
      <c r="C960" s="28"/>
      <c r="D960" s="29"/>
      <c r="E960" s="28"/>
      <c r="F960" s="3"/>
      <c r="G960" s="3"/>
      <c r="H960" s="3"/>
      <c r="I960" s="25"/>
      <c r="J960" s="25"/>
      <c r="K960" s="17"/>
      <c r="L960" s="17"/>
      <c r="M960" s="28"/>
      <c r="N960" s="28"/>
      <c r="O960" s="3"/>
      <c r="P960" s="3"/>
      <c r="Q960" s="3"/>
      <c r="R960" s="17"/>
      <c r="S960" s="17"/>
      <c r="T960" s="17"/>
      <c r="U960" s="17"/>
      <c r="V960" s="17"/>
    </row>
    <row r="961" spans="3:22" ht="14.25" customHeight="1">
      <c r="C961" s="28"/>
      <c r="D961" s="29"/>
      <c r="E961" s="28"/>
      <c r="F961" s="3"/>
      <c r="G961" s="3"/>
      <c r="H961" s="3"/>
      <c r="I961" s="25"/>
      <c r="J961" s="25"/>
      <c r="K961" s="17"/>
      <c r="L961" s="17"/>
      <c r="M961" s="28"/>
      <c r="N961" s="28"/>
      <c r="O961" s="3"/>
      <c r="P961" s="3"/>
      <c r="Q961" s="3"/>
      <c r="R961" s="17"/>
      <c r="S961" s="17"/>
      <c r="T961" s="17"/>
      <c r="U961" s="17"/>
      <c r="V961" s="17"/>
    </row>
    <row r="962" spans="3:22" ht="14.25" customHeight="1">
      <c r="C962" s="28"/>
      <c r="D962" s="29"/>
      <c r="E962" s="28"/>
      <c r="F962" s="3"/>
      <c r="G962" s="3"/>
      <c r="H962" s="3"/>
      <c r="I962" s="25"/>
      <c r="J962" s="25"/>
      <c r="K962" s="17"/>
      <c r="L962" s="17"/>
      <c r="M962" s="28"/>
      <c r="N962" s="28"/>
      <c r="O962" s="3"/>
      <c r="P962" s="3"/>
      <c r="Q962" s="3"/>
      <c r="R962" s="17"/>
      <c r="S962" s="17"/>
      <c r="T962" s="17"/>
      <c r="U962" s="17"/>
      <c r="V962" s="17"/>
    </row>
    <row r="963" spans="3:22" ht="14.25" customHeight="1">
      <c r="C963" s="28"/>
      <c r="D963" s="29"/>
      <c r="E963" s="28"/>
      <c r="F963" s="3"/>
      <c r="G963" s="3"/>
      <c r="H963" s="3"/>
      <c r="I963" s="25"/>
      <c r="J963" s="25"/>
      <c r="K963" s="17"/>
      <c r="L963" s="17"/>
      <c r="M963" s="28"/>
      <c r="N963" s="28"/>
      <c r="O963" s="3"/>
      <c r="P963" s="3"/>
      <c r="Q963" s="3"/>
      <c r="R963" s="17"/>
      <c r="S963" s="17"/>
      <c r="T963" s="17"/>
      <c r="U963" s="17"/>
      <c r="V963" s="17"/>
    </row>
    <row r="964" spans="3:22" ht="14.25" customHeight="1">
      <c r="C964" s="28"/>
      <c r="D964" s="29"/>
      <c r="E964" s="28"/>
      <c r="F964" s="3"/>
      <c r="G964" s="3"/>
      <c r="H964" s="3"/>
      <c r="I964" s="25"/>
      <c r="J964" s="25"/>
      <c r="K964" s="17"/>
      <c r="L964" s="17"/>
      <c r="M964" s="28"/>
      <c r="N964" s="28"/>
      <c r="O964" s="3"/>
      <c r="P964" s="3"/>
      <c r="Q964" s="3"/>
      <c r="R964" s="17"/>
      <c r="S964" s="17"/>
      <c r="T964" s="17"/>
      <c r="U964" s="17"/>
      <c r="V964" s="17"/>
    </row>
    <row r="965" spans="3:22" ht="14.25" customHeight="1">
      <c r="C965" s="28"/>
      <c r="D965" s="29"/>
      <c r="E965" s="28"/>
      <c r="F965" s="3"/>
      <c r="G965" s="3"/>
      <c r="H965" s="3"/>
      <c r="I965" s="25"/>
      <c r="J965" s="25"/>
      <c r="K965" s="17"/>
      <c r="L965" s="17"/>
      <c r="M965" s="28"/>
      <c r="N965" s="28"/>
      <c r="O965" s="3"/>
      <c r="P965" s="3"/>
      <c r="Q965" s="3"/>
      <c r="R965" s="17"/>
      <c r="S965" s="17"/>
      <c r="T965" s="17"/>
      <c r="U965" s="17"/>
      <c r="V965" s="17"/>
    </row>
    <row r="966" spans="3:22" ht="14.25" customHeight="1">
      <c r="C966" s="28"/>
      <c r="D966" s="29"/>
      <c r="E966" s="28"/>
      <c r="F966" s="3"/>
      <c r="G966" s="3"/>
      <c r="H966" s="3"/>
      <c r="I966" s="25"/>
      <c r="J966" s="25"/>
      <c r="K966" s="17"/>
      <c r="L966" s="17"/>
      <c r="M966" s="28"/>
      <c r="N966" s="28"/>
      <c r="O966" s="3"/>
      <c r="P966" s="3"/>
      <c r="Q966" s="3"/>
      <c r="R966" s="17"/>
      <c r="S966" s="17"/>
      <c r="T966" s="17"/>
      <c r="U966" s="17"/>
      <c r="V966" s="17"/>
    </row>
    <row r="967" spans="3:22" ht="14.25" customHeight="1">
      <c r="C967" s="28"/>
      <c r="D967" s="29"/>
      <c r="E967" s="28"/>
      <c r="F967" s="3"/>
      <c r="G967" s="3"/>
      <c r="H967" s="3"/>
      <c r="I967" s="25"/>
      <c r="J967" s="25"/>
      <c r="K967" s="17"/>
      <c r="L967" s="17"/>
      <c r="M967" s="28"/>
      <c r="N967" s="28"/>
      <c r="O967" s="3"/>
      <c r="P967" s="3"/>
      <c r="Q967" s="3"/>
      <c r="R967" s="17"/>
      <c r="S967" s="17"/>
      <c r="T967" s="17"/>
      <c r="U967" s="17"/>
      <c r="V967" s="17"/>
    </row>
    <row r="968" spans="3:22" ht="14.25" customHeight="1">
      <c r="C968" s="28"/>
      <c r="D968" s="29"/>
      <c r="E968" s="28"/>
      <c r="F968" s="3"/>
      <c r="G968" s="3"/>
      <c r="H968" s="3"/>
      <c r="I968" s="25"/>
      <c r="J968" s="25"/>
      <c r="K968" s="17"/>
      <c r="L968" s="17"/>
      <c r="M968" s="28"/>
      <c r="N968" s="28"/>
      <c r="O968" s="3"/>
      <c r="P968" s="3"/>
      <c r="Q968" s="3"/>
      <c r="R968" s="17"/>
      <c r="S968" s="17"/>
      <c r="T968" s="17"/>
      <c r="U968" s="17"/>
      <c r="V968" s="17"/>
    </row>
    <row r="969" spans="3:22" ht="14.25" customHeight="1">
      <c r="C969" s="28"/>
      <c r="D969" s="29"/>
      <c r="E969" s="28"/>
      <c r="F969" s="3"/>
      <c r="G969" s="3"/>
      <c r="H969" s="3"/>
      <c r="I969" s="25"/>
      <c r="J969" s="25"/>
      <c r="K969" s="17"/>
      <c r="L969" s="17"/>
      <c r="M969" s="28"/>
      <c r="N969" s="28"/>
      <c r="O969" s="3"/>
      <c r="P969" s="3"/>
      <c r="Q969" s="3"/>
      <c r="R969" s="17"/>
      <c r="S969" s="17"/>
      <c r="T969" s="17"/>
      <c r="U969" s="17"/>
      <c r="V969" s="17"/>
    </row>
    <row r="970" spans="3:22" ht="14.25" customHeight="1">
      <c r="C970" s="28"/>
      <c r="D970" s="29"/>
      <c r="E970" s="28"/>
      <c r="F970" s="3"/>
      <c r="G970" s="3"/>
      <c r="H970" s="3"/>
      <c r="I970" s="25"/>
      <c r="J970" s="25"/>
      <c r="K970" s="17"/>
      <c r="L970" s="17"/>
      <c r="M970" s="28"/>
      <c r="N970" s="28"/>
      <c r="O970" s="3"/>
      <c r="P970" s="3"/>
      <c r="Q970" s="3"/>
      <c r="R970" s="17"/>
      <c r="S970" s="17"/>
      <c r="T970" s="17"/>
      <c r="U970" s="17"/>
      <c r="V970" s="17"/>
    </row>
    <row r="971" spans="3:22" ht="14.25" customHeight="1">
      <c r="C971" s="28"/>
      <c r="D971" s="29"/>
      <c r="E971" s="28"/>
      <c r="F971" s="3"/>
      <c r="G971" s="3"/>
      <c r="H971" s="3"/>
      <c r="I971" s="25"/>
      <c r="J971" s="25"/>
      <c r="K971" s="17"/>
      <c r="L971" s="17"/>
      <c r="M971" s="28"/>
      <c r="N971" s="28"/>
      <c r="O971" s="3"/>
      <c r="P971" s="3"/>
      <c r="Q971" s="3"/>
      <c r="R971" s="17"/>
      <c r="S971" s="17"/>
      <c r="T971" s="17"/>
      <c r="U971" s="17"/>
      <c r="V971" s="17"/>
    </row>
    <row r="972" spans="3:22" ht="14.25" customHeight="1">
      <c r="C972" s="28"/>
      <c r="D972" s="29"/>
      <c r="E972" s="28"/>
      <c r="F972" s="3"/>
      <c r="G972" s="3"/>
      <c r="H972" s="3"/>
      <c r="I972" s="25"/>
      <c r="J972" s="25"/>
      <c r="K972" s="17"/>
      <c r="L972" s="17"/>
      <c r="M972" s="28"/>
      <c r="N972" s="28"/>
      <c r="O972" s="3"/>
      <c r="P972" s="3"/>
      <c r="Q972" s="3"/>
      <c r="R972" s="17"/>
      <c r="S972" s="17"/>
      <c r="T972" s="17"/>
      <c r="U972" s="17"/>
      <c r="V972" s="17"/>
    </row>
    <row r="973" spans="3:22" ht="14.25" customHeight="1">
      <c r="C973" s="28"/>
      <c r="D973" s="29"/>
      <c r="E973" s="28"/>
      <c r="F973" s="3"/>
      <c r="G973" s="3"/>
      <c r="H973" s="3"/>
      <c r="I973" s="25"/>
      <c r="J973" s="25"/>
      <c r="K973" s="17"/>
      <c r="L973" s="17"/>
      <c r="M973" s="28"/>
      <c r="N973" s="28"/>
      <c r="O973" s="3"/>
      <c r="P973" s="3"/>
      <c r="Q973" s="3"/>
      <c r="R973" s="17"/>
      <c r="S973" s="17"/>
      <c r="T973" s="17"/>
      <c r="U973" s="17"/>
      <c r="V973" s="17"/>
    </row>
    <row r="974" spans="3:22" ht="14.25" customHeight="1">
      <c r="C974" s="28"/>
      <c r="D974" s="29"/>
      <c r="E974" s="28"/>
      <c r="F974" s="3"/>
      <c r="G974" s="3"/>
      <c r="H974" s="3"/>
      <c r="I974" s="25"/>
      <c r="J974" s="25"/>
      <c r="K974" s="17"/>
      <c r="L974" s="17"/>
      <c r="M974" s="28"/>
      <c r="N974" s="28"/>
      <c r="O974" s="3"/>
      <c r="P974" s="3"/>
      <c r="Q974" s="3"/>
      <c r="R974" s="17"/>
      <c r="S974" s="17"/>
      <c r="T974" s="17"/>
      <c r="U974" s="17"/>
      <c r="V974" s="17"/>
    </row>
    <row r="975" spans="3:22" ht="14.25" customHeight="1">
      <c r="C975" s="28"/>
      <c r="D975" s="29"/>
      <c r="E975" s="28"/>
      <c r="F975" s="3"/>
      <c r="G975" s="3"/>
      <c r="H975" s="3"/>
      <c r="I975" s="25"/>
      <c r="J975" s="25"/>
      <c r="K975" s="17"/>
      <c r="L975" s="17"/>
      <c r="M975" s="28"/>
      <c r="N975" s="28"/>
      <c r="O975" s="3"/>
      <c r="P975" s="3"/>
      <c r="Q975" s="3"/>
      <c r="R975" s="17"/>
      <c r="S975" s="17"/>
      <c r="T975" s="17"/>
      <c r="U975" s="17"/>
      <c r="V975" s="17"/>
    </row>
    <row r="976" spans="3:22" ht="14.25" customHeight="1">
      <c r="C976" s="28"/>
      <c r="D976" s="29"/>
      <c r="E976" s="28"/>
      <c r="F976" s="3"/>
      <c r="G976" s="3"/>
      <c r="H976" s="3"/>
      <c r="I976" s="25"/>
      <c r="J976" s="25"/>
      <c r="K976" s="17"/>
      <c r="L976" s="17"/>
      <c r="M976" s="28"/>
      <c r="N976" s="28"/>
      <c r="O976" s="3"/>
      <c r="P976" s="3"/>
      <c r="Q976" s="3"/>
      <c r="R976" s="17"/>
      <c r="S976" s="17"/>
      <c r="T976" s="17"/>
      <c r="U976" s="17"/>
      <c r="V976" s="17"/>
    </row>
    <row r="977" spans="3:22" ht="14.25" customHeight="1">
      <c r="C977" s="28"/>
      <c r="D977" s="29"/>
      <c r="E977" s="28"/>
      <c r="F977" s="3"/>
      <c r="G977" s="3"/>
      <c r="H977" s="3"/>
      <c r="I977" s="25"/>
      <c r="J977" s="25"/>
      <c r="K977" s="17"/>
      <c r="L977" s="17"/>
      <c r="M977" s="28"/>
      <c r="N977" s="28"/>
      <c r="O977" s="3"/>
      <c r="P977" s="3"/>
      <c r="Q977" s="3"/>
      <c r="R977" s="17"/>
      <c r="S977" s="17"/>
      <c r="T977" s="17"/>
      <c r="U977" s="17"/>
      <c r="V977" s="17"/>
    </row>
    <row r="978" spans="3:22" ht="14.25" customHeight="1">
      <c r="C978" s="28"/>
      <c r="D978" s="29"/>
      <c r="E978" s="28"/>
      <c r="F978" s="3"/>
      <c r="G978" s="3"/>
      <c r="H978" s="3"/>
      <c r="I978" s="25"/>
      <c r="J978" s="25"/>
      <c r="K978" s="17"/>
      <c r="L978" s="17"/>
      <c r="M978" s="28"/>
      <c r="N978" s="28"/>
      <c r="O978" s="3"/>
      <c r="P978" s="3"/>
      <c r="Q978" s="3"/>
      <c r="R978" s="17"/>
      <c r="S978" s="17"/>
      <c r="T978" s="17"/>
      <c r="U978" s="17"/>
      <c r="V978" s="17"/>
    </row>
    <row r="979" spans="3:22" ht="14.25" customHeight="1">
      <c r="C979" s="28"/>
      <c r="D979" s="29"/>
      <c r="E979" s="28"/>
      <c r="F979" s="3"/>
      <c r="G979" s="3"/>
      <c r="H979" s="3"/>
      <c r="I979" s="25"/>
      <c r="J979" s="25"/>
      <c r="K979" s="17"/>
      <c r="L979" s="17"/>
      <c r="M979" s="28"/>
      <c r="N979" s="28"/>
      <c r="O979" s="3"/>
      <c r="P979" s="3"/>
      <c r="Q979" s="3"/>
      <c r="R979" s="17"/>
      <c r="S979" s="17"/>
      <c r="T979" s="17"/>
      <c r="U979" s="17"/>
      <c r="V979" s="17"/>
    </row>
    <row r="980" spans="3:22" ht="14.25" customHeight="1">
      <c r="C980" s="28"/>
      <c r="D980" s="29"/>
      <c r="E980" s="28"/>
      <c r="F980" s="3"/>
      <c r="G980" s="3"/>
      <c r="H980" s="3"/>
      <c r="I980" s="25"/>
      <c r="J980" s="25"/>
      <c r="K980" s="17"/>
      <c r="L980" s="17"/>
      <c r="M980" s="28"/>
      <c r="N980" s="28"/>
      <c r="O980" s="3"/>
      <c r="P980" s="3"/>
      <c r="Q980" s="3"/>
      <c r="R980" s="17"/>
      <c r="S980" s="17"/>
      <c r="T980" s="17"/>
      <c r="U980" s="17"/>
      <c r="V980" s="17"/>
    </row>
    <row r="981" spans="3:22" ht="14.25" customHeight="1">
      <c r="C981" s="28"/>
      <c r="D981" s="29"/>
      <c r="E981" s="28"/>
      <c r="F981" s="3"/>
      <c r="G981" s="3"/>
      <c r="H981" s="3"/>
      <c r="I981" s="25"/>
      <c r="J981" s="25"/>
      <c r="K981" s="17"/>
      <c r="L981" s="17"/>
      <c r="M981" s="28"/>
      <c r="N981" s="28"/>
      <c r="O981" s="3"/>
      <c r="P981" s="3"/>
      <c r="Q981" s="3"/>
      <c r="R981" s="17"/>
      <c r="S981" s="17"/>
      <c r="T981" s="17"/>
      <c r="U981" s="17"/>
      <c r="V981" s="17"/>
    </row>
    <row r="982" spans="3:22" ht="14.25" customHeight="1">
      <c r="C982" s="28"/>
      <c r="D982" s="29"/>
      <c r="E982" s="28"/>
      <c r="F982" s="3"/>
      <c r="G982" s="3"/>
      <c r="H982" s="3"/>
      <c r="I982" s="25"/>
      <c r="J982" s="25"/>
      <c r="K982" s="17"/>
      <c r="L982" s="17"/>
      <c r="M982" s="28"/>
      <c r="N982" s="28"/>
      <c r="O982" s="3"/>
      <c r="P982" s="3"/>
      <c r="Q982" s="3"/>
      <c r="R982" s="17"/>
      <c r="S982" s="17"/>
      <c r="T982" s="17"/>
      <c r="U982" s="17"/>
      <c r="V982" s="17"/>
    </row>
    <row r="983" spans="3:22" ht="14.25" customHeight="1">
      <c r="C983" s="28"/>
      <c r="D983" s="29"/>
      <c r="E983" s="28"/>
      <c r="F983" s="3"/>
      <c r="G983" s="3"/>
      <c r="H983" s="3"/>
      <c r="I983" s="25"/>
      <c r="J983" s="25"/>
      <c r="K983" s="17"/>
      <c r="L983" s="17"/>
      <c r="M983" s="28"/>
      <c r="N983" s="28"/>
      <c r="O983" s="3"/>
      <c r="P983" s="3"/>
      <c r="Q983" s="3"/>
      <c r="R983" s="17"/>
      <c r="S983" s="17"/>
      <c r="T983" s="17"/>
      <c r="U983" s="17"/>
      <c r="V983" s="17"/>
    </row>
    <row r="984" spans="3:22" ht="14.25" customHeight="1">
      <c r="C984" s="28"/>
      <c r="D984" s="29"/>
      <c r="E984" s="28"/>
      <c r="F984" s="3"/>
      <c r="G984" s="3"/>
      <c r="H984" s="3"/>
      <c r="I984" s="25"/>
      <c r="J984" s="25"/>
      <c r="K984" s="17"/>
      <c r="L984" s="17"/>
      <c r="M984" s="28"/>
      <c r="N984" s="28"/>
      <c r="O984" s="3"/>
      <c r="P984" s="3"/>
      <c r="Q984" s="3"/>
      <c r="R984" s="17"/>
      <c r="S984" s="17"/>
      <c r="T984" s="17"/>
      <c r="U984" s="17"/>
      <c r="V984" s="17"/>
    </row>
    <row r="985" spans="3:22" ht="14.25" customHeight="1">
      <c r="C985" s="28"/>
      <c r="D985" s="29"/>
      <c r="E985" s="28"/>
      <c r="F985" s="3"/>
      <c r="G985" s="3"/>
      <c r="H985" s="3"/>
      <c r="I985" s="25"/>
      <c r="J985" s="25"/>
      <c r="K985" s="17"/>
      <c r="L985" s="17"/>
      <c r="M985" s="28"/>
      <c r="N985" s="28"/>
      <c r="O985" s="3"/>
      <c r="P985" s="3"/>
      <c r="Q985" s="3"/>
      <c r="R985" s="17"/>
      <c r="S985" s="17"/>
      <c r="T985" s="17"/>
      <c r="U985" s="17"/>
      <c r="V985" s="17"/>
    </row>
    <row r="986" spans="3:22" ht="14.25" customHeight="1">
      <c r="C986" s="28"/>
      <c r="D986" s="29"/>
      <c r="E986" s="28"/>
      <c r="F986" s="3"/>
      <c r="G986" s="3"/>
      <c r="H986" s="3"/>
      <c r="I986" s="25"/>
      <c r="J986" s="25"/>
      <c r="K986" s="17"/>
      <c r="L986" s="17"/>
      <c r="M986" s="28"/>
      <c r="N986" s="28"/>
      <c r="O986" s="3"/>
      <c r="P986" s="3"/>
      <c r="Q986" s="3"/>
      <c r="R986" s="17"/>
      <c r="S986" s="17"/>
      <c r="T986" s="17"/>
      <c r="U986" s="17"/>
      <c r="V986" s="17"/>
    </row>
    <row r="987" spans="3:22" ht="14.25" customHeight="1">
      <c r="C987" s="28"/>
      <c r="D987" s="29"/>
      <c r="E987" s="28"/>
      <c r="F987" s="3"/>
      <c r="G987" s="3"/>
      <c r="H987" s="3"/>
      <c r="I987" s="25"/>
      <c r="J987" s="25"/>
      <c r="K987" s="17"/>
      <c r="L987" s="17"/>
      <c r="M987" s="28"/>
      <c r="N987" s="28"/>
      <c r="O987" s="3"/>
      <c r="P987" s="3"/>
      <c r="Q987" s="3"/>
      <c r="R987" s="17"/>
      <c r="S987" s="17"/>
      <c r="T987" s="17"/>
      <c r="U987" s="17"/>
      <c r="V987" s="17"/>
    </row>
    <row r="988" spans="3:22" ht="14.25" customHeight="1">
      <c r="C988" s="28"/>
      <c r="D988" s="29"/>
      <c r="E988" s="28"/>
      <c r="F988" s="3"/>
      <c r="G988" s="3"/>
      <c r="H988" s="3"/>
      <c r="I988" s="25"/>
      <c r="J988" s="25"/>
      <c r="K988" s="17"/>
      <c r="L988" s="17"/>
      <c r="M988" s="28"/>
      <c r="N988" s="28"/>
      <c r="O988" s="3"/>
      <c r="P988" s="3"/>
      <c r="Q988" s="3"/>
      <c r="R988" s="17"/>
      <c r="S988" s="17"/>
      <c r="T988" s="17"/>
      <c r="U988" s="17"/>
      <c r="V988" s="17"/>
    </row>
    <row r="989" spans="3:22" ht="14.25" customHeight="1">
      <c r="C989" s="28"/>
      <c r="D989" s="29"/>
      <c r="E989" s="28"/>
      <c r="F989" s="3"/>
      <c r="G989" s="3"/>
      <c r="H989" s="3"/>
      <c r="I989" s="25"/>
      <c r="J989" s="25"/>
      <c r="K989" s="17"/>
      <c r="L989" s="17"/>
      <c r="M989" s="28"/>
      <c r="N989" s="28"/>
      <c r="O989" s="3"/>
      <c r="P989" s="3"/>
      <c r="Q989" s="3"/>
      <c r="R989" s="17"/>
      <c r="S989" s="17"/>
      <c r="T989" s="17"/>
      <c r="U989" s="17"/>
      <c r="V989" s="17"/>
    </row>
    <row r="990" spans="3:22" ht="14.25" customHeight="1">
      <c r="C990" s="28"/>
      <c r="D990" s="29"/>
      <c r="E990" s="28"/>
      <c r="F990" s="3"/>
      <c r="G990" s="3"/>
      <c r="H990" s="3"/>
      <c r="I990" s="25"/>
      <c r="J990" s="25"/>
      <c r="K990" s="17"/>
      <c r="L990" s="17"/>
      <c r="M990" s="28"/>
      <c r="N990" s="28"/>
      <c r="O990" s="3"/>
      <c r="P990" s="3"/>
      <c r="Q990" s="3"/>
      <c r="R990" s="17"/>
      <c r="S990" s="17"/>
      <c r="T990" s="17"/>
      <c r="U990" s="17"/>
      <c r="V990" s="17"/>
    </row>
    <row r="991" spans="3:22" ht="14.25" customHeight="1">
      <c r="C991" s="28"/>
      <c r="D991" s="29"/>
      <c r="E991" s="28"/>
      <c r="F991" s="3"/>
      <c r="G991" s="3"/>
      <c r="H991" s="3"/>
      <c r="I991" s="25"/>
      <c r="J991" s="25"/>
      <c r="K991" s="17"/>
      <c r="L991" s="17"/>
      <c r="M991" s="28"/>
      <c r="N991" s="28"/>
      <c r="O991" s="3"/>
      <c r="P991" s="3"/>
      <c r="Q991" s="3"/>
      <c r="R991" s="17"/>
      <c r="S991" s="17"/>
      <c r="T991" s="17"/>
      <c r="U991" s="17"/>
      <c r="V991" s="17"/>
    </row>
    <row r="992" spans="3:22" ht="14.25" customHeight="1">
      <c r="C992" s="28"/>
      <c r="D992" s="29"/>
      <c r="E992" s="28"/>
      <c r="F992" s="3"/>
      <c r="G992" s="3"/>
      <c r="H992" s="3"/>
      <c r="I992" s="25"/>
      <c r="J992" s="25"/>
      <c r="K992" s="17"/>
      <c r="L992" s="17"/>
      <c r="M992" s="28"/>
      <c r="N992" s="28"/>
      <c r="O992" s="3"/>
      <c r="P992" s="3"/>
      <c r="Q992" s="3"/>
      <c r="R992" s="17"/>
      <c r="S992" s="17"/>
      <c r="T992" s="17"/>
      <c r="U992" s="17"/>
      <c r="V992" s="17"/>
    </row>
    <row r="993" spans="3:22" ht="14.25" customHeight="1">
      <c r="C993" s="28"/>
      <c r="D993" s="29"/>
      <c r="E993" s="28"/>
      <c r="F993" s="3"/>
      <c r="G993" s="3"/>
      <c r="H993" s="3"/>
      <c r="I993" s="25"/>
      <c r="J993" s="25"/>
      <c r="K993" s="17"/>
      <c r="L993" s="17"/>
      <c r="M993" s="28"/>
      <c r="N993" s="28"/>
      <c r="O993" s="3"/>
      <c r="P993" s="3"/>
      <c r="Q993" s="3"/>
      <c r="R993" s="17"/>
      <c r="S993" s="17"/>
      <c r="T993" s="17"/>
      <c r="U993" s="17"/>
      <c r="V993" s="17"/>
    </row>
    <row r="994" spans="3:22" ht="14.25" customHeight="1">
      <c r="C994" s="28"/>
      <c r="D994" s="29"/>
      <c r="E994" s="28"/>
      <c r="F994" s="3"/>
      <c r="G994" s="3"/>
      <c r="H994" s="3"/>
      <c r="I994" s="25"/>
      <c r="J994" s="25"/>
      <c r="K994" s="17"/>
      <c r="L994" s="17"/>
      <c r="M994" s="28"/>
      <c r="N994" s="28"/>
      <c r="O994" s="3"/>
      <c r="P994" s="3"/>
      <c r="Q994" s="3"/>
      <c r="R994" s="17"/>
      <c r="S994" s="17"/>
      <c r="T994" s="17"/>
      <c r="U994" s="17"/>
      <c r="V994" s="17"/>
    </row>
    <row r="995" spans="3:22" ht="14.25" customHeight="1">
      <c r="C995" s="28"/>
      <c r="D995" s="29"/>
      <c r="E995" s="28"/>
      <c r="F995" s="3"/>
      <c r="G995" s="3"/>
      <c r="H995" s="3"/>
      <c r="I995" s="25"/>
      <c r="J995" s="25"/>
      <c r="K995" s="17"/>
      <c r="L995" s="17"/>
      <c r="M995" s="28"/>
      <c r="N995" s="28"/>
      <c r="O995" s="3"/>
      <c r="P995" s="3"/>
      <c r="Q995" s="3"/>
      <c r="R995" s="17"/>
      <c r="S995" s="17"/>
      <c r="T995" s="17"/>
      <c r="U995" s="17"/>
      <c r="V995" s="17"/>
    </row>
    <row r="996" spans="3:22" ht="14.25" customHeight="1">
      <c r="C996" s="28"/>
      <c r="D996" s="29"/>
      <c r="E996" s="28"/>
      <c r="F996" s="3"/>
      <c r="G996" s="3"/>
      <c r="H996" s="3"/>
      <c r="I996" s="25"/>
      <c r="J996" s="25"/>
      <c r="K996" s="17"/>
      <c r="L996" s="17"/>
      <c r="M996" s="28"/>
      <c r="N996" s="28"/>
      <c r="O996" s="3"/>
      <c r="P996" s="3"/>
      <c r="Q996" s="3"/>
      <c r="R996" s="17"/>
      <c r="S996" s="17"/>
      <c r="T996" s="17"/>
      <c r="U996" s="17"/>
      <c r="V996" s="17"/>
    </row>
    <row r="997" spans="3:22" ht="14.25" customHeight="1">
      <c r="C997" s="28"/>
      <c r="D997" s="29"/>
      <c r="E997" s="28"/>
      <c r="F997" s="3"/>
      <c r="G997" s="3"/>
      <c r="H997" s="3"/>
      <c r="I997" s="25"/>
      <c r="J997" s="25"/>
      <c r="K997" s="17"/>
      <c r="L997" s="17"/>
      <c r="M997" s="28"/>
      <c r="N997" s="28"/>
      <c r="O997" s="3"/>
      <c r="P997" s="3"/>
      <c r="Q997" s="3"/>
      <c r="R997" s="17"/>
      <c r="S997" s="17"/>
      <c r="T997" s="17"/>
      <c r="U997" s="17"/>
      <c r="V997" s="17"/>
    </row>
    <row r="998" spans="3:22" ht="14.25" customHeight="1">
      <c r="C998" s="28"/>
      <c r="D998" s="29"/>
      <c r="E998" s="28"/>
      <c r="F998" s="3"/>
      <c r="G998" s="3"/>
      <c r="H998" s="3"/>
      <c r="I998" s="25"/>
      <c r="J998" s="25"/>
      <c r="K998" s="17"/>
      <c r="L998" s="17"/>
      <c r="M998" s="28"/>
      <c r="N998" s="28"/>
      <c r="O998" s="3"/>
      <c r="P998" s="3"/>
      <c r="Q998" s="3"/>
      <c r="R998" s="17"/>
      <c r="S998" s="17"/>
      <c r="T998" s="17"/>
      <c r="U998" s="17"/>
      <c r="V998" s="17"/>
    </row>
    <row r="999" spans="3:22" ht="14.25" customHeight="1">
      <c r="C999" s="30"/>
      <c r="D999" s="29"/>
      <c r="E999" s="28"/>
      <c r="F999" s="31"/>
      <c r="G999" s="31"/>
      <c r="H999" s="31"/>
      <c r="M999" s="28"/>
      <c r="N999" s="28"/>
      <c r="O999" s="3"/>
      <c r="P999" s="32"/>
      <c r="Q999" s="32"/>
    </row>
    <row r="1000" spans="3:22" ht="14.25" customHeight="1">
      <c r="C1000" s="30"/>
      <c r="D1000" s="29"/>
      <c r="E1000" s="28"/>
      <c r="F1000" s="31"/>
      <c r="G1000" s="31"/>
      <c r="H1000" s="31"/>
      <c r="M1000" s="28"/>
      <c r="N1000" s="28"/>
      <c r="O1000" s="3"/>
      <c r="P1000" s="32"/>
      <c r="Q1000" s="32"/>
    </row>
    <row r="1001" spans="3:22" ht="14.25" customHeight="1">
      <c r="C1001" s="30"/>
      <c r="D1001" s="29"/>
      <c r="E1001" s="28"/>
      <c r="F1001" s="31"/>
      <c r="G1001" s="31"/>
      <c r="H1001" s="31"/>
      <c r="M1001" s="28"/>
      <c r="N1001" s="28"/>
      <c r="O1001" s="3"/>
      <c r="P1001" s="32"/>
      <c r="Q1001" s="32"/>
    </row>
    <row r="1002" spans="3:22" ht="14.25" customHeight="1">
      <c r="C1002" s="30"/>
      <c r="D1002" s="29"/>
      <c r="E1002" s="28"/>
      <c r="F1002" s="31"/>
      <c r="G1002" s="31"/>
      <c r="H1002" s="31"/>
      <c r="M1002" s="28"/>
      <c r="N1002" s="28"/>
      <c r="O1002" s="3"/>
      <c r="P1002" s="32"/>
      <c r="Q1002" s="32"/>
    </row>
    <row r="1003" spans="3:22" ht="14.25" customHeight="1">
      <c r="C1003" s="30"/>
      <c r="D1003" s="29"/>
      <c r="E1003" s="28"/>
      <c r="F1003" s="31"/>
      <c r="G1003" s="31"/>
      <c r="H1003" s="31"/>
      <c r="M1003" s="28"/>
      <c r="N1003" s="28"/>
      <c r="O1003" s="3"/>
      <c r="P1003" s="32"/>
      <c r="Q1003" s="32"/>
    </row>
    <row r="1004" spans="3:22" ht="14.25" customHeight="1">
      <c r="C1004" s="30"/>
      <c r="D1004" s="29"/>
      <c r="E1004" s="28"/>
      <c r="F1004" s="31"/>
      <c r="G1004" s="31"/>
      <c r="H1004" s="31"/>
      <c r="M1004" s="28"/>
      <c r="N1004" s="28"/>
      <c r="O1004" s="3"/>
      <c r="P1004" s="32"/>
      <c r="Q1004" s="32"/>
    </row>
    <row r="1005" spans="3:22" ht="14.25" customHeight="1">
      <c r="C1005" s="30"/>
      <c r="D1005" s="29"/>
      <c r="E1005" s="28"/>
      <c r="F1005" s="31"/>
      <c r="G1005" s="31"/>
      <c r="H1005" s="31"/>
      <c r="M1005" s="28"/>
      <c r="N1005" s="28"/>
      <c r="O1005" s="3"/>
      <c r="P1005" s="32"/>
      <c r="Q1005" s="32"/>
    </row>
    <row r="1006" spans="3:22" ht="14.25" customHeight="1">
      <c r="C1006" s="30"/>
      <c r="D1006" s="29"/>
      <c r="E1006" s="28"/>
      <c r="F1006" s="31"/>
      <c r="G1006" s="31"/>
      <c r="H1006" s="31"/>
      <c r="M1006" s="28"/>
      <c r="N1006" s="28"/>
      <c r="O1006" s="3"/>
      <c r="P1006" s="32"/>
      <c r="Q1006" s="32"/>
    </row>
    <row r="1007" spans="3:22" ht="14.25" customHeight="1">
      <c r="C1007" s="30"/>
      <c r="D1007" s="29"/>
      <c r="E1007" s="28"/>
      <c r="F1007" s="31"/>
      <c r="G1007" s="31"/>
      <c r="H1007" s="31"/>
      <c r="M1007" s="28"/>
      <c r="N1007" s="28"/>
      <c r="O1007" s="3"/>
      <c r="P1007" s="32"/>
      <c r="Q1007" s="32"/>
    </row>
    <row r="1008" spans="3:22" ht="14.25" customHeight="1">
      <c r="C1008" s="30"/>
      <c r="D1008" s="29"/>
      <c r="E1008" s="28"/>
      <c r="F1008" s="31"/>
      <c r="G1008" s="31"/>
      <c r="H1008" s="31"/>
      <c r="M1008" s="28"/>
      <c r="N1008" s="28"/>
      <c r="O1008" s="3"/>
      <c r="P1008" s="32"/>
      <c r="Q1008" s="32"/>
    </row>
    <row r="1009" spans="3:17" ht="14.25" customHeight="1">
      <c r="C1009" s="30"/>
      <c r="D1009" s="29"/>
      <c r="E1009" s="28"/>
      <c r="F1009" s="31"/>
      <c r="G1009" s="31"/>
      <c r="H1009" s="31"/>
      <c r="M1009" s="28"/>
      <c r="N1009" s="28"/>
      <c r="O1009" s="3"/>
      <c r="P1009" s="32"/>
      <c r="Q1009" s="32"/>
    </row>
    <row r="1010" spans="3:17" ht="14.25" customHeight="1">
      <c r="C1010" s="30"/>
      <c r="D1010" s="29"/>
      <c r="E1010" s="28"/>
      <c r="F1010" s="31"/>
      <c r="G1010" s="31"/>
      <c r="H1010" s="31"/>
      <c r="M1010" s="28"/>
      <c r="N1010" s="28"/>
      <c r="O1010" s="3"/>
      <c r="P1010" s="32"/>
      <c r="Q1010" s="32"/>
    </row>
    <row r="1011" spans="3:17" ht="14.25" customHeight="1">
      <c r="C1011" s="30"/>
      <c r="D1011" s="29"/>
      <c r="E1011" s="28"/>
      <c r="F1011" s="31"/>
      <c r="G1011" s="31"/>
      <c r="H1011" s="31"/>
      <c r="M1011" s="28"/>
      <c r="N1011" s="28"/>
      <c r="O1011" s="3"/>
      <c r="P1011" s="32"/>
      <c r="Q1011" s="32"/>
    </row>
    <row r="1012" spans="3:17" ht="14.25" customHeight="1">
      <c r="C1012" s="30"/>
      <c r="D1012" s="29"/>
      <c r="E1012" s="28"/>
      <c r="F1012" s="31"/>
      <c r="G1012" s="31"/>
      <c r="H1012" s="31"/>
      <c r="M1012" s="28"/>
      <c r="N1012" s="28"/>
      <c r="O1012" s="3"/>
      <c r="P1012" s="32"/>
      <c r="Q1012" s="32"/>
    </row>
    <row r="1013" spans="3:17" ht="14.25" customHeight="1">
      <c r="C1013" s="30"/>
      <c r="D1013" s="29"/>
      <c r="E1013" s="28"/>
      <c r="F1013" s="31"/>
      <c r="G1013" s="31"/>
      <c r="H1013" s="31"/>
      <c r="M1013" s="28"/>
      <c r="N1013" s="28"/>
      <c r="O1013" s="3"/>
      <c r="P1013" s="32"/>
      <c r="Q1013" s="32"/>
    </row>
    <row r="1014" spans="3:17" ht="14.25" customHeight="1">
      <c r="C1014" s="30"/>
      <c r="D1014" s="29"/>
      <c r="E1014" s="28"/>
      <c r="F1014" s="31"/>
      <c r="G1014" s="31"/>
      <c r="H1014" s="31"/>
      <c r="M1014" s="28"/>
      <c r="N1014" s="28"/>
      <c r="O1014" s="3"/>
      <c r="P1014" s="32"/>
      <c r="Q1014" s="3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workbookViewId="0">
      <selection activeCell="C1" sqref="C1:K1"/>
    </sheetView>
  </sheetViews>
  <sheetFormatPr baseColWidth="10" defaultColWidth="14.44140625" defaultRowHeight="15" customHeight="1"/>
  <cols>
    <col min="1" max="1" width="8.88671875" customWidth="1"/>
    <col min="2" max="2" width="11.33203125" customWidth="1"/>
    <col min="3" max="3" width="17.88671875" customWidth="1"/>
    <col min="4" max="4" width="13.44140625" customWidth="1"/>
    <col min="5" max="5" width="15.109375" customWidth="1"/>
    <col min="6" max="6" width="19.33203125" customWidth="1"/>
    <col min="7" max="7" width="18.33203125" customWidth="1"/>
    <col min="8" max="8" width="24.33203125" customWidth="1"/>
    <col min="9" max="9" width="18.6640625" customWidth="1"/>
    <col min="10" max="10" width="18" customWidth="1"/>
    <col min="11" max="11" width="19.109375" customWidth="1"/>
    <col min="12" max="15" width="8.88671875" customWidth="1"/>
    <col min="16" max="16" width="18.33203125" customWidth="1"/>
    <col min="17" max="25" width="8.88671875" customWidth="1"/>
  </cols>
  <sheetData>
    <row r="1" spans="1:25" ht="14.25" customHeight="1">
      <c r="A1" s="33" t="s">
        <v>359</v>
      </c>
      <c r="B1" s="33" t="s">
        <v>1</v>
      </c>
      <c r="C1" s="34" t="s">
        <v>360</v>
      </c>
      <c r="D1" s="34" t="s">
        <v>361</v>
      </c>
      <c r="E1" s="34" t="s">
        <v>362</v>
      </c>
      <c r="F1" s="34" t="s">
        <v>363</v>
      </c>
      <c r="G1" s="35" t="s">
        <v>364</v>
      </c>
      <c r="H1" s="35" t="s">
        <v>365</v>
      </c>
      <c r="I1" s="34" t="s">
        <v>366</v>
      </c>
      <c r="J1" s="34" t="s">
        <v>367</v>
      </c>
      <c r="K1" s="34" t="s">
        <v>368</v>
      </c>
      <c r="W1" s="8"/>
      <c r="X1" s="8"/>
      <c r="Y1" s="8"/>
    </row>
    <row r="2" spans="1:25" ht="14.25" customHeight="1">
      <c r="A2" s="36">
        <v>10101</v>
      </c>
      <c r="B2" s="36" t="s">
        <v>11</v>
      </c>
      <c r="C2" s="86">
        <v>13.039999961853027</v>
      </c>
      <c r="D2" s="86">
        <v>34.319999694824219</v>
      </c>
      <c r="E2" s="86">
        <v>17</v>
      </c>
      <c r="F2" s="86">
        <v>3.630000114440918</v>
      </c>
      <c r="G2" s="86">
        <v>4.7800002098083496</v>
      </c>
      <c r="H2" s="86">
        <v>11.270000457763672</v>
      </c>
      <c r="I2" s="86">
        <v>8.6800003051757813</v>
      </c>
      <c r="J2" s="86">
        <v>6.4200000762939453</v>
      </c>
      <c r="K2" s="86">
        <v>21.139999389648438</v>
      </c>
    </row>
    <row r="3" spans="1:25" ht="14.25" customHeight="1">
      <c r="A3" s="36">
        <v>10102</v>
      </c>
      <c r="B3" s="36" t="s">
        <v>13</v>
      </c>
      <c r="C3" s="86">
        <v>24.069999694824219</v>
      </c>
      <c r="D3" s="86">
        <v>28.200000762939453</v>
      </c>
      <c r="E3" s="86">
        <v>36.150001525878906</v>
      </c>
      <c r="F3" s="86">
        <v>4.2800002098083496</v>
      </c>
      <c r="G3" s="86">
        <v>5.9800000190734863</v>
      </c>
      <c r="H3" s="86">
        <v>13.720000267028809</v>
      </c>
      <c r="I3" s="86">
        <v>22.059999465942383</v>
      </c>
      <c r="J3" s="86">
        <v>20.200000762939453</v>
      </c>
      <c r="K3" s="86">
        <v>40.720001220703125</v>
      </c>
    </row>
    <row r="4" spans="1:25" ht="14.25" customHeight="1">
      <c r="A4" s="36">
        <v>10103</v>
      </c>
      <c r="B4" s="36" t="s">
        <v>15</v>
      </c>
      <c r="C4" s="86">
        <v>37.200000762939453</v>
      </c>
      <c r="D4" s="86">
        <v>64.400001525878906</v>
      </c>
      <c r="E4" s="86">
        <v>94.019996643066406</v>
      </c>
      <c r="F4" s="86">
        <v>27.659999847412109</v>
      </c>
      <c r="G4" s="86">
        <v>4.940000057220459</v>
      </c>
      <c r="H4" s="86">
        <v>27.5</v>
      </c>
      <c r="I4" s="86">
        <v>58.819999694824219</v>
      </c>
      <c r="J4" s="86">
        <v>86.30999755859375</v>
      </c>
      <c r="K4" s="86">
        <v>94.849998474121094</v>
      </c>
    </row>
    <row r="5" spans="1:25" ht="14.25" customHeight="1">
      <c r="A5" s="36">
        <v>10201</v>
      </c>
      <c r="B5" s="36" t="s">
        <v>17</v>
      </c>
      <c r="C5" s="86">
        <v>44.979999542236328</v>
      </c>
      <c r="D5" s="86">
        <v>53.040000915527344</v>
      </c>
      <c r="E5" s="86">
        <v>89.860000610351563</v>
      </c>
      <c r="F5" s="86">
        <v>25.209999084472656</v>
      </c>
      <c r="G5" s="86">
        <v>6.5500001907348633</v>
      </c>
      <c r="H5" s="86">
        <v>34.409999847412109</v>
      </c>
      <c r="I5" s="86">
        <v>56.630001068115234</v>
      </c>
      <c r="J5" s="86">
        <v>83.69000244140625</v>
      </c>
      <c r="K5" s="86">
        <v>80.949996948242188</v>
      </c>
    </row>
    <row r="6" spans="1:25" ht="14.25" customHeight="1">
      <c r="A6" s="36">
        <v>10202</v>
      </c>
      <c r="B6" s="36" t="s">
        <v>19</v>
      </c>
      <c r="C6" s="86">
        <v>46.830001831054688</v>
      </c>
      <c r="D6" s="86">
        <v>62.770000457763672</v>
      </c>
      <c r="E6" s="86">
        <v>77.139999389648438</v>
      </c>
      <c r="F6" s="86">
        <v>14.279999732971191</v>
      </c>
      <c r="G6" s="86">
        <v>7.1999998092651367</v>
      </c>
      <c r="H6" s="86">
        <v>28.239999771118164</v>
      </c>
      <c r="I6" s="86">
        <v>44.639999389648438</v>
      </c>
      <c r="J6" s="86">
        <v>68.069999694824219</v>
      </c>
      <c r="K6" s="86">
        <v>81.319999694824219</v>
      </c>
    </row>
    <row r="7" spans="1:25" ht="14.25" customHeight="1">
      <c r="A7" s="36">
        <v>10301</v>
      </c>
      <c r="B7" s="36" t="s">
        <v>21</v>
      </c>
      <c r="C7" s="86">
        <v>32.479999542236328</v>
      </c>
      <c r="D7" s="86">
        <v>47.479999542236328</v>
      </c>
      <c r="E7" s="86">
        <v>62.240001678466797</v>
      </c>
      <c r="F7" s="86">
        <v>9.869999885559082</v>
      </c>
      <c r="G7" s="86">
        <v>7.3499999046325684</v>
      </c>
      <c r="H7" s="86">
        <v>28.25</v>
      </c>
      <c r="I7" s="86">
        <v>21.739999771118164</v>
      </c>
      <c r="J7" s="86">
        <v>47.619998931884766</v>
      </c>
      <c r="K7" s="86">
        <v>65.260002136230469</v>
      </c>
    </row>
    <row r="8" spans="1:25" ht="14.25" customHeight="1">
      <c r="A8" s="36">
        <v>10302</v>
      </c>
      <c r="B8" s="36" t="s">
        <v>23</v>
      </c>
      <c r="C8" s="86">
        <v>48.919998168945313</v>
      </c>
      <c r="D8" s="86">
        <v>54.610000610351563</v>
      </c>
      <c r="E8" s="86">
        <v>76.900001525878906</v>
      </c>
      <c r="F8" s="86">
        <v>30.530000686645508</v>
      </c>
      <c r="G8" s="86">
        <v>8.0699996948242188</v>
      </c>
      <c r="H8" s="86">
        <v>33.290000915527344</v>
      </c>
      <c r="I8" s="86">
        <v>38.400001525878906</v>
      </c>
      <c r="J8" s="86">
        <v>63.380001068115234</v>
      </c>
      <c r="K8" s="86">
        <v>80.449996948242188</v>
      </c>
    </row>
    <row r="9" spans="1:25" ht="14.25" customHeight="1">
      <c r="A9" s="36">
        <v>10303</v>
      </c>
      <c r="B9" s="36" t="s">
        <v>25</v>
      </c>
      <c r="C9" s="86">
        <v>31.709999084472656</v>
      </c>
      <c r="D9" s="86">
        <v>51.939998626708984</v>
      </c>
      <c r="E9" s="86">
        <v>57.209999084472656</v>
      </c>
      <c r="F9" s="86">
        <v>11.619999885559082</v>
      </c>
      <c r="G9" s="86">
        <v>5.119999885559082</v>
      </c>
      <c r="H9" s="86">
        <v>22.190000534057617</v>
      </c>
      <c r="I9" s="86">
        <v>52.700000762939453</v>
      </c>
      <c r="J9" s="86">
        <v>44.340000152587891</v>
      </c>
      <c r="K9" s="86">
        <v>68.959999084472656</v>
      </c>
    </row>
    <row r="10" spans="1:25" ht="14.25" customHeight="1">
      <c r="A10" s="36">
        <v>10304</v>
      </c>
      <c r="B10" s="36" t="s">
        <v>27</v>
      </c>
      <c r="C10" s="86">
        <v>49.369998931884766</v>
      </c>
      <c r="D10" s="86">
        <v>43.520000457763672</v>
      </c>
      <c r="E10" s="86">
        <v>59.5</v>
      </c>
      <c r="F10" s="86">
        <v>18.569999694824219</v>
      </c>
      <c r="G10" s="86">
        <v>5.7699999809265137</v>
      </c>
      <c r="H10" s="86">
        <v>33.709999084472656</v>
      </c>
      <c r="I10" s="86">
        <v>21.690000534057617</v>
      </c>
      <c r="J10" s="86">
        <v>43.689998626708984</v>
      </c>
      <c r="K10" s="86">
        <v>44.639999389648438</v>
      </c>
    </row>
    <row r="11" spans="1:25" ht="14.25" customHeight="1">
      <c r="A11" s="36">
        <v>10401</v>
      </c>
      <c r="B11" s="36" t="s">
        <v>29</v>
      </c>
      <c r="C11" s="86">
        <v>25.920000076293945</v>
      </c>
      <c r="D11" s="86">
        <v>43.229999542236328</v>
      </c>
      <c r="E11" s="86">
        <v>60.709999084472656</v>
      </c>
      <c r="F11" s="86">
        <v>4.0399999618530273</v>
      </c>
      <c r="G11" s="86">
        <v>6.0900001525878906</v>
      </c>
      <c r="H11" s="86">
        <v>26.510000228881836</v>
      </c>
      <c r="I11" s="86">
        <v>35.240001678466797</v>
      </c>
      <c r="J11" s="86">
        <v>51.520000457763672</v>
      </c>
      <c r="K11" s="86">
        <v>64.889999389648438</v>
      </c>
    </row>
    <row r="12" spans="1:25" ht="14.25" customHeight="1">
      <c r="A12" s="36">
        <v>10402</v>
      </c>
      <c r="B12" s="36" t="s">
        <v>31</v>
      </c>
      <c r="C12" s="86">
        <v>34.700000762939453</v>
      </c>
      <c r="D12" s="86">
        <v>53.720001220703125</v>
      </c>
      <c r="E12" s="86">
        <v>62.380001068115234</v>
      </c>
      <c r="F12" s="86">
        <v>9.8599996566772461</v>
      </c>
      <c r="G12" s="86">
        <v>8.6400003433227539</v>
      </c>
      <c r="H12" s="86">
        <v>30.309999465942383</v>
      </c>
      <c r="I12" s="86">
        <v>13.779999732971191</v>
      </c>
      <c r="J12" s="86">
        <v>51.490001678466797</v>
      </c>
      <c r="K12" s="86">
        <v>58.590000152587891</v>
      </c>
    </row>
    <row r="13" spans="1:25" ht="14.25" customHeight="1">
      <c r="A13" s="36">
        <v>10403</v>
      </c>
      <c r="B13" s="36" t="s">
        <v>33</v>
      </c>
      <c r="C13" s="86">
        <v>38.009998321533203</v>
      </c>
      <c r="D13" s="86">
        <v>40.040000915527344</v>
      </c>
      <c r="E13" s="86">
        <v>71.230003356933594</v>
      </c>
      <c r="F13" s="86">
        <v>11.189999580383301</v>
      </c>
      <c r="G13" s="86">
        <v>6.119999885559082</v>
      </c>
      <c r="H13" s="86">
        <v>28.129999160766602</v>
      </c>
      <c r="I13" s="86">
        <v>36.159999847412109</v>
      </c>
      <c r="J13" s="86">
        <v>63.509998321533203</v>
      </c>
      <c r="K13" s="86">
        <v>70.010002136230469</v>
      </c>
    </row>
    <row r="14" spans="1:25" ht="14.25" customHeight="1">
      <c r="A14" s="36">
        <v>10404</v>
      </c>
      <c r="B14" s="36" t="s">
        <v>34</v>
      </c>
      <c r="C14" s="86">
        <v>28.510000228881836</v>
      </c>
      <c r="D14" s="86">
        <v>34.770000457763672</v>
      </c>
      <c r="E14" s="86">
        <v>62.270000457763672</v>
      </c>
      <c r="F14" s="86">
        <v>5.1599998474121094</v>
      </c>
      <c r="G14" s="86">
        <v>5.8400001525878906</v>
      </c>
      <c r="H14" s="86">
        <v>21.459999084472656</v>
      </c>
      <c r="I14" s="86">
        <v>14.810000419616699</v>
      </c>
      <c r="J14" s="86">
        <v>50.189998626708984</v>
      </c>
      <c r="K14" s="86">
        <v>71.430000305175781</v>
      </c>
    </row>
    <row r="15" spans="1:25" ht="14.25" customHeight="1">
      <c r="A15" s="36">
        <v>10405</v>
      </c>
      <c r="B15" s="36" t="s">
        <v>35</v>
      </c>
      <c r="C15" s="86">
        <v>33.569999694824219</v>
      </c>
      <c r="D15" s="86">
        <v>39.759998321533203</v>
      </c>
      <c r="E15" s="86">
        <v>71.449996948242188</v>
      </c>
      <c r="F15" s="86">
        <v>6.1999998092651367</v>
      </c>
      <c r="G15" s="86">
        <v>5.440000057220459</v>
      </c>
      <c r="H15" s="86">
        <v>20.639999389648438</v>
      </c>
      <c r="I15" s="86">
        <v>37.139999389648438</v>
      </c>
      <c r="J15" s="86">
        <v>64.459999084472656</v>
      </c>
      <c r="K15" s="86">
        <v>58.959999084472656</v>
      </c>
    </row>
    <row r="16" spans="1:25" ht="14.25" customHeight="1">
      <c r="A16" s="36">
        <v>10501</v>
      </c>
      <c r="B16" s="36" t="s">
        <v>36</v>
      </c>
      <c r="C16" s="86">
        <v>22.190000534057617</v>
      </c>
      <c r="D16" s="86">
        <v>40.549999237060547</v>
      </c>
      <c r="E16" s="86">
        <v>47.029998779296875</v>
      </c>
      <c r="F16" s="86">
        <v>4.3899998664855957</v>
      </c>
      <c r="G16" s="86">
        <v>6.369999885559082</v>
      </c>
      <c r="H16" s="86">
        <v>18.700000762939453</v>
      </c>
      <c r="I16" s="86">
        <v>21.209999084472656</v>
      </c>
      <c r="J16" s="86">
        <v>31.239999771118164</v>
      </c>
      <c r="K16" s="86">
        <v>50.150001525878906</v>
      </c>
    </row>
    <row r="17" spans="1:11" ht="14.25" customHeight="1">
      <c r="A17" s="36">
        <v>10502</v>
      </c>
      <c r="B17" s="36" t="s">
        <v>38</v>
      </c>
      <c r="C17" s="86">
        <v>27.399999618530273</v>
      </c>
      <c r="D17" s="86">
        <v>44.169998168945313</v>
      </c>
      <c r="E17" s="86">
        <v>74.580001831054688</v>
      </c>
      <c r="F17" s="86">
        <v>8.9300003051757813</v>
      </c>
      <c r="G17" s="86">
        <v>7.440000057220459</v>
      </c>
      <c r="H17" s="86">
        <v>22.040000915527344</v>
      </c>
      <c r="I17" s="86">
        <v>35.990001678466797</v>
      </c>
      <c r="J17" s="86">
        <v>51.900001525878906</v>
      </c>
      <c r="K17" s="86">
        <v>71.230003356933594</v>
      </c>
    </row>
    <row r="18" spans="1:11" ht="14.25" customHeight="1">
      <c r="A18" s="36">
        <v>10601</v>
      </c>
      <c r="B18" s="36" t="s">
        <v>40</v>
      </c>
      <c r="C18" s="86">
        <v>46.639999389648438</v>
      </c>
      <c r="D18" s="86">
        <v>38.110000610351563</v>
      </c>
      <c r="E18" s="86">
        <v>63.5</v>
      </c>
      <c r="F18" s="86">
        <v>16.819999694824219</v>
      </c>
      <c r="G18" s="86">
        <v>5.119999885559082</v>
      </c>
      <c r="H18" s="86">
        <v>25.629999160766602</v>
      </c>
      <c r="I18" s="86">
        <v>33.569999694824219</v>
      </c>
      <c r="J18" s="86">
        <v>48.229999542236328</v>
      </c>
      <c r="K18" s="86">
        <v>76.160003662109375</v>
      </c>
    </row>
    <row r="19" spans="1:11" ht="14.25" customHeight="1">
      <c r="A19" s="36">
        <v>10602</v>
      </c>
      <c r="B19" s="36" t="s">
        <v>42</v>
      </c>
      <c r="C19" s="86">
        <v>34.580001831054688</v>
      </c>
      <c r="D19" s="86">
        <v>40.560001373291016</v>
      </c>
      <c r="E19" s="86">
        <v>60.790000915527344</v>
      </c>
      <c r="F19" s="86">
        <v>4.6599998474121094</v>
      </c>
      <c r="G19" s="86">
        <v>3.7000000476837158</v>
      </c>
      <c r="H19" s="86">
        <v>19.200000762939453</v>
      </c>
      <c r="I19" s="86">
        <v>49.459999084472656</v>
      </c>
      <c r="J19" s="86">
        <v>47.180000305175781</v>
      </c>
      <c r="K19" s="86">
        <v>72.209999084472656</v>
      </c>
    </row>
    <row r="20" spans="1:11" ht="14.25" customHeight="1">
      <c r="A20" s="36">
        <v>10701</v>
      </c>
      <c r="B20" s="36" t="s">
        <v>44</v>
      </c>
      <c r="C20" s="86">
        <v>21.520000457763672</v>
      </c>
      <c r="D20" s="86">
        <v>23.350000381469727</v>
      </c>
      <c r="E20" s="86">
        <v>44.029998779296875</v>
      </c>
      <c r="F20" s="86">
        <v>10.25</v>
      </c>
      <c r="G20" s="86">
        <v>5.7300000190734863</v>
      </c>
      <c r="H20" s="86">
        <v>24.969999313354492</v>
      </c>
      <c r="I20" s="86">
        <v>17.520000457763672</v>
      </c>
      <c r="J20" s="86">
        <v>28.159999847412109</v>
      </c>
      <c r="K20" s="86">
        <v>56.680000305175781</v>
      </c>
    </row>
    <row r="21" spans="1:11" ht="14.25" customHeight="1">
      <c r="A21" s="36">
        <v>10702</v>
      </c>
      <c r="B21" s="36" t="s">
        <v>45</v>
      </c>
      <c r="C21" s="86">
        <v>29.510000228881836</v>
      </c>
      <c r="D21" s="86">
        <v>34.200000762939453</v>
      </c>
      <c r="E21" s="86">
        <v>72.160003662109375</v>
      </c>
      <c r="F21" s="86">
        <v>23.670000076293945</v>
      </c>
      <c r="G21" s="86">
        <v>6.0900001525878906</v>
      </c>
      <c r="H21" s="86">
        <v>29.909999847412109</v>
      </c>
      <c r="I21" s="86">
        <v>55.669998168945313</v>
      </c>
      <c r="J21" s="86">
        <v>57.209999084472656</v>
      </c>
      <c r="K21" s="86">
        <v>79.169998168945313</v>
      </c>
    </row>
    <row r="22" spans="1:11" ht="14.25" customHeight="1">
      <c r="A22" s="36">
        <v>10703</v>
      </c>
      <c r="B22" s="36" t="s">
        <v>47</v>
      </c>
      <c r="C22" s="86">
        <v>34.259998321533203</v>
      </c>
      <c r="D22" s="86">
        <v>42.689998626708984</v>
      </c>
      <c r="E22" s="86">
        <v>78.480003356933594</v>
      </c>
      <c r="F22" s="86">
        <v>27.690000534057617</v>
      </c>
      <c r="G22" s="86">
        <v>8.2600002288818359</v>
      </c>
      <c r="H22" s="86">
        <v>42.180000305175781</v>
      </c>
      <c r="I22" s="86">
        <v>53.560001373291016</v>
      </c>
      <c r="J22" s="86">
        <v>68.44000244140625</v>
      </c>
      <c r="K22" s="86">
        <v>83.589996337890625</v>
      </c>
    </row>
    <row r="23" spans="1:11" ht="14.25" customHeight="1">
      <c r="A23" s="36">
        <v>10704</v>
      </c>
      <c r="B23" s="36" t="s">
        <v>48</v>
      </c>
      <c r="C23" s="86">
        <v>29.950000762939453</v>
      </c>
      <c r="D23" s="86">
        <v>33</v>
      </c>
      <c r="E23" s="86">
        <v>72.30999755859375</v>
      </c>
      <c r="F23" s="86">
        <v>21.829999923706055</v>
      </c>
      <c r="G23" s="86">
        <v>7.8299999237060547</v>
      </c>
      <c r="H23" s="86">
        <v>41.580001831054688</v>
      </c>
      <c r="I23" s="86">
        <v>48.840000152587891</v>
      </c>
      <c r="J23" s="86">
        <v>60.580001831054688</v>
      </c>
      <c r="K23" s="86">
        <v>79.040000915527344</v>
      </c>
    </row>
    <row r="24" spans="1:11" ht="14.25" customHeight="1">
      <c r="A24" s="36">
        <v>10801</v>
      </c>
      <c r="B24" s="36" t="s">
        <v>49</v>
      </c>
      <c r="C24" s="86">
        <v>28</v>
      </c>
      <c r="D24" s="86">
        <v>48.349998474121094</v>
      </c>
      <c r="E24" s="86">
        <v>52.680000305175781</v>
      </c>
      <c r="F24" s="86">
        <v>10.420000076293945</v>
      </c>
      <c r="G24" s="86">
        <v>5.3400001525878906</v>
      </c>
      <c r="H24" s="86">
        <v>20.969999313354492</v>
      </c>
      <c r="I24" s="86">
        <v>22.129999160766602</v>
      </c>
      <c r="J24" s="86">
        <v>39</v>
      </c>
      <c r="K24" s="86">
        <v>56.279998779296875</v>
      </c>
    </row>
    <row r="25" spans="1:11" ht="14.25" customHeight="1">
      <c r="A25" s="36">
        <v>10901</v>
      </c>
      <c r="B25" s="36" t="s">
        <v>50</v>
      </c>
      <c r="C25" s="86">
        <v>19.840000152587891</v>
      </c>
      <c r="D25" s="86">
        <v>28.670000076293945</v>
      </c>
      <c r="E25" s="86">
        <v>59.560001373291016</v>
      </c>
      <c r="F25" s="86">
        <v>6.940000057220459</v>
      </c>
      <c r="G25" s="86">
        <v>5.880000114440918</v>
      </c>
      <c r="H25" s="86">
        <v>25.680000305175781</v>
      </c>
      <c r="I25" s="86">
        <v>36.200000762939453</v>
      </c>
      <c r="J25" s="86">
        <v>52.619998931884766</v>
      </c>
      <c r="K25" s="86">
        <v>67.919998168945313</v>
      </c>
    </row>
    <row r="26" spans="1:11" ht="14.25" customHeight="1">
      <c r="A26" s="36">
        <v>10902</v>
      </c>
      <c r="B26" s="36" t="s">
        <v>51</v>
      </c>
      <c r="C26" s="86">
        <v>29.420000076293945</v>
      </c>
      <c r="D26" s="86">
        <v>42.159999847412109</v>
      </c>
      <c r="E26" s="86">
        <v>66.230003356933594</v>
      </c>
      <c r="F26" s="86">
        <v>20.739999771118164</v>
      </c>
      <c r="G26" s="86">
        <v>7.2199997901916504</v>
      </c>
      <c r="H26" s="86">
        <v>37.650001525878906</v>
      </c>
      <c r="I26" s="86">
        <v>43.439998626708984</v>
      </c>
      <c r="J26" s="86">
        <v>43.270000457763672</v>
      </c>
      <c r="K26" s="86">
        <v>67.099998474121094</v>
      </c>
    </row>
    <row r="27" spans="1:11" ht="14.25" customHeight="1">
      <c r="A27" s="36">
        <v>10903</v>
      </c>
      <c r="B27" s="36" t="s">
        <v>52</v>
      </c>
      <c r="C27" s="86">
        <v>23.469999313354492</v>
      </c>
      <c r="D27" s="86">
        <v>28.370000839233398</v>
      </c>
      <c r="E27" s="86">
        <v>59.610000610351563</v>
      </c>
      <c r="F27" s="86">
        <v>7.1100001335144043</v>
      </c>
      <c r="G27" s="86">
        <v>6.9200000762939453</v>
      </c>
      <c r="H27" s="86">
        <v>25.370000839233398</v>
      </c>
      <c r="I27" s="86">
        <v>25.479999542236328</v>
      </c>
      <c r="J27" s="86">
        <v>35.529998779296875</v>
      </c>
      <c r="K27" s="86">
        <v>46.080001831054688</v>
      </c>
    </row>
    <row r="28" spans="1:11" ht="14.25" customHeight="1">
      <c r="A28" s="36">
        <v>11001</v>
      </c>
      <c r="B28" s="36" t="s">
        <v>53</v>
      </c>
      <c r="C28" s="86">
        <v>22.319999694824219</v>
      </c>
      <c r="D28" s="86">
        <v>40.959999084472656</v>
      </c>
      <c r="E28" s="86">
        <v>67.900001525878906</v>
      </c>
      <c r="F28" s="86">
        <v>10.890000343322754</v>
      </c>
      <c r="G28" s="86">
        <v>6.4800000190734863</v>
      </c>
      <c r="H28" s="86">
        <v>21.899999618530273</v>
      </c>
      <c r="I28" s="86">
        <v>15.529999732971191</v>
      </c>
      <c r="J28" s="86">
        <v>42.189998626708984</v>
      </c>
      <c r="K28" s="86">
        <v>55.049999237060547</v>
      </c>
    </row>
    <row r="29" spans="1:11" ht="14.25" customHeight="1">
      <c r="A29" s="36">
        <v>11002</v>
      </c>
      <c r="B29" s="36" t="s">
        <v>54</v>
      </c>
      <c r="C29" s="86">
        <v>13.869999885559082</v>
      </c>
      <c r="D29" s="86">
        <v>50.560001373291016</v>
      </c>
      <c r="E29" s="86">
        <v>67.889999389648438</v>
      </c>
      <c r="F29" s="86">
        <v>14.680000305175781</v>
      </c>
      <c r="G29" s="86">
        <v>6.929999828338623</v>
      </c>
      <c r="H29" s="86">
        <v>21.040000915527344</v>
      </c>
      <c r="I29" s="86">
        <v>20.959999084472656</v>
      </c>
      <c r="J29" s="86">
        <v>57.470001220703125</v>
      </c>
      <c r="K29" s="86">
        <v>56.240001678466797</v>
      </c>
    </row>
    <row r="30" spans="1:11" ht="14.25" customHeight="1">
      <c r="A30" s="36">
        <v>11003</v>
      </c>
      <c r="B30" s="36" t="s">
        <v>55</v>
      </c>
      <c r="C30" s="86">
        <v>12.920000076293945</v>
      </c>
      <c r="D30" s="86">
        <v>40.220001220703125</v>
      </c>
      <c r="E30" s="86">
        <v>52.049999237060547</v>
      </c>
      <c r="F30" s="86">
        <v>7.5900001525878906</v>
      </c>
      <c r="G30" s="86">
        <v>7.4499998092651367</v>
      </c>
      <c r="H30" s="86">
        <v>21.010000228881836</v>
      </c>
      <c r="I30" s="86">
        <v>43.990001678466797</v>
      </c>
      <c r="J30" s="86">
        <v>39.970001220703125</v>
      </c>
      <c r="K30" s="86">
        <v>30.709999084472656</v>
      </c>
    </row>
    <row r="31" spans="1:11" ht="14.25" customHeight="1">
      <c r="A31" s="36">
        <v>20101</v>
      </c>
      <c r="B31" s="36" t="s">
        <v>56</v>
      </c>
      <c r="C31" s="86">
        <v>4.820000171661377</v>
      </c>
      <c r="D31" s="86">
        <v>19.860000610351563</v>
      </c>
      <c r="E31" s="86">
        <v>8.8199996948242188</v>
      </c>
      <c r="F31" s="86">
        <v>1.9299999475479126</v>
      </c>
      <c r="G31" s="86">
        <v>2.5999999046325684</v>
      </c>
      <c r="H31" s="86">
        <v>7.3499999046325684</v>
      </c>
      <c r="I31" s="86">
        <v>4.570000171661377</v>
      </c>
      <c r="J31" s="86">
        <v>1.1399999856948853</v>
      </c>
      <c r="K31" s="86">
        <v>8.9899997711181641</v>
      </c>
    </row>
    <row r="32" spans="1:11" ht="14.25" customHeight="1">
      <c r="A32" s="36">
        <v>20102</v>
      </c>
      <c r="B32" s="36" t="s">
        <v>57</v>
      </c>
      <c r="C32" s="86">
        <v>18.459999084472656</v>
      </c>
      <c r="D32" s="86">
        <v>29.75</v>
      </c>
      <c r="E32" s="86">
        <v>37.840000152587891</v>
      </c>
      <c r="F32" s="86">
        <v>29.209999084472656</v>
      </c>
      <c r="G32" s="86">
        <v>7.1399998664855957</v>
      </c>
      <c r="H32" s="86">
        <v>21.579999923706055</v>
      </c>
      <c r="I32" s="86">
        <v>32.729999542236328</v>
      </c>
      <c r="J32" s="86">
        <v>14.579999923706055</v>
      </c>
      <c r="K32" s="86">
        <v>78.699996948242188</v>
      </c>
    </row>
    <row r="33" spans="1:11" ht="14.25" customHeight="1">
      <c r="A33" s="36">
        <v>20103</v>
      </c>
      <c r="B33" s="36" t="s">
        <v>58</v>
      </c>
      <c r="C33" s="86">
        <v>14.229999542236328</v>
      </c>
      <c r="D33" s="86">
        <v>21.819999694824219</v>
      </c>
      <c r="E33" s="86">
        <v>34.110000610351563</v>
      </c>
      <c r="F33" s="86">
        <v>14.850000381469727</v>
      </c>
      <c r="G33" s="86">
        <v>4.3299999237060547</v>
      </c>
      <c r="H33" s="86">
        <v>12.090000152587891</v>
      </c>
      <c r="I33" s="86">
        <v>45.020000457763672</v>
      </c>
      <c r="J33" s="86">
        <v>12.649999618530273</v>
      </c>
      <c r="K33" s="86">
        <v>56.979999542236328</v>
      </c>
    </row>
    <row r="34" spans="1:11" ht="14.25" customHeight="1">
      <c r="A34" s="36">
        <v>20104</v>
      </c>
      <c r="B34" s="36" t="s">
        <v>59</v>
      </c>
      <c r="C34" s="86">
        <v>10.590000152587891</v>
      </c>
      <c r="D34" s="86">
        <v>22.969999313354492</v>
      </c>
      <c r="E34" s="86">
        <v>32.430000305175781</v>
      </c>
      <c r="F34" s="86">
        <v>12.310000419616699</v>
      </c>
      <c r="G34" s="86">
        <v>3.9600000381469727</v>
      </c>
      <c r="H34" s="86">
        <v>11.210000038146973</v>
      </c>
      <c r="I34" s="86">
        <v>54.700000762939453</v>
      </c>
      <c r="J34" s="86">
        <v>15.649999618530273</v>
      </c>
      <c r="K34" s="86">
        <v>91.730003356933594</v>
      </c>
    </row>
    <row r="35" spans="1:11" ht="14.25" customHeight="1">
      <c r="A35" s="36">
        <v>20105</v>
      </c>
      <c r="B35" s="36" t="s">
        <v>60</v>
      </c>
      <c r="C35" s="86">
        <v>6.8600001335144043</v>
      </c>
      <c r="D35" s="86">
        <v>30.159999847412109</v>
      </c>
      <c r="E35" s="86">
        <v>17.120000839233398</v>
      </c>
      <c r="F35" s="86">
        <v>8.2100000381469727</v>
      </c>
      <c r="G35" s="86">
        <v>3.559999942779541</v>
      </c>
      <c r="H35" s="86">
        <v>10.130000114440918</v>
      </c>
      <c r="I35" s="86">
        <v>4.3600001335144043</v>
      </c>
      <c r="J35" s="86">
        <v>5.4800000190734863</v>
      </c>
      <c r="K35" s="86">
        <v>32.540000915527344</v>
      </c>
    </row>
    <row r="36" spans="1:11" ht="14.25" customHeight="1">
      <c r="A36" s="36">
        <v>20201</v>
      </c>
      <c r="B36" s="36" t="s">
        <v>61</v>
      </c>
      <c r="C36" s="86">
        <v>19.860000610351563</v>
      </c>
      <c r="D36" s="86">
        <v>27.760000228881836</v>
      </c>
      <c r="E36" s="86">
        <v>40.569999694824219</v>
      </c>
      <c r="F36" s="86">
        <v>18.149999618530273</v>
      </c>
      <c r="G36" s="86">
        <v>3.2999999523162842</v>
      </c>
      <c r="H36" s="86">
        <v>10.689999580383301</v>
      </c>
      <c r="I36" s="86">
        <v>26.760000228881836</v>
      </c>
      <c r="J36" s="86">
        <v>18.709999084472656</v>
      </c>
      <c r="K36" s="86">
        <v>48.400001525878906</v>
      </c>
    </row>
    <row r="37" spans="1:11" ht="14.25" customHeight="1">
      <c r="A37" s="36">
        <v>20202</v>
      </c>
      <c r="B37" s="36" t="s">
        <v>62</v>
      </c>
      <c r="C37" s="86">
        <v>26.680000305175781</v>
      </c>
      <c r="D37" s="86">
        <v>22.110000610351563</v>
      </c>
      <c r="E37" s="86">
        <v>53.159999847412109</v>
      </c>
      <c r="F37" s="86">
        <v>22.940000534057617</v>
      </c>
      <c r="G37" s="86">
        <v>3.0399999618530273</v>
      </c>
      <c r="H37" s="86">
        <v>10.119999885559082</v>
      </c>
      <c r="I37" s="86">
        <v>46.529998779296875</v>
      </c>
      <c r="J37" s="86">
        <v>25.409999847412109</v>
      </c>
      <c r="K37" s="86">
        <v>64.849998474121094</v>
      </c>
    </row>
    <row r="38" spans="1:11" ht="14.25" customHeight="1">
      <c r="A38" s="36">
        <v>20203</v>
      </c>
      <c r="B38" s="36" t="s">
        <v>63</v>
      </c>
      <c r="C38" s="86">
        <v>20.069999694824219</v>
      </c>
      <c r="D38" s="86">
        <v>21.840000152587891</v>
      </c>
      <c r="E38" s="86">
        <v>44.659999847412109</v>
      </c>
      <c r="F38" s="86">
        <v>14.180000305175781</v>
      </c>
      <c r="G38" s="86">
        <v>3.2400000095367432</v>
      </c>
      <c r="H38" s="86">
        <v>7.630000114440918</v>
      </c>
      <c r="I38" s="86">
        <v>56.409999847412109</v>
      </c>
      <c r="J38" s="86">
        <v>21.170000076293945</v>
      </c>
      <c r="K38" s="86">
        <v>47.349998474121094</v>
      </c>
    </row>
    <row r="39" spans="1:11" ht="14.25" customHeight="1">
      <c r="A39" s="36">
        <v>20204</v>
      </c>
      <c r="B39" s="36" t="s">
        <v>64</v>
      </c>
      <c r="C39" s="86">
        <v>20.760000228881836</v>
      </c>
      <c r="D39" s="86">
        <v>15.399999618530273</v>
      </c>
      <c r="E39" s="86">
        <v>52.240001678466797</v>
      </c>
      <c r="F39" s="86">
        <v>16.030000686645508</v>
      </c>
      <c r="G39" s="86">
        <v>2.9100000858306885</v>
      </c>
      <c r="H39" s="86">
        <v>8.0600004196166992</v>
      </c>
      <c r="I39" s="86">
        <v>18.530000686645508</v>
      </c>
      <c r="J39" s="86">
        <v>24.309999465942383</v>
      </c>
      <c r="K39" s="86">
        <v>52.529998779296875</v>
      </c>
    </row>
    <row r="40" spans="1:11" ht="14.25" customHeight="1">
      <c r="A40" s="36">
        <v>20205</v>
      </c>
      <c r="B40" s="36" t="s">
        <v>65</v>
      </c>
      <c r="C40" s="86">
        <v>12.350000381469727</v>
      </c>
      <c r="D40" s="86">
        <v>16.799999237060547</v>
      </c>
      <c r="E40" s="86">
        <v>37.209999084472656</v>
      </c>
      <c r="F40" s="86">
        <v>5.2899999618530273</v>
      </c>
      <c r="G40" s="86">
        <v>1.5700000524520874</v>
      </c>
      <c r="H40" s="86">
        <v>4.119999885559082</v>
      </c>
      <c r="I40" s="86">
        <v>13.039999961853027</v>
      </c>
      <c r="J40" s="86">
        <v>14.020000457763672</v>
      </c>
      <c r="K40" s="86">
        <v>38.680000305175781</v>
      </c>
    </row>
    <row r="41" spans="1:11" ht="14.25" customHeight="1">
      <c r="A41" s="36">
        <v>20206</v>
      </c>
      <c r="B41" s="36" t="s">
        <v>66</v>
      </c>
      <c r="C41" s="86">
        <v>19.680000305175781</v>
      </c>
      <c r="D41" s="86">
        <v>23.329999923706055</v>
      </c>
      <c r="E41" s="86">
        <v>50.880001068115234</v>
      </c>
      <c r="F41" s="86">
        <v>12.699999809265137</v>
      </c>
      <c r="G41" s="86">
        <v>1.8600000143051147</v>
      </c>
      <c r="H41" s="86">
        <v>7.630000114440918</v>
      </c>
      <c r="I41" s="86">
        <v>11.300000190734863</v>
      </c>
      <c r="J41" s="86">
        <v>24.069999694824219</v>
      </c>
      <c r="K41" s="86">
        <v>61.360000610351563</v>
      </c>
    </row>
    <row r="42" spans="1:11" ht="14.25" customHeight="1">
      <c r="A42" s="36">
        <v>20301</v>
      </c>
      <c r="B42" s="36" t="s">
        <v>67</v>
      </c>
      <c r="C42" s="86">
        <v>12.590000152587891</v>
      </c>
      <c r="D42" s="86">
        <v>24.010000228881836</v>
      </c>
      <c r="E42" s="86">
        <v>60.689998626708984</v>
      </c>
      <c r="F42" s="86">
        <v>17.680000305175781</v>
      </c>
      <c r="G42" s="86">
        <v>3.5899999141693115</v>
      </c>
      <c r="H42" s="86">
        <v>12.380000114440918</v>
      </c>
      <c r="I42" s="86">
        <v>57.840000152587891</v>
      </c>
      <c r="J42" s="86">
        <v>43.290000915527344</v>
      </c>
      <c r="K42" s="86">
        <v>82.910003662109375</v>
      </c>
    </row>
    <row r="43" spans="1:11" ht="14.25" customHeight="1">
      <c r="A43" s="36">
        <v>20302</v>
      </c>
      <c r="B43" s="36" t="s">
        <v>68</v>
      </c>
      <c r="C43" s="86">
        <v>12.760000228881836</v>
      </c>
      <c r="D43" s="86">
        <v>22.979999542236328</v>
      </c>
      <c r="E43" s="86">
        <v>77.150001525878906</v>
      </c>
      <c r="F43" s="86">
        <v>21.610000610351563</v>
      </c>
      <c r="G43" s="86">
        <v>4.4200000762939453</v>
      </c>
      <c r="H43" s="86">
        <v>11.979999542236328</v>
      </c>
      <c r="I43" s="86">
        <v>60.549999237060547</v>
      </c>
      <c r="J43" s="86">
        <v>55.950000762939453</v>
      </c>
      <c r="K43" s="86">
        <v>61.729999542236328</v>
      </c>
    </row>
    <row r="44" spans="1:11" ht="14.25" customHeight="1">
      <c r="A44" s="36">
        <v>20303</v>
      </c>
      <c r="B44" s="36" t="s">
        <v>69</v>
      </c>
      <c r="C44" s="86">
        <v>8.5500001907348633</v>
      </c>
      <c r="D44" s="86">
        <v>15.430000305175781</v>
      </c>
      <c r="E44" s="86">
        <v>87.529998779296875</v>
      </c>
      <c r="F44" s="86">
        <v>21.040000915527344</v>
      </c>
      <c r="G44" s="86">
        <v>4.3600001335144043</v>
      </c>
      <c r="H44" s="86">
        <v>11.180000305175781</v>
      </c>
      <c r="I44" s="86">
        <v>74.660003662109375</v>
      </c>
      <c r="J44" s="86">
        <v>72.139999389648438</v>
      </c>
      <c r="K44" s="86">
        <v>58.569999694824219</v>
      </c>
    </row>
    <row r="45" spans="1:11" ht="14.25" customHeight="1">
      <c r="A45" s="36">
        <v>20304</v>
      </c>
      <c r="B45" s="36" t="s">
        <v>70</v>
      </c>
      <c r="C45" s="86">
        <v>14.510000228881836</v>
      </c>
      <c r="D45" s="86">
        <v>19.600000381469727</v>
      </c>
      <c r="E45" s="86">
        <v>70.489997863769531</v>
      </c>
      <c r="F45" s="86">
        <v>22.040000915527344</v>
      </c>
      <c r="G45" s="86">
        <v>5.320000171661377</v>
      </c>
      <c r="H45" s="86">
        <v>12.090000152587891</v>
      </c>
      <c r="I45" s="86">
        <v>35.930000305175781</v>
      </c>
      <c r="J45" s="86">
        <v>54.580001831054688</v>
      </c>
      <c r="K45" s="86">
        <v>72.459999084472656</v>
      </c>
    </row>
    <row r="46" spans="1:11" ht="14.25" customHeight="1">
      <c r="A46" s="36">
        <v>20305</v>
      </c>
      <c r="B46" s="36" t="s">
        <v>71</v>
      </c>
      <c r="C46" s="86">
        <v>6.5900001525878906</v>
      </c>
      <c r="D46" s="86">
        <v>16.329999923706055</v>
      </c>
      <c r="E46" s="86">
        <v>79.069999694824219</v>
      </c>
      <c r="F46" s="86">
        <v>20.680000305175781</v>
      </c>
      <c r="G46" s="86">
        <v>2.9200000762939453</v>
      </c>
      <c r="H46" s="86">
        <v>9.9399995803833008</v>
      </c>
      <c r="I46" s="86">
        <v>56.340000152587891</v>
      </c>
      <c r="J46" s="86">
        <v>57.009998321533203</v>
      </c>
      <c r="K46" s="86">
        <v>75.550003051757813</v>
      </c>
    </row>
    <row r="47" spans="1:11" ht="14.25" customHeight="1">
      <c r="A47" s="36">
        <v>20306</v>
      </c>
      <c r="B47" s="36" t="s">
        <v>72</v>
      </c>
      <c r="C47" s="86">
        <v>7.940000057220459</v>
      </c>
      <c r="D47" s="86">
        <v>14.340000152587891</v>
      </c>
      <c r="E47" s="86">
        <v>64.80999755859375</v>
      </c>
      <c r="F47" s="86">
        <v>30.969999313354492</v>
      </c>
      <c r="G47" s="86">
        <v>4.4499998092651367</v>
      </c>
      <c r="H47" s="86">
        <v>17.079999923706055</v>
      </c>
      <c r="I47" s="86">
        <v>51.689998626708984</v>
      </c>
      <c r="J47" s="86">
        <v>31.329999923706055</v>
      </c>
      <c r="K47" s="86">
        <v>90.779998779296875</v>
      </c>
    </row>
    <row r="48" spans="1:11" ht="14.25" customHeight="1">
      <c r="A48" s="36">
        <v>20307</v>
      </c>
      <c r="B48" s="36" t="s">
        <v>73</v>
      </c>
      <c r="C48" s="86">
        <v>3</v>
      </c>
      <c r="D48" s="86">
        <v>17</v>
      </c>
      <c r="E48" s="86">
        <v>85.5</v>
      </c>
      <c r="F48" s="86">
        <v>16.520000457763672</v>
      </c>
      <c r="G48" s="86">
        <v>2.3900001049041748</v>
      </c>
      <c r="H48" s="86">
        <v>11.5</v>
      </c>
      <c r="I48" s="86">
        <v>35.330001831054688</v>
      </c>
      <c r="J48" s="86">
        <v>60.5</v>
      </c>
      <c r="K48" s="86">
        <v>54.830001831054688</v>
      </c>
    </row>
    <row r="49" spans="1:11" ht="14.25" customHeight="1">
      <c r="A49" s="36">
        <v>20308</v>
      </c>
      <c r="B49" s="36" t="s">
        <v>74</v>
      </c>
      <c r="C49" s="86">
        <v>18.069999694824219</v>
      </c>
      <c r="D49" s="86">
        <v>17.409999847412109</v>
      </c>
      <c r="E49" s="86">
        <v>90.029998779296875</v>
      </c>
      <c r="F49" s="86">
        <v>17.879999160766602</v>
      </c>
      <c r="G49" s="86">
        <v>1.8899999856948853</v>
      </c>
      <c r="H49" s="86">
        <v>9.5100002288818359</v>
      </c>
      <c r="I49" s="86">
        <v>81.169998168945313</v>
      </c>
      <c r="J49" s="86">
        <v>84.449996948242188</v>
      </c>
      <c r="K49" s="86">
        <v>87.610000610351563</v>
      </c>
    </row>
    <row r="50" spans="1:11" ht="14.25" customHeight="1">
      <c r="A50" s="36">
        <v>20401</v>
      </c>
      <c r="B50" s="36" t="s">
        <v>75</v>
      </c>
      <c r="C50" s="86">
        <v>26.059999465942383</v>
      </c>
      <c r="D50" s="86">
        <v>20.729999542236328</v>
      </c>
      <c r="E50" s="86">
        <v>71.540000915527344</v>
      </c>
      <c r="F50" s="86">
        <v>19.120000839233398</v>
      </c>
      <c r="G50" s="86">
        <v>2.4800000190734863</v>
      </c>
      <c r="H50" s="86">
        <v>10.289999961853027</v>
      </c>
      <c r="I50" s="86">
        <v>37.360000610351563</v>
      </c>
      <c r="J50" s="86">
        <v>36.150001525878906</v>
      </c>
      <c r="K50" s="86">
        <v>84.230003356933594</v>
      </c>
    </row>
    <row r="51" spans="1:11" ht="14.25" customHeight="1">
      <c r="A51" s="36">
        <v>20402</v>
      </c>
      <c r="B51" s="36" t="s">
        <v>76</v>
      </c>
      <c r="C51" s="86">
        <v>28.329999923706055</v>
      </c>
      <c r="D51" s="86">
        <v>24.590000152587891</v>
      </c>
      <c r="E51" s="86">
        <v>72.160003662109375</v>
      </c>
      <c r="F51" s="86">
        <v>22.739999771118164</v>
      </c>
      <c r="G51" s="86">
        <v>2.9300000667572021</v>
      </c>
      <c r="H51" s="86">
        <v>12.569999694824219</v>
      </c>
      <c r="I51" s="86">
        <v>18.760000228881836</v>
      </c>
      <c r="J51" s="86">
        <v>43.680000305175781</v>
      </c>
      <c r="K51" s="86">
        <v>70.25</v>
      </c>
    </row>
    <row r="52" spans="1:11" ht="14.25" customHeight="1">
      <c r="A52" s="36">
        <v>20403</v>
      </c>
      <c r="B52" s="36" t="s">
        <v>77</v>
      </c>
      <c r="C52" s="86">
        <v>24.610000610351563</v>
      </c>
      <c r="D52" s="86">
        <v>27.430000305175781</v>
      </c>
      <c r="E52" s="86">
        <v>63.099998474121094</v>
      </c>
      <c r="F52" s="86">
        <v>24.260000228881836</v>
      </c>
      <c r="G52" s="86">
        <v>3.9700000286102295</v>
      </c>
      <c r="H52" s="86">
        <v>11.680000305175781</v>
      </c>
      <c r="I52" s="86">
        <v>28.209999084472656</v>
      </c>
      <c r="J52" s="86">
        <v>41.650001525878906</v>
      </c>
      <c r="K52" s="86">
        <v>78.25</v>
      </c>
    </row>
    <row r="53" spans="1:11" ht="14.25" customHeight="1">
      <c r="A53" s="36">
        <v>20404</v>
      </c>
      <c r="B53" s="36" t="s">
        <v>78</v>
      </c>
      <c r="C53" s="86">
        <v>32.099998474121094</v>
      </c>
      <c r="D53" s="86">
        <v>33.259998321533203</v>
      </c>
      <c r="E53" s="86">
        <v>71.160003662109375</v>
      </c>
      <c r="F53" s="86">
        <v>26.280000686645508</v>
      </c>
      <c r="G53" s="86">
        <v>2.7200000286102295</v>
      </c>
      <c r="H53" s="86">
        <v>12.220000267028809</v>
      </c>
      <c r="I53" s="86">
        <v>40.139999389648438</v>
      </c>
      <c r="J53" s="86">
        <v>28.879999160766602</v>
      </c>
      <c r="K53" s="86">
        <v>78.260002136230469</v>
      </c>
    </row>
    <row r="54" spans="1:11" ht="14.25" customHeight="1">
      <c r="A54" s="36">
        <v>20405</v>
      </c>
      <c r="B54" s="36" t="s">
        <v>79</v>
      </c>
      <c r="C54" s="86">
        <v>27.75</v>
      </c>
      <c r="D54" s="86">
        <v>15.710000038146973</v>
      </c>
      <c r="E54" s="86">
        <v>53.330001831054688</v>
      </c>
      <c r="F54" s="86">
        <v>15.539999961853027</v>
      </c>
      <c r="G54" s="86">
        <v>1.8300000429153442</v>
      </c>
      <c r="H54" s="86">
        <v>5.9600000381469727</v>
      </c>
      <c r="I54" s="86">
        <v>29.809999465942383</v>
      </c>
      <c r="J54" s="86">
        <v>28.229999542236328</v>
      </c>
      <c r="K54" s="86">
        <v>87.050003051757813</v>
      </c>
    </row>
    <row r="55" spans="1:11" ht="14.25" customHeight="1">
      <c r="A55" s="36">
        <v>20501</v>
      </c>
      <c r="B55" s="36" t="s">
        <v>80</v>
      </c>
      <c r="C55" s="86">
        <v>23.319999694824219</v>
      </c>
      <c r="D55" s="86">
        <v>33.029998779296875</v>
      </c>
      <c r="E55" s="86">
        <v>52.930000305175781</v>
      </c>
      <c r="F55" s="86">
        <v>22.989999771118164</v>
      </c>
      <c r="G55" s="86">
        <v>4.320000171661377</v>
      </c>
      <c r="H55" s="86">
        <v>15.310000419616699</v>
      </c>
      <c r="I55" s="86">
        <v>20.700000762939453</v>
      </c>
      <c r="J55" s="86">
        <v>29.430000305175781</v>
      </c>
      <c r="K55" s="86">
        <v>70.44000244140625</v>
      </c>
    </row>
    <row r="56" spans="1:11" ht="14.25" customHeight="1">
      <c r="A56" s="36">
        <v>20502</v>
      </c>
      <c r="B56" s="36" t="s">
        <v>81</v>
      </c>
      <c r="C56" s="86">
        <v>34.830001831054688</v>
      </c>
      <c r="D56" s="86">
        <v>38</v>
      </c>
      <c r="E56" s="86">
        <v>74.25</v>
      </c>
      <c r="F56" s="86">
        <v>29.770000457763672</v>
      </c>
      <c r="G56" s="86">
        <v>3.7300000190734863</v>
      </c>
      <c r="H56" s="86">
        <v>17.590000152587891</v>
      </c>
      <c r="I56" s="86">
        <v>22.409999847412109</v>
      </c>
      <c r="J56" s="86">
        <v>36.099998474121094</v>
      </c>
      <c r="K56" s="86">
        <v>62.900001525878906</v>
      </c>
    </row>
    <row r="57" spans="1:11" ht="14.25" customHeight="1">
      <c r="A57" s="36">
        <v>20503</v>
      </c>
      <c r="B57" s="36" t="s">
        <v>82</v>
      </c>
      <c r="C57" s="86">
        <v>27.489999771118164</v>
      </c>
      <c r="D57" s="86">
        <v>47.189998626708984</v>
      </c>
      <c r="E57" s="86">
        <v>66.699996948242188</v>
      </c>
      <c r="F57" s="86">
        <v>28.030000686645508</v>
      </c>
      <c r="G57" s="86">
        <v>5.5500001907348633</v>
      </c>
      <c r="H57" s="86">
        <v>19.680000305175781</v>
      </c>
      <c r="I57" s="86">
        <v>15.449999809265137</v>
      </c>
      <c r="J57" s="86">
        <v>25.940000534057617</v>
      </c>
      <c r="K57" s="86">
        <v>81.379997253417969</v>
      </c>
    </row>
    <row r="58" spans="1:11" ht="14.25" customHeight="1">
      <c r="A58" s="36">
        <v>20601</v>
      </c>
      <c r="B58" s="36" t="s">
        <v>83</v>
      </c>
      <c r="C58" s="86">
        <v>18.729999542236328</v>
      </c>
      <c r="D58" s="86">
        <v>25.629999160766602</v>
      </c>
      <c r="E58" s="86">
        <v>55.220001220703125</v>
      </c>
      <c r="F58" s="86">
        <v>19.809999465942383</v>
      </c>
      <c r="G58" s="86">
        <v>5.5300002098083496</v>
      </c>
      <c r="H58" s="86">
        <v>15.779999732971191</v>
      </c>
      <c r="I58" s="86">
        <v>34.099998474121094</v>
      </c>
      <c r="J58" s="86">
        <v>26.760000228881836</v>
      </c>
      <c r="K58" s="86">
        <v>64.80999755859375</v>
      </c>
    </row>
    <row r="59" spans="1:11" ht="14.25" customHeight="1">
      <c r="A59" s="36">
        <v>20602</v>
      </c>
      <c r="B59" s="36" t="s">
        <v>84</v>
      </c>
      <c r="C59" s="86">
        <v>8.8999996185302734</v>
      </c>
      <c r="D59" s="86">
        <v>35.490001678466797</v>
      </c>
      <c r="E59" s="86">
        <v>47.159999847412109</v>
      </c>
      <c r="F59" s="86">
        <v>11.979999542236328</v>
      </c>
      <c r="G59" s="86">
        <v>7</v>
      </c>
      <c r="H59" s="86">
        <v>18.530000686645508</v>
      </c>
      <c r="I59" s="86">
        <v>27.379999160766602</v>
      </c>
      <c r="J59" s="86">
        <v>25.680000305175781</v>
      </c>
      <c r="K59" s="86">
        <v>58.430000305175781</v>
      </c>
    </row>
    <row r="60" spans="1:11" ht="14.25" customHeight="1">
      <c r="A60" s="36">
        <v>20603</v>
      </c>
      <c r="B60" s="36" t="s">
        <v>85</v>
      </c>
      <c r="C60" s="86">
        <v>15.649999618530273</v>
      </c>
      <c r="D60" s="86">
        <v>25.399999618530273</v>
      </c>
      <c r="E60" s="86">
        <v>61.369998931884766</v>
      </c>
      <c r="F60" s="86">
        <v>16.809999465942383</v>
      </c>
      <c r="G60" s="86">
        <v>5.320000171661377</v>
      </c>
      <c r="H60" s="86">
        <v>16.610000610351563</v>
      </c>
      <c r="I60" s="86">
        <v>49.959999084472656</v>
      </c>
      <c r="J60" s="86">
        <v>30.870000839233398</v>
      </c>
      <c r="K60" s="86">
        <v>65.379997253417969</v>
      </c>
    </row>
    <row r="61" spans="1:11" ht="14.25" customHeight="1">
      <c r="A61" s="36">
        <v>20604</v>
      </c>
      <c r="B61" s="36" t="s">
        <v>86</v>
      </c>
      <c r="C61" s="86">
        <v>19.979999542236328</v>
      </c>
      <c r="D61" s="86">
        <v>29.229999542236328</v>
      </c>
      <c r="E61" s="86">
        <v>45.119998931884766</v>
      </c>
      <c r="F61" s="86">
        <v>24.520000457763672</v>
      </c>
      <c r="G61" s="86">
        <v>4.8600001335144043</v>
      </c>
      <c r="H61" s="86">
        <v>13.489999771118164</v>
      </c>
      <c r="I61" s="86">
        <v>51.029998779296875</v>
      </c>
      <c r="J61" s="86">
        <v>25.799999237060547</v>
      </c>
      <c r="K61" s="86">
        <v>64.980003356933594</v>
      </c>
    </row>
    <row r="62" spans="1:11" ht="14.25" customHeight="1">
      <c r="A62" s="36">
        <v>20605</v>
      </c>
      <c r="B62" s="36" t="s">
        <v>87</v>
      </c>
      <c r="C62" s="86">
        <v>33.299999237060547</v>
      </c>
      <c r="D62" s="86">
        <v>25.090000152587891</v>
      </c>
      <c r="E62" s="86">
        <v>52.979999542236328</v>
      </c>
      <c r="F62" s="86">
        <v>22.459999084472656</v>
      </c>
      <c r="G62" s="86">
        <v>3.0799999237060547</v>
      </c>
      <c r="H62" s="86">
        <v>12.829999923706055</v>
      </c>
      <c r="I62" s="86">
        <v>7.0100002288818359</v>
      </c>
      <c r="J62" s="86">
        <v>22.100000381469727</v>
      </c>
      <c r="K62" s="86">
        <v>71.949996948242188</v>
      </c>
    </row>
    <row r="63" spans="1:11" ht="14.25" customHeight="1">
      <c r="A63" s="36">
        <v>20606</v>
      </c>
      <c r="B63" s="36" t="s">
        <v>88</v>
      </c>
      <c r="C63" s="86">
        <v>5.940000057220459</v>
      </c>
      <c r="D63" s="86">
        <v>33.419998168945313</v>
      </c>
      <c r="E63" s="86">
        <v>20.389999389648438</v>
      </c>
      <c r="F63" s="86">
        <v>5.3400001525878906</v>
      </c>
      <c r="G63" s="86">
        <v>5.7100000381469727</v>
      </c>
      <c r="H63" s="86">
        <v>13.800000190734863</v>
      </c>
      <c r="I63" s="86">
        <v>30.760000228881836</v>
      </c>
      <c r="J63" s="86">
        <v>8.2200002670288086</v>
      </c>
      <c r="K63" s="86">
        <v>70.730003356933594</v>
      </c>
    </row>
    <row r="64" spans="1:11" ht="14.25" customHeight="1">
      <c r="A64" s="36">
        <v>20607</v>
      </c>
      <c r="B64" s="36" t="s">
        <v>89</v>
      </c>
      <c r="C64" s="86">
        <v>7.8000001907348633</v>
      </c>
      <c r="D64" s="86">
        <v>32.299999237060547</v>
      </c>
      <c r="E64" s="86">
        <v>25.389999389648438</v>
      </c>
      <c r="F64" s="86">
        <v>10.369999885559082</v>
      </c>
      <c r="G64" s="86">
        <v>7.380000114440918</v>
      </c>
      <c r="H64" s="86">
        <v>18.110000610351563</v>
      </c>
      <c r="I64" s="86">
        <v>9.7799997329711914</v>
      </c>
      <c r="J64" s="86">
        <v>7.0199999809265137</v>
      </c>
      <c r="K64" s="86">
        <v>76.639999389648438</v>
      </c>
    </row>
    <row r="65" spans="1:11" ht="14.25" customHeight="1">
      <c r="A65" s="36">
        <v>20608</v>
      </c>
      <c r="B65" s="36" t="s">
        <v>90</v>
      </c>
      <c r="C65" s="86">
        <v>7.5399999618530273</v>
      </c>
      <c r="D65" s="86">
        <v>34.310001373291016</v>
      </c>
      <c r="E65" s="86">
        <v>58.380001068115234</v>
      </c>
      <c r="F65" s="86">
        <v>12.020000457763672</v>
      </c>
      <c r="G65" s="86">
        <v>7.0399999618530273</v>
      </c>
      <c r="H65" s="86">
        <v>19.860000610351563</v>
      </c>
      <c r="I65" s="86">
        <v>47.229999542236328</v>
      </c>
      <c r="J65" s="86">
        <v>47.069999694824219</v>
      </c>
      <c r="K65" s="86">
        <v>53.450000762939453</v>
      </c>
    </row>
    <row r="66" spans="1:11" ht="14.25" customHeight="1">
      <c r="A66" s="36">
        <v>20701</v>
      </c>
      <c r="B66" s="36" t="s">
        <v>91</v>
      </c>
      <c r="C66" s="86">
        <v>14.399999618530273</v>
      </c>
      <c r="D66" s="86">
        <v>41.299999237060547</v>
      </c>
      <c r="E66" s="86">
        <v>58.520000457763672</v>
      </c>
      <c r="F66" s="86">
        <v>27.799999237060547</v>
      </c>
      <c r="G66" s="86">
        <v>6.8299999237060547</v>
      </c>
      <c r="H66" s="86">
        <v>19.569999694824219</v>
      </c>
      <c r="I66" s="86">
        <v>29.739999771118164</v>
      </c>
      <c r="J66" s="86">
        <v>31.25</v>
      </c>
      <c r="K66" s="86">
        <v>67.739997863769531</v>
      </c>
    </row>
    <row r="67" spans="1:11" ht="14.25" customHeight="1">
      <c r="A67" s="36">
        <v>20702</v>
      </c>
      <c r="B67" s="36" t="s">
        <v>92</v>
      </c>
      <c r="C67" s="86">
        <v>16.030000686645508</v>
      </c>
      <c r="D67" s="86">
        <v>20.309999465942383</v>
      </c>
      <c r="E67" s="86">
        <v>84.480003356933594</v>
      </c>
      <c r="F67" s="86">
        <v>27.090000152587891</v>
      </c>
      <c r="G67" s="86">
        <v>4.7699999809265137</v>
      </c>
      <c r="H67" s="86">
        <v>19.989999771118164</v>
      </c>
      <c r="I67" s="86">
        <v>63.599998474121094</v>
      </c>
      <c r="J67" s="86">
        <v>44.490001678466797</v>
      </c>
      <c r="K67" s="86">
        <v>62.200000762939453</v>
      </c>
    </row>
    <row r="68" spans="1:11" ht="14.25" customHeight="1">
      <c r="A68" s="36">
        <v>20801</v>
      </c>
      <c r="B68" s="36" t="s">
        <v>93</v>
      </c>
      <c r="C68" s="86">
        <v>7.7199997901916504</v>
      </c>
      <c r="D68" s="86">
        <v>20.670000076293945</v>
      </c>
      <c r="E68" s="86">
        <v>31.989999771118164</v>
      </c>
      <c r="F68" s="86">
        <v>10.340000152587891</v>
      </c>
      <c r="G68" s="86">
        <v>3.880000114440918</v>
      </c>
      <c r="H68" s="86">
        <v>9.7299995422363281</v>
      </c>
      <c r="I68" s="86">
        <v>25.850000381469727</v>
      </c>
      <c r="J68" s="86">
        <v>17.059999465942383</v>
      </c>
      <c r="K68" s="86">
        <v>60.759998321533203</v>
      </c>
    </row>
    <row r="69" spans="1:11" ht="14.25" customHeight="1">
      <c r="A69" s="36">
        <v>20802</v>
      </c>
      <c r="B69" s="36" t="s">
        <v>94</v>
      </c>
      <c r="C69" s="86">
        <v>20.450000762939453</v>
      </c>
      <c r="D69" s="86">
        <v>26.909999847412109</v>
      </c>
      <c r="E69" s="86">
        <v>40.919998168945313</v>
      </c>
      <c r="F69" s="86">
        <v>14.729999542236328</v>
      </c>
      <c r="G69" s="86">
        <v>1.8700000047683716</v>
      </c>
      <c r="H69" s="86">
        <v>9.0100002288818359</v>
      </c>
      <c r="I69" s="86">
        <v>20.889999389648438</v>
      </c>
      <c r="J69" s="86">
        <v>16.149999618530273</v>
      </c>
      <c r="K69" s="86">
        <v>61.909999847412109</v>
      </c>
    </row>
    <row r="70" spans="1:11" ht="14.25" customHeight="1">
      <c r="A70" s="36">
        <v>20803</v>
      </c>
      <c r="B70" s="36" t="s">
        <v>95</v>
      </c>
      <c r="C70" s="86">
        <v>21.5</v>
      </c>
      <c r="D70" s="86">
        <v>16.309999465942383</v>
      </c>
      <c r="E70" s="86">
        <v>43.069999694824219</v>
      </c>
      <c r="F70" s="86">
        <v>24.959999084472656</v>
      </c>
      <c r="G70" s="86">
        <v>4.9499998092651367</v>
      </c>
      <c r="H70" s="86">
        <v>16.870000839233398</v>
      </c>
      <c r="I70" s="86">
        <v>37.700000762939453</v>
      </c>
      <c r="J70" s="86">
        <v>21.850000381469727</v>
      </c>
      <c r="K70" s="86">
        <v>62.040000915527344</v>
      </c>
    </row>
    <row r="71" spans="1:11" ht="14.25" customHeight="1">
      <c r="A71" s="36">
        <v>20804</v>
      </c>
      <c r="B71" s="36" t="s">
        <v>96</v>
      </c>
      <c r="C71" s="86">
        <v>14.069999694824219</v>
      </c>
      <c r="D71" s="86">
        <v>23.940000534057617</v>
      </c>
      <c r="E71" s="86">
        <v>28.680000305175781</v>
      </c>
      <c r="F71" s="86">
        <v>16.719999313354492</v>
      </c>
      <c r="G71" s="86">
        <v>3.5399999618530273</v>
      </c>
      <c r="H71" s="86">
        <v>9.7600002288818359</v>
      </c>
      <c r="I71" s="86">
        <v>5.5500001907348633</v>
      </c>
      <c r="J71" s="86">
        <v>9.7100000381469727</v>
      </c>
      <c r="K71" s="86">
        <v>67.639999389648438</v>
      </c>
    </row>
    <row r="72" spans="1:11" ht="14.25" customHeight="1">
      <c r="A72" s="36">
        <v>20805</v>
      </c>
      <c r="B72" s="36" t="s">
        <v>97</v>
      </c>
      <c r="C72" s="86">
        <v>15.229999542236328</v>
      </c>
      <c r="D72" s="86">
        <v>17.530000686645508</v>
      </c>
      <c r="E72" s="86">
        <v>76.830001831054688</v>
      </c>
      <c r="F72" s="86">
        <v>14.5</v>
      </c>
      <c r="G72" s="86">
        <v>2.1400001049041748</v>
      </c>
      <c r="H72" s="86">
        <v>9.130000114440918</v>
      </c>
      <c r="I72" s="86">
        <v>60.5</v>
      </c>
      <c r="J72" s="86">
        <v>66.269996643066406</v>
      </c>
      <c r="K72" s="86">
        <v>43.919998168945313</v>
      </c>
    </row>
    <row r="73" spans="1:11" ht="14.25" customHeight="1">
      <c r="A73" s="36">
        <v>20806</v>
      </c>
      <c r="B73" s="36" t="s">
        <v>98</v>
      </c>
      <c r="C73" s="86">
        <v>12.5</v>
      </c>
      <c r="D73" s="86">
        <v>14.739999771118164</v>
      </c>
      <c r="E73" s="86">
        <v>60.540000915527344</v>
      </c>
      <c r="F73" s="86">
        <v>18.329999923706055</v>
      </c>
      <c r="G73" s="86">
        <v>3.880000114440918</v>
      </c>
      <c r="H73" s="86">
        <v>11.5</v>
      </c>
      <c r="I73" s="86">
        <v>45.979999542236328</v>
      </c>
      <c r="J73" s="86">
        <v>39.060001373291016</v>
      </c>
      <c r="K73" s="86">
        <v>32.990001678466797</v>
      </c>
    </row>
    <row r="74" spans="1:11" ht="14.25" customHeight="1">
      <c r="A74" s="36">
        <v>20807</v>
      </c>
      <c r="B74" s="36" t="s">
        <v>99</v>
      </c>
      <c r="C74" s="86">
        <v>29.569999694824219</v>
      </c>
      <c r="D74" s="86">
        <v>17.309999465942383</v>
      </c>
      <c r="E74" s="86">
        <v>38.180000305175781</v>
      </c>
      <c r="F74" s="86">
        <v>16.850000381469727</v>
      </c>
      <c r="G74" s="86">
        <v>4.1100001335144043</v>
      </c>
      <c r="H74" s="86">
        <v>12.869999885559082</v>
      </c>
      <c r="I74" s="86">
        <v>29.709999084472656</v>
      </c>
      <c r="J74" s="86">
        <v>15.710000038146973</v>
      </c>
      <c r="K74" s="86">
        <v>65.629997253417969</v>
      </c>
    </row>
    <row r="75" spans="1:11" ht="14.25" customHeight="1">
      <c r="A75" s="36">
        <v>20901</v>
      </c>
      <c r="B75" s="36" t="s">
        <v>100</v>
      </c>
      <c r="C75" s="86">
        <v>16.180000305175781</v>
      </c>
      <c r="D75" s="86">
        <v>13.390000343322754</v>
      </c>
      <c r="E75" s="86">
        <v>53.139999389648438</v>
      </c>
      <c r="F75" s="86">
        <v>18.139999389648438</v>
      </c>
      <c r="G75" s="86">
        <v>3.7599999904632568</v>
      </c>
      <c r="H75" s="86">
        <v>13.199999809265137</v>
      </c>
      <c r="I75" s="86">
        <v>27.520000457763672</v>
      </c>
      <c r="J75" s="86">
        <v>22.260000228881836</v>
      </c>
      <c r="K75" s="86">
        <v>61.819999694824219</v>
      </c>
    </row>
    <row r="76" spans="1:11" ht="14.25" customHeight="1">
      <c r="A76" s="36">
        <v>20902</v>
      </c>
      <c r="B76" s="36" t="s">
        <v>101</v>
      </c>
      <c r="C76" s="86">
        <v>16.629999160766602</v>
      </c>
      <c r="D76" s="86">
        <v>25.209999084472656</v>
      </c>
      <c r="E76" s="86">
        <v>70.150001525878906</v>
      </c>
      <c r="F76" s="86">
        <v>20.889999389648438</v>
      </c>
      <c r="G76" s="86">
        <v>3.1700000762939453</v>
      </c>
      <c r="H76" s="86">
        <v>12.909999847412109</v>
      </c>
      <c r="I76" s="86">
        <v>51.779998779296875</v>
      </c>
      <c r="J76" s="86">
        <v>32.220001220703125</v>
      </c>
      <c r="K76" s="86">
        <v>86.410003662109375</v>
      </c>
    </row>
    <row r="77" spans="1:11" ht="14.25" customHeight="1">
      <c r="A77" s="36">
        <v>20903</v>
      </c>
      <c r="B77" s="36" t="s">
        <v>102</v>
      </c>
      <c r="C77" s="86">
        <v>14.130000114440918</v>
      </c>
      <c r="D77" s="86">
        <v>17.639999389648438</v>
      </c>
      <c r="E77" s="86">
        <v>63.240001678466797</v>
      </c>
      <c r="F77" s="86">
        <v>28.280000686645508</v>
      </c>
      <c r="G77" s="86">
        <v>4.4899997711181641</v>
      </c>
      <c r="H77" s="86">
        <v>15.909999847412109</v>
      </c>
      <c r="I77" s="86">
        <v>30.670000076293945</v>
      </c>
      <c r="J77" s="86">
        <v>25.159999847412109</v>
      </c>
      <c r="K77" s="86">
        <v>87.25</v>
      </c>
    </row>
    <row r="78" spans="1:11" ht="14.25" customHeight="1">
      <c r="A78" s="36">
        <v>20904</v>
      </c>
      <c r="B78" s="36" t="s">
        <v>103</v>
      </c>
      <c r="C78" s="86">
        <v>19.020000457763672</v>
      </c>
      <c r="D78" s="86">
        <v>26.649999618530273</v>
      </c>
      <c r="E78" s="86">
        <v>58.049999237060547</v>
      </c>
      <c r="F78" s="86">
        <v>21.409999847412109</v>
      </c>
      <c r="G78" s="86">
        <v>4.4699997901916504</v>
      </c>
      <c r="H78" s="86">
        <v>15.380000114440918</v>
      </c>
      <c r="I78" s="86">
        <v>24.370000839233398</v>
      </c>
      <c r="J78" s="86">
        <v>22.649999618530273</v>
      </c>
      <c r="K78" s="86">
        <v>77.970001220703125</v>
      </c>
    </row>
    <row r="79" spans="1:11" ht="14.25" customHeight="1">
      <c r="A79" s="36">
        <v>20905</v>
      </c>
      <c r="B79" s="36" t="s">
        <v>104</v>
      </c>
      <c r="C79" s="86">
        <v>16.340000152587891</v>
      </c>
      <c r="D79" s="86">
        <v>24.280000686645508</v>
      </c>
      <c r="E79" s="86">
        <v>41.159999847412109</v>
      </c>
      <c r="F79" s="86">
        <v>25.229999542236328</v>
      </c>
      <c r="G79" s="86">
        <v>4.320000171661377</v>
      </c>
      <c r="H79" s="86">
        <v>18.120000839233398</v>
      </c>
      <c r="I79" s="86">
        <v>21.799999237060547</v>
      </c>
      <c r="J79" s="86">
        <v>16.049999237060547</v>
      </c>
      <c r="K79" s="86">
        <v>81.680000305175781</v>
      </c>
    </row>
    <row r="80" spans="1:11" ht="14.25" customHeight="1">
      <c r="A80" s="36">
        <v>21001</v>
      </c>
      <c r="B80" s="36" t="s">
        <v>105</v>
      </c>
      <c r="C80" s="86">
        <v>11.380000114440918</v>
      </c>
      <c r="D80" s="86">
        <v>40.669998168945313</v>
      </c>
      <c r="E80" s="86">
        <v>72.80999755859375</v>
      </c>
      <c r="F80" s="86">
        <v>30.420000076293945</v>
      </c>
      <c r="G80" s="86">
        <v>5.2699999809265137</v>
      </c>
      <c r="H80" s="86">
        <v>20</v>
      </c>
      <c r="I80" s="86">
        <v>52.069999694824219</v>
      </c>
      <c r="J80" s="86">
        <v>58.709999084472656</v>
      </c>
      <c r="K80" s="86">
        <v>82.029998779296875</v>
      </c>
    </row>
    <row r="81" spans="1:11" ht="14.25" customHeight="1">
      <c r="A81" s="36">
        <v>21002</v>
      </c>
      <c r="B81" s="36" t="s">
        <v>106</v>
      </c>
      <c r="C81" s="86">
        <v>14.829999923706055</v>
      </c>
      <c r="D81" s="86">
        <v>19.430000305175781</v>
      </c>
      <c r="E81" s="86">
        <v>53.360000610351563</v>
      </c>
      <c r="F81" s="86">
        <v>12.729999542236328</v>
      </c>
      <c r="G81" s="86">
        <v>5.1999998092651367</v>
      </c>
      <c r="H81" s="86">
        <v>11.789999961853027</v>
      </c>
      <c r="I81" s="86">
        <v>19.909999847412109</v>
      </c>
      <c r="J81" s="86">
        <v>25.899999618530273</v>
      </c>
      <c r="K81" s="86">
        <v>71.870002746582031</v>
      </c>
    </row>
    <row r="82" spans="1:11" ht="14.25" customHeight="1">
      <c r="A82" s="36">
        <v>21003</v>
      </c>
      <c r="B82" s="36" t="s">
        <v>107</v>
      </c>
      <c r="C82" s="86">
        <v>13.079999923706055</v>
      </c>
      <c r="D82" s="86">
        <v>27.229999542236328</v>
      </c>
      <c r="E82" s="86">
        <v>26.870000839233398</v>
      </c>
      <c r="F82" s="86">
        <v>17.569999694824219</v>
      </c>
      <c r="G82" s="86">
        <v>7.9600000381469727</v>
      </c>
      <c r="H82" s="86">
        <v>17.909999847412109</v>
      </c>
      <c r="I82" s="86">
        <v>12.949999809265137</v>
      </c>
      <c r="J82" s="86">
        <v>12.619999885559082</v>
      </c>
      <c r="K82" s="86">
        <v>60.729999542236328</v>
      </c>
    </row>
    <row r="83" spans="1:11" ht="14.25" customHeight="1">
      <c r="A83" s="36">
        <v>21004</v>
      </c>
      <c r="B83" s="36" t="s">
        <v>108</v>
      </c>
      <c r="C83" s="86">
        <v>16.25</v>
      </c>
      <c r="D83" s="86">
        <v>21.879999160766602</v>
      </c>
      <c r="E83" s="86">
        <v>44.099998474121094</v>
      </c>
      <c r="F83" s="86">
        <v>22.809999465942383</v>
      </c>
      <c r="G83" s="86">
        <v>4.5900001525878906</v>
      </c>
      <c r="H83" s="86">
        <v>15.350000381469727</v>
      </c>
      <c r="I83" s="86">
        <v>28.440000534057617</v>
      </c>
      <c r="J83" s="86">
        <v>17.440000534057617</v>
      </c>
      <c r="K83" s="86">
        <v>86.05999755859375</v>
      </c>
    </row>
    <row r="84" spans="1:11" ht="14.25" customHeight="1">
      <c r="A84" s="36">
        <v>21005</v>
      </c>
      <c r="B84" s="36" t="s">
        <v>109</v>
      </c>
      <c r="C84" s="86">
        <v>18.760000228881836</v>
      </c>
      <c r="D84" s="86">
        <v>26.180000305175781</v>
      </c>
      <c r="E84" s="86">
        <v>71.550003051757813</v>
      </c>
      <c r="F84" s="86">
        <v>32.240001678466797</v>
      </c>
      <c r="G84" s="86">
        <v>3.9600000381469727</v>
      </c>
      <c r="H84" s="86">
        <v>18.180000305175781</v>
      </c>
      <c r="I84" s="86">
        <v>39.909999847412109</v>
      </c>
      <c r="J84" s="86">
        <v>49.090000152587891</v>
      </c>
      <c r="K84" s="86">
        <v>83.900001525878906</v>
      </c>
    </row>
    <row r="85" spans="1:11" ht="14.25" customHeight="1">
      <c r="A85" s="36">
        <v>21006</v>
      </c>
      <c r="B85" s="36" t="s">
        <v>110</v>
      </c>
      <c r="C85" s="86">
        <v>17.549999237060547</v>
      </c>
      <c r="D85" s="86">
        <v>21.079999923706055</v>
      </c>
      <c r="E85" s="86">
        <v>52.610000610351563</v>
      </c>
      <c r="F85" s="86">
        <v>15.970000267028809</v>
      </c>
      <c r="G85" s="86">
        <v>6.690000057220459</v>
      </c>
      <c r="H85" s="86">
        <v>20.219999313354492</v>
      </c>
      <c r="I85" s="86">
        <v>17.329999923706055</v>
      </c>
      <c r="J85" s="86">
        <v>38.299999237060547</v>
      </c>
      <c r="K85" s="86">
        <v>62.029998779296875</v>
      </c>
    </row>
    <row r="86" spans="1:11" ht="14.25" customHeight="1">
      <c r="A86" s="36">
        <v>21101</v>
      </c>
      <c r="B86" s="36" t="s">
        <v>111</v>
      </c>
      <c r="C86" s="86">
        <v>9.0399999618530273</v>
      </c>
      <c r="D86" s="86">
        <v>25.850000381469727</v>
      </c>
      <c r="E86" s="86">
        <v>28.620000839233398</v>
      </c>
      <c r="F86" s="86">
        <v>9.6400003433227539</v>
      </c>
      <c r="G86" s="86">
        <v>5.1399998664855957</v>
      </c>
      <c r="H86" s="86">
        <v>13.670000076293945</v>
      </c>
      <c r="I86" s="86">
        <v>15.319999694824219</v>
      </c>
      <c r="J86" s="86">
        <v>14.079999923706055</v>
      </c>
      <c r="K86" s="86">
        <v>58.209999084472656</v>
      </c>
    </row>
    <row r="87" spans="1:11" ht="14.25" customHeight="1">
      <c r="A87" s="36">
        <v>21102</v>
      </c>
      <c r="B87" s="36" t="s">
        <v>112</v>
      </c>
      <c r="C87" s="86">
        <v>12.159999847412109</v>
      </c>
      <c r="D87" s="86">
        <v>23.700000762939453</v>
      </c>
      <c r="E87" s="86">
        <v>41.930000305175781</v>
      </c>
      <c r="F87" s="86">
        <v>13.600000381469727</v>
      </c>
      <c r="G87" s="86">
        <v>5.2100000381469727</v>
      </c>
      <c r="H87" s="86">
        <v>13.159999847412109</v>
      </c>
      <c r="I87" s="86">
        <v>26.579999923706055</v>
      </c>
      <c r="J87" s="86">
        <v>28.040000915527344</v>
      </c>
      <c r="K87" s="86">
        <v>57.659999847412109</v>
      </c>
    </row>
    <row r="88" spans="1:11" ht="14.25" customHeight="1">
      <c r="A88" s="36">
        <v>21103</v>
      </c>
      <c r="B88" s="36" t="s">
        <v>113</v>
      </c>
      <c r="C88" s="86">
        <v>7.929999828338623</v>
      </c>
      <c r="D88" s="86">
        <v>20.579999923706055</v>
      </c>
      <c r="E88" s="86">
        <v>25.690000534057617</v>
      </c>
      <c r="F88" s="86">
        <v>6.9099998474121094</v>
      </c>
      <c r="G88" s="86">
        <v>3.7699999809265137</v>
      </c>
      <c r="H88" s="86">
        <v>11.170000076293945</v>
      </c>
      <c r="I88" s="86">
        <v>29.489999771118164</v>
      </c>
      <c r="J88" s="86">
        <v>13.199999809265137</v>
      </c>
      <c r="K88" s="86">
        <v>40.189998626708984</v>
      </c>
    </row>
    <row r="89" spans="1:11" ht="14.25" customHeight="1">
      <c r="A89" s="36">
        <v>21104</v>
      </c>
      <c r="B89" s="36" t="s">
        <v>114</v>
      </c>
      <c r="C89" s="86">
        <v>9.1499996185302734</v>
      </c>
      <c r="D89" s="86">
        <v>19.770000457763672</v>
      </c>
      <c r="E89" s="86">
        <v>51.939998626708984</v>
      </c>
      <c r="F89" s="86">
        <v>13.229999542236328</v>
      </c>
      <c r="G89" s="86">
        <v>6.2300000190734863</v>
      </c>
      <c r="H89" s="86">
        <v>15.319999694824219</v>
      </c>
      <c r="I89" s="86">
        <v>33.049999237060547</v>
      </c>
      <c r="J89" s="86">
        <v>38.349998474121094</v>
      </c>
      <c r="K89" s="86">
        <v>52.090000152587891</v>
      </c>
    </row>
    <row r="90" spans="1:11" ht="14.25" customHeight="1">
      <c r="A90" s="36">
        <v>21105</v>
      </c>
      <c r="B90" s="36" t="s">
        <v>115</v>
      </c>
      <c r="C90" s="86">
        <v>9.1499996185302734</v>
      </c>
      <c r="D90" s="86">
        <v>29.389999389648438</v>
      </c>
      <c r="E90" s="86">
        <v>77.629997253417969</v>
      </c>
      <c r="F90" s="86">
        <v>24.379999160766602</v>
      </c>
      <c r="G90" s="86">
        <v>7.75</v>
      </c>
      <c r="H90" s="86">
        <v>19.680000305175781</v>
      </c>
      <c r="I90" s="86">
        <v>76.199996948242188</v>
      </c>
      <c r="J90" s="86">
        <v>56.490001678466797</v>
      </c>
      <c r="K90" s="86">
        <v>71.120002746582031</v>
      </c>
    </row>
    <row r="91" spans="1:11" ht="14.25" customHeight="1">
      <c r="A91" s="36">
        <v>21201</v>
      </c>
      <c r="B91" s="36" t="s">
        <v>116</v>
      </c>
      <c r="C91" s="86">
        <v>17.719999313354492</v>
      </c>
      <c r="D91" s="86">
        <v>22.969999313354492</v>
      </c>
      <c r="E91" s="86">
        <v>49.619998931884766</v>
      </c>
      <c r="F91" s="86">
        <v>23.219999313354492</v>
      </c>
      <c r="G91" s="86">
        <v>3.940000057220459</v>
      </c>
      <c r="H91" s="86">
        <v>12.810000419616699</v>
      </c>
      <c r="I91" s="86">
        <v>56.950000762939453</v>
      </c>
      <c r="J91" s="86">
        <v>27.079999923706055</v>
      </c>
      <c r="K91" s="86">
        <v>55.849998474121094</v>
      </c>
    </row>
    <row r="92" spans="1:11" ht="14.25" customHeight="1">
      <c r="A92" s="36">
        <v>21202</v>
      </c>
      <c r="B92" s="36" t="s">
        <v>117</v>
      </c>
      <c r="C92" s="86">
        <v>18.329999923706055</v>
      </c>
      <c r="D92" s="86">
        <v>26.010000228881836</v>
      </c>
      <c r="E92" s="86">
        <v>51.229999542236328</v>
      </c>
      <c r="F92" s="86">
        <v>19.309999465942383</v>
      </c>
      <c r="G92" s="86">
        <v>3.6700000762939453</v>
      </c>
      <c r="H92" s="86">
        <v>14.010000228881836</v>
      </c>
      <c r="I92" s="86">
        <v>45.860000610351563</v>
      </c>
      <c r="J92" s="86">
        <v>22.989999771118164</v>
      </c>
      <c r="K92" s="86">
        <v>63.159999847412109</v>
      </c>
    </row>
    <row r="93" spans="1:11" ht="14.25" customHeight="1">
      <c r="A93" s="36">
        <v>21203</v>
      </c>
      <c r="B93" s="36" t="s">
        <v>118</v>
      </c>
      <c r="C93" s="86">
        <v>19.040000915527344</v>
      </c>
      <c r="D93" s="86">
        <v>16.030000686645508</v>
      </c>
      <c r="E93" s="86">
        <v>40.409999847412109</v>
      </c>
      <c r="F93" s="86">
        <v>17.860000610351563</v>
      </c>
      <c r="G93" s="86">
        <v>3.619999885559082</v>
      </c>
      <c r="H93" s="86">
        <v>11.569999694824219</v>
      </c>
      <c r="I93" s="86">
        <v>42.389999389648438</v>
      </c>
      <c r="J93" s="86">
        <v>20.440000534057617</v>
      </c>
      <c r="K93" s="86">
        <v>46.479999542236328</v>
      </c>
    </row>
    <row r="94" spans="1:11" ht="14.25" customHeight="1">
      <c r="A94" s="36">
        <v>21204</v>
      </c>
      <c r="B94" s="36" t="s">
        <v>119</v>
      </c>
      <c r="C94" s="86">
        <v>25.139999389648438</v>
      </c>
      <c r="D94" s="86">
        <v>12.449999809265137</v>
      </c>
      <c r="E94" s="86">
        <v>43.830001831054688</v>
      </c>
      <c r="F94" s="86">
        <v>19.270000457763672</v>
      </c>
      <c r="G94" s="86">
        <v>2.6600000858306885</v>
      </c>
      <c r="H94" s="86">
        <v>12.050000190734863</v>
      </c>
      <c r="I94" s="86">
        <v>33.540000915527344</v>
      </c>
      <c r="J94" s="86">
        <v>17.420000076293945</v>
      </c>
      <c r="K94" s="86">
        <v>71.860000610351563</v>
      </c>
    </row>
    <row r="95" spans="1:11" ht="14.25" customHeight="1">
      <c r="A95" s="36">
        <v>21301</v>
      </c>
      <c r="B95" s="36" t="s">
        <v>120</v>
      </c>
      <c r="C95" s="86">
        <v>11.569999694824219</v>
      </c>
      <c r="D95" s="86">
        <v>20.959999084472656</v>
      </c>
      <c r="E95" s="86">
        <v>51.830001831054688</v>
      </c>
      <c r="F95" s="86">
        <v>20.790000915527344</v>
      </c>
      <c r="G95" s="86">
        <v>4.1100001335144043</v>
      </c>
      <c r="H95" s="86">
        <v>15.090000152587891</v>
      </c>
      <c r="I95" s="86">
        <v>42.650001525878906</v>
      </c>
      <c r="J95" s="86">
        <v>27.139999389648438</v>
      </c>
      <c r="K95" s="86">
        <v>81.30999755859375</v>
      </c>
    </row>
    <row r="96" spans="1:11" ht="14.25" customHeight="1">
      <c r="A96" s="36">
        <v>21302</v>
      </c>
      <c r="B96" s="36" t="s">
        <v>121</v>
      </c>
      <c r="C96" s="86">
        <v>14.930000305175781</v>
      </c>
      <c r="D96" s="86">
        <v>25.409999847412109</v>
      </c>
      <c r="E96" s="86">
        <v>57.130001068115234</v>
      </c>
      <c r="F96" s="86">
        <v>19.559999465942383</v>
      </c>
      <c r="G96" s="86">
        <v>3.6700000762939453</v>
      </c>
      <c r="H96" s="86">
        <v>10.640000343322754</v>
      </c>
      <c r="I96" s="86">
        <v>48.729999542236328</v>
      </c>
      <c r="J96" s="86">
        <v>38.110000610351563</v>
      </c>
      <c r="K96" s="86">
        <v>63.540000915527344</v>
      </c>
    </row>
    <row r="97" spans="1:11" ht="14.25" customHeight="1">
      <c r="A97" s="36">
        <v>21303</v>
      </c>
      <c r="B97" s="36" t="s">
        <v>122</v>
      </c>
      <c r="C97" s="86">
        <v>11.239999771118164</v>
      </c>
      <c r="D97" s="86">
        <v>21.329999923706055</v>
      </c>
      <c r="E97" s="86">
        <v>55.150001525878906</v>
      </c>
      <c r="F97" s="86">
        <v>24.030000686645508</v>
      </c>
      <c r="G97" s="86">
        <v>4.25</v>
      </c>
      <c r="H97" s="86">
        <v>13.489999771118164</v>
      </c>
      <c r="I97" s="86">
        <v>59.939998626708984</v>
      </c>
      <c r="J97" s="86">
        <v>33.340000152587891</v>
      </c>
      <c r="K97" s="86">
        <v>79.430000305175781</v>
      </c>
    </row>
    <row r="98" spans="1:11" ht="14.25" customHeight="1">
      <c r="A98" s="36">
        <v>21304</v>
      </c>
      <c r="B98" s="36" t="s">
        <v>123</v>
      </c>
      <c r="C98" s="86">
        <v>10.739999771118164</v>
      </c>
      <c r="D98" s="86">
        <v>25.329999923706055</v>
      </c>
      <c r="E98" s="86">
        <v>48.860000610351563</v>
      </c>
      <c r="F98" s="86">
        <v>22.569999694824219</v>
      </c>
      <c r="G98" s="86">
        <v>3.7899999618530273</v>
      </c>
      <c r="H98" s="86">
        <v>13.449999809265137</v>
      </c>
      <c r="I98" s="86">
        <v>34.419998168945313</v>
      </c>
      <c r="J98" s="86">
        <v>25.569999694824219</v>
      </c>
      <c r="K98" s="86">
        <v>71.419998168945313</v>
      </c>
    </row>
    <row r="99" spans="1:11" ht="14.25" customHeight="1">
      <c r="A99" s="36">
        <v>21305</v>
      </c>
      <c r="B99" s="36" t="s">
        <v>124</v>
      </c>
      <c r="C99" s="86">
        <v>11.920000076293945</v>
      </c>
      <c r="D99" s="86">
        <v>23.670000076293945</v>
      </c>
      <c r="E99" s="86">
        <v>35.740001678466797</v>
      </c>
      <c r="F99" s="86">
        <v>16.709999084472656</v>
      </c>
      <c r="G99" s="86">
        <v>3.9300000667572021</v>
      </c>
      <c r="H99" s="86">
        <v>12.439999580383301</v>
      </c>
      <c r="I99" s="86">
        <v>26.059999465942383</v>
      </c>
      <c r="J99" s="86">
        <v>18.950000762939453</v>
      </c>
      <c r="K99" s="86">
        <v>51.759998321533203</v>
      </c>
    </row>
    <row r="100" spans="1:11" ht="14.25" customHeight="1">
      <c r="A100" s="36">
        <v>21306</v>
      </c>
      <c r="B100" s="36" t="s">
        <v>125</v>
      </c>
      <c r="C100" s="86">
        <v>7.619999885559082</v>
      </c>
      <c r="D100" s="86">
        <v>24.620000839233398</v>
      </c>
      <c r="E100" s="86">
        <v>52.770000457763672</v>
      </c>
      <c r="F100" s="86">
        <v>23.129999160766602</v>
      </c>
      <c r="G100" s="86">
        <v>4.7899999618530273</v>
      </c>
      <c r="H100" s="86">
        <v>12.460000038146973</v>
      </c>
      <c r="I100" s="86">
        <v>33.75</v>
      </c>
      <c r="J100" s="86">
        <v>29.520000457763672</v>
      </c>
      <c r="K100" s="86">
        <v>75.879997253417969</v>
      </c>
    </row>
    <row r="101" spans="1:11" ht="14.25" customHeight="1">
      <c r="A101" s="36">
        <v>21307</v>
      </c>
      <c r="B101" s="36" t="s">
        <v>126</v>
      </c>
      <c r="C101" s="86">
        <v>6.9099998474121094</v>
      </c>
      <c r="D101" s="86">
        <v>22.010000228881836</v>
      </c>
      <c r="E101" s="86">
        <v>50.369998931884766</v>
      </c>
      <c r="F101" s="86">
        <v>18.430000305175781</v>
      </c>
      <c r="G101" s="86">
        <v>4.7699999809265137</v>
      </c>
      <c r="H101" s="86">
        <v>11.689999580383301</v>
      </c>
      <c r="I101" s="86">
        <v>10.159999847412109</v>
      </c>
      <c r="J101" s="86">
        <v>21.889999389648438</v>
      </c>
      <c r="K101" s="86">
        <v>79.819999694824219</v>
      </c>
    </row>
    <row r="102" spans="1:11" ht="14.25" customHeight="1">
      <c r="A102" s="36">
        <v>21401</v>
      </c>
      <c r="B102" s="36" t="s">
        <v>127</v>
      </c>
      <c r="C102" s="86">
        <v>9.0799999237060547</v>
      </c>
      <c r="D102" s="86">
        <v>17.950000762939453</v>
      </c>
      <c r="E102" s="86">
        <v>42.409999847412109</v>
      </c>
      <c r="F102" s="86">
        <v>9.5100002288818359</v>
      </c>
      <c r="G102" s="86">
        <v>4.929999828338623</v>
      </c>
      <c r="H102" s="86">
        <v>11.989999771118164</v>
      </c>
      <c r="I102" s="86">
        <v>29.510000228881836</v>
      </c>
      <c r="J102" s="86">
        <v>22.829999923706055</v>
      </c>
      <c r="K102" s="86">
        <v>52.580001831054688</v>
      </c>
    </row>
    <row r="103" spans="1:11" ht="14.25" customHeight="1">
      <c r="A103" s="36">
        <v>21402</v>
      </c>
      <c r="B103" s="36" t="s">
        <v>128</v>
      </c>
      <c r="C103" s="86">
        <v>8.9399995803833008</v>
      </c>
      <c r="D103" s="86">
        <v>24.729999542236328</v>
      </c>
      <c r="E103" s="86">
        <v>26.979999542236328</v>
      </c>
      <c r="F103" s="86">
        <v>9.9600000381469727</v>
      </c>
      <c r="G103" s="86">
        <v>4.8000001907348633</v>
      </c>
      <c r="H103" s="86">
        <v>13.090000152587891</v>
      </c>
      <c r="I103" s="86">
        <v>6.6100001335144043</v>
      </c>
      <c r="J103" s="86">
        <v>9.9099998474121094</v>
      </c>
      <c r="K103" s="86">
        <v>50.979999542236328</v>
      </c>
    </row>
    <row r="104" spans="1:11" ht="14.25" customHeight="1">
      <c r="A104" s="36">
        <v>21501</v>
      </c>
      <c r="B104" s="36" t="s">
        <v>129</v>
      </c>
      <c r="C104" s="86">
        <v>6.6100001335144043</v>
      </c>
      <c r="D104" s="86">
        <v>43.080001831054688</v>
      </c>
      <c r="E104" s="86">
        <v>63.939998626708984</v>
      </c>
      <c r="F104" s="86">
        <v>20.959999084472656</v>
      </c>
      <c r="G104" s="86">
        <v>8.2799997329711914</v>
      </c>
      <c r="H104" s="86">
        <v>19.469999313354492</v>
      </c>
      <c r="I104" s="86">
        <v>48.340000152587891</v>
      </c>
      <c r="J104" s="86">
        <v>38.889999389648438</v>
      </c>
      <c r="K104" s="86">
        <v>61.009998321533203</v>
      </c>
    </row>
    <row r="105" spans="1:11" ht="14.25" customHeight="1">
      <c r="A105" s="36">
        <v>21502</v>
      </c>
      <c r="B105" s="36" t="s">
        <v>130</v>
      </c>
      <c r="C105" s="86">
        <v>10.800000190734863</v>
      </c>
      <c r="D105" s="86">
        <v>43.349998474121094</v>
      </c>
      <c r="E105" s="86">
        <v>41.119998931884766</v>
      </c>
      <c r="F105" s="86">
        <v>15.869999885559082</v>
      </c>
      <c r="G105" s="86">
        <v>9.5100002288818359</v>
      </c>
      <c r="H105" s="86">
        <v>20.700000762939453</v>
      </c>
      <c r="I105" s="86">
        <v>11.180000305175781</v>
      </c>
      <c r="J105" s="86">
        <v>29.450000762939453</v>
      </c>
      <c r="K105" s="86">
        <v>38.479999542236328</v>
      </c>
    </row>
    <row r="106" spans="1:11" ht="14.25" customHeight="1">
      <c r="A106" s="36">
        <v>21601</v>
      </c>
      <c r="B106" s="36" t="s">
        <v>131</v>
      </c>
      <c r="C106" s="86">
        <v>32.919998168945313</v>
      </c>
      <c r="D106" s="86">
        <v>32.369998931884766</v>
      </c>
      <c r="E106" s="86">
        <v>70.30999755859375</v>
      </c>
      <c r="F106" s="86">
        <v>32.619998931884766</v>
      </c>
      <c r="G106" s="86">
        <v>3.9000000953674316</v>
      </c>
      <c r="H106" s="86">
        <v>20.340000152587891</v>
      </c>
      <c r="I106" s="86">
        <v>22.469999313354492</v>
      </c>
      <c r="J106" s="86">
        <v>36.119998931884766</v>
      </c>
      <c r="K106" s="86">
        <v>89.330001831054688</v>
      </c>
    </row>
    <row r="107" spans="1:11" ht="14.25" customHeight="1">
      <c r="A107" s="36">
        <v>21602</v>
      </c>
      <c r="B107" s="36" t="s">
        <v>132</v>
      </c>
      <c r="C107" s="86">
        <v>24.950000762939453</v>
      </c>
      <c r="D107" s="86">
        <v>41.790000915527344</v>
      </c>
      <c r="E107" s="86">
        <v>73.220001220703125</v>
      </c>
      <c r="F107" s="86">
        <v>36.919998168945313</v>
      </c>
      <c r="G107" s="86">
        <v>4.2600002288818359</v>
      </c>
      <c r="H107" s="86">
        <v>19.299999237060547</v>
      </c>
      <c r="I107" s="86">
        <v>24.629999160766602</v>
      </c>
      <c r="J107" s="86">
        <v>42.060001373291016</v>
      </c>
      <c r="K107" s="86">
        <v>74.569999694824219</v>
      </c>
    </row>
    <row r="108" spans="1:11" ht="14.25" customHeight="1">
      <c r="A108" s="36">
        <v>21701</v>
      </c>
      <c r="B108" s="36" t="s">
        <v>133</v>
      </c>
      <c r="C108" s="86">
        <v>20.069999694824219</v>
      </c>
      <c r="D108" s="86">
        <v>21.139999389648438</v>
      </c>
      <c r="E108" s="86">
        <v>33.830001831054688</v>
      </c>
      <c r="F108" s="86">
        <v>15.210000038146973</v>
      </c>
      <c r="G108" s="86">
        <v>3.880000114440918</v>
      </c>
      <c r="H108" s="86">
        <v>10.039999961853027</v>
      </c>
      <c r="I108" s="86">
        <v>30.590000152587891</v>
      </c>
      <c r="J108" s="86">
        <v>13.689999580383301</v>
      </c>
      <c r="K108" s="86">
        <v>42.490001678466797</v>
      </c>
    </row>
    <row r="109" spans="1:11" ht="14.25" customHeight="1">
      <c r="A109" s="36">
        <v>21702</v>
      </c>
      <c r="B109" s="36" t="s">
        <v>134</v>
      </c>
      <c r="C109" s="86">
        <v>22.149999618530273</v>
      </c>
      <c r="D109" s="86">
        <v>18.760000228881836</v>
      </c>
      <c r="E109" s="86">
        <v>42.599998474121094</v>
      </c>
      <c r="F109" s="86">
        <v>12.449999809265137</v>
      </c>
      <c r="G109" s="86">
        <v>1.6799999475479126</v>
      </c>
      <c r="H109" s="86">
        <v>10.279999732971191</v>
      </c>
      <c r="I109" s="86">
        <v>32.369998931884766</v>
      </c>
      <c r="J109" s="86">
        <v>24.229999542236328</v>
      </c>
      <c r="K109" s="86">
        <v>79.930000305175781</v>
      </c>
    </row>
    <row r="110" spans="1:11" ht="14.25" customHeight="1">
      <c r="A110" s="36">
        <v>21703</v>
      </c>
      <c r="B110" s="36" t="s">
        <v>135</v>
      </c>
      <c r="C110" s="86">
        <v>31.809999465942383</v>
      </c>
      <c r="D110" s="86">
        <v>19.920000076293945</v>
      </c>
      <c r="E110" s="86">
        <v>67.930000305175781</v>
      </c>
      <c r="F110" s="86">
        <v>15.039999961853027</v>
      </c>
      <c r="G110" s="86">
        <v>2.6500000953674316</v>
      </c>
      <c r="H110" s="86">
        <v>13.640000343322754</v>
      </c>
      <c r="I110" s="86">
        <v>32.200000762939453</v>
      </c>
      <c r="J110" s="86">
        <v>35.900001525878906</v>
      </c>
      <c r="K110" s="86">
        <v>92.730003356933594</v>
      </c>
    </row>
    <row r="111" spans="1:11" ht="14.25" customHeight="1">
      <c r="A111" s="36">
        <v>21801</v>
      </c>
      <c r="B111" s="36" t="s">
        <v>136</v>
      </c>
      <c r="C111" s="86">
        <v>9.6999998092651367</v>
      </c>
      <c r="D111" s="86">
        <v>12.239999771118164</v>
      </c>
      <c r="E111" s="86">
        <v>67.599998474121094</v>
      </c>
      <c r="F111" s="86">
        <v>21.450000762939453</v>
      </c>
      <c r="G111" s="86">
        <v>4.4000000953674316</v>
      </c>
      <c r="H111" s="86">
        <v>14.300000190734863</v>
      </c>
      <c r="I111" s="86">
        <v>64.980003356933594</v>
      </c>
      <c r="J111" s="86">
        <v>50.360000610351563</v>
      </c>
      <c r="K111" s="86">
        <v>82.25</v>
      </c>
    </row>
    <row r="112" spans="1:11" ht="14.25" customHeight="1">
      <c r="A112" s="36">
        <v>21802</v>
      </c>
      <c r="B112" s="36" t="s">
        <v>137</v>
      </c>
      <c r="C112" s="86">
        <v>12.409999847412109</v>
      </c>
      <c r="D112" s="86">
        <v>19.309999465942383</v>
      </c>
      <c r="E112" s="86">
        <v>56.959999084472656</v>
      </c>
      <c r="F112" s="86">
        <v>19.850000381469727</v>
      </c>
      <c r="G112" s="86">
        <v>3.9300000667572021</v>
      </c>
      <c r="H112" s="86">
        <v>12.5</v>
      </c>
      <c r="I112" s="86">
        <v>40.669998168945313</v>
      </c>
      <c r="J112" s="86">
        <v>44.659999847412109</v>
      </c>
      <c r="K112" s="86">
        <v>48.849998474121094</v>
      </c>
    </row>
    <row r="113" spans="1:11" ht="14.25" customHeight="1">
      <c r="A113" s="36">
        <v>21803</v>
      </c>
      <c r="B113" s="36" t="s">
        <v>138</v>
      </c>
      <c r="C113" s="86">
        <v>9.7600002288818359</v>
      </c>
      <c r="D113" s="86">
        <v>19.350000381469727</v>
      </c>
      <c r="E113" s="86">
        <v>63.150001525878906</v>
      </c>
      <c r="F113" s="86">
        <v>18.799999237060547</v>
      </c>
      <c r="G113" s="86">
        <v>3.380000114440918</v>
      </c>
      <c r="H113" s="86">
        <v>10.649999618530273</v>
      </c>
      <c r="I113" s="86">
        <v>95.650001525878906</v>
      </c>
      <c r="J113" s="86">
        <v>37.299999237060547</v>
      </c>
      <c r="K113" s="86">
        <v>96.199996948242188</v>
      </c>
    </row>
    <row r="114" spans="1:11" ht="14.25" customHeight="1">
      <c r="A114" s="36">
        <v>21901</v>
      </c>
      <c r="B114" s="36" t="s">
        <v>139</v>
      </c>
      <c r="C114" s="86">
        <v>6.5500001907348633</v>
      </c>
      <c r="D114" s="86">
        <v>18.729999542236328</v>
      </c>
      <c r="E114" s="86">
        <v>80.589996337890625</v>
      </c>
      <c r="F114" s="86">
        <v>14.600000381469727</v>
      </c>
      <c r="G114" s="86">
        <v>3.2000000476837158</v>
      </c>
      <c r="H114" s="86">
        <v>11.279999732971191</v>
      </c>
      <c r="I114" s="86">
        <v>34.270000457763672</v>
      </c>
      <c r="J114" s="86">
        <v>55.639999389648438</v>
      </c>
      <c r="K114" s="86">
        <v>37.299999237060547</v>
      </c>
    </row>
    <row r="115" spans="1:11" ht="14.25" customHeight="1">
      <c r="A115" s="36">
        <v>21902</v>
      </c>
      <c r="B115" s="36" t="s">
        <v>140</v>
      </c>
      <c r="C115" s="86">
        <v>4.2300000190734863</v>
      </c>
      <c r="D115" s="86">
        <v>13.430000305175781</v>
      </c>
      <c r="E115" s="86">
        <v>88.360000610351563</v>
      </c>
      <c r="F115" s="86">
        <v>24.010000228881836</v>
      </c>
      <c r="G115" s="86">
        <v>2.7000000476837158</v>
      </c>
      <c r="H115" s="86">
        <v>15.350000381469727</v>
      </c>
      <c r="I115" s="86">
        <v>41.430000305175781</v>
      </c>
      <c r="J115" s="86">
        <v>42.169998168945313</v>
      </c>
      <c r="K115" s="86">
        <v>39.090000152587891</v>
      </c>
    </row>
    <row r="116" spans="1:11" ht="14.25" customHeight="1">
      <c r="A116" s="36">
        <v>22001</v>
      </c>
      <c r="B116" s="36" t="s">
        <v>141</v>
      </c>
      <c r="C116" s="86">
        <v>9.1599998474121094</v>
      </c>
      <c r="D116" s="86">
        <v>27.639999389648438</v>
      </c>
      <c r="E116" s="86">
        <v>56.060001373291016</v>
      </c>
      <c r="F116" s="86">
        <v>12.909999847412109</v>
      </c>
      <c r="G116" s="86">
        <v>5.3000001907348633</v>
      </c>
      <c r="H116" s="86">
        <v>15.270000457763672</v>
      </c>
      <c r="I116" s="86">
        <v>34.419998168945313</v>
      </c>
      <c r="J116" s="86">
        <v>39.020000457763672</v>
      </c>
      <c r="K116" s="86">
        <v>41.639999389648438</v>
      </c>
    </row>
    <row r="117" spans="1:11" ht="14.25" customHeight="1">
      <c r="A117" s="36">
        <v>22002</v>
      </c>
      <c r="B117" s="36" t="s">
        <v>142</v>
      </c>
      <c r="C117" s="86">
        <v>8.9399995803833008</v>
      </c>
      <c r="D117" s="86">
        <v>28.610000610351563</v>
      </c>
      <c r="E117" s="86">
        <v>68.209999084472656</v>
      </c>
      <c r="F117" s="86">
        <v>11.039999961853027</v>
      </c>
      <c r="G117" s="86">
        <v>5.5300002098083496</v>
      </c>
      <c r="H117" s="86">
        <v>15.939999580383301</v>
      </c>
      <c r="I117" s="86">
        <v>57.349998474121094</v>
      </c>
      <c r="J117" s="86">
        <v>52.419998168945313</v>
      </c>
      <c r="K117" s="86">
        <v>59.450000762939453</v>
      </c>
    </row>
    <row r="118" spans="1:11" ht="14.25" customHeight="1">
      <c r="A118" s="36">
        <v>30101</v>
      </c>
      <c r="B118" s="36" t="s">
        <v>16</v>
      </c>
      <c r="C118" s="86">
        <v>6.5500001907348633</v>
      </c>
      <c r="D118" s="86">
        <v>30.219999313354492</v>
      </c>
      <c r="E118" s="86">
        <v>12.819999694824219</v>
      </c>
      <c r="F118" s="86">
        <v>3.5299999713897705</v>
      </c>
      <c r="G118" s="86">
        <v>4.309999942779541</v>
      </c>
      <c r="H118" s="86">
        <v>10.5</v>
      </c>
      <c r="I118" s="86">
        <v>34.479999542236328</v>
      </c>
      <c r="J118" s="86">
        <v>2.8199999332427979</v>
      </c>
      <c r="K118" s="86">
        <v>36.529998779296875</v>
      </c>
    </row>
    <row r="119" spans="1:11" ht="14.25" customHeight="1">
      <c r="A119" s="36">
        <v>30201</v>
      </c>
      <c r="B119" s="36" t="s">
        <v>143</v>
      </c>
      <c r="C119" s="86">
        <v>21.059999465942383</v>
      </c>
      <c r="D119" s="86">
        <v>19.090000152587891</v>
      </c>
      <c r="E119" s="86">
        <v>55.740001678466797</v>
      </c>
      <c r="F119" s="86">
        <v>16.389999389648438</v>
      </c>
      <c r="G119" s="86">
        <v>5.6599998474121094</v>
      </c>
      <c r="H119" s="86">
        <v>21.200000762939453</v>
      </c>
      <c r="I119" s="86">
        <v>27.659999847412109</v>
      </c>
      <c r="J119" s="86">
        <v>37.740001678466797</v>
      </c>
      <c r="K119" s="86">
        <v>56.130001068115234</v>
      </c>
    </row>
    <row r="120" spans="1:11" ht="14.25" customHeight="1">
      <c r="A120" s="36">
        <v>30202</v>
      </c>
      <c r="B120" s="36" t="s">
        <v>144</v>
      </c>
      <c r="C120" s="86">
        <v>17.430000305175781</v>
      </c>
      <c r="D120" s="86">
        <v>29.329999923706055</v>
      </c>
      <c r="E120" s="86">
        <v>52.529998779296875</v>
      </c>
      <c r="F120" s="86">
        <v>13.130000114440918</v>
      </c>
      <c r="G120" s="86">
        <v>3.7100000381469727</v>
      </c>
      <c r="H120" s="86">
        <v>18.739999771118164</v>
      </c>
      <c r="I120" s="86">
        <v>24.360000610351563</v>
      </c>
      <c r="J120" s="86">
        <v>37.340000152587891</v>
      </c>
      <c r="K120" s="86">
        <v>90.459999084472656</v>
      </c>
    </row>
    <row r="121" spans="1:11" ht="14.25" customHeight="1">
      <c r="A121" s="36">
        <v>30203</v>
      </c>
      <c r="B121" s="36" t="s">
        <v>145</v>
      </c>
      <c r="C121" s="86">
        <v>18.309999465942383</v>
      </c>
      <c r="D121" s="86">
        <v>45.779998779296875</v>
      </c>
      <c r="E121" s="86">
        <v>34.529998779296875</v>
      </c>
      <c r="F121" s="86">
        <v>11.989999771118164</v>
      </c>
      <c r="G121" s="86">
        <v>6.2399997711181641</v>
      </c>
      <c r="H121" s="86">
        <v>28.100000381469727</v>
      </c>
      <c r="I121" s="86">
        <v>21.569999694824219</v>
      </c>
      <c r="J121" s="86">
        <v>20.190000534057617</v>
      </c>
      <c r="K121" s="86">
        <v>46.450000762939453</v>
      </c>
    </row>
    <row r="122" spans="1:11" ht="14.25" customHeight="1">
      <c r="A122" s="36">
        <v>30301</v>
      </c>
      <c r="B122" s="36" t="s">
        <v>146</v>
      </c>
      <c r="C122" s="86">
        <v>27.149999618530273</v>
      </c>
      <c r="D122" s="86">
        <v>35.060001373291016</v>
      </c>
      <c r="E122" s="86">
        <v>63.240001678466797</v>
      </c>
      <c r="F122" s="86">
        <v>24.270000457763672</v>
      </c>
      <c r="G122" s="86">
        <v>5.429999828338623</v>
      </c>
      <c r="H122" s="86">
        <v>19.290000915527344</v>
      </c>
      <c r="I122" s="86">
        <v>39.560001373291016</v>
      </c>
      <c r="J122" s="86">
        <v>50.880001068115234</v>
      </c>
      <c r="K122" s="86">
        <v>85.709999084472656</v>
      </c>
    </row>
    <row r="123" spans="1:11" ht="14.25" customHeight="1">
      <c r="A123" s="36">
        <v>30302</v>
      </c>
      <c r="B123" s="36" t="s">
        <v>147</v>
      </c>
      <c r="C123" s="86">
        <v>27.909999847412109</v>
      </c>
      <c r="D123" s="86">
        <v>52.759998321533203</v>
      </c>
      <c r="E123" s="86">
        <v>69.510002136230469</v>
      </c>
      <c r="F123" s="86">
        <v>25.139999389648438</v>
      </c>
      <c r="G123" s="86">
        <v>6.3899998664855957</v>
      </c>
      <c r="H123" s="86">
        <v>24.489999771118164</v>
      </c>
      <c r="I123" s="86">
        <v>50.439998626708984</v>
      </c>
      <c r="J123" s="86">
        <v>53.290000915527344</v>
      </c>
      <c r="K123" s="86">
        <v>70.669998168945313</v>
      </c>
    </row>
    <row r="124" spans="1:11" ht="14.25" customHeight="1">
      <c r="A124" s="36">
        <v>30303</v>
      </c>
      <c r="B124" s="36" t="s">
        <v>148</v>
      </c>
      <c r="C124" s="86">
        <v>20.290000915527344</v>
      </c>
      <c r="D124" s="86">
        <v>52.340000152587891</v>
      </c>
      <c r="E124" s="86">
        <v>77.260002136230469</v>
      </c>
      <c r="F124" s="86">
        <v>34.450000762939453</v>
      </c>
      <c r="G124" s="86">
        <v>6.6500000953674316</v>
      </c>
      <c r="H124" s="86">
        <v>33.729999542236328</v>
      </c>
      <c r="I124" s="86">
        <v>66.050003051757813</v>
      </c>
      <c r="J124" s="86">
        <v>42.540000915527344</v>
      </c>
      <c r="K124" s="86">
        <v>72.330001831054688</v>
      </c>
    </row>
    <row r="125" spans="1:11" ht="14.25" customHeight="1">
      <c r="A125" s="36">
        <v>30401</v>
      </c>
      <c r="B125" s="36" t="s">
        <v>149</v>
      </c>
      <c r="C125" s="86">
        <v>16.979999542236328</v>
      </c>
      <c r="D125" s="86">
        <v>40.759998321533203</v>
      </c>
      <c r="E125" s="86">
        <v>39.720001220703125</v>
      </c>
      <c r="F125" s="86">
        <v>8.3000001907348633</v>
      </c>
      <c r="G125" s="86">
        <v>4.8499999046325684</v>
      </c>
      <c r="H125" s="86">
        <v>14.079999923706055</v>
      </c>
      <c r="I125" s="86">
        <v>17.270000457763672</v>
      </c>
      <c r="J125" s="86">
        <v>22.709999084472656</v>
      </c>
      <c r="K125" s="86">
        <v>53.889999389648438</v>
      </c>
    </row>
    <row r="126" spans="1:11" ht="14.25" customHeight="1">
      <c r="A126" s="36">
        <v>30402</v>
      </c>
      <c r="B126" s="36" t="s">
        <v>150</v>
      </c>
      <c r="C126" s="86">
        <v>25.760000228881836</v>
      </c>
      <c r="D126" s="86">
        <v>36.880001068115234</v>
      </c>
      <c r="E126" s="86">
        <v>69.279998779296875</v>
      </c>
      <c r="F126" s="86">
        <v>22.75</v>
      </c>
      <c r="G126" s="86">
        <v>5.2399997711181641</v>
      </c>
      <c r="H126" s="86">
        <v>17.389999389648438</v>
      </c>
      <c r="I126" s="86">
        <v>45.569999694824219</v>
      </c>
      <c r="J126" s="86">
        <v>43.369998931884766</v>
      </c>
      <c r="K126" s="86">
        <v>80</v>
      </c>
    </row>
    <row r="127" spans="1:11" ht="14.25" customHeight="1">
      <c r="A127" s="36">
        <v>30403</v>
      </c>
      <c r="B127" s="36" t="s">
        <v>151</v>
      </c>
      <c r="C127" s="86">
        <v>14.300000190734863</v>
      </c>
      <c r="D127" s="86">
        <v>36.849998474121094</v>
      </c>
      <c r="E127" s="86">
        <v>34.029998779296875</v>
      </c>
      <c r="F127" s="86">
        <v>8.6800003051757813</v>
      </c>
      <c r="G127" s="86">
        <v>5.6100001335144043</v>
      </c>
      <c r="H127" s="86">
        <v>11.930000305175781</v>
      </c>
      <c r="I127" s="86">
        <v>38.630001068115234</v>
      </c>
      <c r="J127" s="86">
        <v>17.979999542236328</v>
      </c>
      <c r="K127" s="86">
        <v>50.639999389648438</v>
      </c>
    </row>
    <row r="128" spans="1:11" ht="14.25" customHeight="1">
      <c r="A128" s="36">
        <v>30404</v>
      </c>
      <c r="B128" s="36" t="s">
        <v>152</v>
      </c>
      <c r="C128" s="86">
        <v>20.670000076293945</v>
      </c>
      <c r="D128" s="86">
        <v>38.189998626708984</v>
      </c>
      <c r="E128" s="86">
        <v>67.449996948242188</v>
      </c>
      <c r="F128" s="86">
        <v>18.170000076293945</v>
      </c>
      <c r="G128" s="86">
        <v>4.9600000381469727</v>
      </c>
      <c r="H128" s="86">
        <v>16.25</v>
      </c>
      <c r="I128" s="86">
        <v>32.319999694824219</v>
      </c>
      <c r="J128" s="86">
        <v>47.490001678466797</v>
      </c>
      <c r="K128" s="86">
        <v>69.650001525878906</v>
      </c>
    </row>
    <row r="129" spans="1:11" ht="14.25" customHeight="1">
      <c r="A129" s="36">
        <v>30501</v>
      </c>
      <c r="B129" s="36" t="s">
        <v>153</v>
      </c>
      <c r="C129" s="86">
        <v>20.530000686645508</v>
      </c>
      <c r="D129" s="86">
        <v>36.549999237060547</v>
      </c>
      <c r="E129" s="86">
        <v>32.569999694824219</v>
      </c>
      <c r="F129" s="86">
        <v>5.5799999237060547</v>
      </c>
      <c r="G129" s="86">
        <v>3.8399999141693115</v>
      </c>
      <c r="H129" s="86">
        <v>10.289999961853027</v>
      </c>
      <c r="I129" s="86">
        <v>12.039999961853027</v>
      </c>
      <c r="J129" s="86">
        <v>13.770000457763672</v>
      </c>
      <c r="K129" s="86">
        <v>43.310001373291016</v>
      </c>
    </row>
    <row r="130" spans="1:11" ht="14.25" customHeight="1">
      <c r="A130" s="36">
        <v>30502</v>
      </c>
      <c r="B130" s="36" t="s">
        <v>154</v>
      </c>
      <c r="C130" s="86">
        <v>27.450000762939453</v>
      </c>
      <c r="D130" s="86">
        <v>38.319999694824219</v>
      </c>
      <c r="E130" s="86">
        <v>51.770000457763672</v>
      </c>
      <c r="F130" s="86">
        <v>16.700000762939453</v>
      </c>
      <c r="G130" s="86">
        <v>5.2100000381469727</v>
      </c>
      <c r="H130" s="86">
        <v>13.25</v>
      </c>
      <c r="I130" s="86">
        <v>22.350000381469727</v>
      </c>
      <c r="J130" s="86">
        <v>27.870000839233398</v>
      </c>
      <c r="K130" s="86">
        <v>71.980003356933594</v>
      </c>
    </row>
    <row r="131" spans="1:11" ht="14.25" customHeight="1">
      <c r="A131" s="36">
        <v>30601</v>
      </c>
      <c r="B131" s="36" t="s">
        <v>155</v>
      </c>
      <c r="C131" s="86">
        <v>39.799999237060547</v>
      </c>
      <c r="D131" s="86">
        <v>36.319999694824219</v>
      </c>
      <c r="E131" s="86">
        <v>73.629997253417969</v>
      </c>
      <c r="F131" s="86">
        <v>39.810001373291016</v>
      </c>
      <c r="G131" s="86">
        <v>4.7899999618530273</v>
      </c>
      <c r="H131" s="86">
        <v>25.459999084472656</v>
      </c>
      <c r="I131" s="86">
        <v>45.310001373291016</v>
      </c>
      <c r="J131" s="86">
        <v>57.189998626708984</v>
      </c>
      <c r="K131" s="86">
        <v>81.419998168945313</v>
      </c>
    </row>
    <row r="132" spans="1:11" ht="14.25" customHeight="1">
      <c r="A132" s="36">
        <v>30602</v>
      </c>
      <c r="B132" s="36" t="s">
        <v>156</v>
      </c>
      <c r="C132" s="86">
        <v>34.430000305175781</v>
      </c>
      <c r="D132" s="86">
        <v>39.439998626708984</v>
      </c>
      <c r="E132" s="86">
        <v>79.870002746582031</v>
      </c>
      <c r="F132" s="86">
        <v>27.319999694824219</v>
      </c>
      <c r="G132" s="86">
        <v>3.5099999904632568</v>
      </c>
      <c r="H132" s="86">
        <v>24.520000457763672</v>
      </c>
      <c r="I132" s="86">
        <v>15.119999885559082</v>
      </c>
      <c r="J132" s="86">
        <v>48.860000610351563</v>
      </c>
      <c r="K132" s="86">
        <v>56.220001220703125</v>
      </c>
    </row>
    <row r="133" spans="1:11" ht="14.25" customHeight="1">
      <c r="A133" s="36">
        <v>30701</v>
      </c>
      <c r="B133" s="36" t="s">
        <v>157</v>
      </c>
      <c r="C133" s="86">
        <v>17.780000686645508</v>
      </c>
      <c r="D133" s="86">
        <v>34.450000762939453</v>
      </c>
      <c r="E133" s="86">
        <v>34.009998321533203</v>
      </c>
      <c r="F133" s="86">
        <v>10.869999885559082</v>
      </c>
      <c r="G133" s="86">
        <v>6.4099998474121094</v>
      </c>
      <c r="H133" s="86">
        <v>13.539999961853027</v>
      </c>
      <c r="I133" s="86">
        <v>17.739999771118164</v>
      </c>
      <c r="J133" s="86">
        <v>19.280000686645508</v>
      </c>
      <c r="K133" s="86">
        <v>52.790000915527344</v>
      </c>
    </row>
    <row r="134" spans="1:11" ht="14.25" customHeight="1">
      <c r="A134" s="36">
        <v>30702</v>
      </c>
      <c r="B134" s="36" t="s">
        <v>158</v>
      </c>
      <c r="C134" s="86">
        <v>15.899999618530273</v>
      </c>
      <c r="D134" s="86">
        <v>27.920000076293945</v>
      </c>
      <c r="E134" s="86">
        <v>42.979999542236328</v>
      </c>
      <c r="F134" s="86">
        <v>6.130000114440918</v>
      </c>
      <c r="G134" s="86">
        <v>6.2300000190734863</v>
      </c>
      <c r="H134" s="86">
        <v>11.069999694824219</v>
      </c>
      <c r="I134" s="86">
        <v>18.909999847412109</v>
      </c>
      <c r="J134" s="86">
        <v>22.110000610351563</v>
      </c>
      <c r="K134" s="86">
        <v>43.5</v>
      </c>
    </row>
    <row r="135" spans="1:11" ht="14.25" customHeight="1">
      <c r="A135" s="36">
        <v>30703</v>
      </c>
      <c r="B135" s="36" t="s">
        <v>159</v>
      </c>
      <c r="C135" s="86">
        <v>26.229999542236328</v>
      </c>
      <c r="D135" s="86">
        <v>26.450000762939453</v>
      </c>
      <c r="E135" s="86">
        <v>58.810001373291016</v>
      </c>
      <c r="F135" s="86">
        <v>23.510000228881836</v>
      </c>
      <c r="G135" s="86">
        <v>6.679999828338623</v>
      </c>
      <c r="H135" s="86">
        <v>20.159999847412109</v>
      </c>
      <c r="I135" s="86">
        <v>26.659999847412109</v>
      </c>
      <c r="J135" s="86">
        <v>41.049999237060547</v>
      </c>
      <c r="K135" s="86">
        <v>68.519996643066406</v>
      </c>
    </row>
    <row r="136" spans="1:11" ht="14.25" customHeight="1">
      <c r="A136" s="36">
        <v>30801</v>
      </c>
      <c r="B136" s="36" t="s">
        <v>160</v>
      </c>
      <c r="C136" s="86">
        <v>15.239999771118164</v>
      </c>
      <c r="D136" s="86">
        <v>39.520000457763672</v>
      </c>
      <c r="E136" s="86">
        <v>19.659999847412109</v>
      </c>
      <c r="F136" s="86">
        <v>3.6400001049041748</v>
      </c>
      <c r="G136" s="86">
        <v>4.8499999046325684</v>
      </c>
      <c r="H136" s="86">
        <v>11.529999732971191</v>
      </c>
      <c r="I136" s="86">
        <v>2.0899999141693115</v>
      </c>
      <c r="J136" s="86">
        <v>4</v>
      </c>
      <c r="K136" s="86">
        <v>30.340000152587891</v>
      </c>
    </row>
    <row r="137" spans="1:11" ht="14.25" customHeight="1">
      <c r="A137" s="36">
        <v>30802</v>
      </c>
      <c r="B137" s="36" t="s">
        <v>161</v>
      </c>
      <c r="C137" s="86">
        <v>24.260000228881836</v>
      </c>
      <c r="D137" s="86">
        <v>34.080001831054688</v>
      </c>
      <c r="E137" s="86">
        <v>36.209999084472656</v>
      </c>
      <c r="F137" s="86">
        <v>4.8400001525878906</v>
      </c>
      <c r="G137" s="86">
        <v>2.6800000667572021</v>
      </c>
      <c r="H137" s="86">
        <v>10.659999847412109</v>
      </c>
      <c r="I137" s="86">
        <v>7.820000171661377</v>
      </c>
      <c r="J137" s="86">
        <v>9.6400003433227539</v>
      </c>
      <c r="K137" s="86">
        <v>50.450000762939453</v>
      </c>
    </row>
    <row r="138" spans="1:11" ht="14.25" customHeight="1">
      <c r="A138" s="36">
        <v>30803</v>
      </c>
      <c r="B138" s="36" t="s">
        <v>162</v>
      </c>
      <c r="C138" s="86">
        <v>12.630000114440918</v>
      </c>
      <c r="D138" s="86">
        <v>34.520000457763672</v>
      </c>
      <c r="E138" s="86">
        <v>16.219999313354492</v>
      </c>
      <c r="F138" s="86">
        <v>2.7000000476837158</v>
      </c>
      <c r="G138" s="86">
        <v>5.2800002098083496</v>
      </c>
      <c r="H138" s="86">
        <v>12.75</v>
      </c>
      <c r="I138" s="86">
        <v>23.020000457763672</v>
      </c>
      <c r="J138" s="86">
        <v>3.880000114440918</v>
      </c>
      <c r="K138" s="86">
        <v>55.360000610351563</v>
      </c>
    </row>
    <row r="139" spans="1:11" ht="14.25" customHeight="1">
      <c r="A139" s="36">
        <v>30901</v>
      </c>
      <c r="B139" s="36" t="s">
        <v>163</v>
      </c>
      <c r="C139" s="86">
        <v>8.4399995803833008</v>
      </c>
      <c r="D139" s="86">
        <v>30.030000686645508</v>
      </c>
      <c r="E139" s="86">
        <v>15.180000305175781</v>
      </c>
      <c r="F139" s="86">
        <v>4.0300002098083496</v>
      </c>
      <c r="G139" s="86">
        <v>5.1100001335144043</v>
      </c>
      <c r="H139" s="86">
        <v>11.869999885559082</v>
      </c>
      <c r="I139" s="86">
        <v>19.670000076293945</v>
      </c>
      <c r="J139" s="86">
        <v>3</v>
      </c>
      <c r="K139" s="86">
        <v>38.439998626708984</v>
      </c>
    </row>
    <row r="140" spans="1:11" ht="14.25" customHeight="1">
      <c r="A140" s="36">
        <v>30902</v>
      </c>
      <c r="B140" s="36" t="s">
        <v>164</v>
      </c>
      <c r="C140" s="86">
        <v>15.449999809265137</v>
      </c>
      <c r="D140" s="86">
        <v>32.810001373291016</v>
      </c>
      <c r="E140" s="86">
        <v>29.520000457763672</v>
      </c>
      <c r="F140" s="86">
        <v>9.0900001525878906</v>
      </c>
      <c r="G140" s="86">
        <v>6.380000114440918</v>
      </c>
      <c r="H140" s="86">
        <v>15.010000228881836</v>
      </c>
      <c r="I140" s="86">
        <v>14.829999923706055</v>
      </c>
      <c r="J140" s="86">
        <v>11.760000228881836</v>
      </c>
      <c r="K140" s="86">
        <v>45.75</v>
      </c>
    </row>
    <row r="141" spans="1:11" ht="14.25" customHeight="1">
      <c r="A141" s="36">
        <v>30903</v>
      </c>
      <c r="B141" s="36" t="s">
        <v>165</v>
      </c>
      <c r="C141" s="86">
        <v>9.1800003051757813</v>
      </c>
      <c r="D141" s="86">
        <v>34.880001068115234</v>
      </c>
      <c r="E141" s="86">
        <v>19.020000457763672</v>
      </c>
      <c r="F141" s="86">
        <v>5.320000171661377</v>
      </c>
      <c r="G141" s="86">
        <v>5.3899998664855957</v>
      </c>
      <c r="H141" s="86">
        <v>12.930000305175781</v>
      </c>
      <c r="I141" s="86">
        <v>21.930000305175781</v>
      </c>
      <c r="J141" s="86">
        <v>5.7600002288818359</v>
      </c>
      <c r="K141" s="86">
        <v>63.900001525878906</v>
      </c>
    </row>
    <row r="142" spans="1:11" ht="14.25" customHeight="1">
      <c r="A142" s="36">
        <v>30904</v>
      </c>
      <c r="B142" s="36" t="s">
        <v>166</v>
      </c>
      <c r="C142" s="86">
        <v>11.359999656677246</v>
      </c>
      <c r="D142" s="86">
        <v>34.819999694824219</v>
      </c>
      <c r="E142" s="86">
        <v>21.329999923706055</v>
      </c>
      <c r="F142" s="86">
        <v>6.1999998092651367</v>
      </c>
      <c r="G142" s="86">
        <v>5.679999828338623</v>
      </c>
      <c r="H142" s="86">
        <v>12.880000114440918</v>
      </c>
      <c r="I142" s="86">
        <v>18.239999771118164</v>
      </c>
      <c r="J142" s="86">
        <v>7.1100001335144043</v>
      </c>
      <c r="K142" s="86">
        <v>67.080001831054688</v>
      </c>
    </row>
    <row r="143" spans="1:11" ht="14.25" customHeight="1">
      <c r="A143" s="36">
        <v>30905</v>
      </c>
      <c r="B143" s="36" t="s">
        <v>167</v>
      </c>
      <c r="C143" s="86">
        <v>6.2199997901916504</v>
      </c>
      <c r="D143" s="86">
        <v>32.180000305175781</v>
      </c>
      <c r="E143" s="86">
        <v>10.710000038146973</v>
      </c>
      <c r="F143" s="86">
        <v>1.8400000333786011</v>
      </c>
      <c r="G143" s="86">
        <v>4.6100001335144043</v>
      </c>
      <c r="H143" s="86">
        <v>10.699999809265137</v>
      </c>
      <c r="I143" s="86">
        <v>18.299999237060547</v>
      </c>
      <c r="J143" s="86">
        <v>0.56999999284744263</v>
      </c>
      <c r="K143" s="86">
        <v>28.909999847412109</v>
      </c>
    </row>
    <row r="144" spans="1:11" ht="14.25" customHeight="1">
      <c r="A144" s="36">
        <v>31001</v>
      </c>
      <c r="B144" s="36" t="s">
        <v>168</v>
      </c>
      <c r="C144" s="86">
        <v>9.869999885559082</v>
      </c>
      <c r="D144" s="86">
        <v>33.189998626708984</v>
      </c>
      <c r="E144" s="86">
        <v>19.280000686645508</v>
      </c>
      <c r="F144" s="86">
        <v>4.1399998664855957</v>
      </c>
      <c r="G144" s="86">
        <v>5.2399997711181641</v>
      </c>
      <c r="H144" s="86">
        <v>12.489999771118164</v>
      </c>
      <c r="I144" s="86">
        <v>27.280000686645508</v>
      </c>
      <c r="J144" s="86">
        <v>6.6599998474121094</v>
      </c>
      <c r="K144" s="86">
        <v>42.189998626708984</v>
      </c>
    </row>
    <row r="145" spans="1:11" ht="14.25" customHeight="1">
      <c r="A145" s="36">
        <v>31002</v>
      </c>
      <c r="B145" s="36" t="s">
        <v>169</v>
      </c>
      <c r="C145" s="86">
        <v>19.930000305175781</v>
      </c>
      <c r="D145" s="86">
        <v>44.459999084472656</v>
      </c>
      <c r="E145" s="86">
        <v>45.740001678466797</v>
      </c>
      <c r="F145" s="86">
        <v>12.649999618530273</v>
      </c>
      <c r="G145" s="86">
        <v>6.3299999237060547</v>
      </c>
      <c r="H145" s="86">
        <v>17.129999160766602</v>
      </c>
      <c r="I145" s="86">
        <v>30.979999542236328</v>
      </c>
      <c r="J145" s="86">
        <v>23.889999389648438</v>
      </c>
      <c r="K145" s="86">
        <v>35.450000762939453</v>
      </c>
    </row>
    <row r="146" spans="1:11" ht="14.25" customHeight="1">
      <c r="A146" s="36">
        <v>31003</v>
      </c>
      <c r="B146" s="36" t="s">
        <v>170</v>
      </c>
      <c r="C146" s="86">
        <v>10.529999732971191</v>
      </c>
      <c r="D146" s="86">
        <v>40.720001220703125</v>
      </c>
      <c r="E146" s="86">
        <v>58.970001220703125</v>
      </c>
      <c r="F146" s="86">
        <v>11.369999885559082</v>
      </c>
      <c r="G146" s="86">
        <v>7.0799999237060547</v>
      </c>
      <c r="H146" s="86">
        <v>15.979999542236328</v>
      </c>
      <c r="I146" s="86">
        <v>63.659999847412109</v>
      </c>
      <c r="J146" s="86">
        <v>45.299999237060547</v>
      </c>
      <c r="K146" s="86">
        <v>35.810001373291016</v>
      </c>
    </row>
    <row r="147" spans="1:11" ht="14.25" customHeight="1">
      <c r="A147" s="36">
        <v>31101</v>
      </c>
      <c r="B147" s="36" t="s">
        <v>171</v>
      </c>
      <c r="C147" s="86">
        <v>31.489999771118164</v>
      </c>
      <c r="D147" s="86">
        <v>31.879999160766602</v>
      </c>
      <c r="E147" s="86">
        <v>78.040000915527344</v>
      </c>
      <c r="F147" s="86">
        <v>30.739999771118164</v>
      </c>
      <c r="G147" s="86">
        <v>4.8499999046325684</v>
      </c>
      <c r="H147" s="86">
        <v>21.649999618530273</v>
      </c>
      <c r="I147" s="86">
        <v>46.5</v>
      </c>
      <c r="J147" s="86">
        <v>62.959999084472656</v>
      </c>
      <c r="K147" s="86">
        <v>87.44000244140625</v>
      </c>
    </row>
    <row r="148" spans="1:11" ht="14.25" customHeight="1">
      <c r="A148" s="36">
        <v>31201</v>
      </c>
      <c r="B148" s="36" t="s">
        <v>172</v>
      </c>
      <c r="C148" s="86">
        <v>21.870000839233398</v>
      </c>
      <c r="D148" s="86">
        <v>35.490001678466797</v>
      </c>
      <c r="E148" s="86">
        <v>66.660003662109375</v>
      </c>
      <c r="F148" s="86">
        <v>16.850000381469727</v>
      </c>
      <c r="G148" s="86">
        <v>7.4800000190734863</v>
      </c>
      <c r="H148" s="86">
        <v>30.600000381469727</v>
      </c>
      <c r="I148" s="86">
        <v>55.950000762939453</v>
      </c>
      <c r="J148" s="86">
        <v>49.119998931884766</v>
      </c>
      <c r="K148" s="86">
        <v>77.19000244140625</v>
      </c>
    </row>
    <row r="149" spans="1:11" ht="14.25" customHeight="1">
      <c r="A149" s="36">
        <v>31202</v>
      </c>
      <c r="B149" s="36" t="s">
        <v>173</v>
      </c>
      <c r="C149" s="86">
        <v>17.299999237060547</v>
      </c>
      <c r="D149" s="86">
        <v>44.630001068115234</v>
      </c>
      <c r="E149" s="86">
        <v>62.330001831054688</v>
      </c>
      <c r="F149" s="86">
        <v>17.069999694824219</v>
      </c>
      <c r="G149" s="86">
        <v>8.0299997329711914</v>
      </c>
      <c r="H149" s="86">
        <v>25.790000915527344</v>
      </c>
      <c r="I149" s="86">
        <v>65.230003356933594</v>
      </c>
      <c r="J149" s="86">
        <v>46.25</v>
      </c>
      <c r="K149" s="86">
        <v>74.529998779296875</v>
      </c>
    </row>
    <row r="150" spans="1:11" ht="14.25" customHeight="1">
      <c r="A150" s="36">
        <v>31203</v>
      </c>
      <c r="B150" s="36" t="s">
        <v>174</v>
      </c>
      <c r="C150" s="86">
        <v>21.159999847412109</v>
      </c>
      <c r="D150" s="86">
        <v>36.909999847412109</v>
      </c>
      <c r="E150" s="86">
        <v>51.220001220703125</v>
      </c>
      <c r="F150" s="86">
        <v>11.689999580383301</v>
      </c>
      <c r="G150" s="86">
        <v>6.3499999046325684</v>
      </c>
      <c r="H150" s="86">
        <v>20.010000228881836</v>
      </c>
      <c r="I150" s="86">
        <v>29.379999160766602</v>
      </c>
      <c r="J150" s="86">
        <v>25.139999389648438</v>
      </c>
      <c r="K150" s="86">
        <v>65.819999694824219</v>
      </c>
    </row>
    <row r="151" spans="1:11" ht="14.25" customHeight="1">
      <c r="A151" s="36">
        <v>31204</v>
      </c>
      <c r="B151" s="36" t="s">
        <v>175</v>
      </c>
      <c r="C151" s="86">
        <v>8.4200000762939453</v>
      </c>
      <c r="D151" s="86">
        <v>41.950000762939453</v>
      </c>
      <c r="E151" s="86">
        <v>55.349998474121094</v>
      </c>
      <c r="F151" s="86">
        <v>9.0399999618530273</v>
      </c>
      <c r="G151" s="86">
        <v>8.2299995422363281</v>
      </c>
      <c r="H151" s="86">
        <v>18.149999618530273</v>
      </c>
      <c r="I151" s="86">
        <v>52.169998168945313</v>
      </c>
      <c r="J151" s="86">
        <v>37.349998474121094</v>
      </c>
      <c r="K151" s="86">
        <v>46.419998168945313</v>
      </c>
    </row>
    <row r="152" spans="1:11" ht="14.25" customHeight="1">
      <c r="A152" s="36">
        <v>31205</v>
      </c>
      <c r="B152" s="36" t="s">
        <v>176</v>
      </c>
      <c r="C152" s="86">
        <v>11.479999542236328</v>
      </c>
      <c r="D152" s="86">
        <v>44.319999694824219</v>
      </c>
      <c r="E152" s="86">
        <v>48.139999389648438</v>
      </c>
      <c r="F152" s="86">
        <v>6.570000171661377</v>
      </c>
      <c r="G152" s="86">
        <v>7.7899999618530273</v>
      </c>
      <c r="H152" s="86">
        <v>18.370000839233398</v>
      </c>
      <c r="I152" s="86">
        <v>41.729999542236328</v>
      </c>
      <c r="J152" s="86">
        <v>34.630001068115234</v>
      </c>
      <c r="K152" s="86">
        <v>47.619998931884766</v>
      </c>
    </row>
    <row r="153" spans="1:11" ht="14.25" customHeight="1">
      <c r="A153" s="36">
        <v>31206</v>
      </c>
      <c r="B153" s="36" t="s">
        <v>177</v>
      </c>
      <c r="C153" s="86">
        <v>9.7399997711181641</v>
      </c>
      <c r="D153" s="86">
        <v>42.189998626708984</v>
      </c>
      <c r="E153" s="86">
        <v>50.790000915527344</v>
      </c>
      <c r="F153" s="86">
        <v>5.880000114440918</v>
      </c>
      <c r="G153" s="86">
        <v>6.8600001335144043</v>
      </c>
      <c r="H153" s="86">
        <v>16.049999237060547</v>
      </c>
      <c r="I153" s="86">
        <v>38.840000152587891</v>
      </c>
      <c r="J153" s="86">
        <v>35.930000305175781</v>
      </c>
      <c r="K153" s="86">
        <v>55.400001525878906</v>
      </c>
    </row>
    <row r="154" spans="1:11" ht="14.25" customHeight="1">
      <c r="A154" s="36">
        <v>31301</v>
      </c>
      <c r="B154" s="36" t="s">
        <v>178</v>
      </c>
      <c r="C154" s="86">
        <v>24.329999923706055</v>
      </c>
      <c r="D154" s="86">
        <v>41.060001373291016</v>
      </c>
      <c r="E154" s="86">
        <v>49.599998474121094</v>
      </c>
      <c r="F154" s="86">
        <v>13.159999847412109</v>
      </c>
      <c r="G154" s="86">
        <v>7.369999885559082</v>
      </c>
      <c r="H154" s="86">
        <v>21.829999923706055</v>
      </c>
      <c r="I154" s="86">
        <v>28.639999389648438</v>
      </c>
      <c r="J154" s="86">
        <v>33.540000915527344</v>
      </c>
      <c r="K154" s="86">
        <v>79.30999755859375</v>
      </c>
    </row>
    <row r="155" spans="1:11" ht="14.25" customHeight="1">
      <c r="A155" s="36">
        <v>31302</v>
      </c>
      <c r="B155" s="36" t="s">
        <v>179</v>
      </c>
      <c r="C155" s="86">
        <v>36.360000610351563</v>
      </c>
      <c r="D155" s="86">
        <v>59.360000610351563</v>
      </c>
      <c r="E155" s="86">
        <v>84.19000244140625</v>
      </c>
      <c r="F155" s="86">
        <v>28.100000381469727</v>
      </c>
      <c r="G155" s="86">
        <v>5.6500000953674316</v>
      </c>
      <c r="H155" s="86">
        <v>27.120000839233398</v>
      </c>
      <c r="I155" s="86">
        <v>43.130001068115234</v>
      </c>
      <c r="J155" s="86">
        <v>74.349998474121094</v>
      </c>
      <c r="K155" s="86">
        <v>78.639999389648438</v>
      </c>
    </row>
    <row r="156" spans="1:11" ht="14.25" customHeight="1">
      <c r="A156" s="36">
        <v>31303</v>
      </c>
      <c r="B156" s="36" t="s">
        <v>180</v>
      </c>
      <c r="C156" s="86">
        <v>31.870000839233398</v>
      </c>
      <c r="D156" s="86">
        <v>54.509998321533203</v>
      </c>
      <c r="E156" s="86">
        <v>89.989997863769531</v>
      </c>
      <c r="F156" s="86">
        <v>28.110000610351563</v>
      </c>
      <c r="G156" s="86">
        <v>6.3600001335144043</v>
      </c>
      <c r="H156" s="86">
        <v>28.040000915527344</v>
      </c>
      <c r="I156" s="86">
        <v>33.759998321533203</v>
      </c>
      <c r="J156" s="86">
        <v>85.279998779296875</v>
      </c>
      <c r="K156" s="86">
        <v>86.400001525878906</v>
      </c>
    </row>
    <row r="157" spans="1:11" ht="14.25" customHeight="1">
      <c r="A157" s="36">
        <v>31304</v>
      </c>
      <c r="B157" s="36" t="s">
        <v>181</v>
      </c>
      <c r="C157" s="86">
        <v>40.869998931884766</v>
      </c>
      <c r="D157" s="86">
        <v>63.340000152587891</v>
      </c>
      <c r="E157" s="86">
        <v>87.279998779296875</v>
      </c>
      <c r="F157" s="86">
        <v>42.270000457763672</v>
      </c>
      <c r="G157" s="86">
        <v>6.3499999046325684</v>
      </c>
      <c r="H157" s="86">
        <v>25.420000076293945</v>
      </c>
      <c r="I157" s="86">
        <v>77.910003662109375</v>
      </c>
      <c r="J157" s="86">
        <v>77.110000610351563</v>
      </c>
      <c r="K157" s="86">
        <v>96.669998168945313</v>
      </c>
    </row>
    <row r="158" spans="1:11" ht="14.25" customHeight="1">
      <c r="A158" s="36">
        <v>31401</v>
      </c>
      <c r="B158" s="36" t="s">
        <v>182</v>
      </c>
      <c r="C158" s="86">
        <v>13.420000076293945</v>
      </c>
      <c r="D158" s="86">
        <v>23.639999389648438</v>
      </c>
      <c r="E158" s="86">
        <v>17.899999618530273</v>
      </c>
      <c r="F158" s="86">
        <v>2.9600000381469727</v>
      </c>
      <c r="G158" s="86">
        <v>3.9200000762939453</v>
      </c>
      <c r="H158" s="86">
        <v>10.060000419616699</v>
      </c>
      <c r="I158" s="86">
        <v>12.010000228881836</v>
      </c>
      <c r="J158" s="86">
        <v>3.3499999046325684</v>
      </c>
      <c r="K158" s="86">
        <v>38.479999542236328</v>
      </c>
    </row>
    <row r="159" spans="1:11" ht="14.25" customHeight="1">
      <c r="A159" s="36">
        <v>31402</v>
      </c>
      <c r="B159" s="36" t="s">
        <v>183</v>
      </c>
      <c r="C159" s="86">
        <v>16.979999542236328</v>
      </c>
      <c r="D159" s="86">
        <v>36.060001373291016</v>
      </c>
      <c r="E159" s="86">
        <v>31.059999465942383</v>
      </c>
      <c r="F159" s="86">
        <v>7.3600001335144043</v>
      </c>
      <c r="G159" s="86">
        <v>4.5399999618530273</v>
      </c>
      <c r="H159" s="86">
        <v>9.8900003433227539</v>
      </c>
      <c r="I159" s="86">
        <v>11.460000038146973</v>
      </c>
      <c r="J159" s="86">
        <v>9.380000114440918</v>
      </c>
      <c r="K159" s="86">
        <v>56.419998168945313</v>
      </c>
    </row>
    <row r="160" spans="1:11" ht="14.25" customHeight="1">
      <c r="A160" s="36">
        <v>31403</v>
      </c>
      <c r="B160" s="36" t="s">
        <v>184</v>
      </c>
      <c r="C160" s="86">
        <v>15.680000305175781</v>
      </c>
      <c r="D160" s="86">
        <v>35.349998474121094</v>
      </c>
      <c r="E160" s="86">
        <v>20.909999847412109</v>
      </c>
      <c r="F160" s="86">
        <v>4.429999828338623</v>
      </c>
      <c r="G160" s="86">
        <v>3.5999999046325684</v>
      </c>
      <c r="H160" s="86">
        <v>12.449999809265137</v>
      </c>
      <c r="I160" s="86">
        <v>7.5</v>
      </c>
      <c r="J160" s="86">
        <v>6.619999885559082</v>
      </c>
      <c r="K160" s="86">
        <v>65.610000610351563</v>
      </c>
    </row>
    <row r="161" spans="1:11" ht="14.25" customHeight="1">
      <c r="A161" s="36">
        <v>31404</v>
      </c>
      <c r="B161" s="36" t="s">
        <v>185</v>
      </c>
      <c r="C161" s="86">
        <v>15.199999809265137</v>
      </c>
      <c r="D161" s="86">
        <v>43.75</v>
      </c>
      <c r="E161" s="86">
        <v>41.439998626708984</v>
      </c>
      <c r="F161" s="86">
        <v>5.2800002098083496</v>
      </c>
      <c r="G161" s="86">
        <v>4.8000001907348633</v>
      </c>
      <c r="H161" s="86">
        <v>16.590000152587891</v>
      </c>
      <c r="I161" s="86">
        <v>34.950000762939453</v>
      </c>
      <c r="J161" s="86">
        <v>10.340000152587891</v>
      </c>
      <c r="K161" s="86">
        <v>77.010002136230469</v>
      </c>
    </row>
    <row r="162" spans="1:11" ht="14.25" customHeight="1">
      <c r="A162" s="36">
        <v>31405</v>
      </c>
      <c r="B162" s="36" t="s">
        <v>186</v>
      </c>
      <c r="C162" s="86">
        <v>19.329999923706055</v>
      </c>
      <c r="D162" s="86">
        <v>43.040000915527344</v>
      </c>
      <c r="E162" s="86">
        <v>60.950000762939453</v>
      </c>
      <c r="F162" s="86">
        <v>10.439999580383301</v>
      </c>
      <c r="G162" s="86">
        <v>2.4700000286102295</v>
      </c>
      <c r="H162" s="86">
        <v>9.3900003433227539</v>
      </c>
      <c r="I162" s="86">
        <v>25.020000457763672</v>
      </c>
      <c r="J162" s="86">
        <v>33.900001525878906</v>
      </c>
      <c r="K162" s="86">
        <v>62.509998321533203</v>
      </c>
    </row>
    <row r="163" spans="1:11" ht="14.25" customHeight="1">
      <c r="A163" s="36">
        <v>31501</v>
      </c>
      <c r="B163" s="36" t="s">
        <v>187</v>
      </c>
      <c r="C163" s="86">
        <v>30.329999923706055</v>
      </c>
      <c r="D163" s="86">
        <v>34.369998931884766</v>
      </c>
      <c r="E163" s="86">
        <v>70.69000244140625</v>
      </c>
      <c r="F163" s="86">
        <v>30.350000381469727</v>
      </c>
      <c r="G163" s="86">
        <v>3.440000057220459</v>
      </c>
      <c r="H163" s="86">
        <v>26.420000076293945</v>
      </c>
      <c r="I163" s="86">
        <v>17.379999160766602</v>
      </c>
      <c r="J163" s="86">
        <v>45.610000610351563</v>
      </c>
      <c r="K163" s="86">
        <v>94.089996337890625</v>
      </c>
    </row>
    <row r="164" spans="1:11" ht="14.25" customHeight="1">
      <c r="A164" s="36">
        <v>31601</v>
      </c>
      <c r="B164" s="36" t="s">
        <v>188</v>
      </c>
      <c r="C164" s="86">
        <v>18.469999313354492</v>
      </c>
      <c r="D164" s="86">
        <v>50.540000915527344</v>
      </c>
      <c r="E164" s="86">
        <v>42.409999847412109</v>
      </c>
      <c r="F164" s="86">
        <v>13.960000038146973</v>
      </c>
      <c r="G164" s="86">
        <v>5.7800002098083496</v>
      </c>
      <c r="H164" s="86">
        <v>17.870000839233398</v>
      </c>
      <c r="I164" s="86">
        <v>18.5</v>
      </c>
      <c r="J164" s="86">
        <v>19.110000610351563</v>
      </c>
      <c r="K164" s="86">
        <v>51.590000152587891</v>
      </c>
    </row>
    <row r="165" spans="1:11" ht="14.25" customHeight="1">
      <c r="A165" s="36">
        <v>31602</v>
      </c>
      <c r="B165" s="36" t="s">
        <v>189</v>
      </c>
      <c r="C165" s="86">
        <v>11.770000457763672</v>
      </c>
      <c r="D165" s="86">
        <v>44.860000610351563</v>
      </c>
      <c r="E165" s="86">
        <v>49.610000610351563</v>
      </c>
      <c r="F165" s="86">
        <v>4.5900001525878906</v>
      </c>
      <c r="G165" s="86">
        <v>8.1599998474121094</v>
      </c>
      <c r="H165" s="86">
        <v>16.780000686645508</v>
      </c>
      <c r="I165" s="86">
        <v>31.340000152587891</v>
      </c>
      <c r="J165" s="86">
        <v>34.930000305175781</v>
      </c>
      <c r="K165" s="86">
        <v>27.540000915527344</v>
      </c>
    </row>
    <row r="166" spans="1:11" ht="14.25" customHeight="1">
      <c r="A166" s="36">
        <v>40101</v>
      </c>
      <c r="B166" s="36" t="s">
        <v>18</v>
      </c>
      <c r="C166" s="86">
        <v>5.6500000953674316</v>
      </c>
      <c r="D166" s="86">
        <v>22.940000534057617</v>
      </c>
      <c r="E166" s="86">
        <v>15.359999656677246</v>
      </c>
      <c r="F166" s="86">
        <v>4.8000001907348633</v>
      </c>
      <c r="G166" s="86">
        <v>3.7899999618530273</v>
      </c>
      <c r="H166" s="86">
        <v>9.119999885559082</v>
      </c>
      <c r="I166" s="86">
        <v>4.2100000381469727</v>
      </c>
      <c r="J166" s="86">
        <v>4.440000057220459</v>
      </c>
      <c r="K166" s="86">
        <v>30.860000610351563</v>
      </c>
    </row>
    <row r="167" spans="1:11" ht="14.25" customHeight="1">
      <c r="A167" s="36">
        <v>40102</v>
      </c>
      <c r="B167" s="36" t="s">
        <v>190</v>
      </c>
      <c r="C167" s="86">
        <v>10.210000038146973</v>
      </c>
      <c r="D167" s="86">
        <v>28.620000839233398</v>
      </c>
      <c r="E167" s="86">
        <v>45.790000915527344</v>
      </c>
      <c r="F167" s="86">
        <v>15.520000457763672</v>
      </c>
      <c r="G167" s="86">
        <v>4</v>
      </c>
      <c r="H167" s="86">
        <v>13.479999542236328</v>
      </c>
      <c r="I167" s="86">
        <v>49.389999389648438</v>
      </c>
      <c r="J167" s="86">
        <v>26.219999313354492</v>
      </c>
      <c r="K167" s="86">
        <v>74.319999694824219</v>
      </c>
    </row>
    <row r="168" spans="1:11" ht="14.25" customHeight="1">
      <c r="A168" s="36">
        <v>40103</v>
      </c>
      <c r="B168" s="36" t="s">
        <v>191</v>
      </c>
      <c r="C168" s="86">
        <v>7.6999998092651367</v>
      </c>
      <c r="D168" s="86">
        <v>19.049999237060547</v>
      </c>
      <c r="E168" s="86">
        <v>86.069999694824219</v>
      </c>
      <c r="F168" s="86">
        <v>15.210000038146973</v>
      </c>
      <c r="G168" s="86">
        <v>3.2799999713897705</v>
      </c>
      <c r="H168" s="86">
        <v>11.069999694824219</v>
      </c>
      <c r="I168" s="86">
        <v>97</v>
      </c>
      <c r="J168" s="86">
        <v>80.089996337890625</v>
      </c>
      <c r="K168" s="86">
        <v>97.540000915527344</v>
      </c>
    </row>
    <row r="169" spans="1:11" ht="14.25" customHeight="1">
      <c r="A169" s="36">
        <v>40104</v>
      </c>
      <c r="B169" s="36" t="s">
        <v>192</v>
      </c>
      <c r="C169" s="86">
        <v>15.810000419616699</v>
      </c>
      <c r="D169" s="86">
        <v>29.209999084472656</v>
      </c>
      <c r="E169" s="86">
        <v>46.630001068115234</v>
      </c>
      <c r="F169" s="86">
        <v>18.719999313354492</v>
      </c>
      <c r="G169" s="86">
        <v>3.6700000762939453</v>
      </c>
      <c r="H169" s="86">
        <v>19.549999237060547</v>
      </c>
      <c r="I169" s="86">
        <v>25.540000915527344</v>
      </c>
      <c r="J169" s="86">
        <v>18.899999618530273</v>
      </c>
      <c r="K169" s="86">
        <v>91.30999755859375</v>
      </c>
    </row>
    <row r="170" spans="1:11" ht="14.25" customHeight="1">
      <c r="A170" s="36">
        <v>40201</v>
      </c>
      <c r="B170" s="36" t="s">
        <v>193</v>
      </c>
      <c r="C170" s="86">
        <v>16.459999084472656</v>
      </c>
      <c r="D170" s="86">
        <v>14.539999961853027</v>
      </c>
      <c r="E170" s="86">
        <v>53.759998321533203</v>
      </c>
      <c r="F170" s="86">
        <v>17.870000839233398</v>
      </c>
      <c r="G170" s="86">
        <v>4.2300000190734863</v>
      </c>
      <c r="H170" s="86">
        <v>15.590000152587891</v>
      </c>
      <c r="I170" s="86">
        <v>25.639999389648438</v>
      </c>
      <c r="J170" s="86">
        <v>27.620000839233398</v>
      </c>
      <c r="K170" s="86">
        <v>71.919998168945313</v>
      </c>
    </row>
    <row r="171" spans="1:11" ht="14.25" customHeight="1">
      <c r="A171" s="36">
        <v>40202</v>
      </c>
      <c r="B171" s="36" t="s">
        <v>194</v>
      </c>
      <c r="C171" s="86">
        <v>8.4600000381469727</v>
      </c>
      <c r="D171" s="86">
        <v>20.989999771118164</v>
      </c>
      <c r="E171" s="86">
        <v>50.459999084472656</v>
      </c>
      <c r="F171" s="86">
        <v>13.600000381469727</v>
      </c>
      <c r="G171" s="86">
        <v>3.0499999523162842</v>
      </c>
      <c r="H171" s="86">
        <v>8.3000001907348633</v>
      </c>
      <c r="I171" s="86">
        <v>39.630001068115234</v>
      </c>
      <c r="J171" s="86">
        <v>35.389999389648438</v>
      </c>
      <c r="K171" s="86">
        <v>76.599998474121094</v>
      </c>
    </row>
    <row r="172" spans="1:11" ht="14.25" customHeight="1">
      <c r="A172" s="36">
        <v>40301</v>
      </c>
      <c r="B172" s="36" t="s">
        <v>195</v>
      </c>
      <c r="C172" s="86">
        <v>11.430000305175781</v>
      </c>
      <c r="D172" s="86">
        <v>20.319999694824219</v>
      </c>
      <c r="E172" s="86">
        <v>67.94000244140625</v>
      </c>
      <c r="F172" s="86">
        <v>18.690000534057617</v>
      </c>
      <c r="G172" s="86">
        <v>3.9700000286102295</v>
      </c>
      <c r="H172" s="86">
        <v>9.380000114440918</v>
      </c>
      <c r="I172" s="86">
        <v>68.269996643066406</v>
      </c>
      <c r="J172" s="86">
        <v>51.840000152587891</v>
      </c>
      <c r="K172" s="86">
        <v>95.529998779296875</v>
      </c>
    </row>
    <row r="173" spans="1:11" ht="14.25" customHeight="1">
      <c r="A173" s="36">
        <v>40302</v>
      </c>
      <c r="B173" s="36" t="s">
        <v>196</v>
      </c>
      <c r="C173" s="86">
        <v>11.729999542236328</v>
      </c>
      <c r="D173" s="86">
        <v>28.040000915527344</v>
      </c>
      <c r="E173" s="86">
        <v>72.669998168945313</v>
      </c>
      <c r="F173" s="86">
        <v>16.860000610351563</v>
      </c>
      <c r="G173" s="86">
        <v>3.5299999713897705</v>
      </c>
      <c r="H173" s="86">
        <v>11.5</v>
      </c>
      <c r="I173" s="86">
        <v>63.5</v>
      </c>
      <c r="J173" s="86">
        <v>52.110000610351563</v>
      </c>
      <c r="K173" s="86">
        <v>81.129997253417969</v>
      </c>
    </row>
    <row r="174" spans="1:11" ht="14.25" customHeight="1">
      <c r="A174" s="36">
        <v>40401</v>
      </c>
      <c r="B174" s="36" t="s">
        <v>197</v>
      </c>
      <c r="C174" s="86">
        <v>11.779999732971191</v>
      </c>
      <c r="D174" s="86">
        <v>9.119999885559082</v>
      </c>
      <c r="E174" s="86">
        <v>51.560001373291016</v>
      </c>
      <c r="F174" s="86">
        <v>16.620000839233398</v>
      </c>
      <c r="G174" s="86">
        <v>6.5300002098083496</v>
      </c>
      <c r="H174" s="86">
        <v>10.550000190734863</v>
      </c>
      <c r="I174" s="86">
        <v>36.409999847412109</v>
      </c>
      <c r="J174" s="86">
        <v>29.719999313354492</v>
      </c>
      <c r="K174" s="86">
        <v>61.490001678466797</v>
      </c>
    </row>
    <row r="175" spans="1:11" ht="14.25" customHeight="1">
      <c r="A175" s="36">
        <v>40402</v>
      </c>
      <c r="B175" s="36" t="s">
        <v>198</v>
      </c>
      <c r="C175" s="86">
        <v>9.3999996185302734</v>
      </c>
      <c r="D175" s="86">
        <v>15.489999771118164</v>
      </c>
      <c r="E175" s="86">
        <v>55.610000610351563</v>
      </c>
      <c r="F175" s="86">
        <v>16.620000839233398</v>
      </c>
      <c r="G175" s="86">
        <v>4.4200000762939453</v>
      </c>
      <c r="H175" s="86">
        <v>8.9200000762939453</v>
      </c>
      <c r="I175" s="86">
        <v>57.090000152587891</v>
      </c>
      <c r="J175" s="86">
        <v>38.840000152587891</v>
      </c>
      <c r="K175" s="86">
        <v>69.919998168945313</v>
      </c>
    </row>
    <row r="176" spans="1:11" ht="14.25" customHeight="1">
      <c r="A176" s="36">
        <v>40501</v>
      </c>
      <c r="B176" s="36" t="s">
        <v>199</v>
      </c>
      <c r="C176" s="86">
        <v>4.5</v>
      </c>
      <c r="D176" s="86">
        <v>8.25</v>
      </c>
      <c r="E176" s="86">
        <v>29.690000534057617</v>
      </c>
      <c r="F176" s="86">
        <v>6.2899999618530273</v>
      </c>
      <c r="G176" s="86">
        <v>1.5299999713897705</v>
      </c>
      <c r="H176" s="86">
        <v>5.4000000953674316</v>
      </c>
      <c r="I176" s="86">
        <v>3.2999999523162842</v>
      </c>
      <c r="J176" s="86">
        <v>4.9499998092651367</v>
      </c>
      <c r="K176" s="86">
        <v>22.940000534057617</v>
      </c>
    </row>
    <row r="177" spans="1:11" ht="14.25" customHeight="1">
      <c r="A177" s="36">
        <v>40502</v>
      </c>
      <c r="B177" s="36" t="s">
        <v>200</v>
      </c>
      <c r="C177" s="86">
        <v>6.6700000762939453</v>
      </c>
      <c r="D177" s="86">
        <v>18.120000839233398</v>
      </c>
      <c r="E177" s="86">
        <v>69.800003051757813</v>
      </c>
      <c r="F177" s="86">
        <v>20.149999618530273</v>
      </c>
      <c r="G177" s="86">
        <v>1.7899999618530273</v>
      </c>
      <c r="H177" s="86">
        <v>9.2399997711181641</v>
      </c>
      <c r="I177" s="86">
        <v>65.660003662109375</v>
      </c>
      <c r="J177" s="86">
        <v>47.060001373291016</v>
      </c>
      <c r="K177" s="86">
        <v>94.69000244140625</v>
      </c>
    </row>
    <row r="178" spans="1:11" ht="14.25" customHeight="1">
      <c r="A178" s="36">
        <v>40503</v>
      </c>
      <c r="B178" s="36" t="s">
        <v>201</v>
      </c>
      <c r="C178" s="86">
        <v>6.0399999618530273</v>
      </c>
      <c r="D178" s="86">
        <v>15.670000076293945</v>
      </c>
      <c r="E178" s="86">
        <v>74.089996337890625</v>
      </c>
      <c r="F178" s="86">
        <v>21.209999084472656</v>
      </c>
      <c r="G178" s="86">
        <v>3.0399999618530273</v>
      </c>
      <c r="H178" s="86">
        <v>12.189999580383301</v>
      </c>
      <c r="I178" s="86">
        <v>34.409999847412109</v>
      </c>
      <c r="J178" s="86">
        <v>52.020000457763672</v>
      </c>
      <c r="K178" s="86">
        <v>94.110000610351563</v>
      </c>
    </row>
    <row r="179" spans="1:11" ht="14.25" customHeight="1">
      <c r="A179" s="36">
        <v>40504</v>
      </c>
      <c r="B179" s="36" t="s">
        <v>202</v>
      </c>
      <c r="C179" s="86">
        <v>0</v>
      </c>
      <c r="D179" s="86">
        <v>10.140000343322754</v>
      </c>
      <c r="E179" s="86">
        <v>71.730003356933594</v>
      </c>
      <c r="F179" s="86">
        <v>22.680000305175781</v>
      </c>
      <c r="G179" s="86">
        <v>4.130000114440918</v>
      </c>
      <c r="H179" s="86">
        <v>8.5799999237060547</v>
      </c>
      <c r="I179" s="86">
        <v>23.979999542236328</v>
      </c>
      <c r="J179" s="86">
        <v>50.099998474121094</v>
      </c>
      <c r="K179" s="86">
        <v>98.44000244140625</v>
      </c>
    </row>
    <row r="180" spans="1:11" ht="14.25" customHeight="1">
      <c r="A180" s="36">
        <v>40505</v>
      </c>
      <c r="B180" s="36" t="s">
        <v>203</v>
      </c>
      <c r="C180" s="86">
        <v>4.320000171661377</v>
      </c>
      <c r="D180" s="86">
        <v>16.739999771118164</v>
      </c>
      <c r="E180" s="86">
        <v>44.310001373291016</v>
      </c>
      <c r="F180" s="86">
        <v>17.959999084472656</v>
      </c>
      <c r="G180" s="86">
        <v>2.7200000286102295</v>
      </c>
      <c r="H180" s="86">
        <v>12.829999923706055</v>
      </c>
      <c r="I180" s="86">
        <v>16.110000610351563</v>
      </c>
      <c r="J180" s="86">
        <v>17.629999160766602</v>
      </c>
      <c r="K180" s="86">
        <v>87.910003662109375</v>
      </c>
    </row>
    <row r="181" spans="1:11" ht="14.25" customHeight="1">
      <c r="A181" s="36">
        <v>40601</v>
      </c>
      <c r="B181" s="36" t="s">
        <v>204</v>
      </c>
      <c r="C181" s="86">
        <v>12.079999923706055</v>
      </c>
      <c r="D181" s="86">
        <v>13.289999961853027</v>
      </c>
      <c r="E181" s="86">
        <v>44.709999084472656</v>
      </c>
      <c r="F181" s="86">
        <v>6.5399999618530273</v>
      </c>
      <c r="G181" s="86">
        <v>3.6700000762939453</v>
      </c>
      <c r="H181" s="86">
        <v>8.5100002288818359</v>
      </c>
      <c r="I181" s="86">
        <v>20.25</v>
      </c>
      <c r="J181" s="86">
        <v>23.389999389648438</v>
      </c>
      <c r="K181" s="86">
        <v>68</v>
      </c>
    </row>
    <row r="182" spans="1:11" ht="14.25" customHeight="1">
      <c r="A182" s="36">
        <v>40602</v>
      </c>
      <c r="B182" s="36" t="s">
        <v>205</v>
      </c>
      <c r="C182" s="86">
        <v>13.109999656677246</v>
      </c>
      <c r="D182" s="86">
        <v>20.280000686645508</v>
      </c>
      <c r="E182" s="86">
        <v>32.950000762939453</v>
      </c>
      <c r="F182" s="86">
        <v>9.869999885559082</v>
      </c>
      <c r="G182" s="86">
        <v>3.8499999046325684</v>
      </c>
      <c r="H182" s="86">
        <v>7.5900001525878906</v>
      </c>
      <c r="I182" s="86">
        <v>26.340000152587891</v>
      </c>
      <c r="J182" s="86">
        <v>16.469999313354492</v>
      </c>
      <c r="K182" s="86">
        <v>84.650001525878906</v>
      </c>
    </row>
    <row r="183" spans="1:11" ht="14.25" customHeight="1">
      <c r="A183" s="36">
        <v>40603</v>
      </c>
      <c r="B183" s="36" t="s">
        <v>206</v>
      </c>
      <c r="C183" s="86">
        <v>7.809999942779541</v>
      </c>
      <c r="D183" s="86">
        <v>23.879999160766602</v>
      </c>
      <c r="E183" s="86">
        <v>30.200000762939453</v>
      </c>
      <c r="F183" s="86">
        <v>7.75</v>
      </c>
      <c r="G183" s="86">
        <v>3.4300000667572021</v>
      </c>
      <c r="H183" s="86">
        <v>6.8400001525878906</v>
      </c>
      <c r="I183" s="86">
        <v>18.090000152587891</v>
      </c>
      <c r="J183" s="86">
        <v>13.409999847412109</v>
      </c>
      <c r="K183" s="86">
        <v>69.150001525878906</v>
      </c>
    </row>
    <row r="184" spans="1:11" ht="14.25" customHeight="1">
      <c r="A184" s="36">
        <v>40701</v>
      </c>
      <c r="B184" s="36" t="s">
        <v>207</v>
      </c>
      <c r="C184" s="86">
        <v>7.4899997711181641</v>
      </c>
      <c r="D184" s="86">
        <v>32.630001068115234</v>
      </c>
      <c r="E184" s="86">
        <v>18.479999542236328</v>
      </c>
      <c r="F184" s="86">
        <v>5.4600000381469727</v>
      </c>
      <c r="G184" s="86">
        <v>4.7100000381469727</v>
      </c>
      <c r="H184" s="86">
        <v>9.3100004196166992</v>
      </c>
      <c r="I184" s="86">
        <v>9.3299999237060547</v>
      </c>
      <c r="J184" s="86">
        <v>3.4900000095367432</v>
      </c>
      <c r="K184" s="86">
        <v>53.860000610351563</v>
      </c>
    </row>
    <row r="185" spans="1:11" ht="14.25" customHeight="1">
      <c r="A185" s="36">
        <v>40702</v>
      </c>
      <c r="B185" s="36" t="s">
        <v>208</v>
      </c>
      <c r="C185" s="86">
        <v>11.550000190734863</v>
      </c>
      <c r="D185" s="86">
        <v>21.370000839233398</v>
      </c>
      <c r="E185" s="86">
        <v>24.920000076293945</v>
      </c>
      <c r="F185" s="86">
        <v>5.8000001907348633</v>
      </c>
      <c r="G185" s="86">
        <v>3.2400000095367432</v>
      </c>
      <c r="H185" s="86">
        <v>7.5500001907348633</v>
      </c>
      <c r="I185" s="86">
        <v>23.989999771118164</v>
      </c>
      <c r="J185" s="86">
        <v>8.5200004577636719</v>
      </c>
      <c r="K185" s="86">
        <v>58.270000457763672</v>
      </c>
    </row>
    <row r="186" spans="1:11" ht="14.25" customHeight="1">
      <c r="A186" s="36">
        <v>40801</v>
      </c>
      <c r="B186" s="36" t="s">
        <v>209</v>
      </c>
      <c r="C186" s="86">
        <v>5.9800000190734863</v>
      </c>
      <c r="D186" s="86">
        <v>19.770000457763672</v>
      </c>
      <c r="E186" s="86">
        <v>58.540000915527344</v>
      </c>
      <c r="F186" s="86">
        <v>14.279999732971191</v>
      </c>
      <c r="G186" s="86">
        <v>3.9300000667572021</v>
      </c>
      <c r="H186" s="86">
        <v>11.5</v>
      </c>
      <c r="I186" s="86">
        <v>42.720001220703125</v>
      </c>
      <c r="J186" s="86">
        <v>31.829999923706055</v>
      </c>
      <c r="K186" s="86">
        <v>84.279998779296875</v>
      </c>
    </row>
    <row r="187" spans="1:11" ht="14.25" customHeight="1">
      <c r="A187" s="36">
        <v>40802</v>
      </c>
      <c r="B187" s="36" t="s">
        <v>210</v>
      </c>
      <c r="C187" s="86">
        <v>13.609999656677246</v>
      </c>
      <c r="D187" s="86">
        <v>25.270000457763672</v>
      </c>
      <c r="E187" s="86">
        <v>50.990001678466797</v>
      </c>
      <c r="F187" s="86">
        <v>17.219999313354492</v>
      </c>
      <c r="G187" s="86">
        <v>3.8299999237060547</v>
      </c>
      <c r="H187" s="86">
        <v>10.539999961853027</v>
      </c>
      <c r="I187" s="86">
        <v>51.709999084472656</v>
      </c>
      <c r="J187" s="86">
        <v>35.5</v>
      </c>
      <c r="K187" s="86">
        <v>80.459999084472656</v>
      </c>
    </row>
    <row r="188" spans="1:11" ht="14.25" customHeight="1">
      <c r="A188" s="36">
        <v>40901</v>
      </c>
      <c r="B188" s="36" t="s">
        <v>211</v>
      </c>
      <c r="C188" s="86">
        <v>4.309999942779541</v>
      </c>
      <c r="D188" s="86">
        <v>13.989999771118164</v>
      </c>
      <c r="E188" s="86">
        <v>51.919998168945313</v>
      </c>
      <c r="F188" s="86">
        <v>21.600000381469727</v>
      </c>
      <c r="G188" s="86">
        <v>3.5799999237060547</v>
      </c>
      <c r="H188" s="86">
        <v>10.390000343322754</v>
      </c>
      <c r="I188" s="86">
        <v>34.970001220703125</v>
      </c>
      <c r="J188" s="86">
        <v>24.760000228881836</v>
      </c>
      <c r="K188" s="86">
        <v>89.209999084472656</v>
      </c>
    </row>
    <row r="189" spans="1:11" ht="14.25" customHeight="1">
      <c r="A189" s="36">
        <v>40902</v>
      </c>
      <c r="B189" s="36" t="s">
        <v>212</v>
      </c>
      <c r="C189" s="86">
        <v>0.68999999761581421</v>
      </c>
      <c r="D189" s="86">
        <v>15.220000267028809</v>
      </c>
      <c r="E189" s="86">
        <v>33.409999847412109</v>
      </c>
      <c r="F189" s="86">
        <v>17.549999237060547</v>
      </c>
      <c r="G189" s="86">
        <v>8.4799995422363281</v>
      </c>
      <c r="H189" s="86">
        <v>9.2700004577636719</v>
      </c>
      <c r="I189" s="86">
        <v>86.040000915527344</v>
      </c>
      <c r="J189" s="86">
        <v>21.850000381469727</v>
      </c>
      <c r="K189" s="86">
        <v>97.480003356933594</v>
      </c>
    </row>
    <row r="190" spans="1:11" ht="14.25" customHeight="1">
      <c r="A190" s="36">
        <v>40903</v>
      </c>
      <c r="B190" s="36" t="s">
        <v>213</v>
      </c>
      <c r="C190" s="86">
        <v>5.2100000381469727</v>
      </c>
      <c r="D190" s="86">
        <v>18.940000534057617</v>
      </c>
      <c r="E190" s="86">
        <v>53.840000152587891</v>
      </c>
      <c r="F190" s="86">
        <v>21.200000762939453</v>
      </c>
      <c r="G190" s="86">
        <v>9.7700004577636719</v>
      </c>
      <c r="H190" s="86">
        <v>22.799999237060547</v>
      </c>
      <c r="I190" s="86">
        <v>52.880001068115234</v>
      </c>
      <c r="J190" s="86">
        <v>24.600000381469727</v>
      </c>
      <c r="K190" s="86">
        <v>63.029998779296875</v>
      </c>
    </row>
    <row r="191" spans="1:11" ht="14.25" customHeight="1">
      <c r="A191" s="36">
        <v>41001</v>
      </c>
      <c r="B191" s="36" t="s">
        <v>214</v>
      </c>
      <c r="C191" s="86">
        <v>9.0100002288818359</v>
      </c>
      <c r="D191" s="86">
        <v>17.790000915527344</v>
      </c>
      <c r="E191" s="86">
        <v>73.400001525878906</v>
      </c>
      <c r="F191" s="86">
        <v>12.680000305175781</v>
      </c>
      <c r="G191" s="86">
        <v>2.5899999141693115</v>
      </c>
      <c r="H191" s="86">
        <v>8.8900003433227539</v>
      </c>
      <c r="I191" s="86">
        <v>75.540000915527344</v>
      </c>
      <c r="J191" s="86">
        <v>57.310001373291016</v>
      </c>
      <c r="K191" s="86">
        <v>93.44000244140625</v>
      </c>
    </row>
    <row r="192" spans="1:11" ht="14.25" customHeight="1">
      <c r="A192" s="36">
        <v>41101</v>
      </c>
      <c r="B192" s="36" t="s">
        <v>215</v>
      </c>
      <c r="C192" s="86">
        <v>11.449999809265137</v>
      </c>
      <c r="D192" s="86">
        <v>24.889999389648438</v>
      </c>
      <c r="E192" s="86">
        <v>39.330001831054688</v>
      </c>
      <c r="F192" s="86">
        <v>13.539999961853027</v>
      </c>
      <c r="G192" s="86">
        <v>3.5299999713897705</v>
      </c>
      <c r="H192" s="86">
        <v>11.5</v>
      </c>
      <c r="I192" s="86">
        <v>27.600000381469727</v>
      </c>
      <c r="J192" s="86">
        <v>15.229999542236328</v>
      </c>
      <c r="K192" s="86">
        <v>86.069999694824219</v>
      </c>
    </row>
    <row r="193" spans="1:11" ht="14.25" customHeight="1">
      <c r="A193" s="36">
        <v>41201</v>
      </c>
      <c r="B193" s="36" t="s">
        <v>216</v>
      </c>
      <c r="C193" s="86">
        <v>10.600000381469727</v>
      </c>
      <c r="D193" s="86">
        <v>16.860000610351563</v>
      </c>
      <c r="E193" s="86">
        <v>70.360000610351563</v>
      </c>
      <c r="F193" s="86">
        <v>14.760000228881836</v>
      </c>
      <c r="G193" s="86">
        <v>2.9200000762939453</v>
      </c>
      <c r="H193" s="86">
        <v>8.7200002670288086</v>
      </c>
      <c r="I193" s="86">
        <v>57.549999237060547</v>
      </c>
      <c r="J193" s="86">
        <v>51.919998168945313</v>
      </c>
      <c r="K193" s="86">
        <v>94.430000305175781</v>
      </c>
    </row>
    <row r="194" spans="1:11" ht="14.25" customHeight="1">
      <c r="A194" s="36">
        <v>41202</v>
      </c>
      <c r="B194" s="36" t="s">
        <v>217</v>
      </c>
      <c r="C194" s="86">
        <v>9.6599998474121094</v>
      </c>
      <c r="D194" s="86">
        <v>20.420000076293945</v>
      </c>
      <c r="E194" s="86">
        <v>73.160003662109375</v>
      </c>
      <c r="F194" s="86">
        <v>12.439999580383301</v>
      </c>
      <c r="G194" s="86">
        <v>3.4700000286102295</v>
      </c>
      <c r="H194" s="86">
        <v>7.2300000190734863</v>
      </c>
      <c r="I194" s="86">
        <v>37.979999542236328</v>
      </c>
      <c r="J194" s="86">
        <v>31.709999084472656</v>
      </c>
      <c r="K194" s="86">
        <v>97.889999389648438</v>
      </c>
    </row>
    <row r="195" spans="1:11" ht="14.25" customHeight="1">
      <c r="A195" s="36">
        <v>41301</v>
      </c>
      <c r="B195" s="36" t="s">
        <v>172</v>
      </c>
      <c r="C195" s="86">
        <v>9.2799997329711914</v>
      </c>
      <c r="D195" s="86">
        <v>19.329999923706055</v>
      </c>
      <c r="E195" s="86">
        <v>71.459999084472656</v>
      </c>
      <c r="F195" s="86">
        <v>20.989999771118164</v>
      </c>
      <c r="G195" s="86">
        <v>5.4800000190734863</v>
      </c>
      <c r="H195" s="86">
        <v>11.300000190734863</v>
      </c>
      <c r="I195" s="86">
        <v>58.970001220703125</v>
      </c>
      <c r="J195" s="86">
        <v>52.220001220703125</v>
      </c>
      <c r="K195" s="86">
        <v>86.949996948242188</v>
      </c>
    </row>
    <row r="196" spans="1:11" ht="14.25" customHeight="1">
      <c r="A196" s="36">
        <v>41401</v>
      </c>
      <c r="B196" s="36" t="s">
        <v>218</v>
      </c>
      <c r="C196" s="86">
        <v>16.809999465942383</v>
      </c>
      <c r="D196" s="86">
        <v>20.700000762939453</v>
      </c>
      <c r="E196" s="86">
        <v>55.740001678466797</v>
      </c>
      <c r="F196" s="86">
        <v>13.909999847412109</v>
      </c>
      <c r="G196" s="86">
        <v>3.8399999141693115</v>
      </c>
      <c r="H196" s="86">
        <v>11.979999542236328</v>
      </c>
      <c r="I196" s="86">
        <v>38.680000305175781</v>
      </c>
      <c r="J196" s="86">
        <v>36.060001373291016</v>
      </c>
      <c r="K196" s="86">
        <v>76.110000610351563</v>
      </c>
    </row>
    <row r="197" spans="1:11" ht="14.25" customHeight="1">
      <c r="A197" s="36">
        <v>41501</v>
      </c>
      <c r="B197" s="36" t="s">
        <v>219</v>
      </c>
      <c r="C197" s="86">
        <v>7.0999999046325684</v>
      </c>
      <c r="D197" s="86">
        <v>12.619999885559082</v>
      </c>
      <c r="E197" s="86">
        <v>63.310001373291016</v>
      </c>
      <c r="F197" s="86">
        <v>21.159999847412109</v>
      </c>
      <c r="G197" s="86">
        <v>4.5500001907348633</v>
      </c>
      <c r="H197" s="86">
        <v>10.260000228881836</v>
      </c>
      <c r="I197" s="86">
        <v>58.189998626708984</v>
      </c>
      <c r="J197" s="86">
        <v>48.720001220703125</v>
      </c>
      <c r="K197" s="86">
        <v>85.599998474121094</v>
      </c>
    </row>
    <row r="198" spans="1:11" ht="14.25" customHeight="1">
      <c r="A198" s="36">
        <v>41502</v>
      </c>
      <c r="B198" s="36" t="s">
        <v>220</v>
      </c>
      <c r="C198" s="86">
        <v>1.6599999666213989</v>
      </c>
      <c r="D198" s="86">
        <v>11.350000381469727</v>
      </c>
      <c r="E198" s="86">
        <v>64.300003051757813</v>
      </c>
      <c r="F198" s="86">
        <v>26.219999313354492</v>
      </c>
      <c r="G198" s="86">
        <v>3.7899999618530273</v>
      </c>
      <c r="H198" s="86">
        <v>9.380000114440918</v>
      </c>
      <c r="I198" s="86">
        <v>70.800003051757813</v>
      </c>
      <c r="J198" s="86">
        <v>55.520000457763672</v>
      </c>
      <c r="K198" s="86">
        <v>90.620002746582031</v>
      </c>
    </row>
    <row r="199" spans="1:11" ht="14.25" customHeight="1">
      <c r="A199" s="36">
        <v>41503</v>
      </c>
      <c r="B199" s="36" t="s">
        <v>221</v>
      </c>
      <c r="C199" s="86">
        <v>1.4299999475479126</v>
      </c>
      <c r="D199" s="86">
        <v>29.290000915527344</v>
      </c>
      <c r="E199" s="86">
        <v>74.760002136230469</v>
      </c>
      <c r="F199" s="86">
        <v>14.819999694824219</v>
      </c>
      <c r="G199" s="86">
        <v>5.4800000190734863</v>
      </c>
      <c r="H199" s="86">
        <v>13.689999580383301</v>
      </c>
      <c r="I199" s="86">
        <v>78.569999694824219</v>
      </c>
      <c r="J199" s="86">
        <v>48.930000305175781</v>
      </c>
      <c r="K199" s="86">
        <v>95.360000610351563</v>
      </c>
    </row>
    <row r="200" spans="1:11" ht="14.25" customHeight="1">
      <c r="A200" s="36">
        <v>41601</v>
      </c>
      <c r="B200" s="36" t="s">
        <v>222</v>
      </c>
      <c r="C200" s="86">
        <v>11.460000038146973</v>
      </c>
      <c r="D200" s="86">
        <v>17.040000915527344</v>
      </c>
      <c r="E200" s="86">
        <v>78.25</v>
      </c>
      <c r="F200" s="86">
        <v>13.159999847412109</v>
      </c>
      <c r="G200" s="86">
        <v>3.8599998950958252</v>
      </c>
      <c r="H200" s="86">
        <v>8.5</v>
      </c>
      <c r="I200" s="86">
        <v>61.139999389648438</v>
      </c>
      <c r="J200" s="86">
        <v>63.169998168945313</v>
      </c>
      <c r="K200" s="86">
        <v>92.819999694824219</v>
      </c>
    </row>
    <row r="201" spans="1:11" ht="14.25" customHeight="1">
      <c r="A201" s="36">
        <v>50101</v>
      </c>
      <c r="B201" s="36" t="s">
        <v>20</v>
      </c>
      <c r="C201" s="86">
        <v>10.390000343322754</v>
      </c>
      <c r="D201" s="86">
        <v>31.020000457763672</v>
      </c>
      <c r="E201" s="86">
        <v>15.920000076293945</v>
      </c>
      <c r="F201" s="86">
        <v>5.9099998474121094</v>
      </c>
      <c r="G201" s="86">
        <v>4.8600001335144043</v>
      </c>
      <c r="H201" s="86">
        <v>10.140000343322754</v>
      </c>
      <c r="I201" s="86">
        <v>4.4499998092651367</v>
      </c>
      <c r="J201" s="86">
        <v>3.9500000476837158</v>
      </c>
      <c r="K201" s="86">
        <v>18.110000610351563</v>
      </c>
    </row>
    <row r="202" spans="1:11" ht="14.25" customHeight="1">
      <c r="A202" s="36">
        <v>50102</v>
      </c>
      <c r="B202" s="36" t="s">
        <v>223</v>
      </c>
      <c r="C202" s="86">
        <v>49.349998474121094</v>
      </c>
      <c r="D202" s="86">
        <v>55.439998626708984</v>
      </c>
      <c r="E202" s="86">
        <v>86.510002136230469</v>
      </c>
      <c r="F202" s="86">
        <v>32.680000305175781</v>
      </c>
      <c r="G202" s="86">
        <v>3.5899999141693115</v>
      </c>
      <c r="H202" s="86">
        <v>28.219999313354492</v>
      </c>
      <c r="I202" s="86">
        <v>34.580001831054688</v>
      </c>
      <c r="J202" s="86">
        <v>59.279998779296875</v>
      </c>
      <c r="K202" s="86">
        <v>88.970001220703125</v>
      </c>
    </row>
    <row r="203" spans="1:11" ht="14.25" customHeight="1">
      <c r="A203" s="36">
        <v>50103</v>
      </c>
      <c r="B203" s="36" t="s">
        <v>224</v>
      </c>
      <c r="C203" s="86">
        <v>23.229999542236328</v>
      </c>
      <c r="D203" s="86">
        <v>23.290000915527344</v>
      </c>
      <c r="E203" s="86">
        <v>48.959999084472656</v>
      </c>
      <c r="F203" s="86">
        <v>7.6700000762939453</v>
      </c>
      <c r="G203" s="86">
        <v>5.2699999809265137</v>
      </c>
      <c r="H203" s="86">
        <v>11.090000152587891</v>
      </c>
      <c r="I203" s="86">
        <v>11.369999885559082</v>
      </c>
      <c r="J203" s="86">
        <v>17.350000381469727</v>
      </c>
      <c r="K203" s="86">
        <v>69.830001831054688</v>
      </c>
    </row>
    <row r="204" spans="1:11" ht="14.25" customHeight="1">
      <c r="A204" s="36">
        <v>50104</v>
      </c>
      <c r="B204" s="36" t="s">
        <v>225</v>
      </c>
      <c r="C204" s="86">
        <v>14.170000076293945</v>
      </c>
      <c r="D204" s="86">
        <v>15.430000305175781</v>
      </c>
      <c r="E204" s="86">
        <v>68.550003051757813</v>
      </c>
      <c r="F204" s="86">
        <v>15.609999656677246</v>
      </c>
      <c r="G204" s="86">
        <v>2</v>
      </c>
      <c r="H204" s="86">
        <v>10.930000305175781</v>
      </c>
      <c r="I204" s="86">
        <v>47.860000610351563</v>
      </c>
      <c r="J204" s="86">
        <v>46.950000762939453</v>
      </c>
      <c r="K204" s="86">
        <v>86.819999694824219</v>
      </c>
    </row>
    <row r="205" spans="1:11" ht="14.25" customHeight="1">
      <c r="A205" s="36">
        <v>50201</v>
      </c>
      <c r="B205" s="36" t="s">
        <v>226</v>
      </c>
      <c r="C205" s="86">
        <v>28.020000457763672</v>
      </c>
      <c r="D205" s="86">
        <v>39.700000762939453</v>
      </c>
      <c r="E205" s="86">
        <v>52.680000305175781</v>
      </c>
      <c r="F205" s="86">
        <v>16.799999237060547</v>
      </c>
      <c r="G205" s="86">
        <v>4.190000057220459</v>
      </c>
      <c r="H205" s="86">
        <v>12.5</v>
      </c>
      <c r="I205" s="86">
        <v>13.409999847412109</v>
      </c>
      <c r="J205" s="86">
        <v>22.090000152587891</v>
      </c>
      <c r="K205" s="86">
        <v>60</v>
      </c>
    </row>
    <row r="206" spans="1:11" ht="14.25" customHeight="1">
      <c r="A206" s="36">
        <v>50202</v>
      </c>
      <c r="B206" s="36" t="s">
        <v>227</v>
      </c>
      <c r="C206" s="86">
        <v>30.350000381469727</v>
      </c>
      <c r="D206" s="86">
        <v>45.180000305175781</v>
      </c>
      <c r="E206" s="86">
        <v>57.240001678466797</v>
      </c>
      <c r="F206" s="86">
        <v>24.659999847412109</v>
      </c>
      <c r="G206" s="86">
        <v>4.9099998474121094</v>
      </c>
      <c r="H206" s="86">
        <v>15.300000190734863</v>
      </c>
      <c r="I206" s="86">
        <v>6.0199999809265137</v>
      </c>
      <c r="J206" s="86">
        <v>18.989999771118164</v>
      </c>
      <c r="K206" s="86">
        <v>80.55999755859375</v>
      </c>
    </row>
    <row r="207" spans="1:11" ht="14.25" customHeight="1">
      <c r="A207" s="36">
        <v>50203</v>
      </c>
      <c r="B207" s="36" t="s">
        <v>228</v>
      </c>
      <c r="C207" s="86">
        <v>14.449999809265137</v>
      </c>
      <c r="D207" s="86">
        <v>34.639999389648438</v>
      </c>
      <c r="E207" s="86">
        <v>31.930000305175781</v>
      </c>
      <c r="F207" s="86">
        <v>9.7600002288818359</v>
      </c>
      <c r="G207" s="86">
        <v>5.119999885559082</v>
      </c>
      <c r="H207" s="86">
        <v>11.760000228881836</v>
      </c>
      <c r="I207" s="86">
        <v>6.7600002288818359</v>
      </c>
      <c r="J207" s="86">
        <v>11.470000267028809</v>
      </c>
      <c r="K207" s="86">
        <v>44.169998168945313</v>
      </c>
    </row>
    <row r="208" spans="1:11" ht="14.25" customHeight="1">
      <c r="A208" s="36">
        <v>50204</v>
      </c>
      <c r="B208" s="36" t="s">
        <v>229</v>
      </c>
      <c r="C208" s="86">
        <v>29.680000305175781</v>
      </c>
      <c r="D208" s="86">
        <v>45.509998321533203</v>
      </c>
      <c r="E208" s="86">
        <v>71.519996643066406</v>
      </c>
      <c r="F208" s="86">
        <v>33.139999389648438</v>
      </c>
      <c r="G208" s="86">
        <v>4.940000057220459</v>
      </c>
      <c r="H208" s="86">
        <v>17.209999084472656</v>
      </c>
      <c r="I208" s="86">
        <v>30.479999542236328</v>
      </c>
      <c r="J208" s="86">
        <v>26.809999465942383</v>
      </c>
      <c r="K208" s="86">
        <v>94.029998779296875</v>
      </c>
    </row>
    <row r="209" spans="1:11" ht="14.25" customHeight="1">
      <c r="A209" s="36">
        <v>50301</v>
      </c>
      <c r="B209" s="36" t="s">
        <v>230</v>
      </c>
      <c r="C209" s="86">
        <v>31.110000610351563</v>
      </c>
      <c r="D209" s="86">
        <v>43.549999237060547</v>
      </c>
      <c r="E209" s="86">
        <v>49.990001678466797</v>
      </c>
      <c r="F209" s="86">
        <v>17.409999847412109</v>
      </c>
      <c r="G209" s="86">
        <v>4.9800000190734863</v>
      </c>
      <c r="H209" s="86">
        <v>19.090000152587891</v>
      </c>
      <c r="I209" s="86">
        <v>43.979999542236328</v>
      </c>
      <c r="J209" s="86">
        <v>26.409999847412109</v>
      </c>
      <c r="K209" s="86">
        <v>72.879997253417969</v>
      </c>
    </row>
    <row r="210" spans="1:11" ht="14.25" customHeight="1">
      <c r="A210" s="36">
        <v>50302</v>
      </c>
      <c r="B210" s="36" t="s">
        <v>231</v>
      </c>
      <c r="C210" s="86">
        <v>31.770000457763672</v>
      </c>
      <c r="D210" s="86">
        <v>32.529998779296875</v>
      </c>
      <c r="E210" s="86">
        <v>55.569999694824219</v>
      </c>
      <c r="F210" s="86">
        <v>11.920000076293945</v>
      </c>
      <c r="G210" s="86">
        <v>4.4200000762939453</v>
      </c>
      <c r="H210" s="86">
        <v>14.159999847412109</v>
      </c>
      <c r="I210" s="86">
        <v>36.090000152587891</v>
      </c>
      <c r="J210" s="86">
        <v>25.409999847412109</v>
      </c>
      <c r="K210" s="86">
        <v>70.379997253417969</v>
      </c>
    </row>
    <row r="211" spans="1:11" ht="14.25" customHeight="1">
      <c r="A211" s="36">
        <v>50303</v>
      </c>
      <c r="B211" s="36" t="s">
        <v>232</v>
      </c>
      <c r="C211" s="86">
        <v>41.759998321533203</v>
      </c>
      <c r="D211" s="86">
        <v>45.189998626708984</v>
      </c>
      <c r="E211" s="86">
        <v>93.699996948242188</v>
      </c>
      <c r="F211" s="86">
        <v>25.629999160766602</v>
      </c>
      <c r="G211" s="86">
        <v>3.3599998950958252</v>
      </c>
      <c r="H211" s="86">
        <v>17.610000610351563</v>
      </c>
      <c r="I211" s="86">
        <v>56.619998931884766</v>
      </c>
      <c r="J211" s="86">
        <v>66.930000305175781</v>
      </c>
      <c r="K211" s="86">
        <v>98.459999084472656</v>
      </c>
    </row>
    <row r="212" spans="1:11" ht="14.25" customHeight="1">
      <c r="A212" s="36">
        <v>50401</v>
      </c>
      <c r="B212" s="36" t="s">
        <v>233</v>
      </c>
      <c r="C212" s="86">
        <v>38.849998474121094</v>
      </c>
      <c r="D212" s="86">
        <v>63.080001831054688</v>
      </c>
      <c r="E212" s="86">
        <v>71.569999694824219</v>
      </c>
      <c r="F212" s="86">
        <v>24.530000686645508</v>
      </c>
      <c r="G212" s="86">
        <v>5.0100002288818359</v>
      </c>
      <c r="H212" s="86">
        <v>23.440000534057617</v>
      </c>
      <c r="I212" s="86">
        <v>34.619998931884766</v>
      </c>
      <c r="J212" s="86">
        <v>44.439998626708984</v>
      </c>
      <c r="K212" s="86">
        <v>75.709999084472656</v>
      </c>
    </row>
    <row r="213" spans="1:11" ht="14.25" customHeight="1">
      <c r="A213" s="36">
        <v>50402</v>
      </c>
      <c r="B213" s="36" t="s">
        <v>234</v>
      </c>
      <c r="C213" s="86">
        <v>51.200000762939453</v>
      </c>
      <c r="D213" s="86">
        <v>60.369998931884766</v>
      </c>
      <c r="E213" s="86">
        <v>83.959999084472656</v>
      </c>
      <c r="F213" s="86">
        <v>21.840000152587891</v>
      </c>
      <c r="G213" s="86">
        <v>4.1399998664855957</v>
      </c>
      <c r="H213" s="86">
        <v>20.399999618530273</v>
      </c>
      <c r="I213" s="86">
        <v>28.790000915527344</v>
      </c>
      <c r="J213" s="86">
        <v>67.949996948242188</v>
      </c>
      <c r="K213" s="86">
        <v>73.69000244140625</v>
      </c>
    </row>
    <row r="214" spans="1:11" ht="14.25" customHeight="1">
      <c r="A214" s="36">
        <v>50403</v>
      </c>
      <c r="B214" s="36" t="s">
        <v>235</v>
      </c>
      <c r="C214" s="86">
        <v>29.379999160766602</v>
      </c>
      <c r="D214" s="86">
        <v>33.319999694824219</v>
      </c>
      <c r="E214" s="86">
        <v>79.80999755859375</v>
      </c>
      <c r="F214" s="86">
        <v>27.270000457763672</v>
      </c>
      <c r="G214" s="86">
        <v>3.380000114440918</v>
      </c>
      <c r="H214" s="86">
        <v>15.920000076293945</v>
      </c>
      <c r="I214" s="86">
        <v>33.959999084472656</v>
      </c>
      <c r="J214" s="86">
        <v>47.040000915527344</v>
      </c>
      <c r="K214" s="86">
        <v>88.339996337890625</v>
      </c>
    </row>
    <row r="215" spans="1:11" ht="14.25" customHeight="1">
      <c r="A215" s="36">
        <v>50404</v>
      </c>
      <c r="B215" s="36" t="s">
        <v>236</v>
      </c>
      <c r="C215" s="86">
        <v>51.580001831054688</v>
      </c>
      <c r="D215" s="86">
        <v>61.900001525878906</v>
      </c>
      <c r="E215" s="86">
        <v>83.120002746582031</v>
      </c>
      <c r="F215" s="86">
        <v>29.620000839233398</v>
      </c>
      <c r="G215" s="86">
        <v>3.5</v>
      </c>
      <c r="H215" s="86">
        <v>23.680000305175781</v>
      </c>
      <c r="I215" s="86">
        <v>37.909999847412109</v>
      </c>
      <c r="J215" s="86">
        <v>58.009998321533203</v>
      </c>
      <c r="K215" s="86">
        <v>85.550003051757813</v>
      </c>
    </row>
    <row r="216" spans="1:11" ht="14.25" customHeight="1">
      <c r="A216" s="36">
        <v>50405</v>
      </c>
      <c r="B216" s="36" t="s">
        <v>237</v>
      </c>
      <c r="C216" s="86">
        <v>44.200000762939453</v>
      </c>
      <c r="D216" s="86">
        <v>56.009998321533203</v>
      </c>
      <c r="E216" s="86">
        <v>76.279998779296875</v>
      </c>
      <c r="F216" s="86">
        <v>30.780000686645508</v>
      </c>
      <c r="G216" s="86">
        <v>4.309999942779541</v>
      </c>
      <c r="H216" s="86">
        <v>23.829999923706055</v>
      </c>
      <c r="I216" s="86">
        <v>38.669998168945313</v>
      </c>
      <c r="J216" s="86">
        <v>32.630001068115234</v>
      </c>
      <c r="K216" s="86">
        <v>80.44000244140625</v>
      </c>
    </row>
    <row r="217" spans="1:11" ht="14.25" customHeight="1">
      <c r="A217" s="36">
        <v>50501</v>
      </c>
      <c r="B217" s="36" t="s">
        <v>238</v>
      </c>
      <c r="C217" s="86">
        <v>32.740001678466797</v>
      </c>
      <c r="D217" s="86">
        <v>61.049999237060547</v>
      </c>
      <c r="E217" s="86">
        <v>92.900001525878906</v>
      </c>
      <c r="F217" s="86">
        <v>31.159999847412109</v>
      </c>
      <c r="G217" s="86">
        <v>5.6399998664855957</v>
      </c>
      <c r="H217" s="86">
        <v>22.370000839233398</v>
      </c>
      <c r="I217" s="86">
        <v>42.209999084472656</v>
      </c>
      <c r="J217" s="86">
        <v>78.44000244140625</v>
      </c>
      <c r="K217" s="86">
        <v>93.160003662109375</v>
      </c>
    </row>
    <row r="218" spans="1:11" ht="14.25" customHeight="1">
      <c r="A218" s="36">
        <v>50502</v>
      </c>
      <c r="B218" s="36" t="s">
        <v>239</v>
      </c>
      <c r="C218" s="86">
        <v>31.770000457763672</v>
      </c>
      <c r="D218" s="86">
        <v>49.540000915527344</v>
      </c>
      <c r="E218" s="86">
        <v>80.389999389648438</v>
      </c>
      <c r="F218" s="86">
        <v>29.829999923706055</v>
      </c>
      <c r="G218" s="86">
        <v>6.130000114440918</v>
      </c>
      <c r="H218" s="86">
        <v>19.309999465942383</v>
      </c>
      <c r="I218" s="86">
        <v>30.319999694824219</v>
      </c>
      <c r="J218" s="86">
        <v>64.730003356933594</v>
      </c>
      <c r="K218" s="86">
        <v>79.290000915527344</v>
      </c>
    </row>
    <row r="219" spans="1:11" ht="14.25" customHeight="1">
      <c r="A219" s="36">
        <v>50601</v>
      </c>
      <c r="B219" s="36" t="s">
        <v>240</v>
      </c>
      <c r="C219" s="86">
        <v>21.440000534057617</v>
      </c>
      <c r="D219" s="86">
        <v>29.989999771118164</v>
      </c>
      <c r="E219" s="86">
        <v>76.010002136230469</v>
      </c>
      <c r="F219" s="86">
        <v>13.489999771118164</v>
      </c>
      <c r="G219" s="86">
        <v>5.559999942779541</v>
      </c>
      <c r="H219" s="86">
        <v>17.420000076293945</v>
      </c>
      <c r="I219" s="86">
        <v>32.729999542236328</v>
      </c>
      <c r="J219" s="86">
        <v>24.770000457763672</v>
      </c>
      <c r="K219" s="86">
        <v>69.589996337890625</v>
      </c>
    </row>
    <row r="220" spans="1:11" ht="14.25" customHeight="1">
      <c r="A220" s="36">
        <v>50602</v>
      </c>
      <c r="B220" s="36" t="s">
        <v>241</v>
      </c>
      <c r="C220" s="86">
        <v>32.830001831054688</v>
      </c>
      <c r="D220" s="86">
        <v>22.700000762939453</v>
      </c>
      <c r="E220" s="86">
        <v>54.020000457763672</v>
      </c>
      <c r="F220" s="86">
        <v>19.979999542236328</v>
      </c>
      <c r="G220" s="86">
        <v>5.2300000190734863</v>
      </c>
      <c r="H220" s="86">
        <v>18.229999542236328</v>
      </c>
      <c r="I220" s="86">
        <v>27.709999084472656</v>
      </c>
      <c r="J220" s="86">
        <v>17.020000457763672</v>
      </c>
      <c r="K220" s="86">
        <v>67.470001220703125</v>
      </c>
    </row>
    <row r="221" spans="1:11" ht="14.25" customHeight="1">
      <c r="A221" s="36">
        <v>50701</v>
      </c>
      <c r="B221" s="36" t="s">
        <v>242</v>
      </c>
      <c r="C221" s="86">
        <v>30.399999618530273</v>
      </c>
      <c r="D221" s="86">
        <v>43.409999847412109</v>
      </c>
      <c r="E221" s="86">
        <v>75.519996643066406</v>
      </c>
      <c r="F221" s="86">
        <v>28.739999771118164</v>
      </c>
      <c r="G221" s="86">
        <v>4.4099998474121094</v>
      </c>
      <c r="H221" s="86">
        <v>23.709999084472656</v>
      </c>
      <c r="I221" s="86">
        <v>24.489999771118164</v>
      </c>
      <c r="J221" s="86">
        <v>39.810001373291016</v>
      </c>
      <c r="K221" s="86">
        <v>87.19000244140625</v>
      </c>
    </row>
    <row r="222" spans="1:11" ht="14.25" customHeight="1">
      <c r="A222" s="36">
        <v>50702</v>
      </c>
      <c r="B222" s="36" t="s">
        <v>243</v>
      </c>
      <c r="C222" s="86">
        <v>24.040000915527344</v>
      </c>
      <c r="D222" s="86">
        <v>29.079999923706055</v>
      </c>
      <c r="E222" s="86">
        <v>75.209999084472656</v>
      </c>
      <c r="F222" s="86">
        <v>33.849998474121094</v>
      </c>
      <c r="G222" s="86">
        <v>3.8399999141693115</v>
      </c>
      <c r="H222" s="86">
        <v>16.020000457763672</v>
      </c>
      <c r="I222" s="86">
        <v>11.689999580383301</v>
      </c>
      <c r="J222" s="86">
        <v>48.950000762939453</v>
      </c>
      <c r="K222" s="86">
        <v>86.150001525878906</v>
      </c>
    </row>
    <row r="223" spans="1:11" ht="14.25" customHeight="1">
      <c r="A223" s="36">
        <v>50801</v>
      </c>
      <c r="B223" s="36" t="s">
        <v>244</v>
      </c>
      <c r="C223" s="86">
        <v>15.819999694824219</v>
      </c>
      <c r="D223" s="86">
        <v>37.380001068115234</v>
      </c>
      <c r="E223" s="86">
        <v>40.740001678466797</v>
      </c>
      <c r="F223" s="86">
        <v>10.340000152587891</v>
      </c>
      <c r="G223" s="86">
        <v>5.8600001335144043</v>
      </c>
      <c r="H223" s="86">
        <v>13.260000228881836</v>
      </c>
      <c r="I223" s="86">
        <v>13.850000381469727</v>
      </c>
      <c r="J223" s="86">
        <v>11.079999923706055</v>
      </c>
      <c r="K223" s="86">
        <v>34.080001831054688</v>
      </c>
    </row>
    <row r="224" spans="1:11" ht="14.25" customHeight="1">
      <c r="A224" s="36">
        <v>50802</v>
      </c>
      <c r="B224" s="36" t="s">
        <v>245</v>
      </c>
      <c r="C224" s="86">
        <v>7.3400001525878906</v>
      </c>
      <c r="D224" s="86">
        <v>29.620000839233398</v>
      </c>
      <c r="E224" s="86">
        <v>18.520000457763672</v>
      </c>
      <c r="F224" s="86">
        <v>7.0500001907348633</v>
      </c>
      <c r="G224" s="86">
        <v>5.7600002288818359</v>
      </c>
      <c r="H224" s="86">
        <v>8.6800003051757813</v>
      </c>
      <c r="I224" s="86">
        <v>11.689999580383301</v>
      </c>
      <c r="J224" s="86">
        <v>4.4000000953674316</v>
      </c>
      <c r="K224" s="86">
        <v>77.419998168945313</v>
      </c>
    </row>
    <row r="225" spans="1:11" ht="14.25" customHeight="1">
      <c r="A225" s="36">
        <v>50901</v>
      </c>
      <c r="B225" s="36" t="s">
        <v>246</v>
      </c>
      <c r="C225" s="86">
        <v>11.460000038146973</v>
      </c>
      <c r="D225" s="86">
        <v>31.159999847412109</v>
      </c>
      <c r="E225" s="86">
        <v>54.279998779296875</v>
      </c>
      <c r="F225" s="86">
        <v>22.620000839233398</v>
      </c>
      <c r="G225" s="86">
        <v>7.5900001525878906</v>
      </c>
      <c r="H225" s="86">
        <v>14.189999580383301</v>
      </c>
      <c r="I225" s="86">
        <v>23.680000305175781</v>
      </c>
      <c r="J225" s="86">
        <v>22.790000915527344</v>
      </c>
      <c r="K225" s="86">
        <v>69.589996337890625</v>
      </c>
    </row>
    <row r="226" spans="1:11" ht="14.25" customHeight="1">
      <c r="A226" s="36">
        <v>50902</v>
      </c>
      <c r="B226" s="36" t="s">
        <v>247</v>
      </c>
      <c r="C226" s="86">
        <v>5.130000114440918</v>
      </c>
      <c r="D226" s="86">
        <v>15.380000114440918</v>
      </c>
      <c r="E226" s="86">
        <v>58.689998626708984</v>
      </c>
      <c r="F226" s="86">
        <v>9.4099998474121094</v>
      </c>
      <c r="G226" s="86">
        <v>3.3299999237060547</v>
      </c>
      <c r="H226" s="86">
        <v>9.1499996185302734</v>
      </c>
      <c r="I226" s="86">
        <v>27.239999771118164</v>
      </c>
      <c r="J226" s="86">
        <v>31.459999084472656</v>
      </c>
      <c r="K226" s="86">
        <v>69.550003051757813</v>
      </c>
    </row>
    <row r="227" spans="1:11" ht="14.25" customHeight="1">
      <c r="A227" s="36">
        <v>51001</v>
      </c>
      <c r="B227" s="36" t="s">
        <v>248</v>
      </c>
      <c r="C227" s="86">
        <v>8.9099998474121094</v>
      </c>
      <c r="D227" s="86">
        <v>38.779998779296875</v>
      </c>
      <c r="E227" s="86">
        <v>71.400001525878906</v>
      </c>
      <c r="F227" s="86">
        <v>30.709999084472656</v>
      </c>
      <c r="G227" s="86">
        <v>7.690000057220459</v>
      </c>
      <c r="H227" s="86">
        <v>17.969999313354492</v>
      </c>
      <c r="I227" s="86">
        <v>34.479999542236328</v>
      </c>
      <c r="J227" s="86">
        <v>18.190000534057617</v>
      </c>
      <c r="K227" s="86">
        <v>78.330001831054688</v>
      </c>
    </row>
    <row r="228" spans="1:11" ht="14.25" customHeight="1">
      <c r="A228" s="36">
        <v>51002</v>
      </c>
      <c r="B228" s="36" t="s">
        <v>249</v>
      </c>
      <c r="C228" s="86">
        <v>7.1500000953674316</v>
      </c>
      <c r="D228" s="86">
        <v>40.830001831054688</v>
      </c>
      <c r="E228" s="86">
        <v>77.330001831054688</v>
      </c>
      <c r="F228" s="86">
        <v>31.680000305175781</v>
      </c>
      <c r="G228" s="86">
        <v>6.130000114440918</v>
      </c>
      <c r="H228" s="86">
        <v>15.380000114440918</v>
      </c>
      <c r="I228" s="86">
        <v>49.069999694824219</v>
      </c>
      <c r="J228" s="86">
        <v>61.119998931884766</v>
      </c>
      <c r="K228" s="86">
        <v>64.180000305175781</v>
      </c>
    </row>
    <row r="229" spans="1:11" ht="14.25" customHeight="1">
      <c r="A229" s="36">
        <v>51003</v>
      </c>
      <c r="B229" s="36" t="s">
        <v>250</v>
      </c>
      <c r="C229" s="86">
        <v>13.859999656677246</v>
      </c>
      <c r="D229" s="86">
        <v>25.590000152587891</v>
      </c>
      <c r="E229" s="86">
        <v>75.120002746582031</v>
      </c>
      <c r="F229" s="86">
        <v>31.760000228881836</v>
      </c>
      <c r="G229" s="86">
        <v>5.6100001335144043</v>
      </c>
      <c r="H229" s="86">
        <v>22.639999389648438</v>
      </c>
      <c r="I229" s="86">
        <v>24.610000610351563</v>
      </c>
      <c r="J229" s="86">
        <v>25.229999542236328</v>
      </c>
      <c r="K229" s="86">
        <v>65.160003662109375</v>
      </c>
    </row>
    <row r="230" spans="1:11" ht="14.25" customHeight="1">
      <c r="A230" s="36">
        <v>51101</v>
      </c>
      <c r="B230" s="36" t="s">
        <v>251</v>
      </c>
      <c r="C230" s="86">
        <v>25.690000534057617</v>
      </c>
      <c r="D230" s="86">
        <v>29.440000534057617</v>
      </c>
      <c r="E230" s="86">
        <v>47.159999847412109</v>
      </c>
      <c r="F230" s="86">
        <v>16.290000915527344</v>
      </c>
      <c r="G230" s="86">
        <v>5.0799999237060547</v>
      </c>
      <c r="H230" s="86">
        <v>14.989999771118164</v>
      </c>
      <c r="I230" s="86">
        <v>36</v>
      </c>
      <c r="J230" s="86">
        <v>23.569999694824219</v>
      </c>
      <c r="K230" s="86">
        <v>67.849998474121094</v>
      </c>
    </row>
    <row r="231" spans="1:11" ht="14.25" customHeight="1">
      <c r="A231" s="36">
        <v>51102</v>
      </c>
      <c r="B231" s="36" t="s">
        <v>252</v>
      </c>
      <c r="C231" s="86">
        <v>18.209999084472656</v>
      </c>
      <c r="D231" s="86">
        <v>22.010000228881836</v>
      </c>
      <c r="E231" s="86">
        <v>54.720001220703125</v>
      </c>
      <c r="F231" s="86">
        <v>12.319999694824219</v>
      </c>
      <c r="G231" s="86">
        <v>4.5100002288818359</v>
      </c>
      <c r="H231" s="86">
        <v>13.279999732971191</v>
      </c>
      <c r="I231" s="86">
        <v>27.190000534057617</v>
      </c>
      <c r="J231" s="86">
        <v>25.739999771118164</v>
      </c>
      <c r="K231" s="86">
        <v>71.540000915527344</v>
      </c>
    </row>
    <row r="232" spans="1:11" ht="14.25" customHeight="1">
      <c r="A232" s="36">
        <v>51103</v>
      </c>
      <c r="B232" s="36" t="s">
        <v>253</v>
      </c>
      <c r="C232" s="86">
        <v>36.200000762939453</v>
      </c>
      <c r="D232" s="86">
        <v>60.509998321533203</v>
      </c>
      <c r="E232" s="86">
        <v>68.319999694824219</v>
      </c>
      <c r="F232" s="86">
        <v>36.049999237060547</v>
      </c>
      <c r="G232" s="86">
        <v>7.0399999618530273</v>
      </c>
      <c r="H232" s="86">
        <v>28.200000762939453</v>
      </c>
      <c r="I232" s="86">
        <v>71.800003051757813</v>
      </c>
      <c r="J232" s="86">
        <v>45.720001220703125</v>
      </c>
      <c r="K232" s="86">
        <v>94.339996337890625</v>
      </c>
    </row>
    <row r="233" spans="1:11" ht="14.25" customHeight="1">
      <c r="A233" s="36">
        <v>51201</v>
      </c>
      <c r="B233" s="36" t="s">
        <v>254</v>
      </c>
      <c r="C233" s="86">
        <v>8.6499996185302734</v>
      </c>
      <c r="D233" s="86">
        <v>30.459999084472656</v>
      </c>
      <c r="E233" s="86">
        <v>36.459999084472656</v>
      </c>
      <c r="F233" s="86">
        <v>12.5</v>
      </c>
      <c r="G233" s="86">
        <v>5.4600000381469727</v>
      </c>
      <c r="H233" s="86">
        <v>10.859999656677246</v>
      </c>
      <c r="I233" s="86">
        <v>25.360000610351563</v>
      </c>
      <c r="J233" s="86">
        <v>17.479999542236328</v>
      </c>
      <c r="K233" s="86">
        <v>83.220001220703125</v>
      </c>
    </row>
    <row r="234" spans="1:11" ht="14.25" customHeight="1">
      <c r="A234" s="36">
        <v>51202</v>
      </c>
      <c r="B234" s="36" t="s">
        <v>255</v>
      </c>
      <c r="C234" s="86">
        <v>16.709999084472656</v>
      </c>
      <c r="D234" s="86">
        <v>33.049999237060547</v>
      </c>
      <c r="E234" s="86">
        <v>75.660003662109375</v>
      </c>
      <c r="F234" s="86">
        <v>15.800000190734863</v>
      </c>
      <c r="G234" s="86">
        <v>4.9600000381469727</v>
      </c>
      <c r="H234" s="86">
        <v>10.859999656677246</v>
      </c>
      <c r="I234" s="86">
        <v>43.009998321533203</v>
      </c>
      <c r="J234" s="86">
        <v>35.229999542236328</v>
      </c>
      <c r="K234" s="86">
        <v>92.349998474121094</v>
      </c>
    </row>
    <row r="235" spans="1:11" ht="14.25" customHeight="1">
      <c r="A235" s="36">
        <v>51203</v>
      </c>
      <c r="B235" s="36" t="s">
        <v>256</v>
      </c>
      <c r="C235" s="86">
        <v>7.5999999046325684</v>
      </c>
      <c r="D235" s="86">
        <v>32.430000305175781</v>
      </c>
      <c r="E235" s="86">
        <v>34.580001831054688</v>
      </c>
      <c r="F235" s="86">
        <v>9.880000114440918</v>
      </c>
      <c r="G235" s="86">
        <v>6.0399999618530273</v>
      </c>
      <c r="H235" s="86">
        <v>10.630000114440918</v>
      </c>
      <c r="I235" s="86">
        <v>21.090000152587891</v>
      </c>
      <c r="J235" s="86">
        <v>17.100000381469727</v>
      </c>
      <c r="K235" s="86">
        <v>37.139999389648438</v>
      </c>
    </row>
    <row r="236" spans="1:11" ht="14.25" customHeight="1">
      <c r="A236" s="36">
        <v>51204</v>
      </c>
      <c r="B236" s="36" t="s">
        <v>257</v>
      </c>
      <c r="C236" s="86">
        <v>21.399999618530273</v>
      </c>
      <c r="D236" s="86">
        <v>40.700000762939453</v>
      </c>
      <c r="E236" s="86">
        <v>67.370002746582031</v>
      </c>
      <c r="F236" s="86">
        <v>19.860000610351563</v>
      </c>
      <c r="G236" s="86">
        <v>5.2899999618530273</v>
      </c>
      <c r="H236" s="86">
        <v>11.649999618530273</v>
      </c>
      <c r="I236" s="86">
        <v>47.630001068115234</v>
      </c>
      <c r="J236" s="86">
        <v>27.659999847412109</v>
      </c>
      <c r="K236" s="86">
        <v>89.720001220703125</v>
      </c>
    </row>
    <row r="237" spans="1:11" ht="14.25" customHeight="1">
      <c r="A237" s="36">
        <v>51301</v>
      </c>
      <c r="B237" s="36" t="s">
        <v>258</v>
      </c>
      <c r="C237" s="86">
        <v>20.670000076293945</v>
      </c>
      <c r="D237" s="86">
        <v>54.130001068115234</v>
      </c>
      <c r="E237" s="86">
        <v>77.980003356933594</v>
      </c>
      <c r="F237" s="86">
        <v>28.069999694824219</v>
      </c>
      <c r="G237" s="86">
        <v>7.5799999237060547</v>
      </c>
      <c r="H237" s="86">
        <v>23.360000610351563</v>
      </c>
      <c r="I237" s="86">
        <v>26.030000686645508</v>
      </c>
      <c r="J237" s="86">
        <v>52.939998626708984</v>
      </c>
      <c r="K237" s="86">
        <v>81.379997253417969</v>
      </c>
    </row>
    <row r="238" spans="1:11" ht="14.25" customHeight="1">
      <c r="A238" s="36">
        <v>51302</v>
      </c>
      <c r="B238" s="36" t="s">
        <v>259</v>
      </c>
      <c r="C238" s="86">
        <v>21.370000839233398</v>
      </c>
      <c r="D238" s="86">
        <v>44.990001678466797</v>
      </c>
      <c r="E238" s="86">
        <v>68.860000610351563</v>
      </c>
      <c r="F238" s="86">
        <v>22.030000686645508</v>
      </c>
      <c r="G238" s="86">
        <v>4.9499998092651367</v>
      </c>
      <c r="H238" s="86">
        <v>21.610000610351563</v>
      </c>
      <c r="I238" s="86">
        <v>27.399999618530273</v>
      </c>
      <c r="J238" s="86">
        <v>35.5</v>
      </c>
      <c r="K238" s="86">
        <v>89.849998474121094</v>
      </c>
    </row>
    <row r="239" spans="1:11" ht="14.25" customHeight="1">
      <c r="A239" s="36">
        <v>51401</v>
      </c>
      <c r="B239" s="36" t="s">
        <v>260</v>
      </c>
      <c r="C239" s="86">
        <v>3.3399999141693115</v>
      </c>
      <c r="D239" s="86">
        <v>21.25</v>
      </c>
      <c r="E239" s="86">
        <v>64.790000915527344</v>
      </c>
      <c r="F239" s="86">
        <v>11.550000190734863</v>
      </c>
      <c r="G239" s="86">
        <v>6.7199997901916504</v>
      </c>
      <c r="H239" s="86">
        <v>10.720000267028809</v>
      </c>
      <c r="I239" s="86">
        <v>32.770000457763672</v>
      </c>
      <c r="J239" s="86">
        <v>41.909999847412109</v>
      </c>
      <c r="K239" s="86">
        <v>76.139999389648438</v>
      </c>
    </row>
    <row r="240" spans="1:11" ht="14.25" customHeight="1">
      <c r="A240" s="36">
        <v>51402</v>
      </c>
      <c r="B240" s="36" t="s">
        <v>261</v>
      </c>
      <c r="C240" s="86">
        <v>4.4899997711181641</v>
      </c>
      <c r="D240" s="86">
        <v>15.729999542236328</v>
      </c>
      <c r="E240" s="86">
        <v>45.279998779296875</v>
      </c>
      <c r="F240" s="86">
        <v>16.479999542236328</v>
      </c>
      <c r="G240" s="86">
        <v>4.2100000381469727</v>
      </c>
      <c r="H240" s="86">
        <v>8.0100002288818359</v>
      </c>
      <c r="I240" s="86">
        <v>22.309999465942383</v>
      </c>
      <c r="J240" s="86">
        <v>22.850000381469727</v>
      </c>
      <c r="K240" s="86">
        <v>91.989997863769531</v>
      </c>
    </row>
    <row r="241" spans="1:11" ht="14.25" customHeight="1">
      <c r="A241" s="36">
        <v>51501</v>
      </c>
      <c r="B241" s="36" t="s">
        <v>262</v>
      </c>
      <c r="C241" s="86">
        <v>15.380000114440918</v>
      </c>
      <c r="D241" s="86">
        <v>31.959999084472656</v>
      </c>
      <c r="E241" s="86">
        <v>31.350000381469727</v>
      </c>
      <c r="F241" s="86">
        <v>7.7800002098083496</v>
      </c>
      <c r="G241" s="86">
        <v>5.4600000381469727</v>
      </c>
      <c r="H241" s="86">
        <v>13.760000228881836</v>
      </c>
      <c r="I241" s="86">
        <v>17.659999847412109</v>
      </c>
      <c r="J241" s="86">
        <v>10.560000419616699</v>
      </c>
      <c r="K241" s="86">
        <v>29.870000839233398</v>
      </c>
    </row>
    <row r="242" spans="1:11" ht="14.25" customHeight="1">
      <c r="A242" s="36">
        <v>51601</v>
      </c>
      <c r="B242" s="36" t="s">
        <v>263</v>
      </c>
      <c r="C242" s="86">
        <v>15.229999542236328</v>
      </c>
      <c r="D242" s="86">
        <v>31.739999771118164</v>
      </c>
      <c r="E242" s="86">
        <v>74.94000244140625</v>
      </c>
      <c r="F242" s="86">
        <v>24</v>
      </c>
      <c r="G242" s="86">
        <v>6.7699999809265137</v>
      </c>
      <c r="H242" s="86">
        <v>13.109999656677246</v>
      </c>
      <c r="I242" s="86">
        <v>16.690000534057617</v>
      </c>
      <c r="J242" s="86">
        <v>27.670000076293945</v>
      </c>
      <c r="K242" s="86">
        <v>67.720001220703125</v>
      </c>
    </row>
    <row r="243" spans="1:11" ht="14.25" customHeight="1">
      <c r="A243" s="36">
        <v>60101</v>
      </c>
      <c r="B243" s="36" t="s">
        <v>22</v>
      </c>
      <c r="C243" s="86">
        <v>10.949999809265137</v>
      </c>
      <c r="D243" s="86">
        <v>17.350000381469727</v>
      </c>
      <c r="E243" s="86">
        <v>15.380000114440918</v>
      </c>
      <c r="F243" s="86">
        <v>2.130000114440918</v>
      </c>
      <c r="G243" s="86">
        <v>4.9600000381469727</v>
      </c>
      <c r="H243" s="86">
        <v>13.220000267028809</v>
      </c>
      <c r="I243" s="86">
        <v>5.4000000953674316</v>
      </c>
      <c r="J243" s="86">
        <v>4.6700000762939453</v>
      </c>
      <c r="K243" s="86">
        <v>22.639999389648438</v>
      </c>
    </row>
    <row r="244" spans="1:11" ht="14.25" customHeight="1">
      <c r="A244" s="36">
        <v>60201</v>
      </c>
      <c r="B244" s="36" t="s">
        <v>264</v>
      </c>
      <c r="C244" s="86">
        <v>20.829999923706055</v>
      </c>
      <c r="D244" s="86">
        <v>20.979999542236328</v>
      </c>
      <c r="E244" s="86">
        <v>50.360000610351563</v>
      </c>
      <c r="F244" s="86">
        <v>10.079999923706055</v>
      </c>
      <c r="G244" s="86">
        <v>7.0999999046325684</v>
      </c>
      <c r="H244" s="86">
        <v>24.260000228881836</v>
      </c>
      <c r="I244" s="86">
        <v>14.640000343322754</v>
      </c>
      <c r="J244" s="86">
        <v>13.529999732971191</v>
      </c>
      <c r="K244" s="86">
        <v>47.889999389648438</v>
      </c>
    </row>
    <row r="245" spans="1:11" ht="14.25" customHeight="1">
      <c r="A245" s="36">
        <v>60202</v>
      </c>
      <c r="B245" s="36" t="s">
        <v>265</v>
      </c>
      <c r="C245" s="86">
        <v>13.210000038146973</v>
      </c>
      <c r="D245" s="86">
        <v>13.319999694824219</v>
      </c>
      <c r="E245" s="86">
        <v>21.709999084472656</v>
      </c>
      <c r="F245" s="86">
        <v>2.5</v>
      </c>
      <c r="G245" s="86">
        <v>6.3499999046325684</v>
      </c>
      <c r="H245" s="86">
        <v>16.75</v>
      </c>
      <c r="I245" s="86">
        <v>6.070000171661377</v>
      </c>
      <c r="J245" s="86">
        <v>4.8000001907348633</v>
      </c>
      <c r="K245" s="86">
        <v>23.690000534057617</v>
      </c>
    </row>
    <row r="246" spans="1:11" ht="14.25" customHeight="1">
      <c r="A246" s="36">
        <v>60301</v>
      </c>
      <c r="B246" s="36" t="s">
        <v>266</v>
      </c>
      <c r="C246" s="86">
        <v>13.189999580383301</v>
      </c>
      <c r="D246" s="86">
        <v>23.819999694824219</v>
      </c>
      <c r="E246" s="86">
        <v>23.200000762939453</v>
      </c>
      <c r="F246" s="86">
        <v>4.369999885559082</v>
      </c>
      <c r="G246" s="86">
        <v>6.190000057220459</v>
      </c>
      <c r="H246" s="86">
        <v>17.799999237060547</v>
      </c>
      <c r="I246" s="86">
        <v>7.690000057220459</v>
      </c>
      <c r="J246" s="86">
        <v>5.8400001525878906</v>
      </c>
      <c r="K246" s="86">
        <v>25.389999389648438</v>
      </c>
    </row>
    <row r="247" spans="1:11" ht="14.25" customHeight="1">
      <c r="A247" s="36">
        <v>60302</v>
      </c>
      <c r="B247" s="36" t="s">
        <v>267</v>
      </c>
      <c r="C247" s="86">
        <v>12.739999771118164</v>
      </c>
      <c r="D247" s="86">
        <v>14.840000152587891</v>
      </c>
      <c r="E247" s="86">
        <v>32.5</v>
      </c>
      <c r="F247" s="86">
        <v>6.880000114440918</v>
      </c>
      <c r="G247" s="86">
        <v>5.190000057220459</v>
      </c>
      <c r="H247" s="86">
        <v>16.149999618530273</v>
      </c>
      <c r="I247" s="86">
        <v>8.5299997329711914</v>
      </c>
      <c r="J247" s="86">
        <v>11.939999580383301</v>
      </c>
      <c r="K247" s="86">
        <v>17.75</v>
      </c>
    </row>
    <row r="248" spans="1:11" ht="14.25" customHeight="1">
      <c r="A248" s="36">
        <v>60303</v>
      </c>
      <c r="B248" s="36" t="s">
        <v>268</v>
      </c>
      <c r="C248" s="86">
        <v>9</v>
      </c>
      <c r="D248" s="86">
        <v>25.299999237060547</v>
      </c>
      <c r="E248" s="86">
        <v>29.440000534057617</v>
      </c>
      <c r="F248" s="86">
        <v>3.4200000762939453</v>
      </c>
      <c r="G248" s="86">
        <v>7.4699997901916504</v>
      </c>
      <c r="H248" s="86">
        <v>16.350000381469727</v>
      </c>
      <c r="I248" s="86">
        <v>9.7600002288818359</v>
      </c>
      <c r="J248" s="86">
        <v>10.800000190734863</v>
      </c>
      <c r="K248" s="86">
        <v>48.310001373291016</v>
      </c>
    </row>
    <row r="249" spans="1:11" ht="14.25" customHeight="1">
      <c r="A249" s="36">
        <v>60401</v>
      </c>
      <c r="B249" s="36" t="s">
        <v>269</v>
      </c>
      <c r="C249" s="86">
        <v>20.690000534057617</v>
      </c>
      <c r="D249" s="86">
        <v>14.380000114440918</v>
      </c>
      <c r="E249" s="86">
        <v>40.770000457763672</v>
      </c>
      <c r="F249" s="86">
        <v>5.1599998474121094</v>
      </c>
      <c r="G249" s="86">
        <v>7.7699999809265137</v>
      </c>
      <c r="H249" s="86">
        <v>23.430000305175781</v>
      </c>
      <c r="I249" s="86">
        <v>21.280000686645508</v>
      </c>
      <c r="J249" s="86">
        <v>21.030000686645508</v>
      </c>
      <c r="K249" s="86">
        <v>38.639999389648438</v>
      </c>
    </row>
    <row r="250" spans="1:11" ht="14.25" customHeight="1">
      <c r="A250" s="36">
        <v>60402</v>
      </c>
      <c r="B250" s="36" t="s">
        <v>270</v>
      </c>
      <c r="C250" s="86">
        <v>28.510000228881836</v>
      </c>
      <c r="D250" s="86">
        <v>15.869999885559082</v>
      </c>
      <c r="E250" s="86">
        <v>42.549999237060547</v>
      </c>
      <c r="F250" s="86">
        <v>23.549999237060547</v>
      </c>
      <c r="G250" s="86">
        <v>8.380000114440918</v>
      </c>
      <c r="H250" s="86">
        <v>32.490001678466797</v>
      </c>
      <c r="I250" s="86">
        <v>25.149999618530273</v>
      </c>
      <c r="J250" s="86">
        <v>17.969999313354492</v>
      </c>
      <c r="K250" s="86">
        <v>25.010000228881836</v>
      </c>
    </row>
    <row r="251" spans="1:11" ht="14.25" customHeight="1">
      <c r="A251" s="36">
        <v>60501</v>
      </c>
      <c r="B251" s="36" t="s">
        <v>271</v>
      </c>
      <c r="C251" s="86">
        <v>26.620000839233398</v>
      </c>
      <c r="D251" s="86">
        <v>18.030000686645508</v>
      </c>
      <c r="E251" s="86">
        <v>36.180000305175781</v>
      </c>
      <c r="F251" s="86">
        <v>6.3499999046325684</v>
      </c>
      <c r="G251" s="86">
        <v>5.1500000953674316</v>
      </c>
      <c r="H251" s="86">
        <v>20.329999923706055</v>
      </c>
      <c r="I251" s="86">
        <v>17.100000381469727</v>
      </c>
      <c r="J251" s="86">
        <v>19.290000915527344</v>
      </c>
      <c r="K251" s="86">
        <v>35.939998626708984</v>
      </c>
    </row>
    <row r="252" spans="1:11" ht="14.25" customHeight="1">
      <c r="A252" s="36">
        <v>60502</v>
      </c>
      <c r="B252" s="36" t="s">
        <v>272</v>
      </c>
      <c r="C252" s="86">
        <v>26.120000839233398</v>
      </c>
      <c r="D252" s="86">
        <v>20.100000381469727</v>
      </c>
      <c r="E252" s="86">
        <v>46.529998779296875</v>
      </c>
      <c r="F252" s="86">
        <v>11.470000267028809</v>
      </c>
      <c r="G252" s="86">
        <v>6.1500000953674316</v>
      </c>
      <c r="H252" s="86">
        <v>25.569999694824219</v>
      </c>
      <c r="I252" s="86">
        <v>26.909999847412109</v>
      </c>
      <c r="J252" s="86">
        <v>12.779999732971191</v>
      </c>
      <c r="K252" s="86">
        <v>19.709999084472656</v>
      </c>
    </row>
    <row r="253" spans="1:11" ht="14.25" customHeight="1">
      <c r="A253" s="36">
        <v>60601</v>
      </c>
      <c r="B253" s="36" t="s">
        <v>177</v>
      </c>
      <c r="C253" s="86">
        <v>21.059999465942383</v>
      </c>
      <c r="D253" s="86">
        <v>28.590000152587891</v>
      </c>
      <c r="E253" s="86">
        <v>62.630001068115234</v>
      </c>
      <c r="F253" s="86">
        <v>10</v>
      </c>
      <c r="G253" s="86">
        <v>7.2300000190734863</v>
      </c>
      <c r="H253" s="86">
        <v>21.819999694824219</v>
      </c>
      <c r="I253" s="86">
        <v>14.369999885559082</v>
      </c>
      <c r="J253" s="86">
        <v>31.829999923706055</v>
      </c>
      <c r="K253" s="86">
        <v>42.990001678466797</v>
      </c>
    </row>
    <row r="254" spans="1:11" ht="14.25" customHeight="1">
      <c r="A254" s="36">
        <v>70101</v>
      </c>
      <c r="B254" s="36" t="s">
        <v>273</v>
      </c>
      <c r="C254" s="86">
        <v>4.570000171661377</v>
      </c>
      <c r="D254" s="86">
        <v>37.400001525878906</v>
      </c>
      <c r="E254" s="86">
        <v>12.579999923706055</v>
      </c>
      <c r="F254" s="86">
        <v>2.3199999332427979</v>
      </c>
      <c r="G254" s="86">
        <v>6.5199999809265137</v>
      </c>
      <c r="H254" s="86">
        <v>16.180000305175781</v>
      </c>
      <c r="I254" s="86">
        <v>0.72000002861022949</v>
      </c>
      <c r="J254" s="86">
        <v>0.98000001907348633</v>
      </c>
      <c r="K254" s="86">
        <v>48.069999694824219</v>
      </c>
    </row>
    <row r="255" spans="1:11" ht="14.25" customHeight="1">
      <c r="A255" s="36">
        <v>70102</v>
      </c>
      <c r="B255" s="36" t="s">
        <v>274</v>
      </c>
      <c r="C255" s="86">
        <v>9</v>
      </c>
      <c r="D255" s="86">
        <v>48.860000610351563</v>
      </c>
      <c r="E255" s="86">
        <v>19.590000152587891</v>
      </c>
      <c r="F255" s="86">
        <v>4.6500000953674316</v>
      </c>
      <c r="G255" s="86">
        <v>8.9700002670288086</v>
      </c>
      <c r="H255" s="86">
        <v>20.940000534057617</v>
      </c>
      <c r="I255" s="86">
        <v>4.2600002288818359</v>
      </c>
      <c r="J255" s="86">
        <v>5.4800000190734863</v>
      </c>
      <c r="K255" s="86">
        <v>61.220001220703125</v>
      </c>
    </row>
    <row r="256" spans="1:11" ht="14.25" customHeight="1">
      <c r="A256" s="36">
        <v>70103</v>
      </c>
      <c r="B256" s="36" t="s">
        <v>275</v>
      </c>
      <c r="C256" s="86">
        <v>10.289999961853027</v>
      </c>
      <c r="D256" s="86">
        <v>43.610000610351563</v>
      </c>
      <c r="E256" s="86">
        <v>34.029998779296875</v>
      </c>
      <c r="F256" s="86">
        <v>5.0500001907348633</v>
      </c>
      <c r="G256" s="86">
        <v>7.9899997711181641</v>
      </c>
      <c r="H256" s="86">
        <v>21.219999313354492</v>
      </c>
      <c r="I256" s="86">
        <v>15.460000038146973</v>
      </c>
      <c r="J256" s="86">
        <v>14.010000228881836</v>
      </c>
      <c r="K256" s="86">
        <v>38.950000762939453</v>
      </c>
    </row>
    <row r="257" spans="1:11" ht="14.25" customHeight="1">
      <c r="A257" s="36">
        <v>70104</v>
      </c>
      <c r="B257" s="36" t="s">
        <v>276</v>
      </c>
      <c r="C257" s="86">
        <v>7.9899997711181641</v>
      </c>
      <c r="D257" s="86">
        <v>40.580001831054688</v>
      </c>
      <c r="E257" s="86">
        <v>18.420000076293945</v>
      </c>
      <c r="F257" s="86">
        <v>2.9500000476837158</v>
      </c>
      <c r="G257" s="86">
        <v>7.4000000953674316</v>
      </c>
      <c r="H257" s="86">
        <v>18.959999084472656</v>
      </c>
      <c r="I257" s="86">
        <v>3.5899999141693115</v>
      </c>
      <c r="J257" s="86">
        <v>3.5499999523162842</v>
      </c>
      <c r="K257" s="86">
        <v>89.330001831054688</v>
      </c>
    </row>
    <row r="258" spans="1:11" ht="14.25" customHeight="1">
      <c r="A258" s="36">
        <v>70105</v>
      </c>
      <c r="B258" s="36" t="s">
        <v>277</v>
      </c>
      <c r="C258" s="86">
        <v>15.479999542236328</v>
      </c>
      <c r="D258" s="86">
        <v>37.330001831054688</v>
      </c>
      <c r="E258" s="86">
        <v>29.540000915527344</v>
      </c>
      <c r="F258" s="86">
        <v>4.3600001335144043</v>
      </c>
      <c r="G258" s="86">
        <v>8.8299999237060547</v>
      </c>
      <c r="H258" s="86">
        <v>20.319999694824219</v>
      </c>
      <c r="I258" s="86">
        <v>12.510000228881836</v>
      </c>
      <c r="J258" s="86">
        <v>10.789999961853027</v>
      </c>
      <c r="K258" s="86">
        <v>58.330001831054688</v>
      </c>
    </row>
    <row r="259" spans="1:11" ht="14.25" customHeight="1">
      <c r="A259" s="36">
        <v>70201</v>
      </c>
      <c r="B259" s="36" t="s">
        <v>278</v>
      </c>
      <c r="C259" s="86">
        <v>8.3999996185302734</v>
      </c>
      <c r="D259" s="86">
        <v>41.639999389648438</v>
      </c>
      <c r="E259" s="86">
        <v>24.170000076293945</v>
      </c>
      <c r="F259" s="86">
        <v>3.880000114440918</v>
      </c>
      <c r="G259" s="86">
        <v>9.4600000381469727</v>
      </c>
      <c r="H259" s="86">
        <v>20.520000457763672</v>
      </c>
      <c r="I259" s="86">
        <v>2.869999885559082</v>
      </c>
      <c r="J259" s="86">
        <v>5.190000057220459</v>
      </c>
      <c r="K259" s="86">
        <v>67.449996948242188</v>
      </c>
    </row>
    <row r="260" spans="1:11" ht="14.25" customHeight="1">
      <c r="A260" s="36">
        <v>70202</v>
      </c>
      <c r="B260" s="36" t="s">
        <v>279</v>
      </c>
      <c r="C260" s="86">
        <v>9.869999885559082</v>
      </c>
      <c r="D260" s="86">
        <v>43.080001831054688</v>
      </c>
      <c r="E260" s="86">
        <v>25.399999618530273</v>
      </c>
      <c r="F260" s="86">
        <v>7.4000000953674316</v>
      </c>
      <c r="G260" s="86">
        <v>10.180000305175781</v>
      </c>
      <c r="H260" s="86">
        <v>22.110000610351563</v>
      </c>
      <c r="I260" s="86">
        <v>5.5300002098083496</v>
      </c>
      <c r="J260" s="86">
        <v>6.809999942779541</v>
      </c>
      <c r="K260" s="86">
        <v>57.169998168945313</v>
      </c>
    </row>
    <row r="261" spans="1:11" ht="14.25" customHeight="1">
      <c r="A261" s="36">
        <v>70301</v>
      </c>
      <c r="B261" s="36" t="s">
        <v>280</v>
      </c>
      <c r="C261" s="86">
        <v>10.989999771118164</v>
      </c>
      <c r="D261" s="86">
        <v>54.869998931884766</v>
      </c>
      <c r="E261" s="86">
        <v>52.439998626708984</v>
      </c>
      <c r="F261" s="86">
        <v>14</v>
      </c>
      <c r="G261" s="86">
        <v>12.180000305175781</v>
      </c>
      <c r="H261" s="86">
        <v>26.110000610351563</v>
      </c>
      <c r="I261" s="86">
        <v>15.039999961853027</v>
      </c>
      <c r="J261" s="86">
        <v>26.379999160766602</v>
      </c>
      <c r="K261" s="86">
        <v>38.619998931884766</v>
      </c>
    </row>
    <row r="262" spans="1:11" ht="14.25" customHeight="1">
      <c r="A262" s="36">
        <v>70302</v>
      </c>
      <c r="B262" s="36" t="s">
        <v>281</v>
      </c>
      <c r="C262" s="86">
        <v>12.289999961853027</v>
      </c>
      <c r="D262" s="86">
        <v>43.439998626708984</v>
      </c>
      <c r="E262" s="86">
        <v>63.369998931884766</v>
      </c>
      <c r="F262" s="86">
        <v>9.3000001907348633</v>
      </c>
      <c r="G262" s="86">
        <v>11.390000343322754</v>
      </c>
      <c r="H262" s="86">
        <v>22.75</v>
      </c>
      <c r="I262" s="86">
        <v>30.989999771118164</v>
      </c>
      <c r="J262" s="86">
        <v>48.979999542236328</v>
      </c>
      <c r="K262" s="86">
        <v>52.299999237060547</v>
      </c>
    </row>
    <row r="263" spans="1:11" ht="14.25" customHeight="1">
      <c r="A263" s="36">
        <v>70303</v>
      </c>
      <c r="B263" s="36" t="s">
        <v>282</v>
      </c>
      <c r="C263" s="86">
        <v>10.630000114440918</v>
      </c>
      <c r="D263" s="86">
        <v>51.409999847412109</v>
      </c>
      <c r="E263" s="86">
        <v>56.139999389648438</v>
      </c>
      <c r="F263" s="86">
        <v>7.7899999618530273</v>
      </c>
      <c r="G263" s="86">
        <v>11.430000305175781</v>
      </c>
      <c r="H263" s="86">
        <v>27.399999618530273</v>
      </c>
      <c r="I263" s="86">
        <v>28.350000381469727</v>
      </c>
      <c r="J263" s="86">
        <v>33.740001678466797</v>
      </c>
      <c r="K263" s="86">
        <v>64.790000915527344</v>
      </c>
    </row>
    <row r="264" spans="1:11" ht="14.25" customHeight="1">
      <c r="A264" s="36">
        <v>70401</v>
      </c>
      <c r="B264" s="36" t="s">
        <v>283</v>
      </c>
      <c r="C264" s="86">
        <v>13.909999847412109</v>
      </c>
      <c r="D264" s="86">
        <v>43.330001831054688</v>
      </c>
      <c r="E264" s="86">
        <v>32.400001525878906</v>
      </c>
      <c r="F264" s="86">
        <v>5.4600000381469727</v>
      </c>
      <c r="G264" s="86">
        <v>8.7700004577636719</v>
      </c>
      <c r="H264" s="86">
        <v>20.770000457763672</v>
      </c>
      <c r="I264" s="86">
        <v>13.75</v>
      </c>
      <c r="J264" s="86">
        <v>17.170000076293945</v>
      </c>
      <c r="K264" s="86">
        <v>35.509998321533203</v>
      </c>
    </row>
    <row r="265" spans="1:11" ht="14.25" customHeight="1">
      <c r="A265" s="36">
        <v>70402</v>
      </c>
      <c r="B265" s="36" t="s">
        <v>284</v>
      </c>
      <c r="C265" s="86">
        <v>14.850000381469727</v>
      </c>
      <c r="D265" s="86">
        <v>52.830001831054688</v>
      </c>
      <c r="E265" s="86">
        <v>35.599998474121094</v>
      </c>
      <c r="F265" s="86">
        <v>6.570000171661377</v>
      </c>
      <c r="G265" s="86">
        <v>9.619999885559082</v>
      </c>
      <c r="H265" s="86">
        <v>20.739999771118164</v>
      </c>
      <c r="I265" s="86">
        <v>11.869999885559082</v>
      </c>
      <c r="J265" s="86">
        <v>18.120000839233398</v>
      </c>
      <c r="K265" s="86">
        <v>77.019996643066406</v>
      </c>
    </row>
    <row r="266" spans="1:11" ht="14.25" customHeight="1">
      <c r="A266" s="36">
        <v>70403</v>
      </c>
      <c r="B266" s="36" t="s">
        <v>285</v>
      </c>
      <c r="C266" s="86">
        <v>12.930000305175781</v>
      </c>
      <c r="D266" s="86">
        <v>39.290000915527344</v>
      </c>
      <c r="E266" s="86">
        <v>44.099998474121094</v>
      </c>
      <c r="F266" s="86">
        <v>4.6500000953674316</v>
      </c>
      <c r="G266" s="86">
        <v>8.9899997711181641</v>
      </c>
      <c r="H266" s="86">
        <v>19.659999847412109</v>
      </c>
      <c r="I266" s="86">
        <v>29.75</v>
      </c>
      <c r="J266" s="86">
        <v>29.790000915527344</v>
      </c>
      <c r="K266" s="86">
        <v>70.120002746582031</v>
      </c>
    </row>
    <row r="267" spans="1:11" ht="14.25" customHeight="1">
      <c r="A267" s="36">
        <v>70404</v>
      </c>
      <c r="B267" s="36" t="s">
        <v>286</v>
      </c>
      <c r="C267" s="86">
        <v>10.029999732971191</v>
      </c>
      <c r="D267" s="86">
        <v>52.459999084472656</v>
      </c>
      <c r="E267" s="86">
        <v>38.259998321533203</v>
      </c>
      <c r="F267" s="86">
        <v>5.1999998092651367</v>
      </c>
      <c r="G267" s="86">
        <v>8.7600002288818359</v>
      </c>
      <c r="H267" s="86">
        <v>20.799999237060547</v>
      </c>
      <c r="I267" s="86">
        <v>22.950000762939453</v>
      </c>
      <c r="J267" s="86">
        <v>21.959999084472656</v>
      </c>
      <c r="K267" s="86">
        <v>62.479999542236328</v>
      </c>
    </row>
    <row r="268" spans="1:11" ht="14.25" customHeight="1">
      <c r="A268" s="36">
        <v>70501</v>
      </c>
      <c r="B268" s="36" t="s">
        <v>287</v>
      </c>
      <c r="C268" s="86">
        <v>5.4200000762939453</v>
      </c>
      <c r="D268" s="86">
        <v>40.25</v>
      </c>
      <c r="E268" s="86">
        <v>46.799999237060547</v>
      </c>
      <c r="F268" s="86">
        <v>10.229999542236328</v>
      </c>
      <c r="G268" s="86">
        <v>7.9899997711181641</v>
      </c>
      <c r="H268" s="86">
        <v>24.340000152587891</v>
      </c>
      <c r="I268" s="86">
        <v>4.4200000762939453</v>
      </c>
      <c r="J268" s="86">
        <v>8.4899997711181641</v>
      </c>
      <c r="K268" s="86">
        <v>61.680000305175781</v>
      </c>
    </row>
    <row r="269" spans="1:11" ht="14.25" customHeight="1">
      <c r="A269" s="36">
        <v>70502</v>
      </c>
      <c r="B269" s="36" t="s">
        <v>288</v>
      </c>
      <c r="C269" s="86">
        <v>5.2899999618530273</v>
      </c>
      <c r="D269" s="86">
        <v>42.040000915527344</v>
      </c>
      <c r="E269" s="86">
        <v>60.150001525878906</v>
      </c>
      <c r="F269" s="86">
        <v>10.029999732971191</v>
      </c>
      <c r="G269" s="86">
        <v>5.9499998092651367</v>
      </c>
      <c r="H269" s="86">
        <v>31.229999542236328</v>
      </c>
      <c r="I269" s="86">
        <v>7.6100001335144043</v>
      </c>
      <c r="J269" s="86">
        <v>17.850000381469727</v>
      </c>
      <c r="K269" s="86">
        <v>32.159999847412109</v>
      </c>
    </row>
    <row r="270" spans="1:11" ht="14.25" customHeight="1">
      <c r="A270" s="36">
        <v>70503</v>
      </c>
      <c r="B270" s="36" t="s">
        <v>289</v>
      </c>
      <c r="C270" s="86">
        <v>5.8600001335144043</v>
      </c>
      <c r="D270" s="86">
        <v>35.740001678466797</v>
      </c>
      <c r="E270" s="86">
        <v>25.590000152587891</v>
      </c>
      <c r="F270" s="86">
        <v>3.9200000762939453</v>
      </c>
      <c r="G270" s="86">
        <v>7.0300002098083496</v>
      </c>
      <c r="H270" s="86">
        <v>13.399999618530273</v>
      </c>
      <c r="I270" s="86">
        <v>11.460000038146973</v>
      </c>
      <c r="J270" s="86">
        <v>10.420000076293945</v>
      </c>
      <c r="K270" s="86">
        <v>55.840000152587891</v>
      </c>
    </row>
    <row r="271" spans="1:11" ht="14.25" customHeight="1">
      <c r="A271" s="36">
        <v>70601</v>
      </c>
      <c r="B271" s="36" t="s">
        <v>290</v>
      </c>
      <c r="C271" s="86">
        <v>9.6599998474121094</v>
      </c>
      <c r="D271" s="86">
        <v>39.779998779296875</v>
      </c>
      <c r="E271" s="86">
        <v>22.809999465942383</v>
      </c>
      <c r="F271" s="86">
        <v>2.0099999904632568</v>
      </c>
      <c r="G271" s="86">
        <v>11.090000152587891</v>
      </c>
      <c r="H271" s="86">
        <v>18.040000915527344</v>
      </c>
      <c r="I271" s="86">
        <v>5.929999828338623</v>
      </c>
      <c r="J271" s="86">
        <v>5.5999999046325684</v>
      </c>
      <c r="K271" s="86">
        <v>42.040000915527344</v>
      </c>
    </row>
    <row r="272" spans="1:11" ht="14.25" customHeight="1">
      <c r="A272" s="36">
        <v>70602</v>
      </c>
      <c r="B272" s="36" t="s">
        <v>291</v>
      </c>
      <c r="C272" s="86">
        <v>14.869999885559082</v>
      </c>
      <c r="D272" s="86">
        <v>53.169998168945313</v>
      </c>
      <c r="E272" s="86">
        <v>51.599998474121094</v>
      </c>
      <c r="F272" s="86">
        <v>5.8600001335144043</v>
      </c>
      <c r="G272" s="86">
        <v>9.5200004577636719</v>
      </c>
      <c r="H272" s="86">
        <v>23.129999160766602</v>
      </c>
      <c r="I272" s="86">
        <v>26.209999084472656</v>
      </c>
      <c r="J272" s="86">
        <v>33.909999847412109</v>
      </c>
      <c r="K272" s="86">
        <v>54.979999542236328</v>
      </c>
    </row>
    <row r="273" spans="1:11" ht="14.25" customHeight="1">
      <c r="A273" s="36">
        <v>70603</v>
      </c>
      <c r="B273" s="36" t="s">
        <v>292</v>
      </c>
      <c r="C273" s="86">
        <v>6.7199997901916504</v>
      </c>
      <c r="D273" s="86">
        <v>40.709999084472656</v>
      </c>
      <c r="E273" s="86">
        <v>26.979999542236328</v>
      </c>
      <c r="F273" s="86">
        <v>5.119999885559082</v>
      </c>
      <c r="G273" s="86">
        <v>9.3100004196166992</v>
      </c>
      <c r="H273" s="86">
        <v>21.010000228881836</v>
      </c>
      <c r="I273" s="86">
        <v>12.340000152587891</v>
      </c>
      <c r="J273" s="86">
        <v>8.2700004577636719</v>
      </c>
      <c r="K273" s="86">
        <v>83.269996643066406</v>
      </c>
    </row>
    <row r="274" spans="1:11" ht="14.25" customHeight="1">
      <c r="A274" s="36">
        <v>70701</v>
      </c>
      <c r="B274" s="36" t="s">
        <v>293</v>
      </c>
      <c r="C274" s="86">
        <v>20.200000762939453</v>
      </c>
      <c r="D274" s="86">
        <v>35.180000305175781</v>
      </c>
      <c r="E274" s="86">
        <v>59.200000762939453</v>
      </c>
      <c r="F274" s="86">
        <v>13.140000343322754</v>
      </c>
      <c r="G274" s="86">
        <v>11.859999656677246</v>
      </c>
      <c r="H274" s="86">
        <v>20.909999847412109</v>
      </c>
      <c r="I274" s="86">
        <v>24.969999313354492</v>
      </c>
      <c r="J274" s="86">
        <v>42.569999694824219</v>
      </c>
      <c r="K274" s="86">
        <v>44.860000610351563</v>
      </c>
    </row>
    <row r="275" spans="1:11" ht="14.25" customHeight="1">
      <c r="A275" s="36">
        <v>70702</v>
      </c>
      <c r="B275" s="36" t="s">
        <v>294</v>
      </c>
      <c r="C275" s="86">
        <v>9.2100000381469727</v>
      </c>
      <c r="D275" s="86">
        <v>47.799999237060547</v>
      </c>
      <c r="E275" s="86">
        <v>80.199996948242188</v>
      </c>
      <c r="F275" s="86">
        <v>11.720000267028809</v>
      </c>
      <c r="G275" s="86">
        <v>6.1599998474121094</v>
      </c>
      <c r="H275" s="86">
        <v>28.989999771118164</v>
      </c>
      <c r="I275" s="86">
        <v>9.0799999237060547</v>
      </c>
      <c r="J275" s="86">
        <v>46.930000305175781</v>
      </c>
      <c r="K275" s="86">
        <v>34.130001068115234</v>
      </c>
    </row>
    <row r="276" spans="1:11" ht="14.25" customHeight="1">
      <c r="A276" s="36">
        <v>70703</v>
      </c>
      <c r="B276" s="36" t="s">
        <v>295</v>
      </c>
      <c r="C276" s="86">
        <v>9.6599998474121094</v>
      </c>
      <c r="D276" s="86">
        <v>41.770000457763672</v>
      </c>
      <c r="E276" s="86">
        <v>58.75</v>
      </c>
      <c r="F276" s="86">
        <v>12.460000038146973</v>
      </c>
      <c r="G276" s="86">
        <v>6.5900001525878906</v>
      </c>
      <c r="H276" s="86">
        <v>30.110000610351563</v>
      </c>
      <c r="I276" s="86">
        <v>10.550000190734863</v>
      </c>
      <c r="J276" s="86">
        <v>18.420000076293945</v>
      </c>
      <c r="K276" s="86">
        <v>36.130001068115234</v>
      </c>
    </row>
    <row r="277" spans="1:11" ht="14.25" customHeight="1">
      <c r="A277" s="36">
        <v>70704</v>
      </c>
      <c r="B277" s="36" t="s">
        <v>296</v>
      </c>
      <c r="C277" s="86">
        <v>17.430000305175781</v>
      </c>
      <c r="D277" s="86">
        <v>45.169998168945313</v>
      </c>
      <c r="E277" s="86">
        <v>57.009998321533203</v>
      </c>
      <c r="F277" s="86">
        <v>10.850000381469727</v>
      </c>
      <c r="G277" s="86">
        <v>5.429999828338623</v>
      </c>
      <c r="H277" s="86">
        <v>13.390000343322754</v>
      </c>
      <c r="I277" s="86">
        <v>23.139999389648438</v>
      </c>
      <c r="J277" s="86">
        <v>37.799999237060547</v>
      </c>
      <c r="K277" s="86">
        <v>78.050003051757813</v>
      </c>
    </row>
    <row r="278" spans="1:11" ht="14.25" customHeight="1">
      <c r="A278" s="36">
        <v>70705</v>
      </c>
      <c r="B278" s="36" t="s">
        <v>297</v>
      </c>
      <c r="C278" s="86">
        <v>15.840000152587891</v>
      </c>
      <c r="D278" s="86">
        <v>39.610000610351563</v>
      </c>
      <c r="E278" s="86">
        <v>76.949996948242188</v>
      </c>
      <c r="F278" s="86">
        <v>22.040000915527344</v>
      </c>
      <c r="G278" s="86">
        <v>10.100000381469727</v>
      </c>
      <c r="H278" s="86">
        <v>20.450000762939453</v>
      </c>
      <c r="I278" s="86">
        <v>42.25</v>
      </c>
      <c r="J278" s="86">
        <v>64.860000610351563</v>
      </c>
      <c r="K278" s="86">
        <v>49.479999542236328</v>
      </c>
    </row>
    <row r="279" spans="1:11" ht="14.25" customHeight="1">
      <c r="A279" s="36">
        <v>70706</v>
      </c>
      <c r="B279" s="36" t="s">
        <v>298</v>
      </c>
      <c r="C279" s="86">
        <v>9.2200002670288086</v>
      </c>
      <c r="D279" s="86">
        <v>29.209999084472656</v>
      </c>
      <c r="E279" s="86">
        <v>20.120000839233398</v>
      </c>
      <c r="F279" s="86">
        <v>2.7000000476837158</v>
      </c>
      <c r="G279" s="86">
        <v>6.869999885559082</v>
      </c>
      <c r="H279" s="86">
        <v>12.859999656677246</v>
      </c>
      <c r="I279" s="86">
        <v>3.2799999713897705</v>
      </c>
      <c r="J279" s="86">
        <v>6.880000114440918</v>
      </c>
      <c r="K279" s="86">
        <v>38.659999847412109</v>
      </c>
    </row>
    <row r="280" spans="1:11" ht="14.25" customHeight="1">
      <c r="A280" s="36">
        <v>70707</v>
      </c>
      <c r="B280" s="36" t="s">
        <v>299</v>
      </c>
      <c r="C280" s="86">
        <v>11.569999694824219</v>
      </c>
      <c r="D280" s="86">
        <v>37.490001678466797</v>
      </c>
      <c r="E280" s="86">
        <v>54.5</v>
      </c>
      <c r="F280" s="86">
        <v>6.1399998664855957</v>
      </c>
      <c r="G280" s="86">
        <v>8.2700004577636719</v>
      </c>
      <c r="H280" s="86">
        <v>23.030000686645508</v>
      </c>
      <c r="I280" s="86">
        <v>21.309999465942383</v>
      </c>
      <c r="J280" s="86">
        <v>39.689998626708984</v>
      </c>
      <c r="K280" s="86">
        <v>59.310001373291016</v>
      </c>
    </row>
    <row r="281" spans="1:11" ht="14.25" customHeight="1">
      <c r="A281" s="36">
        <v>70801</v>
      </c>
      <c r="B281" s="36" t="s">
        <v>300</v>
      </c>
      <c r="C281" s="86">
        <v>11.340000152587891</v>
      </c>
      <c r="D281" s="86">
        <v>33.099998474121094</v>
      </c>
      <c r="E281" s="86">
        <v>40.279998779296875</v>
      </c>
      <c r="F281" s="86">
        <v>3.0799999237060547</v>
      </c>
      <c r="G281" s="86">
        <v>6.570000171661377</v>
      </c>
      <c r="H281" s="86">
        <v>14.489999771118164</v>
      </c>
      <c r="I281" s="86">
        <v>12.909999847412109</v>
      </c>
      <c r="J281" s="86">
        <v>22.969999313354492</v>
      </c>
      <c r="K281" s="86">
        <v>36.569999694824219</v>
      </c>
    </row>
    <row r="282" spans="1:11" ht="14.25" customHeight="1">
      <c r="A282" s="36">
        <v>70802</v>
      </c>
      <c r="B282" s="36" t="s">
        <v>301</v>
      </c>
      <c r="C282" s="86">
        <v>8.7600002288818359</v>
      </c>
      <c r="D282" s="86">
        <v>22.870000839233398</v>
      </c>
      <c r="E282" s="86">
        <v>32.599998474121094</v>
      </c>
      <c r="F282" s="86">
        <v>5.9000000953674316</v>
      </c>
      <c r="G282" s="86">
        <v>5.6500000953674316</v>
      </c>
      <c r="H282" s="86">
        <v>13.479999542236328</v>
      </c>
      <c r="I282" s="86">
        <v>10.539999961853027</v>
      </c>
      <c r="J282" s="86">
        <v>13.670000076293945</v>
      </c>
      <c r="K282" s="86">
        <v>34.520000457763672</v>
      </c>
    </row>
    <row r="283" spans="1:11" ht="14.25" customHeight="1">
      <c r="A283" s="36">
        <v>70803</v>
      </c>
      <c r="B283" s="36" t="s">
        <v>302</v>
      </c>
      <c r="C283" s="86">
        <v>17.159999847412109</v>
      </c>
      <c r="D283" s="86">
        <v>32.229999542236328</v>
      </c>
      <c r="E283" s="86">
        <v>45.569999694824219</v>
      </c>
      <c r="F283" s="86">
        <v>3.7300000190734863</v>
      </c>
      <c r="G283" s="86">
        <v>6.1599998474121094</v>
      </c>
      <c r="H283" s="86">
        <v>16.680000305175781</v>
      </c>
      <c r="I283" s="86">
        <v>38.659999847412109</v>
      </c>
      <c r="J283" s="86">
        <v>34.450000762939453</v>
      </c>
      <c r="K283" s="86">
        <v>45.599998474121094</v>
      </c>
    </row>
    <row r="284" spans="1:11" ht="14.25" customHeight="1">
      <c r="A284" s="36">
        <v>70804</v>
      </c>
      <c r="B284" s="36" t="s">
        <v>303</v>
      </c>
      <c r="C284" s="86">
        <v>22.909999847412109</v>
      </c>
      <c r="D284" s="86">
        <v>50.369998931884766</v>
      </c>
      <c r="E284" s="86">
        <v>56.770000457763672</v>
      </c>
      <c r="F284" s="86">
        <v>6.1700000762939453</v>
      </c>
      <c r="G284" s="86">
        <v>6.9800000190734863</v>
      </c>
      <c r="H284" s="86">
        <v>17.889999389648438</v>
      </c>
      <c r="I284" s="86">
        <v>42.970001220703125</v>
      </c>
      <c r="J284" s="86">
        <v>33.479999542236328</v>
      </c>
      <c r="K284" s="86">
        <v>55.590000152587891</v>
      </c>
    </row>
    <row r="285" spans="1:11" ht="14.25" customHeight="1">
      <c r="A285" s="36">
        <v>70805</v>
      </c>
      <c r="B285" s="36" t="s">
        <v>304</v>
      </c>
      <c r="C285" s="86">
        <v>11.720000267028809</v>
      </c>
      <c r="D285" s="86">
        <v>32.470001220703125</v>
      </c>
      <c r="E285" s="86">
        <v>59.470001220703125</v>
      </c>
      <c r="F285" s="86">
        <v>5.7100000381469727</v>
      </c>
      <c r="G285" s="86">
        <v>6.4600000381469727</v>
      </c>
      <c r="H285" s="86">
        <v>16.059999465942383</v>
      </c>
      <c r="I285" s="86">
        <v>21.829999923706055</v>
      </c>
      <c r="J285" s="86">
        <v>40.720001220703125</v>
      </c>
      <c r="K285" s="86">
        <v>68.069999694824219</v>
      </c>
    </row>
    <row r="286" spans="1:11" ht="14.25" customHeight="1">
      <c r="A286" s="36">
        <v>70901</v>
      </c>
      <c r="B286" s="36" t="s">
        <v>305</v>
      </c>
      <c r="C286" s="86">
        <v>14.010000228881836</v>
      </c>
      <c r="D286" s="86">
        <v>36.169998168945313</v>
      </c>
      <c r="E286" s="86">
        <v>41.110000610351563</v>
      </c>
      <c r="F286" s="86">
        <v>4.119999885559082</v>
      </c>
      <c r="G286" s="86">
        <v>5.7699999809265137</v>
      </c>
      <c r="H286" s="86">
        <v>13.800000190734863</v>
      </c>
      <c r="I286" s="86">
        <v>25.930000305175781</v>
      </c>
      <c r="J286" s="86">
        <v>19.780000686645508</v>
      </c>
      <c r="K286" s="86">
        <v>50.619998931884766</v>
      </c>
    </row>
    <row r="287" spans="1:11" ht="14.25" customHeight="1">
      <c r="A287" s="36">
        <v>70902</v>
      </c>
      <c r="B287" s="36" t="s">
        <v>306</v>
      </c>
      <c r="C287" s="86">
        <v>14.350000381469727</v>
      </c>
      <c r="D287" s="86">
        <v>35.669998168945313</v>
      </c>
      <c r="E287" s="86">
        <v>39.139999389648438</v>
      </c>
      <c r="F287" s="86">
        <v>7.8000001907348633</v>
      </c>
      <c r="G287" s="86">
        <v>5.679999828338623</v>
      </c>
      <c r="H287" s="86">
        <v>20.129999160766602</v>
      </c>
      <c r="I287" s="86">
        <v>12.970000267028809</v>
      </c>
      <c r="J287" s="86">
        <v>16.579999923706055</v>
      </c>
      <c r="K287" s="86">
        <v>59.060001373291016</v>
      </c>
    </row>
    <row r="288" spans="1:11" ht="14.25" customHeight="1">
      <c r="A288" s="36">
        <v>70903</v>
      </c>
      <c r="B288" s="36" t="s">
        <v>307</v>
      </c>
      <c r="C288" s="86">
        <v>12.670000076293945</v>
      </c>
      <c r="D288" s="86">
        <v>36.139999389648438</v>
      </c>
      <c r="E288" s="86">
        <v>22.739999771118164</v>
      </c>
      <c r="F288" s="86">
        <v>3.7899999618530273</v>
      </c>
      <c r="G288" s="86">
        <v>7</v>
      </c>
      <c r="H288" s="86">
        <v>15.529999732971191</v>
      </c>
      <c r="I288" s="86">
        <v>6.0799999237060547</v>
      </c>
      <c r="J288" s="86">
        <v>11.279999732971191</v>
      </c>
      <c r="K288" s="86">
        <v>77.459999084472656</v>
      </c>
    </row>
    <row r="289" spans="1:11" ht="14.25" customHeight="1">
      <c r="A289" s="36">
        <v>70904</v>
      </c>
      <c r="B289" s="36" t="s">
        <v>308</v>
      </c>
      <c r="C289" s="86">
        <v>12.930000305175781</v>
      </c>
      <c r="D289" s="86">
        <v>40.950000762939453</v>
      </c>
      <c r="E289" s="86">
        <v>41.740001678466797</v>
      </c>
      <c r="F289" s="86">
        <v>1.9299999475479126</v>
      </c>
      <c r="G289" s="86">
        <v>4.9000000953674316</v>
      </c>
      <c r="H289" s="86">
        <v>20.610000610351563</v>
      </c>
      <c r="I289" s="86">
        <v>17.069999694824219</v>
      </c>
      <c r="J289" s="86">
        <v>19.739999771118164</v>
      </c>
      <c r="K289" s="86">
        <v>36.290000915527344</v>
      </c>
    </row>
    <row r="290" spans="1:11" ht="14.25" customHeight="1">
      <c r="A290" s="36">
        <v>71001</v>
      </c>
      <c r="B290" s="36" t="s">
        <v>309</v>
      </c>
      <c r="C290" s="86">
        <v>8.380000114440918</v>
      </c>
      <c r="D290" s="86">
        <v>37.290000915527344</v>
      </c>
      <c r="E290" s="86">
        <v>21.139999389648438</v>
      </c>
      <c r="F290" s="86">
        <v>2.8599998950958252</v>
      </c>
      <c r="G290" s="86">
        <v>8.2899999618530273</v>
      </c>
      <c r="H290" s="86">
        <v>17.670000076293945</v>
      </c>
      <c r="I290" s="86">
        <v>4.7199997901916504</v>
      </c>
      <c r="J290" s="86">
        <v>4.4800000190734863</v>
      </c>
      <c r="K290" s="86">
        <v>54.25</v>
      </c>
    </row>
    <row r="291" spans="1:11" ht="14.25" customHeight="1">
      <c r="A291" s="36">
        <v>71002</v>
      </c>
      <c r="B291" s="36" t="s">
        <v>310</v>
      </c>
      <c r="C291" s="86">
        <v>14.720000267028809</v>
      </c>
      <c r="D291" s="86">
        <v>45.450000762939453</v>
      </c>
      <c r="E291" s="86">
        <v>36.419998168945313</v>
      </c>
      <c r="F291" s="86">
        <v>5.1999998092651367</v>
      </c>
      <c r="G291" s="86">
        <v>9.1099996566772461</v>
      </c>
      <c r="H291" s="86">
        <v>21.389999389648438</v>
      </c>
      <c r="I291" s="86">
        <v>7.0199999809265137</v>
      </c>
      <c r="J291" s="86">
        <v>14.399999618530273</v>
      </c>
      <c r="K291" s="86">
        <v>52.169998168945313</v>
      </c>
    </row>
    <row r="292" spans="1:11" ht="14.25" customHeight="1">
      <c r="A292" s="36">
        <v>71003</v>
      </c>
      <c r="B292" s="36" t="s">
        <v>311</v>
      </c>
      <c r="C292" s="86">
        <v>11.409999847412109</v>
      </c>
      <c r="D292" s="86">
        <v>50.369998931884766</v>
      </c>
      <c r="E292" s="86">
        <v>32.020000457763672</v>
      </c>
      <c r="F292" s="86">
        <v>3.9900000095367432</v>
      </c>
      <c r="G292" s="86">
        <v>9.8199996948242188</v>
      </c>
      <c r="H292" s="86">
        <v>22.620000839233398</v>
      </c>
      <c r="I292" s="86">
        <v>3.7000000476837158</v>
      </c>
      <c r="J292" s="86">
        <v>10.199999809265137</v>
      </c>
      <c r="K292" s="86">
        <v>83.650001525878906</v>
      </c>
    </row>
    <row r="293" spans="1:11" ht="14.25" customHeight="1">
      <c r="A293" s="36">
        <v>71004</v>
      </c>
      <c r="B293" s="36" t="s">
        <v>312</v>
      </c>
      <c r="C293" s="86">
        <v>16.209999084472656</v>
      </c>
      <c r="D293" s="86">
        <v>39.930000305175781</v>
      </c>
      <c r="E293" s="86">
        <v>34.220001220703125</v>
      </c>
      <c r="F293" s="86">
        <v>3.1700000762939453</v>
      </c>
      <c r="G293" s="86">
        <v>8.5500001907348633</v>
      </c>
      <c r="H293" s="86">
        <v>19.959999084472656</v>
      </c>
      <c r="I293" s="86">
        <v>5.4499998092651367</v>
      </c>
      <c r="J293" s="86">
        <v>10.850000381469727</v>
      </c>
      <c r="K293" s="86">
        <v>73.769996643066406</v>
      </c>
    </row>
    <row r="294" spans="1:11" ht="14.25" customHeight="1">
      <c r="A294" s="36">
        <v>71005</v>
      </c>
      <c r="B294" s="36" t="s">
        <v>238</v>
      </c>
      <c r="C294" s="86">
        <v>17.479999542236328</v>
      </c>
      <c r="D294" s="86">
        <v>50.520000457763672</v>
      </c>
      <c r="E294" s="86">
        <v>27.770000457763672</v>
      </c>
      <c r="F294" s="86">
        <v>3.8199999332427979</v>
      </c>
      <c r="G294" s="86">
        <v>9.4099998474121094</v>
      </c>
      <c r="H294" s="86">
        <v>21.219999313354492</v>
      </c>
      <c r="I294" s="86">
        <v>2.559999942779541</v>
      </c>
      <c r="J294" s="86">
        <v>8.5699996948242188</v>
      </c>
      <c r="K294" s="86">
        <v>49.049999237060547</v>
      </c>
    </row>
    <row r="295" spans="1:11" ht="14.25" customHeight="1">
      <c r="A295" s="36">
        <v>71101</v>
      </c>
      <c r="B295" s="36" t="s">
        <v>313</v>
      </c>
      <c r="C295" s="86">
        <v>15.340000152587891</v>
      </c>
      <c r="D295" s="86">
        <v>29.770000457763672</v>
      </c>
      <c r="E295" s="86">
        <v>57.110000610351563</v>
      </c>
      <c r="F295" s="86">
        <v>11.529999732971191</v>
      </c>
      <c r="G295" s="86">
        <v>11.029999732971191</v>
      </c>
      <c r="H295" s="86">
        <v>21.270000457763672</v>
      </c>
      <c r="I295" s="86">
        <v>37.069999694824219</v>
      </c>
      <c r="J295" s="86">
        <v>36.979999542236328</v>
      </c>
      <c r="K295" s="86">
        <v>62.180000305175781</v>
      </c>
    </row>
    <row r="296" spans="1:11" ht="14.25" customHeight="1">
      <c r="A296" s="36">
        <v>71102</v>
      </c>
      <c r="B296" s="36" t="s">
        <v>314</v>
      </c>
      <c r="C296" s="86">
        <v>16.409999847412109</v>
      </c>
      <c r="D296" s="86">
        <v>44.25</v>
      </c>
      <c r="E296" s="86">
        <v>42.770000457763672</v>
      </c>
      <c r="F296" s="86">
        <v>7.7699999809265137</v>
      </c>
      <c r="G296" s="86">
        <v>12.090000152587891</v>
      </c>
      <c r="H296" s="86">
        <v>23.899999618530273</v>
      </c>
      <c r="I296" s="86">
        <v>39.930000305175781</v>
      </c>
      <c r="J296" s="86">
        <v>28.370000839233398</v>
      </c>
      <c r="K296" s="86">
        <v>62.279998779296875</v>
      </c>
    </row>
    <row r="297" spans="1:11" ht="14.25" customHeight="1">
      <c r="A297" s="36">
        <v>71103</v>
      </c>
      <c r="B297" s="36" t="s">
        <v>315</v>
      </c>
      <c r="C297" s="86">
        <v>13.609999656677246</v>
      </c>
      <c r="D297" s="86">
        <v>41.770000457763672</v>
      </c>
      <c r="E297" s="86">
        <v>46.830001831054688</v>
      </c>
      <c r="F297" s="86">
        <v>5.4200000762939453</v>
      </c>
      <c r="G297" s="86">
        <v>8.7299995422363281</v>
      </c>
      <c r="H297" s="86">
        <v>20.850000381469727</v>
      </c>
      <c r="I297" s="86">
        <v>8.3999996185302734</v>
      </c>
      <c r="J297" s="86">
        <v>27.379999160766602</v>
      </c>
      <c r="K297" s="86">
        <v>54.049999237060547</v>
      </c>
    </row>
    <row r="298" spans="1:11" ht="14.25" customHeight="1">
      <c r="A298" s="36">
        <v>71104</v>
      </c>
      <c r="B298" s="36" t="s">
        <v>316</v>
      </c>
      <c r="C298" s="86">
        <v>15.560000419616699</v>
      </c>
      <c r="D298" s="86">
        <v>33.450000762939453</v>
      </c>
      <c r="E298" s="86">
        <v>65.209999084472656</v>
      </c>
      <c r="F298" s="86">
        <v>19.450000762939453</v>
      </c>
      <c r="G298" s="86">
        <v>9.6000003814697266</v>
      </c>
      <c r="H298" s="86">
        <v>17.739999771118164</v>
      </c>
      <c r="I298" s="86">
        <v>18.799999237060547</v>
      </c>
      <c r="J298" s="86">
        <v>17.729999542236328</v>
      </c>
      <c r="K298" s="86">
        <v>14.840000152587891</v>
      </c>
    </row>
    <row r="299" spans="1:11" ht="14.25" customHeight="1">
      <c r="A299" s="36">
        <v>71105</v>
      </c>
      <c r="B299" s="36" t="s">
        <v>317</v>
      </c>
      <c r="C299" s="86">
        <v>12.300000190734863</v>
      </c>
      <c r="D299" s="86">
        <v>36.779998779296875</v>
      </c>
      <c r="E299" s="86">
        <v>38.669998168945313</v>
      </c>
      <c r="F299" s="86">
        <v>3.7999999523162842</v>
      </c>
      <c r="G299" s="86">
        <v>11.289999961853027</v>
      </c>
      <c r="H299" s="86">
        <v>21.590000152587891</v>
      </c>
      <c r="I299" s="86">
        <v>17.100000381469727</v>
      </c>
      <c r="J299" s="86">
        <v>19.170000076293945</v>
      </c>
      <c r="K299" s="86">
        <v>92.239997863769531</v>
      </c>
    </row>
    <row r="300" spans="1:11" ht="14.25" customHeight="1">
      <c r="A300" s="36">
        <v>71106</v>
      </c>
      <c r="B300" s="36" t="s">
        <v>318</v>
      </c>
      <c r="C300" s="86">
        <v>10.670000076293945</v>
      </c>
      <c r="D300" s="86">
        <v>41.639999389648438</v>
      </c>
      <c r="E300" s="86">
        <v>39.25</v>
      </c>
      <c r="F300" s="86">
        <v>4.7399997711181641</v>
      </c>
      <c r="G300" s="86">
        <v>6.869999885559082</v>
      </c>
      <c r="H300" s="86">
        <v>27.399999618530273</v>
      </c>
      <c r="I300" s="86">
        <v>2.4000000953674316</v>
      </c>
      <c r="J300" s="86">
        <v>12.869999885559082</v>
      </c>
      <c r="K300" s="86">
        <v>45.849998474121094</v>
      </c>
    </row>
    <row r="301" spans="1:11" ht="14.25" customHeight="1">
      <c r="A301" s="36">
        <v>71201</v>
      </c>
      <c r="B301" s="36" t="s">
        <v>319</v>
      </c>
      <c r="C301" s="86">
        <v>6.4200000762939453</v>
      </c>
      <c r="D301" s="86">
        <v>56.950000762939453</v>
      </c>
      <c r="E301" s="86">
        <v>51.799999237060547</v>
      </c>
      <c r="F301" s="86">
        <v>13.560000419616699</v>
      </c>
      <c r="G301" s="86">
        <v>9.4700002670288086</v>
      </c>
      <c r="H301" s="86">
        <v>24.360000610351563</v>
      </c>
      <c r="I301" s="86">
        <v>42.619998931884766</v>
      </c>
      <c r="J301" s="86">
        <v>24.489999771118164</v>
      </c>
      <c r="K301" s="86">
        <v>53.279998779296875</v>
      </c>
    </row>
    <row r="302" spans="1:11" ht="14.25" customHeight="1">
      <c r="A302" s="36">
        <v>71301</v>
      </c>
      <c r="B302" s="36" t="s">
        <v>320</v>
      </c>
      <c r="C302" s="86">
        <v>13.899999618530273</v>
      </c>
      <c r="D302" s="86">
        <v>40.740001678466797</v>
      </c>
      <c r="E302" s="86">
        <v>30.370000839233398</v>
      </c>
      <c r="F302" s="86">
        <v>5.0500001907348633</v>
      </c>
      <c r="G302" s="86">
        <v>7.2300000190734863</v>
      </c>
      <c r="H302" s="86">
        <v>17.290000915527344</v>
      </c>
      <c r="I302" s="86">
        <v>31.100000381469727</v>
      </c>
      <c r="J302" s="86">
        <v>18.139999389648438</v>
      </c>
      <c r="K302" s="86">
        <v>37.099998474121094</v>
      </c>
    </row>
    <row r="303" spans="1:11" ht="14.25" customHeight="1">
      <c r="A303" s="36">
        <v>71302</v>
      </c>
      <c r="B303" s="36" t="s">
        <v>321</v>
      </c>
      <c r="C303" s="86">
        <v>14.829999923706055</v>
      </c>
      <c r="D303" s="86">
        <v>41.240001678466797</v>
      </c>
      <c r="E303" s="86">
        <v>28.180000305175781</v>
      </c>
      <c r="F303" s="86">
        <v>8.4099998474121094</v>
      </c>
      <c r="G303" s="86">
        <v>8.1400003433227539</v>
      </c>
      <c r="H303" s="86">
        <v>20.479999542236328</v>
      </c>
      <c r="I303" s="86">
        <v>8.380000114440918</v>
      </c>
      <c r="J303" s="86">
        <v>14.270000457763672</v>
      </c>
      <c r="K303" s="86">
        <v>79.069999694824219</v>
      </c>
    </row>
    <row r="304" spans="1:11" ht="14.25" customHeight="1">
      <c r="A304" s="36">
        <v>71401</v>
      </c>
      <c r="B304" s="36" t="s">
        <v>322</v>
      </c>
      <c r="C304" s="86">
        <v>3.5</v>
      </c>
      <c r="D304" s="86">
        <v>26.389999389648438</v>
      </c>
      <c r="E304" s="86">
        <v>31.360000610351563</v>
      </c>
      <c r="F304" s="86">
        <v>3.2999999523162842</v>
      </c>
      <c r="G304" s="86">
        <v>7.2600002288818359</v>
      </c>
      <c r="H304" s="86">
        <v>16.930000305175781</v>
      </c>
      <c r="I304" s="86">
        <v>4.8499999046325684</v>
      </c>
      <c r="J304" s="86">
        <v>8.3900003433227539</v>
      </c>
      <c r="K304" s="86">
        <v>83.029998779296875</v>
      </c>
    </row>
    <row r="305" spans="1:11" ht="14.25" customHeight="1">
      <c r="A305" s="36">
        <v>71402</v>
      </c>
      <c r="B305" s="36" t="s">
        <v>323</v>
      </c>
      <c r="C305" s="86">
        <v>4.5199999809265137</v>
      </c>
      <c r="D305" s="86">
        <v>33.889999389648438</v>
      </c>
      <c r="E305" s="86">
        <v>28.139999389648438</v>
      </c>
      <c r="F305" s="86">
        <v>3.440000057220459</v>
      </c>
      <c r="G305" s="86">
        <v>8.7600002288818359</v>
      </c>
      <c r="H305" s="86">
        <v>19.540000915527344</v>
      </c>
      <c r="I305" s="86">
        <v>1.190000057220459</v>
      </c>
      <c r="J305" s="86">
        <v>5.8299999237060547</v>
      </c>
      <c r="K305" s="86">
        <v>96.680000305175781</v>
      </c>
    </row>
    <row r="306" spans="1:11" ht="14.25" customHeight="1">
      <c r="A306" s="36">
        <v>71403</v>
      </c>
      <c r="B306" s="36" t="s">
        <v>324</v>
      </c>
      <c r="C306" s="86">
        <v>6.4600000381469727</v>
      </c>
      <c r="D306" s="86">
        <v>33.869998931884766</v>
      </c>
      <c r="E306" s="86">
        <v>51.810001373291016</v>
      </c>
      <c r="F306" s="86">
        <v>10.850000381469727</v>
      </c>
      <c r="G306" s="86">
        <v>8.2700004577636719</v>
      </c>
      <c r="H306" s="86">
        <v>28.309999465942383</v>
      </c>
      <c r="I306" s="86">
        <v>30.290000915527344</v>
      </c>
      <c r="J306" s="86">
        <v>29.829999923706055</v>
      </c>
      <c r="K306" s="86">
        <v>56.080001831054688</v>
      </c>
    </row>
    <row r="307" spans="1:11" ht="14.25" customHeight="1">
      <c r="A307" s="36">
        <v>71501</v>
      </c>
      <c r="B307" s="36" t="s">
        <v>325</v>
      </c>
      <c r="C307" s="86">
        <v>8.2700004577636719</v>
      </c>
      <c r="D307" s="86">
        <v>48.450000762939453</v>
      </c>
      <c r="E307" s="86">
        <v>44.590000152587891</v>
      </c>
      <c r="F307" s="86">
        <v>8.4700002670288086</v>
      </c>
      <c r="G307" s="86">
        <v>11.779999732971191</v>
      </c>
      <c r="H307" s="86">
        <v>23.239999771118164</v>
      </c>
      <c r="I307" s="86">
        <v>61.479999542236328</v>
      </c>
      <c r="J307" s="86">
        <v>15.960000038146973</v>
      </c>
      <c r="K307" s="86">
        <v>80.620002746582031</v>
      </c>
    </row>
    <row r="308" spans="1:11" ht="14.25" customHeight="1">
      <c r="A308" s="36">
        <v>71502</v>
      </c>
      <c r="B308" s="36" t="s">
        <v>326</v>
      </c>
      <c r="C308" s="86">
        <v>8.2399997711181641</v>
      </c>
      <c r="D308" s="86">
        <v>37.180000305175781</v>
      </c>
      <c r="E308" s="86">
        <v>49.349998474121094</v>
      </c>
      <c r="F308" s="86">
        <v>14.640000343322754</v>
      </c>
      <c r="G308" s="86">
        <v>10.630000114440918</v>
      </c>
      <c r="H308" s="86">
        <v>23.709999084472656</v>
      </c>
      <c r="I308" s="86">
        <v>34.990001678466797</v>
      </c>
      <c r="J308" s="86">
        <v>19.959999084472656</v>
      </c>
      <c r="K308" s="86">
        <v>93.69000244140625</v>
      </c>
    </row>
    <row r="309" spans="1:11" ht="14.25" customHeight="1">
      <c r="A309" s="36">
        <v>71503</v>
      </c>
      <c r="B309" s="36" t="s">
        <v>272</v>
      </c>
      <c r="C309" s="86">
        <v>12.260000228881836</v>
      </c>
      <c r="D309" s="86">
        <v>38.540000915527344</v>
      </c>
      <c r="E309" s="86">
        <v>73.529998779296875</v>
      </c>
      <c r="F309" s="86">
        <v>6.6399998664855957</v>
      </c>
      <c r="G309" s="86">
        <v>8.3000001907348633</v>
      </c>
      <c r="H309" s="86">
        <v>22.379999160766602</v>
      </c>
      <c r="I309" s="86">
        <v>39.259998321533203</v>
      </c>
      <c r="J309" s="86">
        <v>52.439998626708984</v>
      </c>
      <c r="K309" s="86">
        <v>57.310001373291016</v>
      </c>
    </row>
    <row r="310" spans="1:11" ht="14.25" customHeight="1">
      <c r="A310" s="36">
        <v>80101</v>
      </c>
      <c r="B310" s="36" t="s">
        <v>327</v>
      </c>
      <c r="C310" s="86">
        <v>4.8499999046325684</v>
      </c>
      <c r="D310" s="86">
        <v>43.220001220703125</v>
      </c>
      <c r="E310" s="86">
        <v>26.459999084472656</v>
      </c>
      <c r="F310" s="86">
        <v>3.059999942779541</v>
      </c>
      <c r="G310" s="86">
        <v>8.7100000381469727</v>
      </c>
      <c r="H310" s="86">
        <v>17.340000152587891</v>
      </c>
      <c r="I310" s="86">
        <v>33.740001678466797</v>
      </c>
      <c r="J310" s="86">
        <v>5.679999828338623</v>
      </c>
      <c r="K310" s="86">
        <v>68.029998779296875</v>
      </c>
    </row>
    <row r="311" spans="1:11" ht="14.25" customHeight="1">
      <c r="A311" s="36">
        <v>80102</v>
      </c>
      <c r="B311" s="36" t="s">
        <v>314</v>
      </c>
      <c r="C311" s="86">
        <v>6.5900001525878906</v>
      </c>
      <c r="D311" s="86">
        <v>54.389999389648438</v>
      </c>
      <c r="E311" s="86">
        <v>76.209999084472656</v>
      </c>
      <c r="F311" s="86">
        <v>14.649999618530273</v>
      </c>
      <c r="G311" s="86">
        <v>10.399999618530273</v>
      </c>
      <c r="H311" s="86">
        <v>26.479999542236328</v>
      </c>
      <c r="I311" s="86">
        <v>47.75</v>
      </c>
      <c r="J311" s="86">
        <v>37.689998626708984</v>
      </c>
      <c r="K311" s="86">
        <v>12.119999885559082</v>
      </c>
    </row>
    <row r="312" spans="1:11" ht="14.25" customHeight="1">
      <c r="A312" s="36">
        <v>80201</v>
      </c>
      <c r="B312" s="36" t="s">
        <v>328</v>
      </c>
      <c r="C312" s="86">
        <v>6.130000114440918</v>
      </c>
      <c r="D312" s="86">
        <v>58.5</v>
      </c>
      <c r="E312" s="86">
        <v>40.409999847412109</v>
      </c>
      <c r="F312" s="86">
        <v>7.5199999809265137</v>
      </c>
      <c r="G312" s="86">
        <v>11.590000152587891</v>
      </c>
      <c r="H312" s="86">
        <v>21.540000915527344</v>
      </c>
      <c r="I312" s="86">
        <v>81.330001831054688</v>
      </c>
      <c r="J312" s="86">
        <v>11.800000190734863</v>
      </c>
      <c r="K312" s="86">
        <v>73.389999389648438</v>
      </c>
    </row>
    <row r="313" spans="1:11" ht="14.25" customHeight="1">
      <c r="A313" s="36">
        <v>80202</v>
      </c>
      <c r="B313" s="36" t="s">
        <v>329</v>
      </c>
      <c r="C313" s="86">
        <v>5.4099998474121094</v>
      </c>
      <c r="D313" s="86">
        <v>53.770000457763672</v>
      </c>
      <c r="E313" s="86">
        <v>35.389999389648438</v>
      </c>
      <c r="F313" s="86">
        <v>4.369999885559082</v>
      </c>
      <c r="G313" s="86">
        <v>10.510000228881836</v>
      </c>
      <c r="H313" s="86">
        <v>20.280000686645508</v>
      </c>
      <c r="I313" s="86">
        <v>18.840000152587891</v>
      </c>
      <c r="J313" s="86">
        <v>9.0200004577636719</v>
      </c>
      <c r="K313" s="86">
        <v>62.959999084472656</v>
      </c>
    </row>
    <row r="314" spans="1:11" ht="14.25" customHeight="1">
      <c r="A314" s="36">
        <v>80301</v>
      </c>
      <c r="B314" s="36" t="s">
        <v>330</v>
      </c>
      <c r="C314" s="86">
        <v>7.7600002288818359</v>
      </c>
      <c r="D314" s="86">
        <v>46.990001678466797</v>
      </c>
      <c r="E314" s="86">
        <v>56.659999847412109</v>
      </c>
      <c r="F314" s="86">
        <v>12.529999732971191</v>
      </c>
      <c r="G314" s="86">
        <v>8.6000003814697266</v>
      </c>
      <c r="H314" s="86">
        <v>21.149999618530273</v>
      </c>
      <c r="I314" s="86">
        <v>67.05999755859375</v>
      </c>
      <c r="J314" s="86">
        <v>29.629999160766602</v>
      </c>
      <c r="K314" s="86">
        <v>66.760002136230469</v>
      </c>
    </row>
    <row r="315" spans="1:11" ht="14.25" customHeight="1">
      <c r="A315" s="36">
        <v>80302</v>
      </c>
      <c r="B315" s="36" t="s">
        <v>331</v>
      </c>
      <c r="C315" s="86">
        <v>18.940000534057617</v>
      </c>
      <c r="D315" s="86">
        <v>63.229999542236328</v>
      </c>
      <c r="E315" s="86">
        <v>53.080001831054688</v>
      </c>
      <c r="F315" s="86">
        <v>22.200000762939453</v>
      </c>
      <c r="G315" s="86">
        <v>9.2100000381469727</v>
      </c>
      <c r="H315" s="86">
        <v>24.190000534057617</v>
      </c>
      <c r="I315" s="86">
        <v>43.939998626708984</v>
      </c>
      <c r="J315" s="86">
        <v>36.529998779296875</v>
      </c>
      <c r="K315" s="86">
        <v>83.730003356933594</v>
      </c>
    </row>
    <row r="316" spans="1:11" ht="14.25" customHeight="1">
      <c r="A316" s="36">
        <v>80303</v>
      </c>
      <c r="B316" s="36" t="s">
        <v>291</v>
      </c>
      <c r="C316" s="86">
        <v>10.350000381469727</v>
      </c>
      <c r="D316" s="86">
        <v>47.400001525878906</v>
      </c>
      <c r="E316" s="86">
        <v>56.740001678466797</v>
      </c>
      <c r="F316" s="86">
        <v>13.619999885559082</v>
      </c>
      <c r="G316" s="86">
        <v>11.899999618530273</v>
      </c>
      <c r="H316" s="86">
        <v>24.780000686645508</v>
      </c>
      <c r="I316" s="86">
        <v>22.75</v>
      </c>
      <c r="J316" s="86">
        <v>16.260000228881836</v>
      </c>
      <c r="K316" s="86">
        <v>54.619998931884766</v>
      </c>
    </row>
    <row r="317" spans="1:11" ht="14.25" customHeight="1">
      <c r="A317" s="36">
        <v>80304</v>
      </c>
      <c r="B317" s="36" t="s">
        <v>332</v>
      </c>
      <c r="C317" s="86">
        <v>6.869999885559082</v>
      </c>
      <c r="D317" s="86">
        <v>45.819999694824219</v>
      </c>
      <c r="E317" s="86">
        <v>40.779998779296875</v>
      </c>
      <c r="F317" s="86">
        <v>8.5799999237060547</v>
      </c>
      <c r="G317" s="86">
        <v>8.3599996566772461</v>
      </c>
      <c r="H317" s="86">
        <v>18.610000610351563</v>
      </c>
      <c r="I317" s="86">
        <v>15.020000457763672</v>
      </c>
      <c r="J317" s="86">
        <v>23.549999237060547</v>
      </c>
      <c r="K317" s="86">
        <v>55.159999847412109</v>
      </c>
    </row>
    <row r="318" spans="1:11" ht="14.25" customHeight="1">
      <c r="A318" s="36">
        <v>80401</v>
      </c>
      <c r="B318" s="36" t="s">
        <v>333</v>
      </c>
      <c r="C318" s="86">
        <v>16.590000152587891</v>
      </c>
      <c r="D318" s="86">
        <v>53</v>
      </c>
      <c r="E318" s="86">
        <v>35.779998779296875</v>
      </c>
      <c r="F318" s="86">
        <v>10.130000114440918</v>
      </c>
      <c r="G318" s="86">
        <v>11.920000076293945</v>
      </c>
      <c r="H318" s="86">
        <v>23.409999847412109</v>
      </c>
      <c r="I318" s="86">
        <v>27.540000915527344</v>
      </c>
      <c r="J318" s="86">
        <v>13.449999809265137</v>
      </c>
      <c r="K318" s="86">
        <v>42.590000152587891</v>
      </c>
    </row>
    <row r="319" spans="1:11" ht="14.25" customHeight="1">
      <c r="A319" s="36">
        <v>80402</v>
      </c>
      <c r="B319" s="36" t="s">
        <v>334</v>
      </c>
      <c r="C319" s="86">
        <v>19.100000381469727</v>
      </c>
      <c r="D319" s="86">
        <v>74.629997253417969</v>
      </c>
      <c r="E319" s="86">
        <v>76.620002746582031</v>
      </c>
      <c r="F319" s="86">
        <v>24.200000762939453</v>
      </c>
      <c r="G319" s="86">
        <v>14.979999542236328</v>
      </c>
      <c r="H319" s="86">
        <v>35.270000457763672</v>
      </c>
      <c r="I319" s="86">
        <v>63.939998626708984</v>
      </c>
      <c r="J319" s="86">
        <v>26.5</v>
      </c>
      <c r="K319" s="86">
        <v>17.379999160766602</v>
      </c>
    </row>
    <row r="320" spans="1:11" ht="14.25" customHeight="1">
      <c r="A320" s="36">
        <v>80501</v>
      </c>
      <c r="B320" s="36" t="s">
        <v>280</v>
      </c>
      <c r="C320" s="86">
        <v>15.930000305175781</v>
      </c>
      <c r="D320" s="86">
        <v>58.560001373291016</v>
      </c>
      <c r="E320" s="86">
        <v>48.930000305175781</v>
      </c>
      <c r="F320" s="86">
        <v>17.370000839233398</v>
      </c>
      <c r="G320" s="86">
        <v>11.930000305175781</v>
      </c>
      <c r="H320" s="86">
        <v>23.040000915527344</v>
      </c>
      <c r="I320" s="86">
        <v>65.589996337890625</v>
      </c>
      <c r="J320" s="86">
        <v>27.399999618530273</v>
      </c>
      <c r="K320" s="86">
        <v>69.019996643066406</v>
      </c>
    </row>
    <row r="321" spans="1:11" ht="14.25" customHeight="1">
      <c r="A321" s="36">
        <v>80601</v>
      </c>
      <c r="B321" s="36" t="s">
        <v>335</v>
      </c>
      <c r="C321" s="86">
        <v>12</v>
      </c>
      <c r="D321" s="86">
        <v>50.299999237060547</v>
      </c>
      <c r="E321" s="86">
        <v>77.169998168945313</v>
      </c>
      <c r="F321" s="86">
        <v>29.559999465942383</v>
      </c>
      <c r="G321" s="86">
        <v>13.289999961853027</v>
      </c>
      <c r="H321" s="86">
        <v>30.790000915527344</v>
      </c>
      <c r="I321" s="86">
        <v>58.610000610351563</v>
      </c>
      <c r="J321" s="86">
        <v>43.479999542236328</v>
      </c>
      <c r="K321" s="86">
        <v>17.889999389648438</v>
      </c>
    </row>
    <row r="322" spans="1:11" ht="14.25" customHeight="1">
      <c r="A322" s="36">
        <v>80602</v>
      </c>
      <c r="B322" s="36" t="s">
        <v>336</v>
      </c>
      <c r="C322" s="86">
        <v>9.4499998092651367</v>
      </c>
      <c r="D322" s="86">
        <v>47.389999389648438</v>
      </c>
      <c r="E322" s="86">
        <v>60.069999694824219</v>
      </c>
      <c r="F322" s="86">
        <v>12.090000152587891</v>
      </c>
      <c r="G322" s="86">
        <v>10.460000038146973</v>
      </c>
      <c r="H322" s="86">
        <v>24.209999084472656</v>
      </c>
      <c r="I322" s="86">
        <v>36.830001831054688</v>
      </c>
      <c r="J322" s="86">
        <v>34.259998321533203</v>
      </c>
      <c r="K322" s="86">
        <v>34.419998168945313</v>
      </c>
    </row>
    <row r="323" spans="1:11" ht="14.25" customHeight="1">
      <c r="A323" s="36">
        <v>80701</v>
      </c>
      <c r="B323" s="36" t="s">
        <v>337</v>
      </c>
      <c r="C323" s="86">
        <v>6.1100001335144043</v>
      </c>
      <c r="D323" s="86">
        <v>51.180000305175781</v>
      </c>
      <c r="E323" s="86">
        <v>41.700000762939453</v>
      </c>
      <c r="F323" s="86">
        <v>6.6500000953674316</v>
      </c>
      <c r="G323" s="86">
        <v>12.220000267028809</v>
      </c>
      <c r="H323" s="86">
        <v>26.610000610351563</v>
      </c>
      <c r="I323" s="86">
        <v>51.150001525878906</v>
      </c>
      <c r="J323" s="86">
        <v>13.189999580383301</v>
      </c>
      <c r="K323" s="86">
        <v>67.699996948242188</v>
      </c>
    </row>
    <row r="324" spans="1:11" ht="14.25" customHeight="1">
      <c r="A324" s="36">
        <v>80702</v>
      </c>
      <c r="B324" s="36" t="s">
        <v>315</v>
      </c>
      <c r="C324" s="86">
        <v>8.8599996566772461</v>
      </c>
      <c r="D324" s="86">
        <v>60.729999542236328</v>
      </c>
      <c r="E324" s="86">
        <v>35.450000762939453</v>
      </c>
      <c r="F324" s="86">
        <v>3.309999942779541</v>
      </c>
      <c r="G324" s="86">
        <v>9.630000114440918</v>
      </c>
      <c r="H324" s="86">
        <v>16.309999465942383</v>
      </c>
      <c r="I324" s="86">
        <v>34.869998931884766</v>
      </c>
      <c r="J324" s="86">
        <v>15.909999847412109</v>
      </c>
      <c r="K324" s="86">
        <v>74.959999084472656</v>
      </c>
    </row>
    <row r="325" spans="1:11" ht="14.25" customHeight="1">
      <c r="A325" s="36">
        <v>80703</v>
      </c>
      <c r="B325" s="36" t="s">
        <v>338</v>
      </c>
      <c r="C325" s="86">
        <v>12.460000038146973</v>
      </c>
      <c r="D325" s="86">
        <v>59.159999847412109</v>
      </c>
      <c r="E325" s="86">
        <v>53.409999847412109</v>
      </c>
      <c r="F325" s="86">
        <v>11.979999542236328</v>
      </c>
      <c r="G325" s="86">
        <v>10.430000305175781</v>
      </c>
      <c r="H325" s="86">
        <v>23.829999923706055</v>
      </c>
      <c r="I325" s="86">
        <v>37.959999084472656</v>
      </c>
      <c r="J325" s="86">
        <v>22.629999160766602</v>
      </c>
      <c r="K325" s="86">
        <v>11.619999885559082</v>
      </c>
    </row>
    <row r="326" spans="1:11" ht="14.25" customHeight="1">
      <c r="A326" s="36">
        <v>80801</v>
      </c>
      <c r="B326" s="36" t="s">
        <v>339</v>
      </c>
      <c r="C326" s="86">
        <v>8.7600002288818359</v>
      </c>
      <c r="D326" s="86">
        <v>58.470001220703125</v>
      </c>
      <c r="E326" s="86">
        <v>35.770000457763672</v>
      </c>
      <c r="F326" s="86">
        <v>13.560000419616699</v>
      </c>
      <c r="G326" s="86">
        <v>10.319999694824219</v>
      </c>
      <c r="H326" s="86">
        <v>22.079999923706055</v>
      </c>
      <c r="I326" s="86">
        <v>61.299999237060547</v>
      </c>
      <c r="J326" s="86">
        <v>9.75</v>
      </c>
      <c r="K326" s="86">
        <v>74.430000305175781</v>
      </c>
    </row>
    <row r="327" spans="1:11" ht="14.25" customHeight="1">
      <c r="A327" s="36">
        <v>80802</v>
      </c>
      <c r="B327" s="36" t="s">
        <v>340</v>
      </c>
      <c r="C327" s="86">
        <v>8.9099998474121094</v>
      </c>
      <c r="D327" s="86">
        <v>30.75</v>
      </c>
      <c r="E327" s="86">
        <v>54.919998168945313</v>
      </c>
      <c r="F327" s="86">
        <v>5.5900001525878906</v>
      </c>
      <c r="G327" s="86">
        <v>9.7200002670288086</v>
      </c>
      <c r="H327" s="86">
        <v>18.479999542236328</v>
      </c>
      <c r="I327" s="86">
        <v>72.459999084472656</v>
      </c>
      <c r="J327" s="86">
        <v>16.090000152587891</v>
      </c>
      <c r="K327" s="86">
        <v>49.209999084472656</v>
      </c>
    </row>
    <row r="328" spans="1:11" ht="14.25" customHeight="1">
      <c r="A328" s="36">
        <v>80803</v>
      </c>
      <c r="B328" s="36" t="s">
        <v>341</v>
      </c>
      <c r="C328" s="86">
        <v>8.4099998474121094</v>
      </c>
      <c r="D328" s="86">
        <v>53.310001373291016</v>
      </c>
      <c r="E328" s="86">
        <v>33.180000305175781</v>
      </c>
      <c r="F328" s="86">
        <v>10.810000419616699</v>
      </c>
      <c r="G328" s="86">
        <v>10.579999923706055</v>
      </c>
      <c r="H328" s="86">
        <v>26.270000457763672</v>
      </c>
      <c r="I328" s="86">
        <v>64.849998474121094</v>
      </c>
      <c r="J328" s="86">
        <v>12.020000457763672</v>
      </c>
      <c r="K328" s="86">
        <v>58.240001678466797</v>
      </c>
    </row>
    <row r="329" spans="1:11" ht="14.25" customHeight="1">
      <c r="A329" s="36">
        <v>80901</v>
      </c>
      <c r="B329" s="36" t="s">
        <v>342</v>
      </c>
      <c r="C329" s="86">
        <v>22.049999237060547</v>
      </c>
      <c r="D329" s="86">
        <v>59.740001678466797</v>
      </c>
      <c r="E329" s="86">
        <v>97.870002746582031</v>
      </c>
      <c r="F329" s="86">
        <v>42.099998474121094</v>
      </c>
      <c r="G329" s="86">
        <v>10.920000076293945</v>
      </c>
      <c r="H329" s="86">
        <v>29.350000381469727</v>
      </c>
      <c r="I329" s="86">
        <v>90.580001831054688</v>
      </c>
      <c r="J329" s="86">
        <v>55.040000915527344</v>
      </c>
      <c r="K329" s="86">
        <v>28.899999618530273</v>
      </c>
    </row>
    <row r="330" spans="1:11" ht="14.25" customHeight="1">
      <c r="A330" s="36">
        <v>90101</v>
      </c>
      <c r="B330" s="36" t="s">
        <v>343</v>
      </c>
      <c r="C330" s="86">
        <v>3.130000114440918</v>
      </c>
      <c r="D330" s="86">
        <v>27.069999694824219</v>
      </c>
      <c r="E330" s="86">
        <v>23</v>
      </c>
      <c r="F330" s="86">
        <v>2.9800000190734863</v>
      </c>
      <c r="G330" s="86">
        <v>9.7799997329711914</v>
      </c>
      <c r="H330" s="86">
        <v>16.709999084472656</v>
      </c>
      <c r="I330" s="86">
        <v>25.440000534057617</v>
      </c>
      <c r="J330" s="86">
        <v>7.7100000381469727</v>
      </c>
      <c r="K330" s="86">
        <v>71.180000305175781</v>
      </c>
    </row>
    <row r="331" spans="1:11" ht="14.25" customHeight="1">
      <c r="A331" s="36">
        <v>90102</v>
      </c>
      <c r="B331" s="36" t="s">
        <v>344</v>
      </c>
      <c r="C331" s="86">
        <v>5.690000057220459</v>
      </c>
      <c r="D331" s="86">
        <v>29.809999465942383</v>
      </c>
      <c r="E331" s="86">
        <v>44.490001678466797</v>
      </c>
      <c r="F331" s="86">
        <v>5.880000114440918</v>
      </c>
      <c r="G331" s="86">
        <v>9.8999996185302734</v>
      </c>
      <c r="H331" s="86">
        <v>20.780000686645508</v>
      </c>
      <c r="I331" s="86">
        <v>31.879999160766602</v>
      </c>
      <c r="J331" s="86">
        <v>20.459999084472656</v>
      </c>
      <c r="K331" s="86">
        <v>60.720001220703125</v>
      </c>
    </row>
    <row r="332" spans="1:11" ht="14.25" customHeight="1">
      <c r="A332" s="36">
        <v>90103</v>
      </c>
      <c r="B332" s="36" t="s">
        <v>345</v>
      </c>
      <c r="C332" s="86">
        <v>20.920000076293945</v>
      </c>
      <c r="D332" s="86">
        <v>41.639999389648438</v>
      </c>
      <c r="E332" s="86">
        <v>95.580001831054688</v>
      </c>
      <c r="F332" s="86">
        <v>10.779999732971191</v>
      </c>
      <c r="G332" s="86">
        <v>13.739999771118164</v>
      </c>
      <c r="H332" s="86">
        <v>25.170000076293945</v>
      </c>
      <c r="I332" s="86">
        <v>83.970001220703125</v>
      </c>
      <c r="J332" s="86">
        <v>48.150001525878906</v>
      </c>
      <c r="K332" s="86">
        <v>28.090000152587891</v>
      </c>
    </row>
    <row r="333" spans="1:11" ht="14.25" customHeight="1">
      <c r="A333" s="36">
        <v>90104</v>
      </c>
      <c r="B333" s="36" t="s">
        <v>346</v>
      </c>
      <c r="C333" s="86">
        <v>12.039999961853027</v>
      </c>
      <c r="D333" s="86">
        <v>41.630001068115234</v>
      </c>
      <c r="E333" s="86">
        <v>66.449996948242188</v>
      </c>
      <c r="F333" s="86">
        <v>10.670000076293945</v>
      </c>
      <c r="G333" s="86">
        <v>10.560000419616699</v>
      </c>
      <c r="H333" s="86">
        <v>28.180000305175781</v>
      </c>
      <c r="I333" s="86">
        <v>72.870002746582031</v>
      </c>
      <c r="J333" s="86">
        <v>38.930000305175781</v>
      </c>
      <c r="K333" s="86">
        <v>26.030000686645508</v>
      </c>
    </row>
    <row r="334" spans="1:11" ht="14.25" customHeight="1">
      <c r="A334" s="36">
        <v>90201</v>
      </c>
      <c r="B334" s="36" t="s">
        <v>347</v>
      </c>
      <c r="C334" s="86">
        <v>6.8000001907348633</v>
      </c>
      <c r="D334" s="86">
        <v>39.779998779296875</v>
      </c>
      <c r="E334" s="86">
        <v>61.799999237060547</v>
      </c>
      <c r="F334" s="86">
        <v>15.079999923706055</v>
      </c>
      <c r="G334" s="86">
        <v>12.720000267028809</v>
      </c>
      <c r="H334" s="86">
        <v>16.809999465942383</v>
      </c>
      <c r="I334" s="86">
        <v>38.619998931884766</v>
      </c>
      <c r="J334" s="86">
        <v>30.200000762939453</v>
      </c>
      <c r="K334" s="86">
        <v>48.860000610351563</v>
      </c>
    </row>
    <row r="335" spans="1:11" ht="14.25" customHeight="1">
      <c r="A335" s="36">
        <v>90202</v>
      </c>
      <c r="B335" s="36" t="s">
        <v>238</v>
      </c>
      <c r="C335" s="86">
        <v>11.420000076293945</v>
      </c>
      <c r="D335" s="86">
        <v>64.709999084472656</v>
      </c>
      <c r="E335" s="86">
        <v>95.349998474121094</v>
      </c>
      <c r="F335" s="86">
        <v>28.819999694824219</v>
      </c>
      <c r="G335" s="86">
        <v>8.7100000381469727</v>
      </c>
      <c r="H335" s="86">
        <v>28.870000839233398</v>
      </c>
      <c r="I335" s="86">
        <v>92.629997253417969</v>
      </c>
      <c r="J335" s="86">
        <v>68.129997253417969</v>
      </c>
      <c r="K335" s="86">
        <v>39.139999389648438</v>
      </c>
    </row>
    <row r="336" spans="1:11" ht="14.25" customHeight="1">
      <c r="A336" s="36">
        <v>90203</v>
      </c>
      <c r="B336" s="36" t="s">
        <v>348</v>
      </c>
      <c r="C336" s="86">
        <v>7.5</v>
      </c>
      <c r="D336" s="86">
        <v>37.779998779296875</v>
      </c>
      <c r="E336" s="86">
        <v>83.80999755859375</v>
      </c>
      <c r="F336" s="86">
        <v>16.139999389648438</v>
      </c>
      <c r="G336" s="86">
        <v>13.729999542236328</v>
      </c>
      <c r="H336" s="86">
        <v>22.530000686645508</v>
      </c>
      <c r="I336" s="86">
        <v>78.819999694824219</v>
      </c>
      <c r="J336" s="86">
        <v>40.369998931884766</v>
      </c>
      <c r="K336" s="86">
        <v>16.819999694824219</v>
      </c>
    </row>
    <row r="337" spans="1:22" ht="14.25" customHeight="1">
      <c r="A337" s="36">
        <v>90301</v>
      </c>
      <c r="B337" s="36" t="s">
        <v>349</v>
      </c>
      <c r="C337" s="86">
        <v>7.9800000190734863</v>
      </c>
      <c r="D337" s="86">
        <v>62.909999847412109</v>
      </c>
      <c r="E337" s="86">
        <v>72.800003051757813</v>
      </c>
      <c r="F337" s="86">
        <v>21.229999542236328</v>
      </c>
      <c r="G337" s="86">
        <v>17.75</v>
      </c>
      <c r="H337" s="86">
        <v>33.810001373291016</v>
      </c>
      <c r="I337" s="86">
        <v>77.69000244140625</v>
      </c>
      <c r="J337" s="86">
        <v>36.130001068115234</v>
      </c>
      <c r="K337" s="86">
        <v>17.389999389648438</v>
      </c>
    </row>
    <row r="338" spans="1:22" ht="14.25" customHeight="1">
      <c r="A338" s="36">
        <v>90302</v>
      </c>
      <c r="B338" s="36" t="s">
        <v>271</v>
      </c>
      <c r="C338" s="86">
        <v>8.9300003051757813</v>
      </c>
      <c r="D338" s="86">
        <v>56.700000762939453</v>
      </c>
      <c r="E338" s="86">
        <v>78.660003662109375</v>
      </c>
      <c r="F338" s="86">
        <v>25.850000381469727</v>
      </c>
      <c r="G338" s="86">
        <v>14.069999694824219</v>
      </c>
      <c r="H338" s="86">
        <v>23.479999542236328</v>
      </c>
      <c r="I338" s="86">
        <v>90.459999084472656</v>
      </c>
      <c r="J338" s="86">
        <v>37.279998779296875</v>
      </c>
      <c r="K338" s="86">
        <v>18.010000228881836</v>
      </c>
    </row>
    <row r="339" spans="1:22" ht="14.25" customHeight="1">
      <c r="A339" s="36">
        <v>90303</v>
      </c>
      <c r="B339" s="36" t="s">
        <v>350</v>
      </c>
      <c r="C339" s="86">
        <v>10.100000381469727</v>
      </c>
      <c r="D339" s="86">
        <v>51.270000457763672</v>
      </c>
      <c r="E339" s="86">
        <v>93.319999694824219</v>
      </c>
      <c r="F339" s="86">
        <v>26.459999084472656</v>
      </c>
      <c r="G339" s="86">
        <v>13.920000076293945</v>
      </c>
      <c r="H339" s="86">
        <v>27.479999542236328</v>
      </c>
      <c r="I339" s="86">
        <v>98.480003356933594</v>
      </c>
      <c r="J339" s="86">
        <v>83.370002746582031</v>
      </c>
      <c r="K339" s="86">
        <v>61.069999694824219</v>
      </c>
    </row>
    <row r="340" spans="1:22" ht="14.25" customHeight="1">
      <c r="A340" s="36">
        <v>90401</v>
      </c>
      <c r="B340" s="36" t="s">
        <v>291</v>
      </c>
      <c r="C340" s="86">
        <v>9.130000114440918</v>
      </c>
      <c r="D340" s="86">
        <v>32.159999847412109</v>
      </c>
      <c r="E340" s="86">
        <v>67.379997253417969</v>
      </c>
      <c r="F340" s="86">
        <v>10.869999885559082</v>
      </c>
      <c r="G340" s="86">
        <v>11.029999732971191</v>
      </c>
      <c r="H340" s="86">
        <v>21.620000839233398</v>
      </c>
      <c r="I340" s="86">
        <v>71.089996337890625</v>
      </c>
      <c r="J340" s="86">
        <v>24.549999237060547</v>
      </c>
      <c r="K340" s="86">
        <v>18.639999389648438</v>
      </c>
    </row>
    <row r="341" spans="1:22" ht="14.25" customHeight="1">
      <c r="A341" s="36">
        <v>90402</v>
      </c>
      <c r="B341" s="36" t="s">
        <v>351</v>
      </c>
      <c r="C341" s="86">
        <v>6.7399997711181641</v>
      </c>
      <c r="D341" s="86">
        <v>64.150001525878906</v>
      </c>
      <c r="E341" s="86">
        <v>76.889999389648438</v>
      </c>
      <c r="F341" s="86">
        <v>18</v>
      </c>
      <c r="G341" s="86">
        <v>17.799999237060547</v>
      </c>
      <c r="H341" s="86">
        <v>34.979999542236328</v>
      </c>
      <c r="I341" s="86">
        <v>61.430000305175781</v>
      </c>
      <c r="J341" s="86">
        <v>32.509998321533203</v>
      </c>
      <c r="K341" s="86">
        <v>18.479999542236328</v>
      </c>
    </row>
    <row r="342" spans="1:22" ht="14.25" customHeight="1">
      <c r="A342" s="36">
        <v>90501</v>
      </c>
      <c r="B342" s="36" t="s">
        <v>352</v>
      </c>
      <c r="C342" s="86">
        <v>8.2700004577636719</v>
      </c>
      <c r="D342" s="86">
        <v>61.110000610351563</v>
      </c>
      <c r="E342" s="86">
        <v>73.889999389648438</v>
      </c>
      <c r="F342" s="86">
        <v>10.590000152587891</v>
      </c>
      <c r="G342" s="86">
        <v>9.2799997329711914</v>
      </c>
      <c r="H342" s="86">
        <v>22.450000762939453</v>
      </c>
      <c r="I342" s="86">
        <v>90.550003051757813</v>
      </c>
      <c r="J342" s="86">
        <v>40.180000305175781</v>
      </c>
      <c r="K342" s="86">
        <v>29.379999160766602</v>
      </c>
    </row>
    <row r="343" spans="1:22" ht="14.25" customHeight="1">
      <c r="A343" s="36">
        <v>90502</v>
      </c>
      <c r="B343" s="36" t="s">
        <v>353</v>
      </c>
      <c r="C343" s="86">
        <v>8.25</v>
      </c>
      <c r="D343" s="86">
        <v>70.860000610351563</v>
      </c>
      <c r="E343" s="86">
        <v>76.459999084472656</v>
      </c>
      <c r="F343" s="86">
        <v>19.639999389648438</v>
      </c>
      <c r="G343" s="86">
        <v>11.739999771118164</v>
      </c>
      <c r="H343" s="86">
        <v>26.370000839233398</v>
      </c>
      <c r="I343" s="86">
        <v>85.900001525878906</v>
      </c>
      <c r="J343" s="86">
        <v>44.919998168945313</v>
      </c>
      <c r="K343" s="86">
        <v>23.75</v>
      </c>
    </row>
    <row r="344" spans="1:22" ht="14.25" customHeight="1">
      <c r="A344" s="36">
        <v>90503</v>
      </c>
      <c r="B344" s="36" t="s">
        <v>354</v>
      </c>
      <c r="C344" s="86">
        <v>7.570000171661377</v>
      </c>
      <c r="D344" s="86">
        <v>65.620002746582031</v>
      </c>
      <c r="E344" s="86">
        <v>90.599998474121094</v>
      </c>
      <c r="F344" s="86">
        <v>17.569999694824219</v>
      </c>
      <c r="G344" s="86">
        <v>12.460000038146973</v>
      </c>
      <c r="H344" s="86">
        <v>29.049999237060547</v>
      </c>
      <c r="I344" s="86">
        <v>81.410003662109375</v>
      </c>
      <c r="J344" s="86">
        <v>46.419998168945313</v>
      </c>
      <c r="K344" s="86">
        <v>21.180000305175781</v>
      </c>
    </row>
    <row r="345" spans="1:22" ht="14.25" customHeight="1">
      <c r="A345" s="17"/>
      <c r="B345" s="17"/>
      <c r="C345" s="37"/>
      <c r="D345" s="37"/>
      <c r="E345" s="37"/>
      <c r="F345" s="37"/>
      <c r="G345" s="37"/>
      <c r="H345" s="37"/>
      <c r="I345" s="37"/>
      <c r="J345" s="37"/>
      <c r="K345" s="37"/>
      <c r="O345" s="17"/>
      <c r="P345" s="17"/>
      <c r="Q345" s="17"/>
      <c r="R345" s="17"/>
      <c r="S345" s="17"/>
      <c r="T345" s="17"/>
      <c r="U345" s="17"/>
      <c r="V345" s="17"/>
    </row>
    <row r="346" spans="1:22" ht="14.25" customHeight="1">
      <c r="A346" s="17"/>
      <c r="B346" s="17"/>
      <c r="C346" s="37"/>
      <c r="D346" s="37"/>
      <c r="E346" s="37"/>
      <c r="F346" s="37"/>
      <c r="G346" s="37"/>
      <c r="H346" s="37"/>
      <c r="I346" s="37"/>
      <c r="J346" s="37"/>
      <c r="K346" s="37"/>
      <c r="O346" s="17"/>
      <c r="P346" s="17"/>
      <c r="Q346" s="17"/>
      <c r="R346" s="17"/>
      <c r="S346" s="17"/>
      <c r="T346" s="17"/>
      <c r="U346" s="17"/>
      <c r="V346" s="17"/>
    </row>
    <row r="347" spans="1:22" ht="14.25" customHeight="1">
      <c r="A347" s="17"/>
      <c r="B347" s="17"/>
      <c r="C347" s="37"/>
      <c r="D347" s="37"/>
      <c r="E347" s="37"/>
      <c r="F347" s="37"/>
      <c r="G347" s="37"/>
      <c r="H347" s="37"/>
      <c r="I347" s="37"/>
      <c r="J347" s="37"/>
      <c r="K347" s="37"/>
      <c r="O347" s="17"/>
      <c r="P347" s="17"/>
      <c r="Q347" s="17"/>
      <c r="R347" s="17"/>
      <c r="S347" s="17"/>
      <c r="T347" s="17"/>
      <c r="U347" s="17"/>
      <c r="V347" s="17"/>
    </row>
    <row r="348" spans="1:22" ht="14.25" customHeight="1">
      <c r="A348" s="17"/>
      <c r="B348" s="17"/>
      <c r="C348" s="37"/>
      <c r="D348" s="37"/>
      <c r="E348" s="37"/>
      <c r="F348" s="37"/>
      <c r="G348" s="37"/>
      <c r="H348" s="37"/>
      <c r="I348" s="37"/>
      <c r="J348" s="37"/>
      <c r="K348" s="37"/>
      <c r="O348" s="17"/>
      <c r="P348" s="17"/>
      <c r="Q348" s="17"/>
      <c r="R348" s="17"/>
      <c r="S348" s="17"/>
      <c r="T348" s="17"/>
      <c r="U348" s="17"/>
      <c r="V348" s="17"/>
    </row>
    <row r="349" spans="1:22" ht="14.25" customHeight="1">
      <c r="A349" s="17"/>
      <c r="B349" s="17"/>
      <c r="C349" s="37"/>
      <c r="D349" s="37"/>
      <c r="E349" s="37"/>
      <c r="F349" s="37"/>
      <c r="G349" s="37"/>
      <c r="H349" s="37"/>
      <c r="I349" s="37"/>
      <c r="J349" s="37"/>
      <c r="K349" s="37"/>
      <c r="O349" s="17"/>
      <c r="P349" s="17"/>
      <c r="Q349" s="17"/>
      <c r="R349" s="17"/>
      <c r="S349" s="17"/>
      <c r="T349" s="17"/>
      <c r="U349" s="17"/>
      <c r="V349" s="17"/>
    </row>
    <row r="350" spans="1:22" ht="14.25" customHeight="1">
      <c r="A350" s="17"/>
      <c r="B350" s="17"/>
      <c r="C350" s="37"/>
      <c r="D350" s="37"/>
      <c r="E350" s="37"/>
      <c r="F350" s="37"/>
      <c r="G350" s="37"/>
      <c r="H350" s="37"/>
      <c r="I350" s="37"/>
      <c r="J350" s="37"/>
      <c r="K350" s="37"/>
      <c r="O350" s="17"/>
      <c r="P350" s="17"/>
      <c r="Q350" s="17"/>
      <c r="R350" s="17"/>
      <c r="S350" s="17"/>
      <c r="T350" s="17"/>
      <c r="U350" s="17"/>
      <c r="V350" s="17"/>
    </row>
    <row r="351" spans="1:22" ht="14.25" customHeight="1">
      <c r="A351" s="17"/>
      <c r="B351" s="17"/>
      <c r="C351" s="37"/>
      <c r="D351" s="37"/>
      <c r="E351" s="37"/>
      <c r="F351" s="37"/>
      <c r="G351" s="37"/>
      <c r="H351" s="37"/>
      <c r="I351" s="37"/>
      <c r="J351" s="37"/>
      <c r="K351" s="37"/>
      <c r="O351" s="17"/>
      <c r="P351" s="17"/>
      <c r="Q351" s="17"/>
      <c r="R351" s="17"/>
      <c r="S351" s="17"/>
      <c r="T351" s="17"/>
      <c r="U351" s="17"/>
      <c r="V351" s="17"/>
    </row>
    <row r="352" spans="1:22" ht="14.25" customHeight="1">
      <c r="A352" s="17"/>
      <c r="B352" s="17"/>
      <c r="C352" s="37"/>
      <c r="D352" s="37"/>
      <c r="E352" s="37"/>
      <c r="F352" s="37"/>
      <c r="G352" s="37"/>
      <c r="H352" s="37"/>
      <c r="I352" s="37"/>
      <c r="J352" s="37"/>
      <c r="K352" s="37"/>
      <c r="O352" s="17"/>
      <c r="P352" s="17"/>
      <c r="Q352" s="17"/>
      <c r="R352" s="17"/>
      <c r="S352" s="17"/>
      <c r="T352" s="17"/>
      <c r="U352" s="17"/>
      <c r="V352" s="17"/>
    </row>
    <row r="353" spans="1:22" ht="14.25" customHeight="1">
      <c r="A353" s="17"/>
      <c r="B353" s="17"/>
      <c r="C353" s="37"/>
      <c r="D353" s="37"/>
      <c r="E353" s="37"/>
      <c r="F353" s="37"/>
      <c r="G353" s="37"/>
      <c r="H353" s="37"/>
      <c r="I353" s="37"/>
      <c r="J353" s="37"/>
      <c r="K353" s="37"/>
      <c r="O353" s="17"/>
      <c r="P353" s="17"/>
      <c r="Q353" s="17"/>
      <c r="R353" s="17"/>
      <c r="S353" s="17"/>
      <c r="T353" s="17"/>
      <c r="U353" s="17"/>
      <c r="V353" s="17"/>
    </row>
    <row r="354" spans="1:22" ht="14.25" customHeight="1">
      <c r="A354" s="17"/>
      <c r="B354" s="17"/>
      <c r="C354" s="37"/>
      <c r="D354" s="37"/>
      <c r="E354" s="37"/>
      <c r="F354" s="37"/>
      <c r="G354" s="37"/>
      <c r="H354" s="37"/>
      <c r="I354" s="37"/>
      <c r="J354" s="37"/>
      <c r="K354" s="37"/>
      <c r="O354" s="17"/>
      <c r="P354" s="17"/>
      <c r="Q354" s="17"/>
      <c r="R354" s="17"/>
      <c r="S354" s="17"/>
      <c r="T354" s="17"/>
      <c r="U354" s="17"/>
      <c r="V354" s="17"/>
    </row>
    <row r="355" spans="1:22" ht="14.25" customHeight="1">
      <c r="A355" s="17"/>
      <c r="B355" s="17"/>
      <c r="C355" s="37"/>
      <c r="D355" s="37"/>
      <c r="E355" s="37"/>
      <c r="F355" s="37"/>
      <c r="G355" s="37"/>
      <c r="H355" s="37"/>
      <c r="I355" s="37"/>
      <c r="J355" s="37"/>
      <c r="K355" s="37"/>
      <c r="O355" s="17"/>
      <c r="P355" s="17"/>
      <c r="Q355" s="17"/>
      <c r="R355" s="17"/>
      <c r="S355" s="17"/>
      <c r="T355" s="17"/>
      <c r="U355" s="17"/>
      <c r="V355" s="17"/>
    </row>
    <row r="356" spans="1:22" ht="14.25" customHeight="1">
      <c r="A356" s="17"/>
      <c r="B356" s="17"/>
      <c r="C356" s="37"/>
      <c r="D356" s="37"/>
      <c r="E356" s="37"/>
      <c r="F356" s="37"/>
      <c r="G356" s="37"/>
      <c r="H356" s="37"/>
      <c r="I356" s="37"/>
      <c r="J356" s="37"/>
      <c r="K356" s="37"/>
      <c r="O356" s="17"/>
      <c r="P356" s="17"/>
      <c r="Q356" s="17"/>
      <c r="R356" s="17"/>
      <c r="S356" s="17"/>
      <c r="T356" s="17"/>
      <c r="U356" s="17"/>
      <c r="V356" s="17"/>
    </row>
    <row r="357" spans="1:22" ht="14.25" customHeight="1">
      <c r="A357" s="17"/>
      <c r="B357" s="17"/>
      <c r="C357" s="37"/>
      <c r="D357" s="37"/>
      <c r="E357" s="37"/>
      <c r="F357" s="37"/>
      <c r="G357" s="37"/>
      <c r="H357" s="37"/>
      <c r="I357" s="37"/>
      <c r="J357" s="37"/>
      <c r="K357" s="37"/>
      <c r="O357" s="17"/>
      <c r="P357" s="17"/>
      <c r="Q357" s="17"/>
      <c r="R357" s="17"/>
      <c r="S357" s="17"/>
      <c r="T357" s="17"/>
      <c r="U357" s="17"/>
      <c r="V357" s="17"/>
    </row>
    <row r="358" spans="1:22" ht="14.25" customHeight="1">
      <c r="A358" s="17"/>
      <c r="B358" s="17"/>
      <c r="C358" s="37"/>
      <c r="D358" s="37"/>
      <c r="E358" s="37"/>
      <c r="F358" s="37"/>
      <c r="G358" s="37"/>
      <c r="H358" s="37"/>
      <c r="I358" s="37"/>
      <c r="J358" s="37"/>
      <c r="K358" s="37"/>
      <c r="O358" s="17"/>
      <c r="P358" s="17"/>
      <c r="Q358" s="17"/>
      <c r="R358" s="17"/>
      <c r="S358" s="17"/>
      <c r="T358" s="17"/>
      <c r="U358" s="17"/>
      <c r="V358" s="17"/>
    </row>
    <row r="359" spans="1:22" ht="14.25" customHeight="1">
      <c r="A359" s="17"/>
      <c r="B359" s="17"/>
      <c r="C359" s="37"/>
      <c r="D359" s="37"/>
      <c r="E359" s="37"/>
      <c r="F359" s="37"/>
      <c r="G359" s="37"/>
      <c r="H359" s="37"/>
      <c r="I359" s="37"/>
      <c r="J359" s="37"/>
      <c r="K359" s="37"/>
      <c r="O359" s="17"/>
      <c r="P359" s="17"/>
      <c r="Q359" s="17"/>
      <c r="R359" s="17"/>
      <c r="S359" s="17"/>
      <c r="T359" s="17"/>
      <c r="U359" s="17"/>
      <c r="V359" s="17"/>
    </row>
    <row r="360" spans="1:22" ht="14.25" customHeight="1">
      <c r="A360" s="17"/>
      <c r="B360" s="17"/>
      <c r="C360" s="37"/>
      <c r="D360" s="37"/>
      <c r="E360" s="37"/>
      <c r="F360" s="37"/>
      <c r="G360" s="37"/>
      <c r="H360" s="37"/>
      <c r="I360" s="37"/>
      <c r="J360" s="37"/>
      <c r="K360" s="37"/>
      <c r="O360" s="17"/>
      <c r="P360" s="17"/>
      <c r="Q360" s="17"/>
      <c r="R360" s="17"/>
      <c r="S360" s="17"/>
      <c r="T360" s="17"/>
      <c r="U360" s="17"/>
      <c r="V360" s="17"/>
    </row>
    <row r="361" spans="1:22" ht="14.25" customHeight="1">
      <c r="A361" s="17"/>
      <c r="B361" s="17"/>
      <c r="C361" s="37"/>
      <c r="D361" s="37"/>
      <c r="E361" s="37"/>
      <c r="F361" s="37"/>
      <c r="G361" s="37"/>
      <c r="H361" s="37"/>
      <c r="I361" s="37"/>
      <c r="J361" s="37"/>
      <c r="K361" s="37"/>
      <c r="O361" s="17"/>
      <c r="P361" s="17"/>
      <c r="Q361" s="17"/>
      <c r="R361" s="17"/>
      <c r="S361" s="17"/>
      <c r="T361" s="17"/>
      <c r="U361" s="17"/>
      <c r="V361" s="17"/>
    </row>
    <row r="362" spans="1:22" ht="14.25" customHeight="1">
      <c r="A362" s="17"/>
      <c r="B362" s="17"/>
      <c r="C362" s="37"/>
      <c r="D362" s="37"/>
      <c r="E362" s="37"/>
      <c r="F362" s="37"/>
      <c r="G362" s="37"/>
      <c r="H362" s="37"/>
      <c r="I362" s="37"/>
      <c r="J362" s="37"/>
      <c r="K362" s="37"/>
      <c r="O362" s="17"/>
      <c r="P362" s="17"/>
      <c r="Q362" s="17"/>
      <c r="R362" s="17"/>
      <c r="S362" s="17"/>
      <c r="T362" s="17"/>
      <c r="U362" s="17"/>
      <c r="V362" s="17"/>
    </row>
    <row r="363" spans="1:22" ht="14.25" customHeight="1">
      <c r="A363" s="17"/>
      <c r="B363" s="17"/>
      <c r="C363" s="37"/>
      <c r="D363" s="37"/>
      <c r="E363" s="37"/>
      <c r="F363" s="37"/>
      <c r="G363" s="37"/>
      <c r="H363" s="37"/>
      <c r="I363" s="37"/>
      <c r="J363" s="37"/>
      <c r="K363" s="37"/>
      <c r="O363" s="17"/>
      <c r="P363" s="17"/>
      <c r="Q363" s="17"/>
      <c r="R363" s="17"/>
      <c r="S363" s="17"/>
      <c r="T363" s="17"/>
      <c r="U363" s="17"/>
      <c r="V363" s="17"/>
    </row>
    <row r="364" spans="1:22" ht="14.25" customHeight="1">
      <c r="A364" s="17"/>
      <c r="B364" s="17"/>
      <c r="C364" s="37"/>
      <c r="D364" s="37"/>
      <c r="E364" s="37"/>
      <c r="F364" s="37"/>
      <c r="G364" s="37"/>
      <c r="H364" s="37"/>
      <c r="I364" s="37"/>
      <c r="J364" s="37"/>
      <c r="K364" s="37"/>
      <c r="O364" s="17"/>
      <c r="P364" s="17"/>
      <c r="Q364" s="17"/>
      <c r="R364" s="17"/>
      <c r="S364" s="17"/>
      <c r="T364" s="17"/>
      <c r="U364" s="17"/>
      <c r="V364" s="17"/>
    </row>
    <row r="365" spans="1:22" ht="14.25" customHeight="1">
      <c r="A365" s="17"/>
      <c r="B365" s="17"/>
      <c r="C365" s="37"/>
      <c r="D365" s="37"/>
      <c r="E365" s="37"/>
      <c r="F365" s="37"/>
      <c r="G365" s="37"/>
      <c r="H365" s="37"/>
      <c r="I365" s="37"/>
      <c r="J365" s="37"/>
      <c r="K365" s="37"/>
      <c r="O365" s="17"/>
      <c r="P365" s="17"/>
      <c r="Q365" s="17"/>
      <c r="R365" s="17"/>
      <c r="S365" s="17"/>
      <c r="T365" s="17"/>
      <c r="U365" s="17"/>
      <c r="V365" s="17"/>
    </row>
    <row r="366" spans="1:22" ht="14.25" customHeight="1">
      <c r="A366" s="17"/>
      <c r="B366" s="17"/>
      <c r="C366" s="37"/>
      <c r="D366" s="37"/>
      <c r="E366" s="37"/>
      <c r="F366" s="37"/>
      <c r="G366" s="37"/>
      <c r="H366" s="37"/>
      <c r="I366" s="37"/>
      <c r="J366" s="37"/>
      <c r="K366" s="37"/>
      <c r="O366" s="17"/>
      <c r="P366" s="17"/>
      <c r="Q366" s="17"/>
      <c r="R366" s="17"/>
      <c r="S366" s="17"/>
      <c r="T366" s="17"/>
      <c r="U366" s="17"/>
      <c r="V366" s="17"/>
    </row>
    <row r="367" spans="1:22" ht="14.25" customHeight="1">
      <c r="A367" s="17"/>
      <c r="B367" s="17"/>
      <c r="C367" s="37"/>
      <c r="D367" s="37"/>
      <c r="E367" s="37"/>
      <c r="F367" s="37"/>
      <c r="G367" s="37"/>
      <c r="H367" s="37"/>
      <c r="I367" s="37"/>
      <c r="J367" s="37"/>
      <c r="K367" s="37"/>
      <c r="O367" s="17"/>
      <c r="P367" s="17"/>
      <c r="Q367" s="17"/>
      <c r="R367" s="17"/>
      <c r="S367" s="17"/>
      <c r="T367" s="17"/>
      <c r="U367" s="17"/>
      <c r="V367" s="17"/>
    </row>
    <row r="368" spans="1:22" ht="14.25" customHeight="1">
      <c r="A368" s="17"/>
      <c r="B368" s="17"/>
      <c r="C368" s="37"/>
      <c r="D368" s="37"/>
      <c r="E368" s="37"/>
      <c r="F368" s="37"/>
      <c r="G368" s="37"/>
      <c r="H368" s="37"/>
      <c r="I368" s="37"/>
      <c r="J368" s="37"/>
      <c r="K368" s="37"/>
      <c r="O368" s="17"/>
      <c r="P368" s="17"/>
      <c r="Q368" s="17"/>
      <c r="R368" s="17"/>
      <c r="S368" s="17"/>
      <c r="T368" s="17"/>
      <c r="U368" s="17"/>
      <c r="V368" s="17"/>
    </row>
    <row r="369" spans="1:22" ht="14.25" customHeight="1">
      <c r="A369" s="17"/>
      <c r="B369" s="17"/>
      <c r="C369" s="37"/>
      <c r="D369" s="37"/>
      <c r="E369" s="37"/>
      <c r="F369" s="37"/>
      <c r="G369" s="37"/>
      <c r="H369" s="37"/>
      <c r="I369" s="37"/>
      <c r="J369" s="37"/>
      <c r="K369" s="37"/>
      <c r="O369" s="17"/>
      <c r="P369" s="17"/>
      <c r="Q369" s="17"/>
      <c r="R369" s="17"/>
      <c r="S369" s="17"/>
      <c r="T369" s="17"/>
      <c r="U369" s="17"/>
      <c r="V369" s="17"/>
    </row>
    <row r="370" spans="1:22" ht="14.25" customHeight="1">
      <c r="A370" s="17"/>
      <c r="B370" s="17"/>
      <c r="C370" s="37"/>
      <c r="D370" s="37"/>
      <c r="E370" s="37"/>
      <c r="F370" s="37"/>
      <c r="G370" s="37"/>
      <c r="H370" s="37"/>
      <c r="I370" s="37"/>
      <c r="J370" s="37"/>
      <c r="K370" s="37"/>
      <c r="O370" s="17"/>
      <c r="P370" s="17"/>
      <c r="Q370" s="17"/>
      <c r="R370" s="17"/>
      <c r="S370" s="17"/>
      <c r="T370" s="17"/>
      <c r="U370" s="17"/>
      <c r="V370" s="17"/>
    </row>
    <row r="371" spans="1:22" ht="14.25" customHeight="1">
      <c r="A371" s="17"/>
      <c r="B371" s="17"/>
      <c r="C371" s="37"/>
      <c r="D371" s="37"/>
      <c r="E371" s="37"/>
      <c r="F371" s="37"/>
      <c r="G371" s="37"/>
      <c r="H371" s="37"/>
      <c r="I371" s="37"/>
      <c r="J371" s="37"/>
      <c r="K371" s="37"/>
      <c r="O371" s="17"/>
      <c r="P371" s="17"/>
      <c r="Q371" s="17"/>
      <c r="R371" s="17"/>
      <c r="S371" s="17"/>
      <c r="T371" s="17"/>
      <c r="U371" s="17"/>
      <c r="V371" s="17"/>
    </row>
    <row r="372" spans="1:22" ht="14.25" customHeight="1">
      <c r="A372" s="17"/>
      <c r="B372" s="17"/>
      <c r="C372" s="37"/>
      <c r="D372" s="37"/>
      <c r="E372" s="37"/>
      <c r="F372" s="37"/>
      <c r="G372" s="37"/>
      <c r="H372" s="37"/>
      <c r="I372" s="37"/>
      <c r="J372" s="37"/>
      <c r="K372" s="37"/>
      <c r="O372" s="17"/>
      <c r="P372" s="17"/>
      <c r="Q372" s="17"/>
      <c r="R372" s="17"/>
      <c r="S372" s="17"/>
      <c r="T372" s="17"/>
      <c r="U372" s="17"/>
      <c r="V372" s="17"/>
    </row>
    <row r="373" spans="1:22" ht="14.25" customHeight="1">
      <c r="A373" s="17"/>
      <c r="B373" s="17"/>
      <c r="C373" s="37"/>
      <c r="D373" s="37"/>
      <c r="E373" s="37"/>
      <c r="F373" s="37"/>
      <c r="G373" s="37"/>
      <c r="H373" s="37"/>
      <c r="I373" s="37"/>
      <c r="J373" s="37"/>
      <c r="K373" s="37"/>
      <c r="O373" s="17"/>
      <c r="P373" s="17"/>
      <c r="Q373" s="17"/>
      <c r="R373" s="17"/>
      <c r="S373" s="17"/>
      <c r="T373" s="17"/>
      <c r="U373" s="17"/>
      <c r="V373" s="17"/>
    </row>
    <row r="374" spans="1:22" ht="14.25" customHeight="1">
      <c r="A374" s="17"/>
      <c r="B374" s="17"/>
      <c r="C374" s="37"/>
      <c r="D374" s="37"/>
      <c r="E374" s="37"/>
      <c r="F374" s="37"/>
      <c r="G374" s="37"/>
      <c r="H374" s="37"/>
      <c r="I374" s="37"/>
      <c r="J374" s="37"/>
      <c r="K374" s="37"/>
      <c r="O374" s="17"/>
      <c r="P374" s="17"/>
      <c r="Q374" s="17"/>
      <c r="R374" s="17"/>
      <c r="S374" s="17"/>
      <c r="T374" s="17"/>
      <c r="U374" s="17"/>
      <c r="V374" s="17"/>
    </row>
    <row r="375" spans="1:22" ht="14.25" customHeight="1">
      <c r="A375" s="17"/>
      <c r="B375" s="17"/>
      <c r="C375" s="37"/>
      <c r="D375" s="37"/>
      <c r="E375" s="37"/>
      <c r="F375" s="37"/>
      <c r="G375" s="37"/>
      <c r="H375" s="37"/>
      <c r="I375" s="37"/>
      <c r="J375" s="37"/>
      <c r="K375" s="37"/>
      <c r="O375" s="17"/>
      <c r="P375" s="17"/>
      <c r="Q375" s="17"/>
      <c r="R375" s="17"/>
      <c r="S375" s="17"/>
      <c r="T375" s="17"/>
      <c r="U375" s="17"/>
      <c r="V375" s="17"/>
    </row>
    <row r="376" spans="1:22" ht="14.25" customHeight="1">
      <c r="A376" s="17"/>
      <c r="B376" s="17"/>
      <c r="C376" s="37"/>
      <c r="D376" s="37"/>
      <c r="E376" s="37"/>
      <c r="F376" s="37"/>
      <c r="G376" s="37"/>
      <c r="H376" s="37"/>
      <c r="I376" s="37"/>
      <c r="J376" s="37"/>
      <c r="K376" s="37"/>
      <c r="O376" s="17"/>
      <c r="P376" s="17"/>
      <c r="Q376" s="17"/>
      <c r="R376" s="17"/>
      <c r="S376" s="17"/>
      <c r="T376" s="17"/>
      <c r="U376" s="17"/>
      <c r="V376" s="17"/>
    </row>
    <row r="377" spans="1:22" ht="14.25" customHeight="1">
      <c r="A377" s="17"/>
      <c r="B377" s="17"/>
      <c r="C377" s="37"/>
      <c r="D377" s="37"/>
      <c r="E377" s="37"/>
      <c r="F377" s="37"/>
      <c r="G377" s="37"/>
      <c r="H377" s="37"/>
      <c r="I377" s="37"/>
      <c r="J377" s="37"/>
      <c r="K377" s="37"/>
      <c r="O377" s="17"/>
      <c r="P377" s="17"/>
      <c r="Q377" s="17"/>
      <c r="R377" s="17"/>
      <c r="S377" s="17"/>
      <c r="T377" s="17"/>
      <c r="U377" s="17"/>
      <c r="V377" s="17"/>
    </row>
    <row r="378" spans="1:22" ht="14.25" customHeight="1">
      <c r="A378" s="17"/>
      <c r="B378" s="17"/>
      <c r="C378" s="37"/>
      <c r="D378" s="37"/>
      <c r="E378" s="37"/>
      <c r="F378" s="37"/>
      <c r="G378" s="37"/>
      <c r="H378" s="37"/>
      <c r="I378" s="37"/>
      <c r="J378" s="37"/>
      <c r="K378" s="37"/>
      <c r="O378" s="17"/>
      <c r="P378" s="17"/>
      <c r="Q378" s="17"/>
      <c r="R378" s="17"/>
      <c r="S378" s="17"/>
      <c r="T378" s="17"/>
      <c r="U378" s="17"/>
      <c r="V378" s="17"/>
    </row>
    <row r="379" spans="1:22" ht="14.25" customHeight="1">
      <c r="A379" s="17"/>
      <c r="B379" s="17"/>
      <c r="C379" s="37"/>
      <c r="D379" s="37"/>
      <c r="E379" s="37"/>
      <c r="F379" s="37"/>
      <c r="G379" s="37"/>
      <c r="H379" s="37"/>
      <c r="I379" s="37"/>
      <c r="J379" s="37"/>
      <c r="K379" s="37"/>
      <c r="O379" s="17"/>
      <c r="P379" s="17"/>
      <c r="Q379" s="17"/>
      <c r="R379" s="17"/>
      <c r="S379" s="17"/>
      <c r="T379" s="17"/>
      <c r="U379" s="17"/>
      <c r="V379" s="17"/>
    </row>
    <row r="380" spans="1:22" ht="14.25" customHeight="1">
      <c r="A380" s="17"/>
      <c r="B380" s="17"/>
      <c r="C380" s="37"/>
      <c r="D380" s="37"/>
      <c r="E380" s="37"/>
      <c r="F380" s="37"/>
      <c r="G380" s="37"/>
      <c r="H380" s="37"/>
      <c r="I380" s="37"/>
      <c r="J380" s="37"/>
      <c r="K380" s="37"/>
      <c r="O380" s="17"/>
      <c r="P380" s="17"/>
      <c r="Q380" s="17"/>
      <c r="R380" s="17"/>
      <c r="S380" s="17"/>
      <c r="T380" s="17"/>
      <c r="U380" s="17"/>
      <c r="V380" s="17"/>
    </row>
    <row r="381" spans="1:22" ht="14.25" customHeight="1">
      <c r="A381" s="17"/>
      <c r="B381" s="17"/>
      <c r="C381" s="37"/>
      <c r="D381" s="37"/>
      <c r="E381" s="37"/>
      <c r="F381" s="37"/>
      <c r="G381" s="37"/>
      <c r="H381" s="37"/>
      <c r="I381" s="37"/>
      <c r="J381" s="37"/>
      <c r="K381" s="37"/>
      <c r="O381" s="17"/>
      <c r="P381" s="17"/>
      <c r="Q381" s="17"/>
      <c r="R381" s="17"/>
      <c r="S381" s="17"/>
      <c r="T381" s="17"/>
      <c r="U381" s="17"/>
      <c r="V381" s="17"/>
    </row>
    <row r="382" spans="1:22" ht="14.25" customHeight="1">
      <c r="A382" s="17"/>
      <c r="B382" s="17"/>
      <c r="C382" s="37"/>
      <c r="D382" s="37"/>
      <c r="E382" s="37"/>
      <c r="F382" s="37"/>
      <c r="G382" s="37"/>
      <c r="H382" s="37"/>
      <c r="I382" s="37"/>
      <c r="J382" s="37"/>
      <c r="K382" s="37"/>
      <c r="O382" s="17"/>
      <c r="P382" s="17"/>
      <c r="Q382" s="17"/>
      <c r="R382" s="17"/>
      <c r="S382" s="17"/>
      <c r="T382" s="17"/>
      <c r="U382" s="17"/>
      <c r="V382" s="17"/>
    </row>
    <row r="383" spans="1:22" ht="14.25" customHeight="1">
      <c r="A383" s="17"/>
      <c r="B383" s="17"/>
      <c r="C383" s="37"/>
      <c r="D383" s="37"/>
      <c r="E383" s="37"/>
      <c r="F383" s="37"/>
      <c r="G383" s="37"/>
      <c r="H383" s="37"/>
      <c r="I383" s="37"/>
      <c r="J383" s="37"/>
      <c r="K383" s="37"/>
      <c r="O383" s="17"/>
      <c r="P383" s="17"/>
      <c r="Q383" s="17"/>
      <c r="R383" s="17"/>
      <c r="S383" s="17"/>
      <c r="T383" s="17"/>
      <c r="U383" s="17"/>
      <c r="V383" s="17"/>
    </row>
    <row r="384" spans="1:22" ht="14.25" customHeight="1">
      <c r="A384" s="17"/>
      <c r="B384" s="17"/>
      <c r="C384" s="37"/>
      <c r="D384" s="37"/>
      <c r="E384" s="37"/>
      <c r="F384" s="37"/>
      <c r="G384" s="37"/>
      <c r="H384" s="37"/>
      <c r="I384" s="37"/>
      <c r="J384" s="37"/>
      <c r="K384" s="37"/>
      <c r="O384" s="17"/>
      <c r="P384" s="17"/>
      <c r="Q384" s="17"/>
      <c r="R384" s="17"/>
      <c r="S384" s="17"/>
      <c r="T384" s="17"/>
      <c r="U384" s="17"/>
      <c r="V384" s="17"/>
    </row>
    <row r="385" spans="1:22" ht="14.25" customHeight="1">
      <c r="A385" s="17"/>
      <c r="B385" s="17"/>
      <c r="C385" s="37"/>
      <c r="D385" s="37"/>
      <c r="E385" s="37"/>
      <c r="F385" s="37"/>
      <c r="G385" s="37"/>
      <c r="H385" s="37"/>
      <c r="I385" s="37"/>
      <c r="J385" s="37"/>
      <c r="K385" s="37"/>
      <c r="O385" s="17"/>
      <c r="P385" s="17"/>
      <c r="Q385" s="17"/>
      <c r="R385" s="17"/>
      <c r="S385" s="17"/>
      <c r="T385" s="17"/>
      <c r="U385" s="17"/>
      <c r="V385" s="17"/>
    </row>
    <row r="386" spans="1:22" ht="14.25" customHeight="1">
      <c r="A386" s="17"/>
      <c r="B386" s="17"/>
      <c r="C386" s="37"/>
      <c r="D386" s="37"/>
      <c r="E386" s="37"/>
      <c r="F386" s="37"/>
      <c r="G386" s="37"/>
      <c r="H386" s="37"/>
      <c r="I386" s="37"/>
      <c r="J386" s="37"/>
      <c r="K386" s="37"/>
      <c r="O386" s="17"/>
      <c r="P386" s="17"/>
      <c r="Q386" s="17"/>
      <c r="R386" s="17"/>
      <c r="S386" s="17"/>
      <c r="T386" s="17"/>
      <c r="U386" s="17"/>
      <c r="V386" s="17"/>
    </row>
    <row r="387" spans="1:22" ht="14.25" customHeight="1">
      <c r="A387" s="17"/>
      <c r="B387" s="17"/>
      <c r="C387" s="37"/>
      <c r="D387" s="37"/>
      <c r="E387" s="37"/>
      <c r="F387" s="37"/>
      <c r="G387" s="37"/>
      <c r="H387" s="37"/>
      <c r="I387" s="37"/>
      <c r="J387" s="37"/>
      <c r="K387" s="37"/>
      <c r="O387" s="17"/>
      <c r="P387" s="17"/>
      <c r="Q387" s="17"/>
      <c r="R387" s="17"/>
      <c r="S387" s="17"/>
      <c r="T387" s="17"/>
      <c r="U387" s="17"/>
      <c r="V387" s="17"/>
    </row>
    <row r="388" spans="1:22" ht="14.25" customHeight="1">
      <c r="A388" s="17"/>
      <c r="B388" s="17"/>
      <c r="C388" s="37"/>
      <c r="D388" s="37"/>
      <c r="E388" s="37"/>
      <c r="F388" s="37"/>
      <c r="G388" s="37"/>
      <c r="H388" s="37"/>
      <c r="I388" s="37"/>
      <c r="J388" s="37"/>
      <c r="K388" s="37"/>
      <c r="O388" s="17"/>
      <c r="P388" s="17"/>
      <c r="Q388" s="17"/>
      <c r="R388" s="17"/>
      <c r="S388" s="17"/>
      <c r="T388" s="17"/>
      <c r="U388" s="17"/>
      <c r="V388" s="17"/>
    </row>
    <row r="389" spans="1:22" ht="14.25" customHeight="1">
      <c r="A389" s="17"/>
      <c r="B389" s="17"/>
      <c r="C389" s="37"/>
      <c r="D389" s="37"/>
      <c r="E389" s="37"/>
      <c r="F389" s="37"/>
      <c r="G389" s="37"/>
      <c r="H389" s="37"/>
      <c r="I389" s="37"/>
      <c r="J389" s="37"/>
      <c r="K389" s="37"/>
      <c r="O389" s="17"/>
      <c r="P389" s="17"/>
      <c r="Q389" s="17"/>
      <c r="R389" s="17"/>
      <c r="S389" s="17"/>
      <c r="T389" s="17"/>
      <c r="U389" s="17"/>
      <c r="V389" s="17"/>
    </row>
    <row r="390" spans="1:22" ht="14.25" customHeight="1">
      <c r="A390" s="17"/>
      <c r="B390" s="17"/>
      <c r="C390" s="37"/>
      <c r="D390" s="37"/>
      <c r="E390" s="37"/>
      <c r="F390" s="37"/>
      <c r="G390" s="37"/>
      <c r="H390" s="37"/>
      <c r="I390" s="37"/>
      <c r="J390" s="37"/>
      <c r="K390" s="37"/>
      <c r="O390" s="17"/>
      <c r="P390" s="17"/>
      <c r="Q390" s="17"/>
      <c r="R390" s="17"/>
      <c r="S390" s="17"/>
      <c r="T390" s="17"/>
      <c r="U390" s="17"/>
      <c r="V390" s="17"/>
    </row>
    <row r="391" spans="1:22" ht="14.25" customHeight="1">
      <c r="A391" s="17"/>
      <c r="B391" s="17"/>
      <c r="C391" s="37"/>
      <c r="D391" s="37"/>
      <c r="E391" s="37"/>
      <c r="F391" s="37"/>
      <c r="G391" s="37"/>
      <c r="H391" s="37"/>
      <c r="I391" s="37"/>
      <c r="J391" s="37"/>
      <c r="K391" s="37"/>
      <c r="O391" s="17"/>
      <c r="P391" s="17"/>
      <c r="Q391" s="17"/>
      <c r="R391" s="17"/>
      <c r="S391" s="17"/>
      <c r="T391" s="17"/>
      <c r="U391" s="17"/>
      <c r="V391" s="17"/>
    </row>
    <row r="392" spans="1:22" ht="14.25" customHeight="1">
      <c r="A392" s="17"/>
      <c r="B392" s="17"/>
      <c r="C392" s="37"/>
      <c r="D392" s="37"/>
      <c r="E392" s="37"/>
      <c r="F392" s="37"/>
      <c r="G392" s="37"/>
      <c r="H392" s="37"/>
      <c r="I392" s="37"/>
      <c r="J392" s="37"/>
      <c r="K392" s="37"/>
      <c r="O392" s="17"/>
      <c r="P392" s="17"/>
      <c r="Q392" s="17"/>
      <c r="R392" s="17"/>
      <c r="S392" s="17"/>
      <c r="T392" s="17"/>
      <c r="U392" s="17"/>
      <c r="V392" s="17"/>
    </row>
    <row r="393" spans="1:22" ht="14.25" customHeight="1">
      <c r="A393" s="17"/>
      <c r="B393" s="17"/>
      <c r="C393" s="37"/>
      <c r="D393" s="37"/>
      <c r="E393" s="37"/>
      <c r="F393" s="37"/>
      <c r="G393" s="37"/>
      <c r="H393" s="37"/>
      <c r="I393" s="37"/>
      <c r="J393" s="37"/>
      <c r="K393" s="37"/>
      <c r="O393" s="17"/>
      <c r="P393" s="17"/>
      <c r="Q393" s="17"/>
      <c r="R393" s="17"/>
      <c r="S393" s="17"/>
      <c r="T393" s="17"/>
      <c r="U393" s="17"/>
      <c r="V393" s="17"/>
    </row>
    <row r="394" spans="1:22" ht="14.25" customHeight="1">
      <c r="A394" s="17"/>
      <c r="B394" s="17"/>
      <c r="C394" s="37"/>
      <c r="D394" s="37"/>
      <c r="E394" s="37"/>
      <c r="F394" s="37"/>
      <c r="G394" s="37"/>
      <c r="H394" s="37"/>
      <c r="I394" s="37"/>
      <c r="J394" s="37"/>
      <c r="K394" s="37"/>
      <c r="O394" s="17"/>
      <c r="P394" s="17"/>
      <c r="Q394" s="17"/>
      <c r="R394" s="17"/>
      <c r="S394" s="17"/>
      <c r="T394" s="17"/>
      <c r="U394" s="17"/>
      <c r="V394" s="17"/>
    </row>
    <row r="395" spans="1:22" ht="14.25" customHeight="1">
      <c r="A395" s="17"/>
      <c r="B395" s="17"/>
      <c r="C395" s="37"/>
      <c r="D395" s="37"/>
      <c r="E395" s="37"/>
      <c r="F395" s="37"/>
      <c r="G395" s="37"/>
      <c r="H395" s="37"/>
      <c r="I395" s="37"/>
      <c r="J395" s="37"/>
      <c r="K395" s="37"/>
      <c r="O395" s="17"/>
      <c r="P395" s="17"/>
      <c r="Q395" s="17"/>
      <c r="R395" s="17"/>
      <c r="S395" s="17"/>
      <c r="T395" s="17"/>
      <c r="U395" s="17"/>
      <c r="V395" s="17"/>
    </row>
    <row r="396" spans="1:22" ht="14.25" customHeight="1">
      <c r="A396" s="17"/>
      <c r="B396" s="17"/>
      <c r="C396" s="37"/>
      <c r="D396" s="37"/>
      <c r="E396" s="37"/>
      <c r="F396" s="37"/>
      <c r="G396" s="37"/>
      <c r="H396" s="37"/>
      <c r="I396" s="37"/>
      <c r="J396" s="37"/>
      <c r="K396" s="37"/>
      <c r="O396" s="17"/>
      <c r="P396" s="17"/>
      <c r="Q396" s="17"/>
      <c r="R396" s="17"/>
      <c r="S396" s="17"/>
      <c r="T396" s="17"/>
      <c r="U396" s="17"/>
      <c r="V396" s="17"/>
    </row>
    <row r="397" spans="1:22" ht="14.25" customHeight="1">
      <c r="A397" s="17"/>
      <c r="B397" s="17"/>
      <c r="C397" s="37"/>
      <c r="D397" s="37"/>
      <c r="E397" s="37"/>
      <c r="F397" s="37"/>
      <c r="G397" s="37"/>
      <c r="H397" s="37"/>
      <c r="I397" s="37"/>
      <c r="J397" s="37"/>
      <c r="K397" s="37"/>
      <c r="O397" s="17"/>
      <c r="P397" s="17"/>
      <c r="Q397" s="17"/>
      <c r="R397" s="17"/>
      <c r="S397" s="17"/>
      <c r="T397" s="17"/>
      <c r="U397" s="17"/>
      <c r="V397" s="17"/>
    </row>
    <row r="398" spans="1:22" ht="14.25" customHeight="1">
      <c r="A398" s="17"/>
      <c r="B398" s="17"/>
      <c r="C398" s="37"/>
      <c r="D398" s="37"/>
      <c r="E398" s="37"/>
      <c r="F398" s="37"/>
      <c r="G398" s="37"/>
      <c r="H398" s="37"/>
      <c r="I398" s="37"/>
      <c r="J398" s="37"/>
      <c r="K398" s="37"/>
      <c r="O398" s="17"/>
      <c r="P398" s="17"/>
      <c r="Q398" s="17"/>
      <c r="R398" s="17"/>
      <c r="S398" s="17"/>
      <c r="T398" s="17"/>
      <c r="U398" s="17"/>
      <c r="V398" s="17"/>
    </row>
    <row r="399" spans="1:22" ht="14.25" customHeight="1">
      <c r="A399" s="17"/>
      <c r="B399" s="17"/>
      <c r="C399" s="37"/>
      <c r="D399" s="37"/>
      <c r="E399" s="37"/>
      <c r="F399" s="37"/>
      <c r="G399" s="37"/>
      <c r="H399" s="37"/>
      <c r="I399" s="37"/>
      <c r="J399" s="37"/>
      <c r="K399" s="37"/>
      <c r="O399" s="17"/>
      <c r="P399" s="17"/>
      <c r="Q399" s="17"/>
      <c r="R399" s="17"/>
      <c r="S399" s="17"/>
      <c r="T399" s="17"/>
      <c r="U399" s="17"/>
      <c r="V399" s="17"/>
    </row>
    <row r="400" spans="1:22" ht="14.25" customHeight="1">
      <c r="A400" s="17"/>
      <c r="B400" s="17"/>
      <c r="C400" s="37"/>
      <c r="D400" s="37"/>
      <c r="E400" s="37"/>
      <c r="F400" s="37"/>
      <c r="G400" s="37"/>
      <c r="H400" s="37"/>
      <c r="I400" s="37"/>
      <c r="J400" s="37"/>
      <c r="K400" s="37"/>
      <c r="O400" s="17"/>
      <c r="P400" s="17"/>
      <c r="Q400" s="17"/>
      <c r="R400" s="17"/>
      <c r="S400" s="17"/>
      <c r="T400" s="17"/>
      <c r="U400" s="17"/>
      <c r="V400" s="17"/>
    </row>
    <row r="401" spans="1:22" ht="14.25" customHeight="1">
      <c r="A401" s="17"/>
      <c r="B401" s="17"/>
      <c r="C401" s="37"/>
      <c r="D401" s="37"/>
      <c r="E401" s="37"/>
      <c r="F401" s="37"/>
      <c r="G401" s="37"/>
      <c r="H401" s="37"/>
      <c r="I401" s="37"/>
      <c r="J401" s="37"/>
      <c r="K401" s="37"/>
      <c r="O401" s="17"/>
      <c r="P401" s="17"/>
      <c r="Q401" s="17"/>
      <c r="R401" s="17"/>
      <c r="S401" s="17"/>
      <c r="T401" s="17"/>
      <c r="U401" s="17"/>
      <c r="V401" s="17"/>
    </row>
    <row r="402" spans="1:22" ht="14.25" customHeight="1">
      <c r="A402" s="17"/>
      <c r="B402" s="17"/>
      <c r="C402" s="37"/>
      <c r="D402" s="37"/>
      <c r="E402" s="37"/>
      <c r="F402" s="37"/>
      <c r="G402" s="37"/>
      <c r="H402" s="37"/>
      <c r="I402" s="37"/>
      <c r="J402" s="37"/>
      <c r="K402" s="37"/>
      <c r="O402" s="17"/>
      <c r="P402" s="17"/>
      <c r="Q402" s="17"/>
      <c r="R402" s="17"/>
      <c r="S402" s="17"/>
      <c r="T402" s="17"/>
      <c r="U402" s="17"/>
      <c r="V402" s="17"/>
    </row>
    <row r="403" spans="1:22" ht="14.25" customHeight="1">
      <c r="A403" s="17"/>
      <c r="B403" s="17"/>
      <c r="C403" s="37"/>
      <c r="D403" s="37"/>
      <c r="E403" s="37"/>
      <c r="F403" s="37"/>
      <c r="G403" s="37"/>
      <c r="H403" s="37"/>
      <c r="I403" s="37"/>
      <c r="J403" s="37"/>
      <c r="K403" s="37"/>
      <c r="O403" s="17"/>
      <c r="P403" s="17"/>
      <c r="Q403" s="17"/>
      <c r="R403" s="17"/>
      <c r="S403" s="17"/>
      <c r="T403" s="17"/>
      <c r="U403" s="17"/>
      <c r="V403" s="17"/>
    </row>
    <row r="404" spans="1:22" ht="14.25" customHeight="1">
      <c r="A404" s="17"/>
      <c r="B404" s="17"/>
      <c r="C404" s="37"/>
      <c r="D404" s="37"/>
      <c r="E404" s="37"/>
      <c r="F404" s="37"/>
      <c r="G404" s="37"/>
      <c r="H404" s="37"/>
      <c r="I404" s="37"/>
      <c r="J404" s="37"/>
      <c r="K404" s="37"/>
      <c r="O404" s="17"/>
      <c r="P404" s="17"/>
      <c r="Q404" s="17"/>
      <c r="R404" s="17"/>
      <c r="S404" s="17"/>
      <c r="T404" s="17"/>
      <c r="U404" s="17"/>
      <c r="V404" s="17"/>
    </row>
    <row r="405" spans="1:22" ht="14.25" customHeight="1">
      <c r="A405" s="17"/>
      <c r="B405" s="17"/>
      <c r="C405" s="37"/>
      <c r="D405" s="37"/>
      <c r="E405" s="37"/>
      <c r="F405" s="37"/>
      <c r="G405" s="37"/>
      <c r="H405" s="37"/>
      <c r="I405" s="37"/>
      <c r="J405" s="37"/>
      <c r="K405" s="37"/>
      <c r="O405" s="17"/>
      <c r="P405" s="17"/>
      <c r="Q405" s="17"/>
      <c r="R405" s="17"/>
      <c r="S405" s="17"/>
      <c r="T405" s="17"/>
      <c r="U405" s="17"/>
      <c r="V405" s="17"/>
    </row>
    <row r="406" spans="1:22" ht="14.25" customHeight="1">
      <c r="A406" s="17"/>
      <c r="B406" s="17"/>
      <c r="C406" s="37"/>
      <c r="D406" s="37"/>
      <c r="E406" s="37"/>
      <c r="F406" s="37"/>
      <c r="G406" s="37"/>
      <c r="H406" s="37"/>
      <c r="I406" s="37"/>
      <c r="J406" s="37"/>
      <c r="K406" s="37"/>
      <c r="O406" s="17"/>
      <c r="P406" s="17"/>
      <c r="Q406" s="17"/>
      <c r="R406" s="17"/>
      <c r="S406" s="17"/>
      <c r="T406" s="17"/>
      <c r="U406" s="17"/>
      <c r="V406" s="17"/>
    </row>
    <row r="407" spans="1:22" ht="14.25" customHeight="1">
      <c r="A407" s="17"/>
      <c r="B407" s="17"/>
      <c r="C407" s="37"/>
      <c r="D407" s="37"/>
      <c r="E407" s="37"/>
      <c r="F407" s="37"/>
      <c r="G407" s="37"/>
      <c r="H407" s="37"/>
      <c r="I407" s="37"/>
      <c r="J407" s="37"/>
      <c r="K407" s="37"/>
      <c r="O407" s="17"/>
      <c r="P407" s="17"/>
      <c r="Q407" s="17"/>
      <c r="R407" s="17"/>
      <c r="S407" s="17"/>
      <c r="T407" s="17"/>
      <c r="U407" s="17"/>
      <c r="V407" s="17"/>
    </row>
    <row r="408" spans="1:22" ht="14.25" customHeight="1">
      <c r="A408" s="17"/>
      <c r="B408" s="17"/>
      <c r="C408" s="37"/>
      <c r="D408" s="37"/>
      <c r="E408" s="37"/>
      <c r="F408" s="37"/>
      <c r="G408" s="37"/>
      <c r="H408" s="37"/>
      <c r="I408" s="37"/>
      <c r="J408" s="37"/>
      <c r="K408" s="37"/>
      <c r="O408" s="17"/>
      <c r="P408" s="17"/>
      <c r="Q408" s="17"/>
      <c r="R408" s="17"/>
      <c r="S408" s="17"/>
      <c r="T408" s="17"/>
      <c r="U408" s="17"/>
      <c r="V408" s="17"/>
    </row>
    <row r="409" spans="1:22" ht="14.25" customHeight="1">
      <c r="A409" s="17"/>
      <c r="B409" s="17"/>
      <c r="C409" s="37"/>
      <c r="D409" s="37"/>
      <c r="E409" s="37"/>
      <c r="F409" s="37"/>
      <c r="G409" s="37"/>
      <c r="H409" s="37"/>
      <c r="I409" s="37"/>
      <c r="J409" s="37"/>
      <c r="K409" s="37"/>
      <c r="O409" s="17"/>
      <c r="P409" s="17"/>
      <c r="Q409" s="17"/>
      <c r="R409" s="17"/>
      <c r="S409" s="17"/>
      <c r="T409" s="17"/>
      <c r="U409" s="17"/>
      <c r="V409" s="17"/>
    </row>
    <row r="410" spans="1:22" ht="14.25" customHeight="1">
      <c r="A410" s="17"/>
      <c r="B410" s="17"/>
      <c r="C410" s="37"/>
      <c r="D410" s="37"/>
      <c r="E410" s="37"/>
      <c r="F410" s="37"/>
      <c r="G410" s="37"/>
      <c r="H410" s="37"/>
      <c r="I410" s="37"/>
      <c r="J410" s="37"/>
      <c r="K410" s="37"/>
      <c r="O410" s="17"/>
      <c r="P410" s="17"/>
      <c r="Q410" s="17"/>
      <c r="R410" s="17"/>
      <c r="S410" s="17"/>
      <c r="T410" s="17"/>
      <c r="U410" s="17"/>
      <c r="V410" s="17"/>
    </row>
    <row r="411" spans="1:22" ht="14.25" customHeight="1">
      <c r="A411" s="17"/>
      <c r="B411" s="17"/>
      <c r="C411" s="37"/>
      <c r="D411" s="37"/>
      <c r="E411" s="37"/>
      <c r="F411" s="37"/>
      <c r="G411" s="37"/>
      <c r="H411" s="37"/>
      <c r="I411" s="37"/>
      <c r="J411" s="37"/>
      <c r="K411" s="37"/>
      <c r="O411" s="17"/>
      <c r="P411" s="17"/>
      <c r="Q411" s="17"/>
      <c r="R411" s="17"/>
      <c r="S411" s="17"/>
      <c r="T411" s="17"/>
      <c r="U411" s="17"/>
      <c r="V411" s="17"/>
    </row>
    <row r="412" spans="1:22" ht="14.25" customHeight="1">
      <c r="A412" s="17"/>
      <c r="B412" s="17"/>
      <c r="C412" s="37"/>
      <c r="D412" s="37"/>
      <c r="E412" s="37"/>
      <c r="F412" s="37"/>
      <c r="G412" s="37"/>
      <c r="H412" s="37"/>
      <c r="I412" s="37"/>
      <c r="J412" s="37"/>
      <c r="K412" s="37"/>
      <c r="O412" s="17"/>
      <c r="P412" s="17"/>
      <c r="Q412" s="17"/>
      <c r="R412" s="17"/>
      <c r="S412" s="17"/>
      <c r="T412" s="17"/>
      <c r="U412" s="17"/>
      <c r="V412" s="17"/>
    </row>
    <row r="413" spans="1:22" ht="14.25" customHeight="1">
      <c r="A413" s="17"/>
      <c r="B413" s="17"/>
      <c r="C413" s="37"/>
      <c r="D413" s="37"/>
      <c r="E413" s="37"/>
      <c r="F413" s="37"/>
      <c r="G413" s="37"/>
      <c r="H413" s="37"/>
      <c r="I413" s="37"/>
      <c r="J413" s="37"/>
      <c r="K413" s="37"/>
      <c r="O413" s="17"/>
      <c r="P413" s="17"/>
      <c r="Q413" s="17"/>
      <c r="R413" s="17"/>
      <c r="S413" s="17"/>
      <c r="T413" s="17"/>
      <c r="U413" s="17"/>
      <c r="V413" s="17"/>
    </row>
    <row r="414" spans="1:22" ht="14.25" customHeight="1">
      <c r="A414" s="17"/>
      <c r="B414" s="17"/>
      <c r="C414" s="37"/>
      <c r="D414" s="37"/>
      <c r="E414" s="37"/>
      <c r="F414" s="37"/>
      <c r="G414" s="37"/>
      <c r="H414" s="37"/>
      <c r="I414" s="37"/>
      <c r="J414" s="37"/>
      <c r="K414" s="37"/>
      <c r="O414" s="17"/>
      <c r="P414" s="17"/>
      <c r="Q414" s="17"/>
      <c r="R414" s="17"/>
      <c r="S414" s="17"/>
      <c r="T414" s="17"/>
      <c r="U414" s="17"/>
      <c r="V414" s="17"/>
    </row>
    <row r="415" spans="1:22" ht="14.25" customHeight="1">
      <c r="A415" s="17"/>
      <c r="B415" s="17"/>
      <c r="C415" s="37"/>
      <c r="D415" s="37"/>
      <c r="E415" s="37"/>
      <c r="F415" s="37"/>
      <c r="G415" s="37"/>
      <c r="H415" s="37"/>
      <c r="I415" s="37"/>
      <c r="J415" s="37"/>
      <c r="K415" s="37"/>
      <c r="O415" s="17"/>
      <c r="P415" s="17"/>
      <c r="Q415" s="17"/>
      <c r="R415" s="17"/>
      <c r="S415" s="17"/>
      <c r="T415" s="17"/>
      <c r="U415" s="17"/>
      <c r="V415" s="17"/>
    </row>
    <row r="416" spans="1:22" ht="14.25" customHeight="1">
      <c r="A416" s="17"/>
      <c r="B416" s="17"/>
      <c r="C416" s="37"/>
      <c r="D416" s="37"/>
      <c r="E416" s="37"/>
      <c r="F416" s="37"/>
      <c r="G416" s="37"/>
      <c r="H416" s="37"/>
      <c r="I416" s="37"/>
      <c r="J416" s="37"/>
      <c r="K416" s="37"/>
      <c r="O416" s="17"/>
      <c r="P416" s="17"/>
      <c r="Q416" s="17"/>
      <c r="R416" s="17"/>
      <c r="S416" s="17"/>
      <c r="T416" s="17"/>
      <c r="U416" s="17"/>
      <c r="V416" s="17"/>
    </row>
    <row r="417" spans="1:22" ht="14.25" customHeight="1">
      <c r="A417" s="17"/>
      <c r="B417" s="17"/>
      <c r="C417" s="37"/>
      <c r="D417" s="37"/>
      <c r="E417" s="37"/>
      <c r="F417" s="37"/>
      <c r="G417" s="37"/>
      <c r="H417" s="37"/>
      <c r="I417" s="37"/>
      <c r="J417" s="37"/>
      <c r="K417" s="37"/>
      <c r="O417" s="17"/>
      <c r="P417" s="17"/>
      <c r="Q417" s="17"/>
      <c r="R417" s="17"/>
      <c r="S417" s="17"/>
      <c r="T417" s="17"/>
      <c r="U417" s="17"/>
      <c r="V417" s="17"/>
    </row>
    <row r="418" spans="1:22" ht="14.25" customHeight="1">
      <c r="A418" s="17"/>
      <c r="B418" s="17"/>
      <c r="C418" s="37"/>
      <c r="D418" s="37"/>
      <c r="E418" s="37"/>
      <c r="F418" s="37"/>
      <c r="G418" s="37"/>
      <c r="H418" s="37"/>
      <c r="I418" s="37"/>
      <c r="J418" s="37"/>
      <c r="K418" s="37"/>
      <c r="O418" s="17"/>
      <c r="P418" s="17"/>
      <c r="Q418" s="17"/>
      <c r="R418" s="17"/>
      <c r="S418" s="17"/>
      <c r="T418" s="17"/>
      <c r="U418" s="17"/>
      <c r="V418" s="17"/>
    </row>
    <row r="419" spans="1:22" ht="14.25" customHeight="1">
      <c r="A419" s="17"/>
      <c r="B419" s="17"/>
      <c r="C419" s="37"/>
      <c r="D419" s="37"/>
      <c r="E419" s="37"/>
      <c r="F419" s="37"/>
      <c r="G419" s="37"/>
      <c r="H419" s="37"/>
      <c r="I419" s="37"/>
      <c r="J419" s="37"/>
      <c r="K419" s="37"/>
      <c r="O419" s="17"/>
      <c r="P419" s="17"/>
      <c r="Q419" s="17"/>
      <c r="R419" s="17"/>
      <c r="S419" s="17"/>
      <c r="T419" s="17"/>
      <c r="U419" s="17"/>
      <c r="V419" s="17"/>
    </row>
    <row r="420" spans="1:22" ht="14.25" customHeight="1">
      <c r="A420" s="17"/>
      <c r="B420" s="17"/>
      <c r="C420" s="37"/>
      <c r="D420" s="37"/>
      <c r="E420" s="37"/>
      <c r="F420" s="37"/>
      <c r="G420" s="37"/>
      <c r="H420" s="37"/>
      <c r="I420" s="37"/>
      <c r="J420" s="37"/>
      <c r="K420" s="37"/>
      <c r="O420" s="17"/>
      <c r="P420" s="17"/>
      <c r="Q420" s="17"/>
      <c r="R420" s="17"/>
      <c r="S420" s="17"/>
      <c r="T420" s="17"/>
      <c r="U420" s="17"/>
      <c r="V420" s="17"/>
    </row>
    <row r="421" spans="1:22" ht="14.25" customHeight="1">
      <c r="A421" s="17"/>
      <c r="B421" s="17"/>
      <c r="C421" s="37"/>
      <c r="D421" s="37"/>
      <c r="E421" s="37"/>
      <c r="F421" s="37"/>
      <c r="G421" s="37"/>
      <c r="H421" s="37"/>
      <c r="I421" s="37"/>
      <c r="J421" s="37"/>
      <c r="K421" s="37"/>
      <c r="O421" s="17"/>
      <c r="P421" s="17"/>
      <c r="Q421" s="17"/>
      <c r="R421" s="17"/>
      <c r="S421" s="17"/>
      <c r="T421" s="17"/>
      <c r="U421" s="17"/>
      <c r="V421" s="17"/>
    </row>
    <row r="422" spans="1:22" ht="14.25" customHeight="1">
      <c r="A422" s="17"/>
      <c r="B422" s="17"/>
      <c r="C422" s="37"/>
      <c r="D422" s="37"/>
      <c r="E422" s="37"/>
      <c r="F422" s="37"/>
      <c r="G422" s="37"/>
      <c r="H422" s="37"/>
      <c r="I422" s="37"/>
      <c r="J422" s="37"/>
      <c r="K422" s="37"/>
      <c r="O422" s="17"/>
      <c r="P422" s="17"/>
      <c r="Q422" s="17"/>
      <c r="R422" s="17"/>
      <c r="S422" s="17"/>
      <c r="T422" s="17"/>
      <c r="U422" s="17"/>
      <c r="V422" s="17"/>
    </row>
    <row r="423" spans="1:22" ht="14.25" customHeight="1">
      <c r="A423" s="17"/>
      <c r="B423" s="17"/>
      <c r="C423" s="37"/>
      <c r="D423" s="37"/>
      <c r="E423" s="37"/>
      <c r="F423" s="37"/>
      <c r="G423" s="37"/>
      <c r="H423" s="37"/>
      <c r="I423" s="37"/>
      <c r="J423" s="37"/>
      <c r="K423" s="37"/>
      <c r="O423" s="17"/>
      <c r="P423" s="17"/>
      <c r="Q423" s="17"/>
      <c r="R423" s="17"/>
      <c r="S423" s="17"/>
      <c r="T423" s="17"/>
      <c r="U423" s="17"/>
      <c r="V423" s="17"/>
    </row>
    <row r="424" spans="1:22" ht="14.25" customHeight="1">
      <c r="A424" s="17"/>
      <c r="B424" s="17"/>
      <c r="C424" s="37"/>
      <c r="D424" s="37"/>
      <c r="E424" s="37"/>
      <c r="F424" s="37"/>
      <c r="G424" s="37"/>
      <c r="H424" s="37"/>
      <c r="I424" s="37"/>
      <c r="J424" s="37"/>
      <c r="K424" s="37"/>
      <c r="O424" s="17"/>
      <c r="P424" s="17"/>
      <c r="Q424" s="17"/>
      <c r="R424" s="17"/>
      <c r="S424" s="17"/>
      <c r="T424" s="17"/>
      <c r="U424" s="17"/>
      <c r="V424" s="17"/>
    </row>
    <row r="425" spans="1:22" ht="14.25" customHeight="1">
      <c r="A425" s="17"/>
      <c r="B425" s="17"/>
      <c r="C425" s="37"/>
      <c r="D425" s="37"/>
      <c r="E425" s="37"/>
      <c r="F425" s="37"/>
      <c r="G425" s="37"/>
      <c r="H425" s="37"/>
      <c r="I425" s="37"/>
      <c r="J425" s="37"/>
      <c r="K425" s="37"/>
      <c r="O425" s="17"/>
      <c r="P425" s="17"/>
      <c r="Q425" s="17"/>
      <c r="R425" s="17"/>
      <c r="S425" s="17"/>
      <c r="T425" s="17"/>
      <c r="U425" s="17"/>
      <c r="V425" s="17"/>
    </row>
    <row r="426" spans="1:22" ht="14.25" customHeight="1">
      <c r="A426" s="17"/>
      <c r="B426" s="17"/>
      <c r="C426" s="37"/>
      <c r="D426" s="37"/>
      <c r="E426" s="37"/>
      <c r="F426" s="37"/>
      <c r="G426" s="37"/>
      <c r="H426" s="37"/>
      <c r="I426" s="37"/>
      <c r="J426" s="37"/>
      <c r="K426" s="37"/>
      <c r="O426" s="17"/>
      <c r="P426" s="17"/>
      <c r="Q426" s="17"/>
      <c r="R426" s="17"/>
      <c r="S426" s="17"/>
      <c r="T426" s="17"/>
      <c r="U426" s="17"/>
      <c r="V426" s="17"/>
    </row>
    <row r="427" spans="1:22" ht="14.25" customHeight="1">
      <c r="A427" s="17"/>
      <c r="B427" s="17"/>
      <c r="C427" s="37"/>
      <c r="D427" s="37"/>
      <c r="E427" s="37"/>
      <c r="F427" s="37"/>
      <c r="G427" s="37"/>
      <c r="H427" s="37"/>
      <c r="I427" s="37"/>
      <c r="J427" s="37"/>
      <c r="K427" s="37"/>
      <c r="O427" s="17"/>
      <c r="P427" s="17"/>
      <c r="Q427" s="17"/>
      <c r="R427" s="17"/>
      <c r="S427" s="17"/>
      <c r="T427" s="17"/>
      <c r="U427" s="17"/>
      <c r="V427" s="17"/>
    </row>
    <row r="428" spans="1:22" ht="14.25" customHeight="1">
      <c r="A428" s="17"/>
      <c r="B428" s="17"/>
      <c r="C428" s="37"/>
      <c r="D428" s="37"/>
      <c r="E428" s="37"/>
      <c r="F428" s="37"/>
      <c r="G428" s="37"/>
      <c r="H428" s="37"/>
      <c r="I428" s="37"/>
      <c r="J428" s="37"/>
      <c r="K428" s="37"/>
      <c r="O428" s="17"/>
      <c r="P428" s="17"/>
      <c r="Q428" s="17"/>
      <c r="R428" s="17"/>
      <c r="S428" s="17"/>
      <c r="T428" s="17"/>
      <c r="U428" s="17"/>
      <c r="V428" s="17"/>
    </row>
    <row r="429" spans="1:22" ht="14.25" customHeight="1">
      <c r="A429" s="17"/>
      <c r="B429" s="17"/>
      <c r="C429" s="37"/>
      <c r="D429" s="37"/>
      <c r="E429" s="37"/>
      <c r="F429" s="37"/>
      <c r="G429" s="37"/>
      <c r="H429" s="37"/>
      <c r="I429" s="37"/>
      <c r="J429" s="37"/>
      <c r="K429" s="37"/>
      <c r="O429" s="17"/>
      <c r="P429" s="17"/>
      <c r="Q429" s="17"/>
      <c r="R429" s="17"/>
      <c r="S429" s="17"/>
      <c r="T429" s="17"/>
      <c r="U429" s="17"/>
      <c r="V429" s="17"/>
    </row>
    <row r="430" spans="1:22" ht="14.25" customHeight="1">
      <c r="A430" s="17"/>
      <c r="B430" s="17"/>
      <c r="C430" s="37"/>
      <c r="D430" s="37"/>
      <c r="E430" s="37"/>
      <c r="F430" s="37"/>
      <c r="G430" s="37"/>
      <c r="H430" s="37"/>
      <c r="I430" s="37"/>
      <c r="J430" s="37"/>
      <c r="K430" s="37"/>
      <c r="O430" s="17"/>
      <c r="P430" s="17"/>
      <c r="Q430" s="17"/>
      <c r="R430" s="17"/>
      <c r="S430" s="17"/>
      <c r="T430" s="17"/>
      <c r="U430" s="17"/>
      <c r="V430" s="17"/>
    </row>
    <row r="431" spans="1:22" ht="14.25" customHeight="1">
      <c r="A431" s="17"/>
      <c r="B431" s="17"/>
      <c r="C431" s="37"/>
      <c r="D431" s="37"/>
      <c r="E431" s="37"/>
      <c r="F431" s="37"/>
      <c r="G431" s="37"/>
      <c r="H431" s="37"/>
      <c r="I431" s="37"/>
      <c r="J431" s="37"/>
      <c r="K431" s="37"/>
      <c r="O431" s="17"/>
      <c r="P431" s="17"/>
      <c r="Q431" s="17"/>
      <c r="R431" s="17"/>
      <c r="S431" s="17"/>
      <c r="T431" s="17"/>
      <c r="U431" s="17"/>
      <c r="V431" s="17"/>
    </row>
    <row r="432" spans="1:22" ht="14.25" customHeight="1">
      <c r="A432" s="17"/>
      <c r="B432" s="17"/>
      <c r="C432" s="37"/>
      <c r="D432" s="37"/>
      <c r="E432" s="37"/>
      <c r="F432" s="37"/>
      <c r="G432" s="37"/>
      <c r="H432" s="37"/>
      <c r="I432" s="37"/>
      <c r="J432" s="37"/>
      <c r="K432" s="37"/>
      <c r="O432" s="17"/>
      <c r="P432" s="17"/>
      <c r="Q432" s="17"/>
      <c r="R432" s="17"/>
      <c r="S432" s="17"/>
      <c r="T432" s="17"/>
      <c r="U432" s="17"/>
      <c r="V432" s="17"/>
    </row>
    <row r="433" spans="1:22" ht="14.25" customHeight="1">
      <c r="A433" s="17"/>
      <c r="B433" s="17"/>
      <c r="C433" s="37"/>
      <c r="D433" s="37"/>
      <c r="E433" s="37"/>
      <c r="F433" s="37"/>
      <c r="G433" s="37"/>
      <c r="H433" s="37"/>
      <c r="I433" s="37"/>
      <c r="J433" s="37"/>
      <c r="K433" s="37"/>
      <c r="O433" s="17"/>
      <c r="P433" s="17"/>
      <c r="Q433" s="17"/>
      <c r="R433" s="17"/>
      <c r="S433" s="17"/>
      <c r="T433" s="17"/>
      <c r="U433" s="17"/>
      <c r="V433" s="17"/>
    </row>
    <row r="434" spans="1:22" ht="14.25" customHeight="1">
      <c r="A434" s="17"/>
      <c r="B434" s="17"/>
      <c r="C434" s="37"/>
      <c r="D434" s="37"/>
      <c r="E434" s="37"/>
      <c r="F434" s="37"/>
      <c r="G434" s="37"/>
      <c r="H434" s="37"/>
      <c r="I434" s="37"/>
      <c r="J434" s="37"/>
      <c r="K434" s="37"/>
      <c r="O434" s="17"/>
      <c r="P434" s="17"/>
      <c r="Q434" s="17"/>
      <c r="R434" s="17"/>
      <c r="S434" s="17"/>
      <c r="T434" s="17"/>
      <c r="U434" s="17"/>
      <c r="V434" s="17"/>
    </row>
    <row r="435" spans="1:22" ht="14.25" customHeight="1">
      <c r="A435" s="17"/>
      <c r="B435" s="17"/>
      <c r="C435" s="37"/>
      <c r="D435" s="37"/>
      <c r="E435" s="37"/>
      <c r="F435" s="37"/>
      <c r="G435" s="37"/>
      <c r="H435" s="37"/>
      <c r="I435" s="37"/>
      <c r="J435" s="37"/>
      <c r="K435" s="37"/>
      <c r="O435" s="17"/>
      <c r="P435" s="17"/>
      <c r="Q435" s="17"/>
      <c r="R435" s="17"/>
      <c r="S435" s="17"/>
      <c r="T435" s="17"/>
      <c r="U435" s="17"/>
      <c r="V435" s="17"/>
    </row>
    <row r="436" spans="1:22" ht="14.25" customHeight="1">
      <c r="A436" s="17"/>
      <c r="B436" s="17"/>
      <c r="C436" s="37"/>
      <c r="D436" s="37"/>
      <c r="E436" s="37"/>
      <c r="F436" s="37"/>
      <c r="G436" s="37"/>
      <c r="H436" s="37"/>
      <c r="I436" s="37"/>
      <c r="J436" s="37"/>
      <c r="K436" s="37"/>
      <c r="O436" s="17"/>
      <c r="P436" s="17"/>
      <c r="Q436" s="17"/>
      <c r="R436" s="17"/>
      <c r="S436" s="17"/>
      <c r="T436" s="17"/>
      <c r="U436" s="17"/>
      <c r="V436" s="17"/>
    </row>
    <row r="437" spans="1:22" ht="14.25" customHeight="1">
      <c r="A437" s="17"/>
      <c r="B437" s="17"/>
      <c r="C437" s="37"/>
      <c r="D437" s="37"/>
      <c r="E437" s="37"/>
      <c r="F437" s="37"/>
      <c r="G437" s="37"/>
      <c r="H437" s="37"/>
      <c r="I437" s="37"/>
      <c r="J437" s="37"/>
      <c r="K437" s="37"/>
      <c r="O437" s="17"/>
      <c r="P437" s="17"/>
      <c r="Q437" s="17"/>
      <c r="R437" s="17"/>
      <c r="S437" s="17"/>
      <c r="T437" s="17"/>
      <c r="U437" s="17"/>
      <c r="V437" s="17"/>
    </row>
    <row r="438" spans="1:22" ht="14.25" customHeight="1">
      <c r="A438" s="17"/>
      <c r="B438" s="17"/>
      <c r="C438" s="37"/>
      <c r="D438" s="37"/>
      <c r="E438" s="37"/>
      <c r="F438" s="37"/>
      <c r="G438" s="37"/>
      <c r="H438" s="37"/>
      <c r="I438" s="37"/>
      <c r="J438" s="37"/>
      <c r="K438" s="37"/>
      <c r="O438" s="17"/>
      <c r="P438" s="17"/>
      <c r="Q438" s="17"/>
      <c r="R438" s="17"/>
      <c r="S438" s="17"/>
      <c r="T438" s="17"/>
      <c r="U438" s="17"/>
      <c r="V438" s="17"/>
    </row>
    <row r="439" spans="1:22" ht="14.25" customHeight="1">
      <c r="A439" s="17"/>
      <c r="B439" s="17"/>
      <c r="C439" s="37"/>
      <c r="D439" s="37"/>
      <c r="E439" s="37"/>
      <c r="F439" s="37"/>
      <c r="G439" s="37"/>
      <c r="H439" s="37"/>
      <c r="I439" s="37"/>
      <c r="J439" s="37"/>
      <c r="K439" s="37"/>
      <c r="O439" s="17"/>
      <c r="P439" s="17"/>
      <c r="Q439" s="17"/>
      <c r="R439" s="17"/>
      <c r="S439" s="17"/>
      <c r="T439" s="17"/>
      <c r="U439" s="17"/>
      <c r="V439" s="17"/>
    </row>
    <row r="440" spans="1:22" ht="14.25" customHeight="1">
      <c r="A440" s="17"/>
      <c r="B440" s="17"/>
      <c r="C440" s="37"/>
      <c r="D440" s="37"/>
      <c r="E440" s="37"/>
      <c r="F440" s="37"/>
      <c r="G440" s="37"/>
      <c r="H440" s="37"/>
      <c r="I440" s="37"/>
      <c r="J440" s="37"/>
      <c r="K440" s="37"/>
      <c r="O440" s="17"/>
      <c r="P440" s="17"/>
      <c r="Q440" s="17"/>
      <c r="R440" s="17"/>
      <c r="S440" s="17"/>
      <c r="T440" s="17"/>
      <c r="U440" s="17"/>
      <c r="V440" s="17"/>
    </row>
    <row r="441" spans="1:22" ht="14.25" customHeight="1">
      <c r="A441" s="17"/>
      <c r="B441" s="17"/>
      <c r="C441" s="37"/>
      <c r="D441" s="37"/>
      <c r="E441" s="37"/>
      <c r="F441" s="37"/>
      <c r="G441" s="37"/>
      <c r="H441" s="37"/>
      <c r="I441" s="37"/>
      <c r="J441" s="37"/>
      <c r="K441" s="37"/>
      <c r="O441" s="17"/>
      <c r="P441" s="17"/>
      <c r="Q441" s="17"/>
      <c r="R441" s="17"/>
      <c r="S441" s="17"/>
      <c r="T441" s="17"/>
      <c r="U441" s="17"/>
      <c r="V441" s="17"/>
    </row>
    <row r="442" spans="1:22" ht="14.25" customHeight="1">
      <c r="A442" s="17"/>
      <c r="B442" s="17"/>
      <c r="C442" s="37"/>
      <c r="D442" s="37"/>
      <c r="E442" s="37"/>
      <c r="F442" s="37"/>
      <c r="G442" s="37"/>
      <c r="H442" s="37"/>
      <c r="I442" s="37"/>
      <c r="J442" s="37"/>
      <c r="K442" s="37"/>
      <c r="O442" s="17"/>
      <c r="P442" s="17"/>
      <c r="Q442" s="17"/>
      <c r="R442" s="17"/>
      <c r="S442" s="17"/>
      <c r="T442" s="17"/>
      <c r="U442" s="17"/>
      <c r="V442" s="17"/>
    </row>
    <row r="443" spans="1:22" ht="14.25" customHeight="1">
      <c r="A443" s="17"/>
      <c r="B443" s="17"/>
      <c r="C443" s="37"/>
      <c r="D443" s="37"/>
      <c r="E443" s="37"/>
      <c r="F443" s="37"/>
      <c r="G443" s="37"/>
      <c r="H443" s="37"/>
      <c r="I443" s="37"/>
      <c r="J443" s="37"/>
      <c r="K443" s="37"/>
      <c r="O443" s="17"/>
      <c r="P443" s="17"/>
      <c r="Q443" s="17"/>
      <c r="R443" s="17"/>
      <c r="S443" s="17"/>
      <c r="T443" s="17"/>
      <c r="U443" s="17"/>
      <c r="V443" s="17"/>
    </row>
    <row r="444" spans="1:22" ht="14.25" customHeight="1">
      <c r="A444" s="17"/>
      <c r="B444" s="17"/>
      <c r="C444" s="37"/>
      <c r="D444" s="37"/>
      <c r="E444" s="37"/>
      <c r="F444" s="37"/>
      <c r="G444" s="37"/>
      <c r="H444" s="37"/>
      <c r="I444" s="37"/>
      <c r="J444" s="37"/>
      <c r="K444" s="37"/>
      <c r="O444" s="17"/>
      <c r="P444" s="17"/>
      <c r="Q444" s="17"/>
      <c r="R444" s="17"/>
      <c r="S444" s="17"/>
      <c r="T444" s="17"/>
      <c r="U444" s="17"/>
      <c r="V444" s="17"/>
    </row>
    <row r="445" spans="1:22" ht="14.25" customHeight="1">
      <c r="A445" s="17"/>
      <c r="B445" s="17"/>
      <c r="C445" s="37"/>
      <c r="D445" s="37"/>
      <c r="E445" s="37"/>
      <c r="F445" s="37"/>
      <c r="G445" s="37"/>
      <c r="H445" s="37"/>
      <c r="I445" s="37"/>
      <c r="J445" s="37"/>
      <c r="K445" s="37"/>
      <c r="O445" s="17"/>
      <c r="P445" s="17"/>
      <c r="Q445" s="17"/>
      <c r="R445" s="17"/>
      <c r="S445" s="17"/>
      <c r="T445" s="17"/>
      <c r="U445" s="17"/>
      <c r="V445" s="17"/>
    </row>
    <row r="446" spans="1:22" ht="14.25" customHeight="1">
      <c r="A446" s="17"/>
      <c r="B446" s="17"/>
      <c r="C446" s="37"/>
      <c r="D446" s="37"/>
      <c r="E446" s="37"/>
      <c r="F446" s="37"/>
      <c r="G446" s="37"/>
      <c r="H446" s="37"/>
      <c r="I446" s="37"/>
      <c r="J446" s="37"/>
      <c r="K446" s="37"/>
      <c r="O446" s="17"/>
      <c r="P446" s="17"/>
      <c r="Q446" s="17"/>
      <c r="R446" s="17"/>
      <c r="S446" s="17"/>
      <c r="T446" s="17"/>
      <c r="U446" s="17"/>
      <c r="V446" s="17"/>
    </row>
    <row r="447" spans="1:22" ht="14.25" customHeight="1">
      <c r="A447" s="17"/>
      <c r="B447" s="17"/>
      <c r="C447" s="37"/>
      <c r="D447" s="37"/>
      <c r="E447" s="37"/>
      <c r="F447" s="37"/>
      <c r="G447" s="37"/>
      <c r="H447" s="37"/>
      <c r="I447" s="37"/>
      <c r="J447" s="37"/>
      <c r="K447" s="37"/>
      <c r="O447" s="17"/>
      <c r="P447" s="17"/>
      <c r="Q447" s="17"/>
      <c r="R447" s="17"/>
      <c r="S447" s="17"/>
      <c r="T447" s="17"/>
      <c r="U447" s="17"/>
      <c r="V447" s="17"/>
    </row>
    <row r="448" spans="1:22" ht="14.25" customHeight="1">
      <c r="A448" s="17"/>
      <c r="B448" s="17"/>
      <c r="C448" s="37"/>
      <c r="D448" s="37"/>
      <c r="E448" s="37"/>
      <c r="F448" s="37"/>
      <c r="G448" s="37"/>
      <c r="H448" s="37"/>
      <c r="I448" s="37"/>
      <c r="J448" s="37"/>
      <c r="K448" s="37"/>
      <c r="O448" s="17"/>
      <c r="P448" s="17"/>
      <c r="Q448" s="17"/>
      <c r="R448" s="17"/>
      <c r="S448" s="17"/>
      <c r="T448" s="17"/>
      <c r="U448" s="17"/>
      <c r="V448" s="17"/>
    </row>
    <row r="449" spans="1:22" ht="14.25" customHeight="1">
      <c r="A449" s="17"/>
      <c r="B449" s="17"/>
      <c r="C449" s="37"/>
      <c r="D449" s="37"/>
      <c r="E449" s="37"/>
      <c r="F449" s="37"/>
      <c r="G449" s="37"/>
      <c r="H449" s="37"/>
      <c r="I449" s="37"/>
      <c r="J449" s="37"/>
      <c r="K449" s="37"/>
      <c r="O449" s="17"/>
      <c r="P449" s="17"/>
      <c r="Q449" s="17"/>
      <c r="R449" s="17"/>
      <c r="S449" s="17"/>
      <c r="T449" s="17"/>
      <c r="U449" s="17"/>
      <c r="V449" s="17"/>
    </row>
    <row r="450" spans="1:22" ht="14.25" customHeight="1">
      <c r="A450" s="17"/>
      <c r="B450" s="17"/>
      <c r="C450" s="37"/>
      <c r="D450" s="37"/>
      <c r="E450" s="37"/>
      <c r="F450" s="37"/>
      <c r="G450" s="37"/>
      <c r="H450" s="37"/>
      <c r="I450" s="37"/>
      <c r="J450" s="37"/>
      <c r="K450" s="37"/>
      <c r="O450" s="17"/>
      <c r="P450" s="17"/>
      <c r="Q450" s="17"/>
      <c r="R450" s="17"/>
      <c r="S450" s="17"/>
      <c r="T450" s="17"/>
      <c r="U450" s="17"/>
      <c r="V450" s="17"/>
    </row>
    <row r="451" spans="1:22" ht="14.25" customHeight="1">
      <c r="A451" s="17"/>
      <c r="B451" s="17"/>
      <c r="C451" s="37"/>
      <c r="D451" s="37"/>
      <c r="E451" s="37"/>
      <c r="F451" s="37"/>
      <c r="G451" s="37"/>
      <c r="H451" s="37"/>
      <c r="I451" s="37"/>
      <c r="J451" s="37"/>
      <c r="K451" s="37"/>
      <c r="O451" s="17"/>
      <c r="P451" s="17"/>
      <c r="Q451" s="17"/>
      <c r="R451" s="17"/>
      <c r="S451" s="17"/>
      <c r="T451" s="17"/>
      <c r="U451" s="17"/>
      <c r="V451" s="17"/>
    </row>
    <row r="452" spans="1:22" ht="14.25" customHeight="1">
      <c r="A452" s="17"/>
      <c r="B452" s="17"/>
      <c r="C452" s="37"/>
      <c r="D452" s="37"/>
      <c r="E452" s="37"/>
      <c r="F452" s="37"/>
      <c r="G452" s="37"/>
      <c r="H452" s="37"/>
      <c r="I452" s="37"/>
      <c r="J452" s="37"/>
      <c r="K452" s="37"/>
      <c r="O452" s="17"/>
      <c r="P452" s="17"/>
      <c r="Q452" s="17"/>
      <c r="R452" s="17"/>
      <c r="S452" s="17"/>
      <c r="T452" s="17"/>
      <c r="U452" s="17"/>
      <c r="V452" s="17"/>
    </row>
    <row r="453" spans="1:22" ht="14.25" customHeight="1">
      <c r="A453" s="17"/>
      <c r="B453" s="17"/>
      <c r="C453" s="37"/>
      <c r="D453" s="37"/>
      <c r="E453" s="37"/>
      <c r="F453" s="37"/>
      <c r="G453" s="37"/>
      <c r="H453" s="37"/>
      <c r="I453" s="37"/>
      <c r="J453" s="37"/>
      <c r="K453" s="37"/>
      <c r="O453" s="17"/>
      <c r="P453" s="17"/>
      <c r="Q453" s="17"/>
      <c r="R453" s="17"/>
      <c r="S453" s="17"/>
      <c r="T453" s="17"/>
      <c r="U453" s="17"/>
      <c r="V453" s="17"/>
    </row>
    <row r="454" spans="1:22" ht="14.25" customHeight="1">
      <c r="A454" s="17"/>
      <c r="B454" s="17"/>
      <c r="C454" s="37"/>
      <c r="D454" s="37"/>
      <c r="E454" s="37"/>
      <c r="F454" s="37"/>
      <c r="G454" s="37"/>
      <c r="H454" s="37"/>
      <c r="I454" s="37"/>
      <c r="J454" s="37"/>
      <c r="K454" s="37"/>
      <c r="O454" s="17"/>
      <c r="P454" s="17"/>
      <c r="Q454" s="17"/>
      <c r="R454" s="17"/>
      <c r="S454" s="17"/>
      <c r="T454" s="17"/>
      <c r="U454" s="17"/>
      <c r="V454" s="17"/>
    </row>
    <row r="455" spans="1:22" ht="14.25" customHeight="1">
      <c r="A455" s="17"/>
      <c r="B455" s="17"/>
      <c r="C455" s="37"/>
      <c r="D455" s="37"/>
      <c r="E455" s="37"/>
      <c r="F455" s="37"/>
      <c r="G455" s="37"/>
      <c r="H455" s="37"/>
      <c r="I455" s="37"/>
      <c r="J455" s="37"/>
      <c r="K455" s="37"/>
      <c r="O455" s="17"/>
      <c r="P455" s="17"/>
      <c r="Q455" s="17"/>
      <c r="R455" s="17"/>
      <c r="S455" s="17"/>
      <c r="T455" s="17"/>
      <c r="U455" s="17"/>
      <c r="V455" s="17"/>
    </row>
    <row r="456" spans="1:22" ht="14.25" customHeight="1">
      <c r="A456" s="17"/>
      <c r="B456" s="17"/>
      <c r="C456" s="37"/>
      <c r="D456" s="37"/>
      <c r="E456" s="37"/>
      <c r="F456" s="37"/>
      <c r="G456" s="37"/>
      <c r="H456" s="37"/>
      <c r="I456" s="37"/>
      <c r="J456" s="37"/>
      <c r="K456" s="37"/>
      <c r="O456" s="17"/>
      <c r="P456" s="17"/>
      <c r="Q456" s="17"/>
      <c r="R456" s="17"/>
      <c r="S456" s="17"/>
      <c r="T456" s="17"/>
      <c r="U456" s="17"/>
      <c r="V456" s="17"/>
    </row>
    <row r="457" spans="1:22" ht="14.25" customHeight="1">
      <c r="A457" s="17"/>
      <c r="B457" s="17"/>
      <c r="C457" s="37"/>
      <c r="D457" s="37"/>
      <c r="E457" s="37"/>
      <c r="F457" s="37"/>
      <c r="G457" s="37"/>
      <c r="H457" s="37"/>
      <c r="I457" s="37"/>
      <c r="J457" s="37"/>
      <c r="K457" s="37"/>
      <c r="O457" s="17"/>
      <c r="P457" s="17"/>
      <c r="Q457" s="17"/>
      <c r="R457" s="17"/>
      <c r="S457" s="17"/>
      <c r="T457" s="17"/>
      <c r="U457" s="17"/>
      <c r="V457" s="17"/>
    </row>
    <row r="458" spans="1:22" ht="14.25" customHeight="1">
      <c r="A458" s="17"/>
      <c r="B458" s="17"/>
      <c r="C458" s="37"/>
      <c r="D458" s="37"/>
      <c r="E458" s="37"/>
      <c r="F458" s="37"/>
      <c r="G458" s="37"/>
      <c r="H458" s="37"/>
      <c r="I458" s="37"/>
      <c r="J458" s="37"/>
      <c r="K458" s="37"/>
      <c r="O458" s="17"/>
      <c r="P458" s="17"/>
      <c r="Q458" s="17"/>
      <c r="R458" s="17"/>
      <c r="S458" s="17"/>
      <c r="T458" s="17"/>
      <c r="U458" s="17"/>
      <c r="V458" s="17"/>
    </row>
    <row r="459" spans="1:22" ht="14.25" customHeight="1">
      <c r="A459" s="17"/>
      <c r="B459" s="17"/>
      <c r="C459" s="37"/>
      <c r="D459" s="37"/>
      <c r="E459" s="37"/>
      <c r="F459" s="37"/>
      <c r="G459" s="37"/>
      <c r="H459" s="37"/>
      <c r="I459" s="37"/>
      <c r="J459" s="37"/>
      <c r="K459" s="37"/>
      <c r="O459" s="17"/>
      <c r="P459" s="17"/>
      <c r="Q459" s="17"/>
      <c r="R459" s="17"/>
      <c r="S459" s="17"/>
      <c r="T459" s="17"/>
      <c r="U459" s="17"/>
      <c r="V459" s="17"/>
    </row>
    <row r="460" spans="1:22" ht="14.25" customHeight="1">
      <c r="A460" s="17"/>
      <c r="B460" s="17"/>
      <c r="C460" s="37"/>
      <c r="D460" s="37"/>
      <c r="E460" s="37"/>
      <c r="F460" s="37"/>
      <c r="G460" s="37"/>
      <c r="H460" s="37"/>
      <c r="I460" s="37"/>
      <c r="J460" s="37"/>
      <c r="K460" s="37"/>
      <c r="O460" s="17"/>
      <c r="P460" s="17"/>
      <c r="Q460" s="17"/>
      <c r="R460" s="17"/>
      <c r="S460" s="17"/>
      <c r="T460" s="17"/>
      <c r="U460" s="17"/>
      <c r="V460" s="17"/>
    </row>
    <row r="461" spans="1:22" ht="14.25" customHeight="1">
      <c r="A461" s="17"/>
      <c r="B461" s="17"/>
      <c r="C461" s="37"/>
      <c r="D461" s="37"/>
      <c r="E461" s="37"/>
      <c r="F461" s="37"/>
      <c r="G461" s="37"/>
      <c r="H461" s="37"/>
      <c r="I461" s="37"/>
      <c r="J461" s="37"/>
      <c r="K461" s="37"/>
      <c r="O461" s="17"/>
      <c r="P461" s="17"/>
      <c r="Q461" s="17"/>
      <c r="R461" s="17"/>
      <c r="S461" s="17"/>
      <c r="T461" s="17"/>
      <c r="U461" s="17"/>
      <c r="V461" s="17"/>
    </row>
    <row r="462" spans="1:22" ht="14.25" customHeight="1">
      <c r="A462" s="17"/>
      <c r="B462" s="17"/>
      <c r="C462" s="37"/>
      <c r="D462" s="37"/>
      <c r="E462" s="37"/>
      <c r="F462" s="37"/>
      <c r="G462" s="37"/>
      <c r="H462" s="37"/>
      <c r="I462" s="37"/>
      <c r="J462" s="37"/>
      <c r="K462" s="37"/>
      <c r="O462" s="17"/>
      <c r="P462" s="17"/>
      <c r="Q462" s="17"/>
      <c r="R462" s="17"/>
      <c r="S462" s="17"/>
      <c r="T462" s="17"/>
      <c r="U462" s="17"/>
      <c r="V462" s="17"/>
    </row>
    <row r="463" spans="1:22" ht="14.25" customHeight="1">
      <c r="A463" s="17"/>
      <c r="B463" s="17"/>
      <c r="C463" s="37"/>
      <c r="D463" s="37"/>
      <c r="E463" s="37"/>
      <c r="F463" s="37"/>
      <c r="G463" s="37"/>
      <c r="H463" s="37"/>
      <c r="I463" s="37"/>
      <c r="J463" s="37"/>
      <c r="K463" s="37"/>
      <c r="O463" s="17"/>
      <c r="P463" s="17"/>
      <c r="Q463" s="17"/>
      <c r="R463" s="17"/>
      <c r="S463" s="17"/>
      <c r="T463" s="17"/>
      <c r="U463" s="17"/>
      <c r="V463" s="17"/>
    </row>
    <row r="464" spans="1:22" ht="14.25" customHeight="1">
      <c r="A464" s="17"/>
      <c r="B464" s="17"/>
      <c r="C464" s="37"/>
      <c r="D464" s="37"/>
      <c r="E464" s="37"/>
      <c r="F464" s="37"/>
      <c r="G464" s="37"/>
      <c r="H464" s="37"/>
      <c r="I464" s="37"/>
      <c r="J464" s="37"/>
      <c r="K464" s="37"/>
      <c r="O464" s="17"/>
      <c r="P464" s="17"/>
      <c r="Q464" s="17"/>
      <c r="R464" s="17"/>
      <c r="S464" s="17"/>
      <c r="T464" s="17"/>
      <c r="U464" s="17"/>
      <c r="V464" s="17"/>
    </row>
    <row r="465" spans="1:22" ht="14.25" customHeight="1">
      <c r="A465" s="17"/>
      <c r="B465" s="17"/>
      <c r="C465" s="37"/>
      <c r="D465" s="37"/>
      <c r="E465" s="37"/>
      <c r="F465" s="37"/>
      <c r="G465" s="37"/>
      <c r="H465" s="37"/>
      <c r="I465" s="37"/>
      <c r="J465" s="37"/>
      <c r="K465" s="37"/>
      <c r="O465" s="17"/>
      <c r="P465" s="17"/>
      <c r="Q465" s="17"/>
      <c r="R465" s="17"/>
      <c r="S465" s="17"/>
      <c r="T465" s="17"/>
      <c r="U465" s="17"/>
      <c r="V465" s="17"/>
    </row>
    <row r="466" spans="1:22" ht="14.25" customHeight="1">
      <c r="A466" s="17"/>
      <c r="B466" s="17"/>
      <c r="C466" s="37"/>
      <c r="D466" s="37"/>
      <c r="E466" s="37"/>
      <c r="F466" s="37"/>
      <c r="G466" s="37"/>
      <c r="H466" s="37"/>
      <c r="I466" s="37"/>
      <c r="J466" s="37"/>
      <c r="K466" s="37"/>
      <c r="O466" s="17"/>
      <c r="P466" s="17"/>
      <c r="Q466" s="17"/>
      <c r="R466" s="17"/>
      <c r="S466" s="17"/>
      <c r="T466" s="17"/>
      <c r="U466" s="17"/>
      <c r="V466" s="17"/>
    </row>
    <row r="467" spans="1:22" ht="14.25" customHeight="1">
      <c r="A467" s="17"/>
      <c r="B467" s="17"/>
      <c r="C467" s="37"/>
      <c r="D467" s="37"/>
      <c r="E467" s="37"/>
      <c r="F467" s="37"/>
      <c r="G467" s="37"/>
      <c r="H467" s="37"/>
      <c r="I467" s="37"/>
      <c r="J467" s="37"/>
      <c r="K467" s="37"/>
      <c r="O467" s="17"/>
      <c r="P467" s="17"/>
      <c r="Q467" s="17"/>
      <c r="R467" s="17"/>
      <c r="S467" s="17"/>
      <c r="T467" s="17"/>
      <c r="U467" s="17"/>
      <c r="V467" s="17"/>
    </row>
    <row r="468" spans="1:22" ht="14.25" customHeight="1">
      <c r="A468" s="17"/>
      <c r="B468" s="17"/>
      <c r="C468" s="37"/>
      <c r="D468" s="37"/>
      <c r="E468" s="37"/>
      <c r="F468" s="37"/>
      <c r="G468" s="37"/>
      <c r="H468" s="37"/>
      <c r="I468" s="37"/>
      <c r="J468" s="37"/>
      <c r="K468" s="37"/>
      <c r="O468" s="17"/>
      <c r="P468" s="17"/>
      <c r="Q468" s="17"/>
      <c r="R468" s="17"/>
      <c r="S468" s="17"/>
      <c r="T468" s="17"/>
      <c r="U468" s="17"/>
      <c r="V468" s="17"/>
    </row>
    <row r="469" spans="1:22" ht="14.25" customHeight="1">
      <c r="A469" s="17"/>
      <c r="B469" s="17"/>
      <c r="C469" s="37"/>
      <c r="D469" s="37"/>
      <c r="E469" s="37"/>
      <c r="F469" s="37"/>
      <c r="G469" s="37"/>
      <c r="H469" s="37"/>
      <c r="I469" s="37"/>
      <c r="J469" s="37"/>
      <c r="K469" s="37"/>
      <c r="O469" s="17"/>
      <c r="P469" s="17"/>
      <c r="Q469" s="17"/>
      <c r="R469" s="17"/>
      <c r="S469" s="17"/>
      <c r="T469" s="17"/>
      <c r="U469" s="17"/>
      <c r="V469" s="17"/>
    </row>
    <row r="470" spans="1:22" ht="14.25" customHeight="1">
      <c r="A470" s="17"/>
      <c r="B470" s="17"/>
      <c r="C470" s="37"/>
      <c r="D470" s="37"/>
      <c r="E470" s="37"/>
      <c r="F470" s="37"/>
      <c r="G470" s="37"/>
      <c r="H470" s="37"/>
      <c r="I470" s="37"/>
      <c r="J470" s="37"/>
      <c r="K470" s="37"/>
      <c r="O470" s="17"/>
      <c r="P470" s="17"/>
      <c r="Q470" s="17"/>
      <c r="R470" s="17"/>
      <c r="S470" s="17"/>
      <c r="T470" s="17"/>
      <c r="U470" s="17"/>
      <c r="V470" s="17"/>
    </row>
    <row r="471" spans="1:22" ht="14.25" customHeight="1">
      <c r="A471" s="17"/>
      <c r="B471" s="17"/>
      <c r="C471" s="37"/>
      <c r="D471" s="37"/>
      <c r="E471" s="37"/>
      <c r="F471" s="37"/>
      <c r="G471" s="37"/>
      <c r="H471" s="37"/>
      <c r="I471" s="37"/>
      <c r="J471" s="37"/>
      <c r="K471" s="37"/>
      <c r="O471" s="17"/>
      <c r="P471" s="17"/>
      <c r="Q471" s="17"/>
      <c r="R471" s="17"/>
      <c r="S471" s="17"/>
      <c r="T471" s="17"/>
      <c r="U471" s="17"/>
      <c r="V471" s="17"/>
    </row>
    <row r="472" spans="1:22" ht="14.25" customHeight="1">
      <c r="A472" s="17"/>
      <c r="B472" s="17"/>
      <c r="C472" s="37"/>
      <c r="D472" s="37"/>
      <c r="E472" s="37"/>
      <c r="F472" s="37"/>
      <c r="G472" s="37"/>
      <c r="H472" s="37"/>
      <c r="I472" s="37"/>
      <c r="J472" s="37"/>
      <c r="K472" s="37"/>
      <c r="O472" s="17"/>
      <c r="P472" s="17"/>
      <c r="Q472" s="17"/>
      <c r="R472" s="17"/>
      <c r="S472" s="17"/>
      <c r="T472" s="17"/>
      <c r="U472" s="17"/>
      <c r="V472" s="17"/>
    </row>
    <row r="473" spans="1:22" ht="14.25" customHeight="1">
      <c r="A473" s="17"/>
      <c r="B473" s="17"/>
      <c r="C473" s="37"/>
      <c r="D473" s="37"/>
      <c r="E473" s="37"/>
      <c r="F473" s="37"/>
      <c r="G473" s="37"/>
      <c r="H473" s="37"/>
      <c r="I473" s="37"/>
      <c r="J473" s="37"/>
      <c r="K473" s="37"/>
      <c r="O473" s="17"/>
      <c r="P473" s="17"/>
      <c r="Q473" s="17"/>
      <c r="R473" s="17"/>
      <c r="S473" s="17"/>
      <c r="T473" s="17"/>
      <c r="U473" s="17"/>
      <c r="V473" s="17"/>
    </row>
    <row r="474" spans="1:22" ht="14.25" customHeight="1">
      <c r="A474" s="17"/>
      <c r="B474" s="17"/>
      <c r="C474" s="37"/>
      <c r="D474" s="37"/>
      <c r="E474" s="37"/>
      <c r="F474" s="37"/>
      <c r="G474" s="37"/>
      <c r="H474" s="37"/>
      <c r="I474" s="37"/>
      <c r="J474" s="37"/>
      <c r="K474" s="37"/>
      <c r="O474" s="17"/>
      <c r="P474" s="17"/>
      <c r="Q474" s="17"/>
      <c r="R474" s="17"/>
      <c r="S474" s="17"/>
      <c r="T474" s="17"/>
      <c r="U474" s="17"/>
      <c r="V474" s="17"/>
    </row>
    <row r="475" spans="1:22" ht="14.25" customHeight="1">
      <c r="A475" s="17"/>
      <c r="B475" s="17"/>
      <c r="C475" s="37"/>
      <c r="D475" s="37"/>
      <c r="E475" s="37"/>
      <c r="F475" s="37"/>
      <c r="G475" s="37"/>
      <c r="H475" s="37"/>
      <c r="I475" s="37"/>
      <c r="J475" s="37"/>
      <c r="K475" s="37"/>
      <c r="O475" s="17"/>
      <c r="P475" s="17"/>
      <c r="Q475" s="17"/>
      <c r="R475" s="17"/>
      <c r="S475" s="17"/>
      <c r="T475" s="17"/>
      <c r="U475" s="17"/>
      <c r="V475" s="17"/>
    </row>
    <row r="476" spans="1:22" ht="14.25" customHeight="1">
      <c r="A476" s="17"/>
      <c r="B476" s="17"/>
      <c r="C476" s="37"/>
      <c r="D476" s="37"/>
      <c r="E476" s="37"/>
      <c r="F476" s="37"/>
      <c r="G476" s="37"/>
      <c r="H476" s="37"/>
      <c r="I476" s="37"/>
      <c r="J476" s="37"/>
      <c r="K476" s="37"/>
      <c r="O476" s="17"/>
      <c r="P476" s="17"/>
      <c r="Q476" s="17"/>
      <c r="R476" s="17"/>
      <c r="S476" s="17"/>
      <c r="T476" s="17"/>
      <c r="U476" s="17"/>
      <c r="V476" s="17"/>
    </row>
    <row r="477" spans="1:22" ht="14.25" customHeight="1">
      <c r="A477" s="17"/>
      <c r="B477" s="17"/>
      <c r="C477" s="37"/>
      <c r="D477" s="37"/>
      <c r="E477" s="37"/>
      <c r="F477" s="37"/>
      <c r="G477" s="37"/>
      <c r="H477" s="37"/>
      <c r="I477" s="37"/>
      <c r="J477" s="37"/>
      <c r="K477" s="37"/>
      <c r="O477" s="17"/>
      <c r="P477" s="17"/>
      <c r="Q477" s="17"/>
      <c r="R477" s="17"/>
      <c r="S477" s="17"/>
      <c r="T477" s="17"/>
      <c r="U477" s="17"/>
      <c r="V477" s="17"/>
    </row>
    <row r="478" spans="1:22" ht="14.25" customHeight="1">
      <c r="A478" s="17"/>
      <c r="B478" s="17"/>
      <c r="C478" s="37"/>
      <c r="D478" s="37"/>
      <c r="E478" s="37"/>
      <c r="F478" s="37"/>
      <c r="G478" s="37"/>
      <c r="H478" s="37"/>
      <c r="I478" s="37"/>
      <c r="J478" s="37"/>
      <c r="K478" s="37"/>
      <c r="O478" s="17"/>
      <c r="P478" s="17"/>
      <c r="Q478" s="17"/>
      <c r="R478" s="17"/>
      <c r="S478" s="17"/>
      <c r="T478" s="17"/>
      <c r="U478" s="17"/>
      <c r="V478" s="17"/>
    </row>
    <row r="479" spans="1:22" ht="14.25" customHeight="1">
      <c r="A479" s="17"/>
      <c r="B479" s="17"/>
      <c r="C479" s="37"/>
      <c r="D479" s="37"/>
      <c r="E479" s="37"/>
      <c r="F479" s="37"/>
      <c r="G479" s="37"/>
      <c r="H479" s="37"/>
      <c r="I479" s="37"/>
      <c r="J479" s="37"/>
      <c r="K479" s="37"/>
      <c r="O479" s="17"/>
      <c r="P479" s="17"/>
      <c r="Q479" s="17"/>
      <c r="R479" s="17"/>
      <c r="S479" s="17"/>
      <c r="T479" s="17"/>
      <c r="U479" s="17"/>
      <c r="V479" s="17"/>
    </row>
    <row r="480" spans="1:22" ht="14.25" customHeight="1">
      <c r="A480" s="17"/>
      <c r="B480" s="17"/>
      <c r="C480" s="37"/>
      <c r="D480" s="37"/>
      <c r="E480" s="37"/>
      <c r="F480" s="37"/>
      <c r="G480" s="37"/>
      <c r="H480" s="37"/>
      <c r="I480" s="37"/>
      <c r="J480" s="37"/>
      <c r="K480" s="37"/>
      <c r="O480" s="17"/>
      <c r="P480" s="17"/>
      <c r="Q480" s="17"/>
      <c r="R480" s="17"/>
      <c r="S480" s="17"/>
      <c r="T480" s="17"/>
      <c r="U480" s="17"/>
      <c r="V480" s="17"/>
    </row>
    <row r="481" spans="1:22" ht="14.25" customHeight="1">
      <c r="A481" s="17"/>
      <c r="B481" s="17"/>
      <c r="C481" s="37"/>
      <c r="D481" s="37"/>
      <c r="E481" s="37"/>
      <c r="F481" s="37"/>
      <c r="G481" s="37"/>
      <c r="H481" s="37"/>
      <c r="I481" s="37"/>
      <c r="J481" s="37"/>
      <c r="K481" s="37"/>
      <c r="O481" s="17"/>
      <c r="P481" s="17"/>
      <c r="Q481" s="17"/>
      <c r="R481" s="17"/>
      <c r="S481" s="17"/>
      <c r="T481" s="17"/>
      <c r="U481" s="17"/>
      <c r="V481" s="17"/>
    </row>
    <row r="482" spans="1:22" ht="14.25" customHeight="1">
      <c r="A482" s="17"/>
      <c r="B482" s="17"/>
      <c r="C482" s="37"/>
      <c r="D482" s="37"/>
      <c r="E482" s="37"/>
      <c r="F482" s="37"/>
      <c r="G482" s="37"/>
      <c r="H482" s="37"/>
      <c r="I482" s="37"/>
      <c r="J482" s="37"/>
      <c r="K482" s="37"/>
      <c r="O482" s="17"/>
      <c r="P482" s="17"/>
      <c r="Q482" s="17"/>
      <c r="R482" s="17"/>
      <c r="S482" s="17"/>
      <c r="T482" s="17"/>
      <c r="U482" s="17"/>
      <c r="V482" s="17"/>
    </row>
    <row r="483" spans="1:22" ht="14.25" customHeight="1">
      <c r="A483" s="17"/>
      <c r="B483" s="17"/>
      <c r="C483" s="37"/>
      <c r="D483" s="37"/>
      <c r="E483" s="37"/>
      <c r="F483" s="37"/>
      <c r="G483" s="37"/>
      <c r="H483" s="37"/>
      <c r="I483" s="37"/>
      <c r="J483" s="37"/>
      <c r="K483" s="37"/>
      <c r="O483" s="17"/>
      <c r="P483" s="17"/>
      <c r="Q483" s="17"/>
      <c r="R483" s="17"/>
      <c r="S483" s="17"/>
      <c r="T483" s="17"/>
      <c r="U483" s="17"/>
      <c r="V483" s="17"/>
    </row>
    <row r="484" spans="1:22" ht="14.25" customHeight="1">
      <c r="A484" s="17"/>
      <c r="B484" s="17"/>
      <c r="C484" s="37"/>
      <c r="D484" s="37"/>
      <c r="E484" s="37"/>
      <c r="F484" s="37"/>
      <c r="G484" s="37"/>
      <c r="H484" s="37"/>
      <c r="I484" s="37"/>
      <c r="J484" s="37"/>
      <c r="K484" s="37"/>
      <c r="O484" s="17"/>
      <c r="P484" s="17"/>
      <c r="Q484" s="17"/>
      <c r="R484" s="17"/>
      <c r="S484" s="17"/>
      <c r="T484" s="17"/>
      <c r="U484" s="17"/>
      <c r="V484" s="17"/>
    </row>
    <row r="485" spans="1:22" ht="14.25" customHeight="1">
      <c r="A485" s="17"/>
      <c r="B485" s="17"/>
      <c r="C485" s="37"/>
      <c r="D485" s="37"/>
      <c r="E485" s="37"/>
      <c r="F485" s="37"/>
      <c r="G485" s="37"/>
      <c r="H485" s="37"/>
      <c r="I485" s="37"/>
      <c r="J485" s="37"/>
      <c r="K485" s="37"/>
      <c r="O485" s="17"/>
      <c r="P485" s="17"/>
      <c r="Q485" s="17"/>
      <c r="R485" s="17"/>
      <c r="S485" s="17"/>
      <c r="T485" s="17"/>
      <c r="U485" s="17"/>
      <c r="V485" s="17"/>
    </row>
    <row r="486" spans="1:22" ht="14.25" customHeight="1">
      <c r="A486" s="17"/>
      <c r="B486" s="17"/>
      <c r="C486" s="37"/>
      <c r="D486" s="37"/>
      <c r="E486" s="37"/>
      <c r="F486" s="37"/>
      <c r="G486" s="37"/>
      <c r="H486" s="37"/>
      <c r="I486" s="37"/>
      <c r="J486" s="37"/>
      <c r="K486" s="37"/>
      <c r="O486" s="17"/>
      <c r="P486" s="17"/>
      <c r="Q486" s="17"/>
      <c r="R486" s="17"/>
      <c r="S486" s="17"/>
      <c r="T486" s="17"/>
      <c r="U486" s="17"/>
      <c r="V486" s="17"/>
    </row>
    <row r="487" spans="1:22" ht="14.25" customHeight="1">
      <c r="A487" s="17"/>
      <c r="B487" s="17"/>
      <c r="C487" s="37"/>
      <c r="D487" s="37"/>
      <c r="E487" s="37"/>
      <c r="F487" s="37"/>
      <c r="G487" s="37"/>
      <c r="H487" s="37"/>
      <c r="I487" s="37"/>
      <c r="J487" s="37"/>
      <c r="K487" s="37"/>
      <c r="O487" s="17"/>
      <c r="P487" s="17"/>
      <c r="Q487" s="17"/>
      <c r="R487" s="17"/>
      <c r="S487" s="17"/>
      <c r="T487" s="17"/>
      <c r="U487" s="17"/>
      <c r="V487" s="17"/>
    </row>
    <row r="488" spans="1:22" ht="14.25" customHeight="1">
      <c r="A488" s="17"/>
      <c r="B488" s="17"/>
      <c r="C488" s="37"/>
      <c r="D488" s="37"/>
      <c r="E488" s="37"/>
      <c r="F488" s="37"/>
      <c r="G488" s="37"/>
      <c r="H488" s="37"/>
      <c r="I488" s="37"/>
      <c r="J488" s="37"/>
      <c r="K488" s="37"/>
      <c r="O488" s="17"/>
      <c r="P488" s="17"/>
      <c r="Q488" s="17"/>
      <c r="R488" s="17"/>
      <c r="S488" s="17"/>
      <c r="T488" s="17"/>
      <c r="U488" s="17"/>
      <c r="V488" s="17"/>
    </row>
    <row r="489" spans="1:22" ht="14.25" customHeight="1">
      <c r="A489" s="17"/>
      <c r="B489" s="17"/>
      <c r="C489" s="37"/>
      <c r="D489" s="37"/>
      <c r="E489" s="37"/>
      <c r="F489" s="37"/>
      <c r="G489" s="37"/>
      <c r="H489" s="37"/>
      <c r="I489" s="37"/>
      <c r="J489" s="37"/>
      <c r="K489" s="37"/>
      <c r="O489" s="17"/>
      <c r="P489" s="17"/>
      <c r="Q489" s="17"/>
      <c r="R489" s="17"/>
      <c r="S489" s="17"/>
      <c r="T489" s="17"/>
      <c r="U489" s="17"/>
      <c r="V489" s="17"/>
    </row>
    <row r="490" spans="1:22" ht="14.25" customHeight="1">
      <c r="A490" s="17"/>
      <c r="B490" s="17"/>
      <c r="C490" s="37"/>
      <c r="D490" s="37"/>
      <c r="E490" s="37"/>
      <c r="F490" s="37"/>
      <c r="G490" s="37"/>
      <c r="H490" s="37"/>
      <c r="I490" s="37"/>
      <c r="J490" s="37"/>
      <c r="K490" s="37"/>
      <c r="O490" s="17"/>
      <c r="P490" s="17"/>
      <c r="Q490" s="17"/>
      <c r="R490" s="17"/>
      <c r="S490" s="17"/>
      <c r="T490" s="17"/>
      <c r="U490" s="17"/>
      <c r="V490" s="17"/>
    </row>
    <row r="491" spans="1:22" ht="14.25" customHeight="1">
      <c r="A491" s="17"/>
      <c r="B491" s="17"/>
      <c r="C491" s="37"/>
      <c r="D491" s="37"/>
      <c r="E491" s="37"/>
      <c r="F491" s="37"/>
      <c r="G491" s="37"/>
      <c r="H491" s="37"/>
      <c r="I491" s="37"/>
      <c r="J491" s="37"/>
      <c r="K491" s="37"/>
      <c r="O491" s="17"/>
      <c r="P491" s="17"/>
      <c r="Q491" s="17"/>
      <c r="R491" s="17"/>
      <c r="S491" s="17"/>
      <c r="T491" s="17"/>
      <c r="U491" s="17"/>
      <c r="V491" s="17"/>
    </row>
    <row r="492" spans="1:22" ht="14.25" customHeight="1">
      <c r="A492" s="17"/>
      <c r="B492" s="17"/>
      <c r="C492" s="37"/>
      <c r="D492" s="37"/>
      <c r="E492" s="37"/>
      <c r="F492" s="37"/>
      <c r="G492" s="37"/>
      <c r="H492" s="37"/>
      <c r="I492" s="37"/>
      <c r="J492" s="37"/>
      <c r="K492" s="37"/>
      <c r="O492" s="17"/>
      <c r="P492" s="17"/>
      <c r="Q492" s="17"/>
      <c r="R492" s="17"/>
      <c r="S492" s="17"/>
      <c r="T492" s="17"/>
      <c r="U492" s="17"/>
      <c r="V492" s="17"/>
    </row>
    <row r="493" spans="1:22" ht="14.25" customHeight="1">
      <c r="A493" s="17"/>
      <c r="B493" s="17"/>
      <c r="C493" s="37"/>
      <c r="D493" s="37"/>
      <c r="E493" s="37"/>
      <c r="F493" s="37"/>
      <c r="G493" s="37"/>
      <c r="H493" s="37"/>
      <c r="I493" s="37"/>
      <c r="J493" s="37"/>
      <c r="K493" s="37"/>
      <c r="O493" s="17"/>
      <c r="P493" s="17"/>
      <c r="Q493" s="17"/>
      <c r="R493" s="17"/>
      <c r="S493" s="17"/>
      <c r="T493" s="17"/>
      <c r="U493" s="17"/>
      <c r="V493" s="17"/>
    </row>
    <row r="494" spans="1:22" ht="14.25" customHeight="1">
      <c r="A494" s="17"/>
      <c r="B494" s="17"/>
      <c r="C494" s="37"/>
      <c r="D494" s="37"/>
      <c r="E494" s="37"/>
      <c r="F494" s="37"/>
      <c r="G494" s="37"/>
      <c r="H494" s="37"/>
      <c r="I494" s="37"/>
      <c r="J494" s="37"/>
      <c r="K494" s="37"/>
      <c r="O494" s="17"/>
      <c r="P494" s="17"/>
      <c r="Q494" s="17"/>
      <c r="R494" s="17"/>
      <c r="S494" s="17"/>
      <c r="T494" s="17"/>
      <c r="U494" s="17"/>
      <c r="V494" s="17"/>
    </row>
    <row r="495" spans="1:22" ht="14.25" customHeight="1">
      <c r="A495" s="17"/>
      <c r="B495" s="17"/>
      <c r="C495" s="37"/>
      <c r="D495" s="37"/>
      <c r="E495" s="37"/>
      <c r="F495" s="37"/>
      <c r="G495" s="37"/>
      <c r="H495" s="37"/>
      <c r="I495" s="37"/>
      <c r="J495" s="37"/>
      <c r="K495" s="37"/>
      <c r="O495" s="17"/>
      <c r="P495" s="17"/>
      <c r="Q495" s="17"/>
      <c r="R495" s="17"/>
      <c r="S495" s="17"/>
      <c r="T495" s="17"/>
      <c r="U495" s="17"/>
      <c r="V495" s="17"/>
    </row>
    <row r="496" spans="1:22" ht="14.25" customHeight="1">
      <c r="A496" s="17"/>
      <c r="B496" s="17"/>
      <c r="C496" s="37"/>
      <c r="D496" s="37"/>
      <c r="E496" s="37"/>
      <c r="F496" s="37"/>
      <c r="G496" s="37"/>
      <c r="H496" s="37"/>
      <c r="I496" s="37"/>
      <c r="J496" s="37"/>
      <c r="K496" s="37"/>
      <c r="O496" s="17"/>
      <c r="P496" s="17"/>
      <c r="Q496" s="17"/>
      <c r="R496" s="17"/>
      <c r="S496" s="17"/>
      <c r="T496" s="17"/>
      <c r="U496" s="17"/>
      <c r="V496" s="17"/>
    </row>
    <row r="497" spans="1:22" ht="14.25" customHeight="1">
      <c r="A497" s="17"/>
      <c r="B497" s="17"/>
      <c r="C497" s="37"/>
      <c r="D497" s="37"/>
      <c r="E497" s="37"/>
      <c r="F497" s="37"/>
      <c r="G497" s="37"/>
      <c r="H497" s="37"/>
      <c r="I497" s="37"/>
      <c r="J497" s="37"/>
      <c r="K497" s="37"/>
      <c r="O497" s="17"/>
      <c r="P497" s="17"/>
      <c r="Q497" s="17"/>
      <c r="R497" s="17"/>
      <c r="S497" s="17"/>
      <c r="T497" s="17"/>
      <c r="U497" s="17"/>
      <c r="V497" s="17"/>
    </row>
    <row r="498" spans="1:22" ht="14.25" customHeight="1">
      <c r="A498" s="17"/>
      <c r="B498" s="17"/>
      <c r="C498" s="37"/>
      <c r="D498" s="37"/>
      <c r="E498" s="37"/>
      <c r="F498" s="37"/>
      <c r="G498" s="37"/>
      <c r="H498" s="37"/>
      <c r="I498" s="37"/>
      <c r="J498" s="37"/>
      <c r="K498" s="37"/>
      <c r="O498" s="17"/>
      <c r="P498" s="17"/>
      <c r="Q498" s="17"/>
      <c r="R498" s="17"/>
      <c r="S498" s="17"/>
      <c r="T498" s="17"/>
      <c r="U498" s="17"/>
      <c r="V498" s="17"/>
    </row>
    <row r="499" spans="1:22" ht="14.25" customHeight="1">
      <c r="A499" s="17"/>
      <c r="B499" s="17"/>
      <c r="C499" s="37"/>
      <c r="D499" s="37"/>
      <c r="E499" s="37"/>
      <c r="F499" s="37"/>
      <c r="G499" s="37"/>
      <c r="H499" s="37"/>
      <c r="I499" s="37"/>
      <c r="J499" s="37"/>
      <c r="K499" s="37"/>
      <c r="O499" s="17"/>
      <c r="P499" s="17"/>
      <c r="Q499" s="17"/>
      <c r="R499" s="17"/>
      <c r="S499" s="17"/>
      <c r="T499" s="17"/>
      <c r="U499" s="17"/>
      <c r="V499" s="17"/>
    </row>
    <row r="500" spans="1:22" ht="14.25" customHeight="1">
      <c r="A500" s="17"/>
      <c r="B500" s="17"/>
      <c r="C500" s="37"/>
      <c r="D500" s="37"/>
      <c r="E500" s="37"/>
      <c r="F500" s="37"/>
      <c r="G500" s="37"/>
      <c r="H500" s="37"/>
      <c r="I500" s="37"/>
      <c r="J500" s="37"/>
      <c r="K500" s="37"/>
      <c r="O500" s="17"/>
      <c r="P500" s="17"/>
      <c r="Q500" s="17"/>
      <c r="R500" s="17"/>
      <c r="S500" s="17"/>
      <c r="T500" s="17"/>
      <c r="U500" s="17"/>
      <c r="V500" s="17"/>
    </row>
    <row r="501" spans="1:22" ht="14.25" customHeight="1">
      <c r="A501" s="17"/>
      <c r="B501" s="17"/>
      <c r="C501" s="37"/>
      <c r="D501" s="37"/>
      <c r="E501" s="37"/>
      <c r="F501" s="37"/>
      <c r="G501" s="37"/>
      <c r="H501" s="37"/>
      <c r="I501" s="37"/>
      <c r="J501" s="37"/>
      <c r="K501" s="37"/>
      <c r="O501" s="17"/>
      <c r="P501" s="17"/>
      <c r="Q501" s="17"/>
      <c r="R501" s="17"/>
      <c r="S501" s="17"/>
      <c r="T501" s="17"/>
      <c r="U501" s="17"/>
      <c r="V501" s="17"/>
    </row>
    <row r="502" spans="1:22" ht="14.25" customHeight="1">
      <c r="A502" s="17"/>
      <c r="B502" s="17"/>
      <c r="C502" s="37"/>
      <c r="D502" s="37"/>
      <c r="E502" s="37"/>
      <c r="F502" s="37"/>
      <c r="G502" s="37"/>
      <c r="H502" s="37"/>
      <c r="I502" s="37"/>
      <c r="J502" s="37"/>
      <c r="K502" s="37"/>
      <c r="O502" s="17"/>
      <c r="P502" s="17"/>
      <c r="Q502" s="17"/>
      <c r="R502" s="17"/>
      <c r="S502" s="17"/>
      <c r="T502" s="17"/>
      <c r="U502" s="17"/>
      <c r="V502" s="17"/>
    </row>
    <row r="503" spans="1:22" ht="14.25" customHeight="1">
      <c r="A503" s="17"/>
      <c r="B503" s="17"/>
      <c r="C503" s="37"/>
      <c r="D503" s="37"/>
      <c r="E503" s="37"/>
      <c r="F503" s="37"/>
      <c r="G503" s="37"/>
      <c r="H503" s="37"/>
      <c r="I503" s="37"/>
      <c r="J503" s="37"/>
      <c r="K503" s="37"/>
      <c r="O503" s="17"/>
      <c r="P503" s="17"/>
      <c r="Q503" s="17"/>
      <c r="R503" s="17"/>
      <c r="S503" s="17"/>
      <c r="T503" s="17"/>
      <c r="U503" s="17"/>
      <c r="V503" s="17"/>
    </row>
    <row r="504" spans="1:22" ht="14.25" customHeight="1">
      <c r="A504" s="17"/>
      <c r="B504" s="17"/>
      <c r="C504" s="37"/>
      <c r="D504" s="37"/>
      <c r="E504" s="37"/>
      <c r="F504" s="37"/>
      <c r="G504" s="37"/>
      <c r="H504" s="37"/>
      <c r="I504" s="37"/>
      <c r="J504" s="37"/>
      <c r="K504" s="37"/>
      <c r="O504" s="17"/>
      <c r="P504" s="17"/>
      <c r="Q504" s="17"/>
      <c r="R504" s="17"/>
      <c r="S504" s="17"/>
      <c r="T504" s="17"/>
      <c r="U504" s="17"/>
      <c r="V504" s="17"/>
    </row>
    <row r="505" spans="1:22" ht="14.25" customHeight="1">
      <c r="A505" s="17"/>
      <c r="B505" s="17"/>
      <c r="C505" s="37"/>
      <c r="D505" s="37"/>
      <c r="E505" s="37"/>
      <c r="F505" s="37"/>
      <c r="G505" s="37"/>
      <c r="H505" s="37"/>
      <c r="I505" s="37"/>
      <c r="J505" s="37"/>
      <c r="K505" s="37"/>
      <c r="O505" s="17"/>
      <c r="P505" s="17"/>
      <c r="Q505" s="17"/>
      <c r="R505" s="17"/>
      <c r="S505" s="17"/>
      <c r="T505" s="17"/>
      <c r="U505" s="17"/>
      <c r="V505" s="17"/>
    </row>
    <row r="506" spans="1:22" ht="14.25" customHeight="1">
      <c r="A506" s="17"/>
      <c r="B506" s="17"/>
      <c r="C506" s="37"/>
      <c r="D506" s="37"/>
      <c r="E506" s="37"/>
      <c r="F506" s="37"/>
      <c r="G506" s="37"/>
      <c r="H506" s="37"/>
      <c r="I506" s="37"/>
      <c r="J506" s="37"/>
      <c r="K506" s="37"/>
      <c r="O506" s="17"/>
      <c r="P506" s="17"/>
      <c r="Q506" s="17"/>
      <c r="R506" s="17"/>
      <c r="S506" s="17"/>
      <c r="T506" s="17"/>
      <c r="U506" s="17"/>
      <c r="V506" s="17"/>
    </row>
    <row r="507" spans="1:22" ht="14.25" customHeight="1">
      <c r="A507" s="17"/>
      <c r="B507" s="17"/>
      <c r="C507" s="37"/>
      <c r="D507" s="37"/>
      <c r="E507" s="37"/>
      <c r="F507" s="37"/>
      <c r="G507" s="37"/>
      <c r="H507" s="37"/>
      <c r="I507" s="37"/>
      <c r="J507" s="37"/>
      <c r="K507" s="37"/>
      <c r="O507" s="17"/>
      <c r="P507" s="17"/>
      <c r="Q507" s="17"/>
      <c r="R507" s="17"/>
      <c r="S507" s="17"/>
      <c r="T507" s="17"/>
      <c r="U507" s="17"/>
      <c r="V507" s="17"/>
    </row>
    <row r="508" spans="1:22" ht="14.25" customHeight="1">
      <c r="A508" s="17"/>
      <c r="B508" s="17"/>
      <c r="C508" s="37"/>
      <c r="D508" s="37"/>
      <c r="E508" s="37"/>
      <c r="F508" s="37"/>
      <c r="G508" s="37"/>
      <c r="H508" s="37"/>
      <c r="I508" s="37"/>
      <c r="J508" s="37"/>
      <c r="K508" s="37"/>
      <c r="O508" s="17"/>
      <c r="P508" s="17"/>
      <c r="Q508" s="17"/>
      <c r="R508" s="17"/>
      <c r="S508" s="17"/>
      <c r="T508" s="17"/>
      <c r="U508" s="17"/>
      <c r="V508" s="17"/>
    </row>
    <row r="509" spans="1:22" ht="14.25" customHeight="1">
      <c r="A509" s="17"/>
      <c r="B509" s="17"/>
      <c r="C509" s="37"/>
      <c r="D509" s="37"/>
      <c r="E509" s="37"/>
      <c r="F509" s="37"/>
      <c r="G509" s="37"/>
      <c r="H509" s="37"/>
      <c r="I509" s="37"/>
      <c r="J509" s="37"/>
      <c r="K509" s="37"/>
      <c r="O509" s="17"/>
      <c r="P509" s="17"/>
      <c r="Q509" s="17"/>
      <c r="R509" s="17"/>
      <c r="S509" s="17"/>
      <c r="T509" s="17"/>
      <c r="U509" s="17"/>
      <c r="V509" s="17"/>
    </row>
    <row r="510" spans="1:22" ht="14.25" customHeight="1">
      <c r="A510" s="17"/>
      <c r="B510" s="17"/>
      <c r="C510" s="37"/>
      <c r="D510" s="37"/>
      <c r="E510" s="37"/>
      <c r="F510" s="37"/>
      <c r="G510" s="37"/>
      <c r="H510" s="37"/>
      <c r="I510" s="37"/>
      <c r="J510" s="37"/>
      <c r="K510" s="37"/>
      <c r="O510" s="17"/>
      <c r="P510" s="17"/>
      <c r="Q510" s="17"/>
      <c r="R510" s="17"/>
      <c r="S510" s="17"/>
      <c r="T510" s="17"/>
      <c r="U510" s="17"/>
      <c r="V510" s="17"/>
    </row>
    <row r="511" spans="1:22" ht="14.25" customHeight="1">
      <c r="A511" s="17"/>
      <c r="B511" s="17"/>
      <c r="C511" s="37"/>
      <c r="D511" s="37"/>
      <c r="E511" s="37"/>
      <c r="F511" s="37"/>
      <c r="G511" s="37"/>
      <c r="H511" s="37"/>
      <c r="I511" s="37"/>
      <c r="J511" s="37"/>
      <c r="K511" s="37"/>
      <c r="O511" s="17"/>
      <c r="P511" s="17"/>
      <c r="Q511" s="17"/>
      <c r="R511" s="17"/>
      <c r="S511" s="17"/>
      <c r="T511" s="17"/>
      <c r="U511" s="17"/>
      <c r="V511" s="17"/>
    </row>
    <row r="512" spans="1:22" ht="14.25" customHeight="1">
      <c r="A512" s="17"/>
      <c r="B512" s="17"/>
      <c r="C512" s="37"/>
      <c r="D512" s="37"/>
      <c r="E512" s="37"/>
      <c r="F512" s="37"/>
      <c r="G512" s="37"/>
      <c r="H512" s="37"/>
      <c r="I512" s="37"/>
      <c r="J512" s="37"/>
      <c r="K512" s="37"/>
      <c r="O512" s="17"/>
      <c r="P512" s="17"/>
      <c r="Q512" s="17"/>
      <c r="R512" s="17"/>
      <c r="S512" s="17"/>
      <c r="T512" s="17"/>
      <c r="U512" s="17"/>
      <c r="V512" s="17"/>
    </row>
    <row r="513" spans="1:22" ht="14.25" customHeight="1">
      <c r="A513" s="17"/>
      <c r="B513" s="17"/>
      <c r="C513" s="37"/>
      <c r="D513" s="37"/>
      <c r="E513" s="37"/>
      <c r="F513" s="37"/>
      <c r="G513" s="37"/>
      <c r="H513" s="37"/>
      <c r="I513" s="37"/>
      <c r="J513" s="37"/>
      <c r="K513" s="37"/>
      <c r="O513" s="17"/>
      <c r="P513" s="17"/>
      <c r="Q513" s="17"/>
      <c r="R513" s="17"/>
      <c r="S513" s="17"/>
      <c r="T513" s="17"/>
      <c r="U513" s="17"/>
      <c r="V513" s="17"/>
    </row>
    <row r="514" spans="1:22" ht="14.25" customHeight="1">
      <c r="A514" s="17"/>
      <c r="B514" s="17"/>
      <c r="C514" s="37"/>
      <c r="D514" s="37"/>
      <c r="E514" s="37"/>
      <c r="F514" s="37"/>
      <c r="G514" s="37"/>
      <c r="H514" s="37"/>
      <c r="I514" s="37"/>
      <c r="J514" s="37"/>
      <c r="K514" s="37"/>
      <c r="O514" s="17"/>
      <c r="P514" s="17"/>
      <c r="Q514" s="17"/>
      <c r="R514" s="17"/>
      <c r="S514" s="17"/>
      <c r="T514" s="17"/>
      <c r="U514" s="17"/>
      <c r="V514" s="17"/>
    </row>
    <row r="515" spans="1:22" ht="14.25" customHeight="1">
      <c r="A515" s="17"/>
      <c r="B515" s="17"/>
      <c r="C515" s="37"/>
      <c r="D515" s="37"/>
      <c r="E515" s="37"/>
      <c r="F515" s="37"/>
      <c r="G515" s="37"/>
      <c r="H515" s="37"/>
      <c r="I515" s="37"/>
      <c r="J515" s="37"/>
      <c r="K515" s="37"/>
      <c r="O515" s="17"/>
      <c r="P515" s="17"/>
      <c r="Q515" s="17"/>
      <c r="R515" s="17"/>
      <c r="S515" s="17"/>
      <c r="T515" s="17"/>
      <c r="U515" s="17"/>
      <c r="V515" s="17"/>
    </row>
    <row r="516" spans="1:22" ht="14.25" customHeight="1">
      <c r="A516" s="17"/>
      <c r="B516" s="17"/>
      <c r="C516" s="37"/>
      <c r="D516" s="37"/>
      <c r="E516" s="37"/>
      <c r="F516" s="37"/>
      <c r="G516" s="37"/>
      <c r="H516" s="37"/>
      <c r="I516" s="37"/>
      <c r="J516" s="37"/>
      <c r="K516" s="37"/>
      <c r="O516" s="17"/>
      <c r="P516" s="17"/>
      <c r="Q516" s="17"/>
      <c r="R516" s="17"/>
      <c r="S516" s="17"/>
      <c r="T516" s="17"/>
      <c r="U516" s="17"/>
      <c r="V516" s="17"/>
    </row>
    <row r="517" spans="1:22" ht="14.25" customHeight="1">
      <c r="A517" s="17"/>
      <c r="B517" s="17"/>
      <c r="C517" s="37"/>
      <c r="D517" s="37"/>
      <c r="E517" s="37"/>
      <c r="F517" s="37"/>
      <c r="G517" s="37"/>
      <c r="H517" s="37"/>
      <c r="I517" s="37"/>
      <c r="J517" s="37"/>
      <c r="K517" s="37"/>
      <c r="O517" s="17"/>
      <c r="P517" s="17"/>
      <c r="Q517" s="17"/>
      <c r="R517" s="17"/>
      <c r="S517" s="17"/>
      <c r="T517" s="17"/>
      <c r="U517" s="17"/>
      <c r="V517" s="17"/>
    </row>
    <row r="518" spans="1:22" ht="14.25" customHeight="1">
      <c r="A518" s="17"/>
      <c r="B518" s="17"/>
      <c r="C518" s="37"/>
      <c r="D518" s="37"/>
      <c r="E518" s="37"/>
      <c r="F518" s="37"/>
      <c r="G518" s="37"/>
      <c r="H518" s="37"/>
      <c r="I518" s="37"/>
      <c r="J518" s="37"/>
      <c r="K518" s="37"/>
      <c r="O518" s="17"/>
      <c r="P518" s="17"/>
      <c r="Q518" s="17"/>
      <c r="R518" s="17"/>
      <c r="S518" s="17"/>
      <c r="T518" s="17"/>
      <c r="U518" s="17"/>
      <c r="V518" s="17"/>
    </row>
    <row r="519" spans="1:22" ht="14.25" customHeight="1">
      <c r="A519" s="17"/>
      <c r="B519" s="17"/>
      <c r="C519" s="37"/>
      <c r="D519" s="37"/>
      <c r="E519" s="37"/>
      <c r="F519" s="37"/>
      <c r="G519" s="37"/>
      <c r="H519" s="37"/>
      <c r="I519" s="37"/>
      <c r="J519" s="37"/>
      <c r="K519" s="37"/>
      <c r="O519" s="17"/>
      <c r="P519" s="17"/>
      <c r="Q519" s="17"/>
      <c r="R519" s="17"/>
      <c r="S519" s="17"/>
      <c r="T519" s="17"/>
      <c r="U519" s="17"/>
      <c r="V519" s="17"/>
    </row>
    <row r="520" spans="1:22" ht="14.25" customHeight="1">
      <c r="A520" s="17"/>
      <c r="B520" s="17"/>
      <c r="C520" s="37"/>
      <c r="D520" s="37"/>
      <c r="E520" s="37"/>
      <c r="F520" s="37"/>
      <c r="G520" s="37"/>
      <c r="H520" s="37"/>
      <c r="I520" s="37"/>
      <c r="J520" s="37"/>
      <c r="K520" s="37"/>
      <c r="O520" s="17"/>
      <c r="P520" s="17"/>
      <c r="Q520" s="17"/>
      <c r="R520" s="17"/>
      <c r="S520" s="17"/>
      <c r="T520" s="17"/>
      <c r="U520" s="17"/>
      <c r="V520" s="17"/>
    </row>
    <row r="521" spans="1:22" ht="14.25" customHeight="1">
      <c r="A521" s="17"/>
      <c r="B521" s="17"/>
      <c r="C521" s="37"/>
      <c r="D521" s="37"/>
      <c r="E521" s="37"/>
      <c r="F521" s="37"/>
      <c r="G521" s="37"/>
      <c r="H521" s="37"/>
      <c r="I521" s="37"/>
      <c r="J521" s="37"/>
      <c r="K521" s="37"/>
      <c r="O521" s="17"/>
      <c r="P521" s="17"/>
      <c r="Q521" s="17"/>
      <c r="R521" s="17"/>
      <c r="S521" s="17"/>
      <c r="T521" s="17"/>
      <c r="U521" s="17"/>
      <c r="V521" s="17"/>
    </row>
    <row r="522" spans="1:22" ht="14.25" customHeight="1">
      <c r="A522" s="17"/>
      <c r="B522" s="17"/>
      <c r="C522" s="37"/>
      <c r="D522" s="37"/>
      <c r="E522" s="37"/>
      <c r="F522" s="37"/>
      <c r="G522" s="37"/>
      <c r="H522" s="37"/>
      <c r="I522" s="37"/>
      <c r="J522" s="37"/>
      <c r="K522" s="37"/>
      <c r="O522" s="17"/>
      <c r="P522" s="17"/>
      <c r="Q522" s="17"/>
      <c r="R522" s="17"/>
      <c r="S522" s="17"/>
      <c r="T522" s="17"/>
      <c r="U522" s="17"/>
      <c r="V522" s="17"/>
    </row>
    <row r="523" spans="1:22" ht="14.25" customHeight="1">
      <c r="A523" s="17"/>
      <c r="B523" s="17"/>
      <c r="C523" s="37"/>
      <c r="D523" s="37"/>
      <c r="E523" s="37"/>
      <c r="F523" s="37"/>
      <c r="G523" s="37"/>
      <c r="H523" s="37"/>
      <c r="I523" s="37"/>
      <c r="J523" s="37"/>
      <c r="K523" s="37"/>
      <c r="O523" s="17"/>
      <c r="P523" s="17"/>
      <c r="Q523" s="17"/>
      <c r="R523" s="17"/>
      <c r="S523" s="17"/>
      <c r="T523" s="17"/>
      <c r="U523" s="17"/>
      <c r="V523" s="17"/>
    </row>
    <row r="524" spans="1:22" ht="14.25" customHeight="1">
      <c r="A524" s="17"/>
      <c r="B524" s="17"/>
      <c r="C524" s="37"/>
      <c r="D524" s="37"/>
      <c r="E524" s="37"/>
      <c r="F524" s="37"/>
      <c r="G524" s="37"/>
      <c r="H524" s="37"/>
      <c r="I524" s="37"/>
      <c r="J524" s="37"/>
      <c r="K524" s="37"/>
      <c r="O524" s="17"/>
      <c r="P524" s="17"/>
      <c r="Q524" s="17"/>
      <c r="R524" s="17"/>
      <c r="S524" s="17"/>
      <c r="T524" s="17"/>
      <c r="U524" s="17"/>
      <c r="V524" s="17"/>
    </row>
    <row r="525" spans="1:22" ht="14.25" customHeight="1">
      <c r="A525" s="17"/>
      <c r="B525" s="17"/>
      <c r="C525" s="37"/>
      <c r="D525" s="37"/>
      <c r="E525" s="37"/>
      <c r="F525" s="37"/>
      <c r="G525" s="37"/>
      <c r="H525" s="37"/>
      <c r="I525" s="37"/>
      <c r="J525" s="37"/>
      <c r="K525" s="37"/>
      <c r="O525" s="17"/>
      <c r="P525" s="17"/>
      <c r="Q525" s="17"/>
      <c r="R525" s="17"/>
      <c r="S525" s="17"/>
      <c r="T525" s="17"/>
      <c r="U525" s="17"/>
      <c r="V525" s="17"/>
    </row>
    <row r="526" spans="1:22" ht="14.25" customHeight="1">
      <c r="A526" s="17"/>
      <c r="B526" s="17"/>
      <c r="C526" s="37"/>
      <c r="D526" s="37"/>
      <c r="E526" s="37"/>
      <c r="F526" s="37"/>
      <c r="G526" s="37"/>
      <c r="H526" s="37"/>
      <c r="I526" s="37"/>
      <c r="J526" s="37"/>
      <c r="K526" s="37"/>
      <c r="O526" s="17"/>
      <c r="P526" s="17"/>
      <c r="Q526" s="17"/>
      <c r="R526" s="17"/>
      <c r="S526" s="17"/>
      <c r="T526" s="17"/>
      <c r="U526" s="17"/>
      <c r="V526" s="17"/>
    </row>
    <row r="527" spans="1:22" ht="14.25" customHeight="1">
      <c r="A527" s="17"/>
      <c r="B527" s="17"/>
      <c r="C527" s="37"/>
      <c r="D527" s="37"/>
      <c r="E527" s="37"/>
      <c r="F527" s="37"/>
      <c r="G527" s="37"/>
      <c r="H527" s="37"/>
      <c r="I527" s="37"/>
      <c r="J527" s="37"/>
      <c r="K527" s="37"/>
      <c r="O527" s="17"/>
      <c r="P527" s="17"/>
      <c r="Q527" s="17"/>
      <c r="R527" s="17"/>
      <c r="S527" s="17"/>
      <c r="T527" s="17"/>
      <c r="U527" s="17"/>
      <c r="V527" s="17"/>
    </row>
    <row r="528" spans="1:22" ht="14.25" customHeight="1">
      <c r="A528" s="17"/>
      <c r="B528" s="17"/>
      <c r="C528" s="37"/>
      <c r="D528" s="37"/>
      <c r="E528" s="37"/>
      <c r="F528" s="37"/>
      <c r="G528" s="37"/>
      <c r="H528" s="37"/>
      <c r="I528" s="37"/>
      <c r="J528" s="37"/>
      <c r="K528" s="37"/>
      <c r="O528" s="17"/>
      <c r="P528" s="17"/>
      <c r="Q528" s="17"/>
      <c r="R528" s="17"/>
      <c r="S528" s="17"/>
      <c r="T528" s="17"/>
      <c r="U528" s="17"/>
      <c r="V528" s="17"/>
    </row>
    <row r="529" spans="1:22" ht="14.25" customHeight="1">
      <c r="A529" s="17"/>
      <c r="B529" s="17"/>
      <c r="C529" s="37"/>
      <c r="D529" s="37"/>
      <c r="E529" s="37"/>
      <c r="F529" s="37"/>
      <c r="G529" s="37"/>
      <c r="H529" s="37"/>
      <c r="I529" s="37"/>
      <c r="J529" s="37"/>
      <c r="K529" s="37"/>
      <c r="O529" s="17"/>
      <c r="P529" s="17"/>
      <c r="Q529" s="17"/>
      <c r="R529" s="17"/>
      <c r="S529" s="17"/>
      <c r="T529" s="17"/>
      <c r="U529" s="17"/>
      <c r="V529" s="17"/>
    </row>
    <row r="530" spans="1:22" ht="14.25" customHeight="1">
      <c r="A530" s="17"/>
      <c r="B530" s="17"/>
      <c r="C530" s="37"/>
      <c r="D530" s="37"/>
      <c r="E530" s="37"/>
      <c r="F530" s="37"/>
      <c r="G530" s="37"/>
      <c r="H530" s="37"/>
      <c r="I530" s="37"/>
      <c r="J530" s="37"/>
      <c r="K530" s="37"/>
      <c r="O530" s="17"/>
      <c r="P530" s="17"/>
      <c r="Q530" s="17"/>
      <c r="R530" s="17"/>
      <c r="S530" s="17"/>
      <c r="T530" s="17"/>
      <c r="U530" s="17"/>
      <c r="V530" s="17"/>
    </row>
    <row r="531" spans="1:22" ht="14.25" customHeight="1">
      <c r="A531" s="17"/>
      <c r="B531" s="17"/>
      <c r="C531" s="37"/>
      <c r="D531" s="37"/>
      <c r="E531" s="37"/>
      <c r="F531" s="37"/>
      <c r="G531" s="37"/>
      <c r="H531" s="37"/>
      <c r="I531" s="37"/>
      <c r="J531" s="37"/>
      <c r="K531" s="37"/>
      <c r="O531" s="17"/>
      <c r="P531" s="17"/>
      <c r="Q531" s="17"/>
      <c r="R531" s="17"/>
      <c r="S531" s="17"/>
      <c r="T531" s="17"/>
      <c r="U531" s="17"/>
      <c r="V531" s="17"/>
    </row>
    <row r="532" spans="1:22" ht="14.25" customHeight="1">
      <c r="A532" s="17"/>
      <c r="B532" s="17"/>
      <c r="C532" s="37"/>
      <c r="D532" s="37"/>
      <c r="E532" s="37"/>
      <c r="F532" s="37"/>
      <c r="G532" s="37"/>
      <c r="H532" s="37"/>
      <c r="I532" s="37"/>
      <c r="J532" s="37"/>
      <c r="K532" s="37"/>
      <c r="O532" s="17"/>
      <c r="P532" s="17"/>
      <c r="Q532" s="17"/>
      <c r="R532" s="17"/>
      <c r="S532" s="17"/>
      <c r="T532" s="17"/>
      <c r="U532" s="17"/>
      <c r="V532" s="17"/>
    </row>
    <row r="533" spans="1:22" ht="14.25" customHeight="1">
      <c r="A533" s="17"/>
      <c r="B533" s="17"/>
      <c r="C533" s="37"/>
      <c r="D533" s="37"/>
      <c r="E533" s="37"/>
      <c r="F533" s="37"/>
      <c r="G533" s="37"/>
      <c r="H533" s="37"/>
      <c r="I533" s="37"/>
      <c r="J533" s="37"/>
      <c r="K533" s="37"/>
      <c r="O533" s="17"/>
      <c r="P533" s="17"/>
      <c r="Q533" s="17"/>
      <c r="R533" s="17"/>
      <c r="S533" s="17"/>
      <c r="T533" s="17"/>
      <c r="U533" s="17"/>
      <c r="V533" s="17"/>
    </row>
    <row r="534" spans="1:22" ht="14.25" customHeight="1">
      <c r="A534" s="17"/>
      <c r="B534" s="17"/>
      <c r="C534" s="37"/>
      <c r="D534" s="37"/>
      <c r="E534" s="37"/>
      <c r="F534" s="37"/>
      <c r="G534" s="37"/>
      <c r="H534" s="37"/>
      <c r="I534" s="37"/>
      <c r="J534" s="37"/>
      <c r="K534" s="37"/>
      <c r="O534" s="17"/>
      <c r="P534" s="17"/>
      <c r="Q534" s="17"/>
      <c r="R534" s="17"/>
      <c r="S534" s="17"/>
      <c r="T534" s="17"/>
      <c r="U534" s="17"/>
      <c r="V534" s="17"/>
    </row>
    <row r="535" spans="1:22" ht="14.25" customHeight="1">
      <c r="A535" s="17"/>
      <c r="B535" s="17"/>
      <c r="C535" s="37"/>
      <c r="D535" s="37"/>
      <c r="E535" s="37"/>
      <c r="F535" s="37"/>
      <c r="G535" s="37"/>
      <c r="H535" s="37"/>
      <c r="I535" s="37"/>
      <c r="J535" s="37"/>
      <c r="K535" s="37"/>
      <c r="O535" s="17"/>
      <c r="P535" s="17"/>
      <c r="Q535" s="17"/>
      <c r="R535" s="17"/>
      <c r="S535" s="17"/>
      <c r="T535" s="17"/>
      <c r="U535" s="17"/>
      <c r="V535" s="17"/>
    </row>
    <row r="536" spans="1:22" ht="14.25" customHeight="1">
      <c r="A536" s="17"/>
      <c r="B536" s="17"/>
      <c r="C536" s="37"/>
      <c r="D536" s="37"/>
      <c r="E536" s="37"/>
      <c r="F536" s="37"/>
      <c r="G536" s="37"/>
      <c r="H536" s="37"/>
      <c r="I536" s="37"/>
      <c r="J536" s="37"/>
      <c r="K536" s="37"/>
      <c r="O536" s="17"/>
      <c r="P536" s="17"/>
      <c r="Q536" s="17"/>
      <c r="R536" s="17"/>
      <c r="S536" s="17"/>
      <c r="T536" s="17"/>
      <c r="U536" s="17"/>
      <c r="V536" s="17"/>
    </row>
    <row r="537" spans="1:22" ht="14.25" customHeight="1">
      <c r="A537" s="17"/>
      <c r="B537" s="17"/>
      <c r="C537" s="37"/>
      <c r="D537" s="37"/>
      <c r="E537" s="37"/>
      <c r="F537" s="37"/>
      <c r="G537" s="37"/>
      <c r="H537" s="37"/>
      <c r="I537" s="37"/>
      <c r="J537" s="37"/>
      <c r="K537" s="37"/>
      <c r="O537" s="17"/>
      <c r="P537" s="17"/>
      <c r="Q537" s="17"/>
      <c r="R537" s="17"/>
      <c r="S537" s="17"/>
      <c r="T537" s="17"/>
      <c r="U537" s="17"/>
      <c r="V537" s="17"/>
    </row>
    <row r="538" spans="1:22" ht="14.25" customHeight="1">
      <c r="A538" s="17"/>
      <c r="B538" s="17"/>
      <c r="C538" s="37"/>
      <c r="D538" s="37"/>
      <c r="E538" s="37"/>
      <c r="F538" s="37"/>
      <c r="G538" s="37"/>
      <c r="H538" s="37"/>
      <c r="I538" s="37"/>
      <c r="J538" s="37"/>
      <c r="K538" s="37"/>
      <c r="O538" s="17"/>
      <c r="P538" s="17"/>
      <c r="Q538" s="17"/>
      <c r="R538" s="17"/>
      <c r="S538" s="17"/>
      <c r="T538" s="17"/>
      <c r="U538" s="17"/>
      <c r="V538" s="17"/>
    </row>
    <row r="539" spans="1:22" ht="14.25" customHeight="1">
      <c r="A539" s="17"/>
      <c r="B539" s="17"/>
      <c r="C539" s="37"/>
      <c r="D539" s="37"/>
      <c r="E539" s="37"/>
      <c r="F539" s="37"/>
      <c r="G539" s="37"/>
      <c r="H539" s="37"/>
      <c r="I539" s="37"/>
      <c r="J539" s="37"/>
      <c r="K539" s="37"/>
      <c r="O539" s="17"/>
      <c r="P539" s="17"/>
      <c r="Q539" s="17"/>
      <c r="R539" s="17"/>
      <c r="S539" s="17"/>
      <c r="T539" s="17"/>
      <c r="U539" s="17"/>
      <c r="V539" s="17"/>
    </row>
    <row r="540" spans="1:22" ht="14.25" customHeight="1">
      <c r="A540" s="17"/>
      <c r="B540" s="17"/>
      <c r="C540" s="37"/>
      <c r="D540" s="37"/>
      <c r="E540" s="37"/>
      <c r="F540" s="37"/>
      <c r="G540" s="37"/>
      <c r="H540" s="37"/>
      <c r="I540" s="37"/>
      <c r="J540" s="37"/>
      <c r="K540" s="37"/>
      <c r="O540" s="17"/>
      <c r="P540" s="17"/>
      <c r="Q540" s="17"/>
      <c r="R540" s="17"/>
      <c r="S540" s="17"/>
      <c r="T540" s="17"/>
      <c r="U540" s="17"/>
      <c r="V540" s="17"/>
    </row>
    <row r="541" spans="1:22" ht="14.25" customHeight="1">
      <c r="A541" s="17"/>
      <c r="B541" s="17"/>
      <c r="C541" s="37"/>
      <c r="D541" s="37"/>
      <c r="E541" s="37"/>
      <c r="F541" s="37"/>
      <c r="G541" s="37"/>
      <c r="H541" s="37"/>
      <c r="I541" s="37"/>
      <c r="J541" s="37"/>
      <c r="K541" s="37"/>
      <c r="O541" s="17"/>
      <c r="P541" s="17"/>
      <c r="Q541" s="17"/>
      <c r="R541" s="17"/>
      <c r="S541" s="17"/>
      <c r="T541" s="17"/>
      <c r="U541" s="17"/>
      <c r="V541" s="17"/>
    </row>
    <row r="542" spans="1:22" ht="14.25" customHeight="1">
      <c r="A542" s="17"/>
      <c r="B542" s="17"/>
      <c r="C542" s="37"/>
      <c r="D542" s="37"/>
      <c r="E542" s="37"/>
      <c r="F542" s="37"/>
      <c r="G542" s="37"/>
      <c r="H542" s="37"/>
      <c r="I542" s="37"/>
      <c r="J542" s="37"/>
      <c r="K542" s="37"/>
      <c r="O542" s="17"/>
      <c r="P542" s="17"/>
      <c r="Q542" s="17"/>
      <c r="R542" s="17"/>
      <c r="S542" s="17"/>
      <c r="T542" s="17"/>
      <c r="U542" s="17"/>
      <c r="V542" s="17"/>
    </row>
    <row r="543" spans="1:22" ht="14.25" customHeight="1">
      <c r="A543" s="17"/>
      <c r="B543" s="17"/>
      <c r="C543" s="37"/>
      <c r="D543" s="37"/>
      <c r="E543" s="37"/>
      <c r="F543" s="37"/>
      <c r="G543" s="37"/>
      <c r="H543" s="37"/>
      <c r="I543" s="37"/>
      <c r="J543" s="37"/>
      <c r="K543" s="37"/>
      <c r="O543" s="17"/>
      <c r="P543" s="17"/>
      <c r="Q543" s="17"/>
      <c r="R543" s="17"/>
      <c r="S543" s="17"/>
      <c r="T543" s="17"/>
      <c r="U543" s="17"/>
      <c r="V543" s="17"/>
    </row>
    <row r="544" spans="1:22" ht="14.25" customHeight="1">
      <c r="A544" s="17"/>
      <c r="B544" s="17"/>
      <c r="C544" s="37"/>
      <c r="D544" s="37"/>
      <c r="E544" s="37"/>
      <c r="F544" s="37"/>
      <c r="G544" s="37"/>
      <c r="H544" s="37"/>
      <c r="I544" s="37"/>
      <c r="J544" s="37"/>
      <c r="K544" s="37"/>
      <c r="O544" s="17"/>
      <c r="P544" s="17"/>
      <c r="Q544" s="17"/>
      <c r="R544" s="17"/>
      <c r="S544" s="17"/>
      <c r="T544" s="17"/>
      <c r="U544" s="17"/>
      <c r="V544" s="17"/>
    </row>
    <row r="545" spans="1:22" ht="14.25" customHeight="1">
      <c r="A545" s="17"/>
      <c r="B545" s="17"/>
      <c r="C545" s="37"/>
      <c r="D545" s="37"/>
      <c r="E545" s="37"/>
      <c r="F545" s="37"/>
      <c r="G545" s="37"/>
      <c r="H545" s="37"/>
      <c r="I545" s="37"/>
      <c r="J545" s="37"/>
      <c r="K545" s="37"/>
      <c r="O545" s="17"/>
      <c r="P545" s="17"/>
      <c r="Q545" s="17"/>
      <c r="R545" s="17"/>
      <c r="S545" s="17"/>
      <c r="T545" s="17"/>
      <c r="U545" s="17"/>
      <c r="V545" s="17"/>
    </row>
    <row r="546" spans="1:22" ht="14.25" customHeight="1">
      <c r="A546" s="17"/>
      <c r="B546" s="17"/>
      <c r="C546" s="37"/>
      <c r="D546" s="37"/>
      <c r="E546" s="37"/>
      <c r="F546" s="37"/>
      <c r="G546" s="37"/>
      <c r="H546" s="37"/>
      <c r="I546" s="37"/>
      <c r="J546" s="37"/>
      <c r="K546" s="37"/>
      <c r="O546" s="17"/>
      <c r="P546" s="17"/>
      <c r="Q546" s="17"/>
      <c r="R546" s="17"/>
      <c r="S546" s="17"/>
      <c r="T546" s="17"/>
      <c r="U546" s="17"/>
      <c r="V546" s="17"/>
    </row>
    <row r="547" spans="1:22" ht="14.25" customHeight="1">
      <c r="A547" s="17"/>
      <c r="B547" s="17"/>
      <c r="C547" s="37"/>
      <c r="D547" s="37"/>
      <c r="E547" s="37"/>
      <c r="F547" s="37"/>
      <c r="G547" s="37"/>
      <c r="H547" s="37"/>
      <c r="I547" s="37"/>
      <c r="J547" s="37"/>
      <c r="K547" s="37"/>
      <c r="O547" s="17"/>
      <c r="P547" s="17"/>
      <c r="Q547" s="17"/>
      <c r="R547" s="17"/>
      <c r="S547" s="17"/>
      <c r="T547" s="17"/>
      <c r="U547" s="17"/>
      <c r="V547" s="17"/>
    </row>
    <row r="548" spans="1:22" ht="14.25" customHeight="1">
      <c r="A548" s="17"/>
      <c r="B548" s="17"/>
      <c r="C548" s="37"/>
      <c r="D548" s="37"/>
      <c r="E548" s="37"/>
      <c r="F548" s="37"/>
      <c r="G548" s="37"/>
      <c r="H548" s="37"/>
      <c r="I548" s="37"/>
      <c r="J548" s="37"/>
      <c r="K548" s="37"/>
      <c r="O548" s="17"/>
      <c r="P548" s="17"/>
      <c r="Q548" s="17"/>
      <c r="R548" s="17"/>
      <c r="S548" s="17"/>
      <c r="T548" s="17"/>
      <c r="U548" s="17"/>
      <c r="V548" s="17"/>
    </row>
    <row r="549" spans="1:22" ht="14.25" customHeight="1">
      <c r="A549" s="17"/>
      <c r="B549" s="17"/>
      <c r="C549" s="37"/>
      <c r="D549" s="37"/>
      <c r="E549" s="37"/>
      <c r="F549" s="37"/>
      <c r="G549" s="37"/>
      <c r="H549" s="37"/>
      <c r="I549" s="37"/>
      <c r="J549" s="37"/>
      <c r="K549" s="37"/>
      <c r="O549" s="17"/>
      <c r="P549" s="17"/>
      <c r="Q549" s="17"/>
      <c r="R549" s="17"/>
      <c r="S549" s="17"/>
      <c r="T549" s="17"/>
      <c r="U549" s="17"/>
      <c r="V549" s="17"/>
    </row>
    <row r="550" spans="1:22" ht="14.25" customHeight="1">
      <c r="A550" s="17"/>
      <c r="B550" s="17"/>
      <c r="C550" s="37"/>
      <c r="D550" s="37"/>
      <c r="E550" s="37"/>
      <c r="F550" s="37"/>
      <c r="G550" s="37"/>
      <c r="H550" s="37"/>
      <c r="I550" s="37"/>
      <c r="J550" s="37"/>
      <c r="K550" s="37"/>
      <c r="O550" s="17"/>
      <c r="P550" s="17"/>
      <c r="Q550" s="17"/>
      <c r="R550" s="17"/>
      <c r="S550" s="17"/>
      <c r="T550" s="17"/>
      <c r="U550" s="17"/>
      <c r="V550" s="17"/>
    </row>
    <row r="551" spans="1:22" ht="14.25" customHeight="1">
      <c r="A551" s="17"/>
      <c r="B551" s="17"/>
      <c r="C551" s="37"/>
      <c r="D551" s="37"/>
      <c r="E551" s="37"/>
      <c r="F551" s="37"/>
      <c r="G551" s="37"/>
      <c r="H551" s="37"/>
      <c r="I551" s="37"/>
      <c r="J551" s="37"/>
      <c r="K551" s="37"/>
      <c r="O551" s="17"/>
      <c r="P551" s="17"/>
      <c r="Q551" s="17"/>
      <c r="R551" s="17"/>
      <c r="S551" s="17"/>
      <c r="T551" s="17"/>
      <c r="U551" s="17"/>
      <c r="V551" s="17"/>
    </row>
    <row r="552" spans="1:22" ht="14.25" customHeight="1">
      <c r="A552" s="17"/>
      <c r="B552" s="17"/>
      <c r="C552" s="37"/>
      <c r="D552" s="37"/>
      <c r="E552" s="37"/>
      <c r="F552" s="37"/>
      <c r="G552" s="37"/>
      <c r="H552" s="37"/>
      <c r="I552" s="37"/>
      <c r="J552" s="37"/>
      <c r="K552" s="37"/>
      <c r="O552" s="17"/>
      <c r="P552" s="17"/>
      <c r="Q552" s="17"/>
      <c r="R552" s="17"/>
      <c r="S552" s="17"/>
      <c r="T552" s="17"/>
      <c r="U552" s="17"/>
      <c r="V552" s="17"/>
    </row>
    <row r="553" spans="1:22" ht="14.25" customHeight="1">
      <c r="A553" s="17"/>
      <c r="B553" s="17"/>
      <c r="C553" s="37"/>
      <c r="D553" s="37"/>
      <c r="E553" s="37"/>
      <c r="F553" s="37"/>
      <c r="G553" s="37"/>
      <c r="H553" s="37"/>
      <c r="I553" s="37"/>
      <c r="J553" s="37"/>
      <c r="K553" s="37"/>
      <c r="O553" s="17"/>
      <c r="P553" s="17"/>
      <c r="Q553" s="17"/>
      <c r="R553" s="17"/>
      <c r="S553" s="17"/>
      <c r="T553" s="17"/>
      <c r="U553" s="17"/>
      <c r="V553" s="17"/>
    </row>
    <row r="554" spans="1:22" ht="14.25" customHeight="1">
      <c r="A554" s="17"/>
      <c r="B554" s="17"/>
      <c r="C554" s="37"/>
      <c r="D554" s="37"/>
      <c r="E554" s="37"/>
      <c r="F554" s="37"/>
      <c r="G554" s="37"/>
      <c r="H554" s="37"/>
      <c r="I554" s="37"/>
      <c r="J554" s="37"/>
      <c r="K554" s="37"/>
      <c r="O554" s="17"/>
      <c r="P554" s="17"/>
      <c r="Q554" s="17"/>
      <c r="R554" s="17"/>
      <c r="S554" s="17"/>
      <c r="T554" s="17"/>
      <c r="U554" s="17"/>
      <c r="V554" s="17"/>
    </row>
    <row r="555" spans="1:22" ht="14.25" customHeight="1">
      <c r="A555" s="17"/>
      <c r="B555" s="17"/>
      <c r="C555" s="37"/>
      <c r="D555" s="37"/>
      <c r="E555" s="37"/>
      <c r="F555" s="37"/>
      <c r="G555" s="37"/>
      <c r="H555" s="37"/>
      <c r="I555" s="37"/>
      <c r="J555" s="37"/>
      <c r="K555" s="37"/>
      <c r="O555" s="17"/>
      <c r="P555" s="17"/>
      <c r="Q555" s="17"/>
      <c r="R555" s="17"/>
      <c r="S555" s="17"/>
      <c r="T555" s="17"/>
      <c r="U555" s="17"/>
      <c r="V555" s="17"/>
    </row>
    <row r="556" spans="1:22" ht="14.25" customHeight="1">
      <c r="A556" s="17"/>
      <c r="B556" s="17"/>
      <c r="C556" s="37"/>
      <c r="D556" s="37"/>
      <c r="E556" s="37"/>
      <c r="F556" s="37"/>
      <c r="G556" s="37"/>
      <c r="H556" s="37"/>
      <c r="I556" s="37"/>
      <c r="J556" s="37"/>
      <c r="K556" s="37"/>
      <c r="O556" s="17"/>
      <c r="P556" s="17"/>
      <c r="Q556" s="17"/>
      <c r="R556" s="17"/>
      <c r="S556" s="17"/>
      <c r="T556" s="17"/>
      <c r="U556" s="17"/>
      <c r="V556" s="17"/>
    </row>
    <row r="557" spans="1:22" ht="14.25" customHeight="1">
      <c r="A557" s="17"/>
      <c r="B557" s="17"/>
      <c r="C557" s="37"/>
      <c r="D557" s="37"/>
      <c r="E557" s="37"/>
      <c r="F557" s="37"/>
      <c r="G557" s="37"/>
      <c r="H557" s="37"/>
      <c r="I557" s="37"/>
      <c r="J557" s="37"/>
      <c r="K557" s="37"/>
      <c r="O557" s="17"/>
      <c r="P557" s="17"/>
      <c r="Q557" s="17"/>
      <c r="R557" s="17"/>
      <c r="S557" s="17"/>
      <c r="T557" s="17"/>
      <c r="U557" s="17"/>
      <c r="V557" s="17"/>
    </row>
    <row r="558" spans="1:22" ht="14.25" customHeight="1">
      <c r="A558" s="17"/>
      <c r="B558" s="17"/>
      <c r="C558" s="37"/>
      <c r="D558" s="37"/>
      <c r="E558" s="37"/>
      <c r="F558" s="37"/>
      <c r="G558" s="37"/>
      <c r="H558" s="37"/>
      <c r="I558" s="37"/>
      <c r="J558" s="37"/>
      <c r="K558" s="37"/>
      <c r="O558" s="17"/>
      <c r="P558" s="17"/>
      <c r="Q558" s="17"/>
      <c r="R558" s="17"/>
      <c r="S558" s="17"/>
      <c r="T558" s="17"/>
      <c r="U558" s="17"/>
      <c r="V558" s="17"/>
    </row>
    <row r="559" spans="1:22" ht="14.25" customHeight="1">
      <c r="A559" s="17"/>
      <c r="B559" s="17"/>
      <c r="C559" s="37"/>
      <c r="D559" s="37"/>
      <c r="E559" s="37"/>
      <c r="F559" s="37"/>
      <c r="G559" s="37"/>
      <c r="H559" s="37"/>
      <c r="I559" s="37"/>
      <c r="J559" s="37"/>
      <c r="K559" s="37"/>
      <c r="O559" s="17"/>
      <c r="P559" s="17"/>
      <c r="Q559" s="17"/>
      <c r="R559" s="17"/>
      <c r="S559" s="17"/>
      <c r="T559" s="17"/>
      <c r="U559" s="17"/>
      <c r="V559" s="17"/>
    </row>
    <row r="560" spans="1:22" ht="14.25" customHeight="1">
      <c r="A560" s="17"/>
      <c r="B560" s="17"/>
      <c r="C560" s="37"/>
      <c r="D560" s="37"/>
      <c r="E560" s="37"/>
      <c r="F560" s="37"/>
      <c r="G560" s="37"/>
      <c r="H560" s="37"/>
      <c r="I560" s="37"/>
      <c r="J560" s="37"/>
      <c r="K560" s="37"/>
      <c r="O560" s="17"/>
      <c r="P560" s="17"/>
      <c r="Q560" s="17"/>
      <c r="R560" s="17"/>
      <c r="S560" s="17"/>
      <c r="T560" s="17"/>
      <c r="U560" s="17"/>
      <c r="V560" s="17"/>
    </row>
    <row r="561" spans="1:22" ht="14.25" customHeight="1">
      <c r="A561" s="17"/>
      <c r="B561" s="17"/>
      <c r="C561" s="37"/>
      <c r="D561" s="37"/>
      <c r="E561" s="37"/>
      <c r="F561" s="37"/>
      <c r="G561" s="37"/>
      <c r="H561" s="37"/>
      <c r="I561" s="37"/>
      <c r="J561" s="37"/>
      <c r="K561" s="37"/>
      <c r="O561" s="17"/>
      <c r="P561" s="17"/>
      <c r="Q561" s="17"/>
      <c r="R561" s="17"/>
      <c r="S561" s="17"/>
      <c r="T561" s="17"/>
      <c r="U561" s="17"/>
      <c r="V561" s="17"/>
    </row>
    <row r="562" spans="1:22" ht="14.25" customHeight="1">
      <c r="A562" s="17"/>
      <c r="B562" s="17"/>
      <c r="C562" s="37"/>
      <c r="D562" s="37"/>
      <c r="E562" s="37"/>
      <c r="F562" s="37"/>
      <c r="G562" s="37"/>
      <c r="H562" s="37"/>
      <c r="I562" s="37"/>
      <c r="J562" s="37"/>
      <c r="K562" s="37"/>
      <c r="O562" s="17"/>
      <c r="P562" s="17"/>
      <c r="Q562" s="17"/>
      <c r="R562" s="17"/>
      <c r="S562" s="17"/>
      <c r="T562" s="17"/>
      <c r="U562" s="17"/>
      <c r="V562" s="17"/>
    </row>
    <row r="563" spans="1:22" ht="14.25" customHeight="1">
      <c r="A563" s="17"/>
      <c r="B563" s="17"/>
      <c r="C563" s="37"/>
      <c r="D563" s="37"/>
      <c r="E563" s="37"/>
      <c r="F563" s="37"/>
      <c r="G563" s="37"/>
      <c r="H563" s="37"/>
      <c r="I563" s="37"/>
      <c r="J563" s="37"/>
      <c r="K563" s="37"/>
      <c r="O563" s="17"/>
      <c r="P563" s="17"/>
      <c r="Q563" s="17"/>
      <c r="R563" s="17"/>
      <c r="S563" s="17"/>
      <c r="T563" s="17"/>
      <c r="U563" s="17"/>
      <c r="V563" s="17"/>
    </row>
    <row r="564" spans="1:22" ht="14.25" customHeight="1">
      <c r="A564" s="17"/>
      <c r="B564" s="17"/>
      <c r="C564" s="37"/>
      <c r="D564" s="37"/>
      <c r="E564" s="37"/>
      <c r="F564" s="37"/>
      <c r="G564" s="37"/>
      <c r="H564" s="37"/>
      <c r="I564" s="37"/>
      <c r="J564" s="37"/>
      <c r="K564" s="37"/>
      <c r="O564" s="17"/>
      <c r="P564" s="17"/>
      <c r="Q564" s="17"/>
      <c r="R564" s="17"/>
      <c r="S564" s="17"/>
      <c r="T564" s="17"/>
      <c r="U564" s="17"/>
      <c r="V564" s="17"/>
    </row>
    <row r="565" spans="1:22" ht="14.25" customHeight="1">
      <c r="A565" s="17"/>
      <c r="B565" s="17"/>
      <c r="C565" s="37"/>
      <c r="D565" s="37"/>
      <c r="E565" s="37"/>
      <c r="F565" s="37"/>
      <c r="G565" s="37"/>
      <c r="H565" s="37"/>
      <c r="I565" s="37"/>
      <c r="J565" s="37"/>
      <c r="K565" s="37"/>
      <c r="O565" s="17"/>
      <c r="P565" s="17"/>
      <c r="Q565" s="17"/>
      <c r="R565" s="17"/>
      <c r="S565" s="17"/>
      <c r="T565" s="17"/>
      <c r="U565" s="17"/>
      <c r="V565" s="17"/>
    </row>
    <row r="566" spans="1:22" ht="14.25" customHeight="1">
      <c r="A566" s="17"/>
      <c r="B566" s="17"/>
      <c r="C566" s="37"/>
      <c r="D566" s="37"/>
      <c r="E566" s="37"/>
      <c r="F566" s="37"/>
      <c r="G566" s="37"/>
      <c r="H566" s="37"/>
      <c r="I566" s="37"/>
      <c r="J566" s="37"/>
      <c r="K566" s="37"/>
      <c r="O566" s="17"/>
      <c r="P566" s="17"/>
      <c r="Q566" s="17"/>
      <c r="R566" s="17"/>
      <c r="S566" s="17"/>
      <c r="T566" s="17"/>
      <c r="U566" s="17"/>
      <c r="V566" s="17"/>
    </row>
    <row r="567" spans="1:22" ht="14.25" customHeight="1">
      <c r="A567" s="17"/>
      <c r="B567" s="17"/>
      <c r="C567" s="37"/>
      <c r="D567" s="37"/>
      <c r="E567" s="37"/>
      <c r="F567" s="37"/>
      <c r="G567" s="37"/>
      <c r="H567" s="37"/>
      <c r="I567" s="37"/>
      <c r="J567" s="37"/>
      <c r="K567" s="37"/>
      <c r="O567" s="17"/>
      <c r="P567" s="17"/>
      <c r="Q567" s="17"/>
      <c r="R567" s="17"/>
      <c r="S567" s="17"/>
      <c r="T567" s="17"/>
      <c r="U567" s="17"/>
      <c r="V567" s="17"/>
    </row>
    <row r="568" spans="1:22" ht="14.25" customHeight="1">
      <c r="A568" s="17"/>
      <c r="B568" s="17"/>
      <c r="C568" s="37"/>
      <c r="D568" s="37"/>
      <c r="E568" s="37"/>
      <c r="F568" s="37"/>
      <c r="G568" s="37"/>
      <c r="H568" s="37"/>
      <c r="I568" s="37"/>
      <c r="J568" s="37"/>
      <c r="K568" s="37"/>
      <c r="O568" s="17"/>
      <c r="P568" s="17"/>
      <c r="Q568" s="17"/>
      <c r="R568" s="17"/>
      <c r="S568" s="17"/>
      <c r="T568" s="17"/>
      <c r="U568" s="17"/>
      <c r="V568" s="17"/>
    </row>
    <row r="569" spans="1:22" ht="14.25" customHeight="1">
      <c r="A569" s="17"/>
      <c r="B569" s="17"/>
      <c r="C569" s="37"/>
      <c r="D569" s="37"/>
      <c r="E569" s="37"/>
      <c r="F569" s="37"/>
      <c r="G569" s="37"/>
      <c r="H569" s="37"/>
      <c r="I569" s="37"/>
      <c r="J569" s="37"/>
      <c r="K569" s="37"/>
      <c r="O569" s="17"/>
      <c r="P569" s="17"/>
      <c r="Q569" s="17"/>
      <c r="R569" s="17"/>
      <c r="S569" s="17"/>
      <c r="T569" s="17"/>
      <c r="U569" s="17"/>
      <c r="V569" s="17"/>
    </row>
    <row r="570" spans="1:22" ht="14.25" customHeight="1">
      <c r="A570" s="17"/>
      <c r="B570" s="17"/>
      <c r="C570" s="37"/>
      <c r="D570" s="37"/>
      <c r="E570" s="37"/>
      <c r="F570" s="37"/>
      <c r="G570" s="37"/>
      <c r="H570" s="37"/>
      <c r="I570" s="37"/>
      <c r="J570" s="37"/>
      <c r="K570" s="37"/>
      <c r="O570" s="17"/>
      <c r="P570" s="17"/>
      <c r="Q570" s="17"/>
      <c r="R570" s="17"/>
      <c r="S570" s="17"/>
      <c r="T570" s="17"/>
      <c r="U570" s="17"/>
      <c r="V570" s="17"/>
    </row>
    <row r="571" spans="1:22" ht="14.25" customHeight="1">
      <c r="A571" s="17"/>
      <c r="B571" s="17"/>
      <c r="C571" s="37"/>
      <c r="D571" s="37"/>
      <c r="E571" s="37"/>
      <c r="F571" s="37"/>
      <c r="G571" s="37"/>
      <c r="H571" s="37"/>
      <c r="I571" s="37"/>
      <c r="J571" s="37"/>
      <c r="K571" s="37"/>
      <c r="O571" s="17"/>
      <c r="P571" s="17"/>
      <c r="Q571" s="17"/>
      <c r="R571" s="17"/>
      <c r="S571" s="17"/>
      <c r="T571" s="17"/>
      <c r="U571" s="17"/>
      <c r="V571" s="17"/>
    </row>
    <row r="572" spans="1:22" ht="14.25" customHeight="1">
      <c r="A572" s="17"/>
      <c r="B572" s="17"/>
      <c r="C572" s="37"/>
      <c r="D572" s="37"/>
      <c r="E572" s="37"/>
      <c r="F572" s="37"/>
      <c r="G572" s="37"/>
      <c r="H572" s="37"/>
      <c r="I572" s="37"/>
      <c r="J572" s="37"/>
      <c r="K572" s="37"/>
      <c r="O572" s="17"/>
      <c r="P572" s="17"/>
      <c r="Q572" s="17"/>
      <c r="R572" s="17"/>
      <c r="S572" s="17"/>
      <c r="T572" s="17"/>
      <c r="U572" s="17"/>
      <c r="V572" s="17"/>
    </row>
    <row r="573" spans="1:22" ht="14.25" customHeight="1">
      <c r="A573" s="17"/>
      <c r="B573" s="17"/>
      <c r="C573" s="37"/>
      <c r="D573" s="37"/>
      <c r="E573" s="37"/>
      <c r="F573" s="37"/>
      <c r="G573" s="37"/>
      <c r="H573" s="37"/>
      <c r="I573" s="37"/>
      <c r="J573" s="37"/>
      <c r="K573" s="37"/>
      <c r="O573" s="17"/>
      <c r="P573" s="17"/>
      <c r="Q573" s="17"/>
      <c r="R573" s="17"/>
      <c r="S573" s="17"/>
      <c r="T573" s="17"/>
      <c r="U573" s="17"/>
      <c r="V573" s="17"/>
    </row>
    <row r="574" spans="1:22" ht="14.25" customHeight="1">
      <c r="A574" s="17"/>
      <c r="B574" s="17"/>
      <c r="C574" s="37"/>
      <c r="D574" s="37"/>
      <c r="E574" s="37"/>
      <c r="F574" s="37"/>
      <c r="G574" s="37"/>
      <c r="H574" s="37"/>
      <c r="I574" s="37"/>
      <c r="J574" s="37"/>
      <c r="K574" s="37"/>
      <c r="O574" s="17"/>
      <c r="P574" s="17"/>
      <c r="Q574" s="17"/>
      <c r="R574" s="17"/>
      <c r="S574" s="17"/>
      <c r="T574" s="17"/>
      <c r="U574" s="17"/>
      <c r="V574" s="17"/>
    </row>
    <row r="575" spans="1:22" ht="14.25" customHeight="1">
      <c r="A575" s="17"/>
      <c r="B575" s="17"/>
      <c r="C575" s="37"/>
      <c r="D575" s="37"/>
      <c r="E575" s="37"/>
      <c r="F575" s="37"/>
      <c r="G575" s="37"/>
      <c r="H575" s="37"/>
      <c r="I575" s="37"/>
      <c r="J575" s="37"/>
      <c r="K575" s="37"/>
      <c r="O575" s="17"/>
      <c r="P575" s="17"/>
      <c r="Q575" s="17"/>
      <c r="R575" s="17"/>
      <c r="S575" s="17"/>
      <c r="T575" s="17"/>
      <c r="U575" s="17"/>
      <c r="V575" s="17"/>
    </row>
    <row r="576" spans="1:22" ht="14.25" customHeight="1">
      <c r="A576" s="17"/>
      <c r="B576" s="17"/>
      <c r="C576" s="37"/>
      <c r="D576" s="37"/>
      <c r="E576" s="37"/>
      <c r="F576" s="37"/>
      <c r="G576" s="37"/>
      <c r="H576" s="37"/>
      <c r="I576" s="37"/>
      <c r="J576" s="37"/>
      <c r="K576" s="37"/>
      <c r="O576" s="17"/>
      <c r="P576" s="17"/>
      <c r="Q576" s="17"/>
      <c r="R576" s="17"/>
      <c r="S576" s="17"/>
      <c r="T576" s="17"/>
      <c r="U576" s="17"/>
      <c r="V576" s="17"/>
    </row>
    <row r="577" spans="1:22" ht="14.25" customHeight="1">
      <c r="A577" s="17"/>
      <c r="B577" s="17"/>
      <c r="C577" s="37"/>
      <c r="D577" s="37"/>
      <c r="E577" s="37"/>
      <c r="F577" s="37"/>
      <c r="G577" s="37"/>
      <c r="H577" s="37"/>
      <c r="I577" s="37"/>
      <c r="J577" s="37"/>
      <c r="K577" s="37"/>
      <c r="O577" s="17"/>
      <c r="P577" s="17"/>
      <c r="Q577" s="17"/>
      <c r="R577" s="17"/>
      <c r="S577" s="17"/>
      <c r="T577" s="17"/>
      <c r="U577" s="17"/>
      <c r="V577" s="17"/>
    </row>
    <row r="578" spans="1:22" ht="14.25" customHeight="1">
      <c r="A578" s="17"/>
      <c r="B578" s="17"/>
      <c r="C578" s="37"/>
      <c r="D578" s="37"/>
      <c r="E578" s="37"/>
      <c r="F578" s="37"/>
      <c r="G578" s="37"/>
      <c r="H578" s="37"/>
      <c r="I578" s="37"/>
      <c r="J578" s="37"/>
      <c r="K578" s="37"/>
      <c r="O578" s="17"/>
      <c r="P578" s="17"/>
      <c r="Q578" s="17"/>
      <c r="R578" s="17"/>
      <c r="S578" s="17"/>
      <c r="T578" s="17"/>
      <c r="U578" s="17"/>
      <c r="V578" s="17"/>
    </row>
    <row r="579" spans="1:22" ht="14.25" customHeight="1">
      <c r="A579" s="17"/>
      <c r="B579" s="17"/>
      <c r="C579" s="37"/>
      <c r="D579" s="37"/>
      <c r="E579" s="37"/>
      <c r="F579" s="37"/>
      <c r="G579" s="37"/>
      <c r="H579" s="37"/>
      <c r="I579" s="37"/>
      <c r="J579" s="37"/>
      <c r="K579" s="37"/>
      <c r="O579" s="17"/>
      <c r="P579" s="17"/>
      <c r="Q579" s="17"/>
      <c r="R579" s="17"/>
      <c r="S579" s="17"/>
      <c r="T579" s="17"/>
      <c r="U579" s="17"/>
      <c r="V579" s="17"/>
    </row>
    <row r="580" spans="1:22" ht="14.25" customHeight="1">
      <c r="A580" s="17"/>
      <c r="B580" s="17"/>
      <c r="C580" s="37"/>
      <c r="D580" s="37"/>
      <c r="E580" s="37"/>
      <c r="F580" s="37"/>
      <c r="G580" s="37"/>
      <c r="H580" s="37"/>
      <c r="I580" s="37"/>
      <c r="J580" s="37"/>
      <c r="K580" s="37"/>
      <c r="O580" s="17"/>
      <c r="P580" s="17"/>
      <c r="Q580" s="17"/>
      <c r="R580" s="17"/>
      <c r="S580" s="17"/>
      <c r="T580" s="17"/>
      <c r="U580" s="17"/>
      <c r="V580" s="17"/>
    </row>
    <row r="581" spans="1:22" ht="14.25" customHeight="1">
      <c r="A581" s="17"/>
      <c r="B581" s="17"/>
      <c r="C581" s="37"/>
      <c r="D581" s="37"/>
      <c r="E581" s="37"/>
      <c r="F581" s="37"/>
      <c r="G581" s="37"/>
      <c r="H581" s="37"/>
      <c r="I581" s="37"/>
      <c r="J581" s="37"/>
      <c r="K581" s="37"/>
      <c r="O581" s="17"/>
      <c r="P581" s="17"/>
      <c r="Q581" s="17"/>
      <c r="R581" s="17"/>
      <c r="S581" s="17"/>
      <c r="T581" s="17"/>
      <c r="U581" s="17"/>
      <c r="V581" s="17"/>
    </row>
    <row r="582" spans="1:22" ht="14.25" customHeight="1">
      <c r="A582" s="17"/>
      <c r="B582" s="17"/>
      <c r="C582" s="37"/>
      <c r="D582" s="37"/>
      <c r="E582" s="37"/>
      <c r="F582" s="37"/>
      <c r="G582" s="37"/>
      <c r="H582" s="37"/>
      <c r="I582" s="37"/>
      <c r="J582" s="37"/>
      <c r="K582" s="37"/>
      <c r="O582" s="17"/>
      <c r="P582" s="17"/>
      <c r="Q582" s="17"/>
      <c r="R582" s="17"/>
      <c r="S582" s="17"/>
      <c r="T582" s="17"/>
      <c r="U582" s="17"/>
      <c r="V582" s="17"/>
    </row>
    <row r="583" spans="1:22" ht="14.25" customHeight="1">
      <c r="A583" s="17"/>
      <c r="B583" s="17"/>
      <c r="C583" s="37"/>
      <c r="D583" s="37"/>
      <c r="E583" s="37"/>
      <c r="F583" s="37"/>
      <c r="G583" s="37"/>
      <c r="H583" s="37"/>
      <c r="I583" s="37"/>
      <c r="J583" s="37"/>
      <c r="K583" s="37"/>
      <c r="O583" s="17"/>
      <c r="P583" s="17"/>
      <c r="Q583" s="17"/>
      <c r="R583" s="17"/>
      <c r="S583" s="17"/>
      <c r="T583" s="17"/>
      <c r="U583" s="17"/>
      <c r="V583" s="17"/>
    </row>
    <row r="584" spans="1:22" ht="14.25" customHeight="1">
      <c r="A584" s="17"/>
      <c r="B584" s="17"/>
      <c r="C584" s="37"/>
      <c r="D584" s="37"/>
      <c r="E584" s="37"/>
      <c r="F584" s="37"/>
      <c r="G584" s="37"/>
      <c r="H584" s="37"/>
      <c r="I584" s="37"/>
      <c r="J584" s="37"/>
      <c r="K584" s="37"/>
      <c r="O584" s="17"/>
      <c r="P584" s="17"/>
      <c r="Q584" s="17"/>
      <c r="R584" s="17"/>
      <c r="S584" s="17"/>
      <c r="T584" s="17"/>
      <c r="U584" s="17"/>
      <c r="V584" s="17"/>
    </row>
    <row r="585" spans="1:22" ht="14.25" customHeight="1">
      <c r="A585" s="17"/>
      <c r="B585" s="17"/>
      <c r="C585" s="37"/>
      <c r="D585" s="37"/>
      <c r="E585" s="37"/>
      <c r="F585" s="37"/>
      <c r="G585" s="37"/>
      <c r="H585" s="37"/>
      <c r="I585" s="37"/>
      <c r="J585" s="37"/>
      <c r="K585" s="37"/>
      <c r="O585" s="17"/>
      <c r="P585" s="17"/>
      <c r="Q585" s="17"/>
      <c r="R585" s="17"/>
      <c r="S585" s="17"/>
      <c r="T585" s="17"/>
      <c r="U585" s="17"/>
      <c r="V585" s="17"/>
    </row>
    <row r="586" spans="1:22" ht="14.25" customHeight="1">
      <c r="A586" s="17"/>
      <c r="B586" s="17"/>
      <c r="C586" s="37"/>
      <c r="D586" s="37"/>
      <c r="E586" s="37"/>
      <c r="F586" s="37"/>
      <c r="G586" s="37"/>
      <c r="H586" s="37"/>
      <c r="I586" s="37"/>
      <c r="J586" s="37"/>
      <c r="K586" s="37"/>
      <c r="O586" s="17"/>
      <c r="P586" s="17"/>
      <c r="Q586" s="17"/>
      <c r="R586" s="17"/>
      <c r="S586" s="17"/>
      <c r="T586" s="17"/>
      <c r="U586" s="17"/>
      <c r="V586" s="17"/>
    </row>
    <row r="587" spans="1:22" ht="14.25" customHeight="1">
      <c r="A587" s="17"/>
      <c r="B587" s="17"/>
      <c r="C587" s="37"/>
      <c r="D587" s="37"/>
      <c r="E587" s="37"/>
      <c r="F587" s="37"/>
      <c r="G587" s="37"/>
      <c r="H587" s="37"/>
      <c r="I587" s="37"/>
      <c r="J587" s="37"/>
      <c r="K587" s="37"/>
      <c r="O587" s="17"/>
      <c r="P587" s="17"/>
      <c r="Q587" s="17"/>
      <c r="R587" s="17"/>
      <c r="S587" s="17"/>
      <c r="T587" s="17"/>
      <c r="U587" s="17"/>
      <c r="V587" s="17"/>
    </row>
    <row r="588" spans="1:22" ht="14.25" customHeight="1">
      <c r="A588" s="17"/>
      <c r="B588" s="17"/>
      <c r="C588" s="37"/>
      <c r="D588" s="37"/>
      <c r="E588" s="37"/>
      <c r="F588" s="37"/>
      <c r="G588" s="37"/>
      <c r="H588" s="37"/>
      <c r="I588" s="37"/>
      <c r="J588" s="37"/>
      <c r="K588" s="37"/>
      <c r="O588" s="17"/>
      <c r="P588" s="17"/>
      <c r="Q588" s="17"/>
      <c r="R588" s="17"/>
      <c r="S588" s="17"/>
      <c r="T588" s="17"/>
      <c r="U588" s="17"/>
      <c r="V588" s="17"/>
    </row>
    <row r="589" spans="1:22" ht="14.25" customHeight="1">
      <c r="A589" s="17"/>
      <c r="B589" s="17"/>
      <c r="C589" s="37"/>
      <c r="D589" s="37"/>
      <c r="E589" s="37"/>
      <c r="F589" s="37"/>
      <c r="G589" s="37"/>
      <c r="H589" s="37"/>
      <c r="I589" s="37"/>
      <c r="J589" s="37"/>
      <c r="K589" s="37"/>
      <c r="O589" s="17"/>
      <c r="P589" s="17"/>
      <c r="Q589" s="17"/>
      <c r="R589" s="17"/>
      <c r="S589" s="17"/>
      <c r="T589" s="17"/>
      <c r="U589" s="17"/>
      <c r="V589" s="17"/>
    </row>
    <row r="590" spans="1:22" ht="14.25" customHeight="1">
      <c r="A590" s="17"/>
      <c r="B590" s="17"/>
      <c r="C590" s="37"/>
      <c r="D590" s="37"/>
      <c r="E590" s="37"/>
      <c r="F590" s="37"/>
      <c r="G590" s="37"/>
      <c r="H590" s="37"/>
      <c r="I590" s="37"/>
      <c r="J590" s="37"/>
      <c r="K590" s="37"/>
      <c r="O590" s="17"/>
      <c r="P590" s="17"/>
      <c r="Q590" s="17"/>
      <c r="R590" s="17"/>
      <c r="S590" s="17"/>
      <c r="T590" s="17"/>
      <c r="U590" s="17"/>
      <c r="V590" s="17"/>
    </row>
    <row r="591" spans="1:22" ht="14.25" customHeight="1">
      <c r="A591" s="17"/>
      <c r="B591" s="17"/>
      <c r="C591" s="37"/>
      <c r="D591" s="37"/>
      <c r="E591" s="37"/>
      <c r="F591" s="37"/>
      <c r="G591" s="37"/>
      <c r="H591" s="37"/>
      <c r="I591" s="37"/>
      <c r="J591" s="37"/>
      <c r="K591" s="37"/>
      <c r="O591" s="17"/>
      <c r="P591" s="17"/>
      <c r="Q591" s="17"/>
      <c r="R591" s="17"/>
      <c r="S591" s="17"/>
      <c r="T591" s="17"/>
      <c r="U591" s="17"/>
      <c r="V591" s="17"/>
    </row>
    <row r="592" spans="1:22" ht="14.25" customHeight="1">
      <c r="A592" s="17"/>
      <c r="B592" s="17"/>
      <c r="C592" s="37"/>
      <c r="D592" s="37"/>
      <c r="E592" s="37"/>
      <c r="F592" s="37"/>
      <c r="G592" s="37"/>
      <c r="H592" s="37"/>
      <c r="I592" s="37"/>
      <c r="J592" s="37"/>
      <c r="K592" s="37"/>
      <c r="O592" s="17"/>
      <c r="P592" s="17"/>
      <c r="Q592" s="17"/>
      <c r="R592" s="17"/>
      <c r="S592" s="17"/>
      <c r="T592" s="17"/>
      <c r="U592" s="17"/>
      <c r="V592" s="17"/>
    </row>
    <row r="593" spans="1:22" ht="14.25" customHeight="1">
      <c r="A593" s="17"/>
      <c r="B593" s="17"/>
      <c r="C593" s="37"/>
      <c r="D593" s="37"/>
      <c r="E593" s="37"/>
      <c r="F593" s="37"/>
      <c r="G593" s="37"/>
      <c r="H593" s="37"/>
      <c r="I593" s="37"/>
      <c r="J593" s="37"/>
      <c r="K593" s="37"/>
      <c r="O593" s="17"/>
      <c r="P593" s="17"/>
      <c r="Q593" s="17"/>
      <c r="R593" s="17"/>
      <c r="S593" s="17"/>
      <c r="T593" s="17"/>
      <c r="U593" s="17"/>
      <c r="V593" s="17"/>
    </row>
    <row r="594" spans="1:22" ht="14.25" customHeight="1">
      <c r="A594" s="17"/>
      <c r="B594" s="17"/>
      <c r="C594" s="37"/>
      <c r="D594" s="37"/>
      <c r="E594" s="37"/>
      <c r="F594" s="37"/>
      <c r="G594" s="37"/>
      <c r="H594" s="37"/>
      <c r="I594" s="37"/>
      <c r="J594" s="37"/>
      <c r="K594" s="37"/>
      <c r="O594" s="17"/>
      <c r="P594" s="17"/>
      <c r="Q594" s="17"/>
      <c r="R594" s="17"/>
      <c r="S594" s="17"/>
      <c r="T594" s="17"/>
      <c r="U594" s="17"/>
      <c r="V594" s="17"/>
    </row>
    <row r="595" spans="1:22" ht="14.25" customHeight="1">
      <c r="A595" s="17"/>
      <c r="B595" s="17"/>
      <c r="C595" s="37"/>
      <c r="D595" s="37"/>
      <c r="E595" s="37"/>
      <c r="F595" s="37"/>
      <c r="G595" s="37"/>
      <c r="H595" s="37"/>
      <c r="I595" s="37"/>
      <c r="J595" s="37"/>
      <c r="K595" s="37"/>
      <c r="O595" s="17"/>
      <c r="P595" s="17"/>
      <c r="Q595" s="17"/>
      <c r="R595" s="17"/>
      <c r="S595" s="17"/>
      <c r="T595" s="17"/>
      <c r="U595" s="17"/>
      <c r="V595" s="17"/>
    </row>
    <row r="596" spans="1:22" ht="14.25" customHeight="1">
      <c r="A596" s="17"/>
      <c r="B596" s="17"/>
      <c r="C596" s="37"/>
      <c r="D596" s="37"/>
      <c r="E596" s="37"/>
      <c r="F596" s="37"/>
      <c r="G596" s="37"/>
      <c r="H596" s="37"/>
      <c r="I596" s="37"/>
      <c r="J596" s="37"/>
      <c r="K596" s="37"/>
      <c r="O596" s="17"/>
      <c r="P596" s="17"/>
      <c r="Q596" s="17"/>
      <c r="R596" s="17"/>
      <c r="S596" s="17"/>
      <c r="T596" s="17"/>
      <c r="U596" s="17"/>
      <c r="V596" s="17"/>
    </row>
    <row r="597" spans="1:22" ht="14.25" customHeight="1">
      <c r="A597" s="17"/>
      <c r="B597" s="17"/>
      <c r="C597" s="37"/>
      <c r="D597" s="37"/>
      <c r="E597" s="37"/>
      <c r="F597" s="37"/>
      <c r="G597" s="37"/>
      <c r="H597" s="37"/>
      <c r="I597" s="37"/>
      <c r="J597" s="37"/>
      <c r="K597" s="37"/>
      <c r="O597" s="17"/>
      <c r="P597" s="17"/>
      <c r="Q597" s="17"/>
      <c r="R597" s="17"/>
      <c r="S597" s="17"/>
      <c r="T597" s="17"/>
      <c r="U597" s="17"/>
      <c r="V597" s="17"/>
    </row>
    <row r="598" spans="1:22" ht="14.25" customHeight="1">
      <c r="A598" s="17"/>
      <c r="B598" s="17"/>
      <c r="C598" s="37"/>
      <c r="D598" s="37"/>
      <c r="E598" s="37"/>
      <c r="F598" s="37"/>
      <c r="G598" s="37"/>
      <c r="H598" s="37"/>
      <c r="I598" s="37"/>
      <c r="J598" s="37"/>
      <c r="K598" s="37"/>
      <c r="O598" s="17"/>
      <c r="P598" s="17"/>
      <c r="Q598" s="17"/>
      <c r="R598" s="17"/>
      <c r="S598" s="17"/>
      <c r="T598" s="17"/>
      <c r="U598" s="17"/>
      <c r="V598" s="17"/>
    </row>
    <row r="599" spans="1:22" ht="14.25" customHeight="1">
      <c r="A599" s="17"/>
      <c r="B599" s="17"/>
      <c r="C599" s="37"/>
      <c r="D599" s="37"/>
      <c r="E599" s="37"/>
      <c r="F599" s="37"/>
      <c r="G599" s="37"/>
      <c r="H599" s="37"/>
      <c r="I599" s="37"/>
      <c r="J599" s="37"/>
      <c r="K599" s="37"/>
      <c r="O599" s="17"/>
      <c r="P599" s="17"/>
      <c r="Q599" s="17"/>
      <c r="R599" s="17"/>
      <c r="S599" s="17"/>
      <c r="T599" s="17"/>
      <c r="U599" s="17"/>
      <c r="V599" s="17"/>
    </row>
    <row r="600" spans="1:22" ht="14.25" customHeight="1">
      <c r="A600" s="17"/>
      <c r="B600" s="17"/>
      <c r="C600" s="37"/>
      <c r="D600" s="37"/>
      <c r="E600" s="37"/>
      <c r="F600" s="37"/>
      <c r="G600" s="37"/>
      <c r="H600" s="37"/>
      <c r="I600" s="37"/>
      <c r="J600" s="37"/>
      <c r="K600" s="37"/>
      <c r="O600" s="17"/>
      <c r="P600" s="17"/>
      <c r="Q600" s="17"/>
      <c r="R600" s="17"/>
      <c r="S600" s="17"/>
      <c r="T600" s="17"/>
      <c r="U600" s="17"/>
      <c r="V600" s="17"/>
    </row>
    <row r="601" spans="1:22" ht="14.25" customHeight="1">
      <c r="A601" s="17"/>
      <c r="B601" s="17"/>
      <c r="C601" s="37"/>
      <c r="D601" s="37"/>
      <c r="E601" s="37"/>
      <c r="F601" s="37"/>
      <c r="G601" s="37"/>
      <c r="H601" s="37"/>
      <c r="I601" s="37"/>
      <c r="J601" s="37"/>
      <c r="K601" s="37"/>
      <c r="O601" s="17"/>
      <c r="P601" s="17"/>
      <c r="Q601" s="17"/>
      <c r="R601" s="17"/>
      <c r="S601" s="17"/>
      <c r="T601" s="17"/>
      <c r="U601" s="17"/>
      <c r="V601" s="17"/>
    </row>
    <row r="602" spans="1:22" ht="14.25" customHeight="1">
      <c r="A602" s="17"/>
      <c r="B602" s="17"/>
      <c r="C602" s="37"/>
      <c r="D602" s="37"/>
      <c r="E602" s="37"/>
      <c r="F602" s="37"/>
      <c r="G602" s="37"/>
      <c r="H602" s="37"/>
      <c r="I602" s="37"/>
      <c r="J602" s="37"/>
      <c r="K602" s="37"/>
      <c r="O602" s="17"/>
      <c r="P602" s="17"/>
      <c r="Q602" s="17"/>
      <c r="R602" s="17"/>
      <c r="S602" s="17"/>
      <c r="T602" s="17"/>
      <c r="U602" s="17"/>
      <c r="V602" s="17"/>
    </row>
    <row r="603" spans="1:22" ht="14.25" customHeight="1">
      <c r="A603" s="17"/>
      <c r="B603" s="17"/>
      <c r="C603" s="37"/>
      <c r="D603" s="37"/>
      <c r="E603" s="37"/>
      <c r="F603" s="37"/>
      <c r="G603" s="37"/>
      <c r="H603" s="37"/>
      <c r="I603" s="37"/>
      <c r="J603" s="37"/>
      <c r="K603" s="37"/>
      <c r="O603" s="17"/>
      <c r="P603" s="17"/>
      <c r="Q603" s="17"/>
      <c r="R603" s="17"/>
      <c r="S603" s="17"/>
      <c r="T603" s="17"/>
      <c r="U603" s="17"/>
      <c r="V603" s="17"/>
    </row>
    <row r="604" spans="1:22" ht="14.25" customHeight="1">
      <c r="A604" s="17"/>
      <c r="B604" s="17"/>
      <c r="C604" s="37"/>
      <c r="D604" s="37"/>
      <c r="E604" s="37"/>
      <c r="F604" s="37"/>
      <c r="G604" s="37"/>
      <c r="H604" s="37"/>
      <c r="I604" s="37"/>
      <c r="J604" s="37"/>
      <c r="K604" s="37"/>
      <c r="O604" s="17"/>
      <c r="P604" s="17"/>
      <c r="Q604" s="17"/>
      <c r="R604" s="17"/>
      <c r="S604" s="17"/>
      <c r="T604" s="17"/>
      <c r="U604" s="17"/>
      <c r="V604" s="17"/>
    </row>
    <row r="605" spans="1:22" ht="14.25" customHeight="1">
      <c r="A605" s="17"/>
      <c r="B605" s="17"/>
      <c r="C605" s="37"/>
      <c r="D605" s="37"/>
      <c r="E605" s="37"/>
      <c r="F605" s="37"/>
      <c r="G605" s="37"/>
      <c r="H605" s="37"/>
      <c r="I605" s="37"/>
      <c r="J605" s="37"/>
      <c r="K605" s="37"/>
      <c r="O605" s="17"/>
      <c r="P605" s="17"/>
      <c r="Q605" s="17"/>
      <c r="R605" s="17"/>
      <c r="S605" s="17"/>
      <c r="T605" s="17"/>
      <c r="U605" s="17"/>
      <c r="V605" s="17"/>
    </row>
    <row r="606" spans="1:22" ht="14.25" customHeight="1">
      <c r="A606" s="17"/>
      <c r="B606" s="17"/>
      <c r="C606" s="37"/>
      <c r="D606" s="37"/>
      <c r="E606" s="37"/>
      <c r="F606" s="37"/>
      <c r="G606" s="37"/>
      <c r="H606" s="37"/>
      <c r="I606" s="37"/>
      <c r="J606" s="37"/>
      <c r="K606" s="37"/>
      <c r="O606" s="17"/>
      <c r="P606" s="17"/>
      <c r="Q606" s="17"/>
      <c r="R606" s="17"/>
      <c r="S606" s="17"/>
      <c r="T606" s="17"/>
      <c r="U606" s="17"/>
      <c r="V606" s="17"/>
    </row>
    <row r="607" spans="1:22" ht="14.25" customHeight="1">
      <c r="A607" s="17"/>
      <c r="B607" s="17"/>
      <c r="C607" s="37"/>
      <c r="D607" s="37"/>
      <c r="E607" s="37"/>
      <c r="F607" s="37"/>
      <c r="G607" s="37"/>
      <c r="H607" s="37"/>
      <c r="I607" s="37"/>
      <c r="J607" s="37"/>
      <c r="K607" s="37"/>
      <c r="O607" s="17"/>
      <c r="P607" s="17"/>
      <c r="Q607" s="17"/>
      <c r="R607" s="17"/>
      <c r="S607" s="17"/>
      <c r="T607" s="17"/>
      <c r="U607" s="17"/>
      <c r="V607" s="17"/>
    </row>
    <row r="608" spans="1:22" ht="14.25" customHeight="1">
      <c r="A608" s="17"/>
      <c r="B608" s="17"/>
      <c r="C608" s="37"/>
      <c r="D608" s="37"/>
      <c r="E608" s="37"/>
      <c r="F608" s="37"/>
      <c r="G608" s="37"/>
      <c r="H608" s="37"/>
      <c r="I608" s="37"/>
      <c r="J608" s="37"/>
      <c r="K608" s="37"/>
      <c r="O608" s="17"/>
      <c r="P608" s="17"/>
      <c r="Q608" s="17"/>
      <c r="R608" s="17"/>
      <c r="S608" s="17"/>
      <c r="T608" s="17"/>
      <c r="U608" s="17"/>
      <c r="V608" s="17"/>
    </row>
    <row r="609" spans="1:22" ht="14.25" customHeight="1">
      <c r="A609" s="17"/>
      <c r="B609" s="17"/>
      <c r="C609" s="37"/>
      <c r="D609" s="37"/>
      <c r="E609" s="37"/>
      <c r="F609" s="37"/>
      <c r="G609" s="37"/>
      <c r="H609" s="37"/>
      <c r="I609" s="37"/>
      <c r="J609" s="37"/>
      <c r="K609" s="37"/>
      <c r="O609" s="17"/>
      <c r="P609" s="17"/>
      <c r="Q609" s="17"/>
      <c r="R609" s="17"/>
      <c r="S609" s="17"/>
      <c r="T609" s="17"/>
      <c r="U609" s="17"/>
      <c r="V609" s="17"/>
    </row>
    <row r="610" spans="1:22" ht="14.25" customHeight="1">
      <c r="A610" s="17"/>
      <c r="B610" s="17"/>
      <c r="C610" s="37"/>
      <c r="D610" s="37"/>
      <c r="E610" s="37"/>
      <c r="F610" s="37"/>
      <c r="G610" s="37"/>
      <c r="H610" s="37"/>
      <c r="I610" s="37"/>
      <c r="J610" s="37"/>
      <c r="K610" s="37"/>
      <c r="O610" s="17"/>
      <c r="P610" s="17"/>
      <c r="Q610" s="17"/>
      <c r="R610" s="17"/>
      <c r="S610" s="17"/>
      <c r="T610" s="17"/>
      <c r="U610" s="17"/>
      <c r="V610" s="17"/>
    </row>
    <row r="611" spans="1:22" ht="14.25" customHeight="1">
      <c r="A611" s="17"/>
      <c r="B611" s="17"/>
      <c r="C611" s="37"/>
      <c r="D611" s="37"/>
      <c r="E611" s="37"/>
      <c r="F611" s="37"/>
      <c r="G611" s="37"/>
      <c r="H611" s="37"/>
      <c r="I611" s="37"/>
      <c r="J611" s="37"/>
      <c r="K611" s="37"/>
      <c r="O611" s="17"/>
      <c r="P611" s="17"/>
      <c r="Q611" s="17"/>
      <c r="R611" s="17"/>
      <c r="S611" s="17"/>
      <c r="T611" s="17"/>
      <c r="U611" s="17"/>
      <c r="V611" s="17"/>
    </row>
    <row r="612" spans="1:22" ht="14.25" customHeight="1">
      <c r="A612" s="17"/>
      <c r="B612" s="17"/>
      <c r="C612" s="37"/>
      <c r="D612" s="37"/>
      <c r="E612" s="37"/>
      <c r="F612" s="37"/>
      <c r="G612" s="37"/>
      <c r="H612" s="37"/>
      <c r="I612" s="37"/>
      <c r="J612" s="37"/>
      <c r="K612" s="37"/>
      <c r="O612" s="17"/>
      <c r="P612" s="17"/>
      <c r="Q612" s="17"/>
      <c r="R612" s="17"/>
      <c r="S612" s="17"/>
      <c r="T612" s="17"/>
      <c r="U612" s="17"/>
      <c r="V612" s="17"/>
    </row>
    <row r="613" spans="1:22" ht="14.25" customHeight="1">
      <c r="A613" s="17"/>
      <c r="B613" s="17"/>
      <c r="C613" s="37"/>
      <c r="D613" s="37"/>
      <c r="E613" s="37"/>
      <c r="F613" s="37"/>
      <c r="G613" s="37"/>
      <c r="H613" s="37"/>
      <c r="I613" s="37"/>
      <c r="J613" s="37"/>
      <c r="K613" s="37"/>
      <c r="O613" s="17"/>
      <c r="P613" s="17"/>
      <c r="Q613" s="17"/>
      <c r="R613" s="17"/>
      <c r="S613" s="17"/>
      <c r="T613" s="17"/>
      <c r="U613" s="17"/>
      <c r="V613" s="17"/>
    </row>
    <row r="614" spans="1:22" ht="14.25" customHeight="1">
      <c r="A614" s="17"/>
      <c r="B614" s="17"/>
      <c r="C614" s="37"/>
      <c r="D614" s="37"/>
      <c r="E614" s="37"/>
      <c r="F614" s="37"/>
      <c r="G614" s="37"/>
      <c r="H614" s="37"/>
      <c r="I614" s="37"/>
      <c r="J614" s="37"/>
      <c r="K614" s="37"/>
      <c r="O614" s="17"/>
      <c r="P614" s="17"/>
      <c r="Q614" s="17"/>
      <c r="R614" s="17"/>
      <c r="S614" s="17"/>
      <c r="T614" s="17"/>
      <c r="U614" s="17"/>
      <c r="V614" s="17"/>
    </row>
    <row r="615" spans="1:22" ht="14.25" customHeight="1">
      <c r="A615" s="17"/>
      <c r="B615" s="17"/>
      <c r="C615" s="37"/>
      <c r="D615" s="37"/>
      <c r="E615" s="37"/>
      <c r="F615" s="37"/>
      <c r="G615" s="37"/>
      <c r="H615" s="37"/>
      <c r="I615" s="37"/>
      <c r="J615" s="37"/>
      <c r="K615" s="37"/>
      <c r="O615" s="17"/>
      <c r="P615" s="17"/>
      <c r="Q615" s="17"/>
      <c r="R615" s="17"/>
      <c r="S615" s="17"/>
      <c r="T615" s="17"/>
      <c r="U615" s="17"/>
      <c r="V615" s="17"/>
    </row>
    <row r="616" spans="1:22" ht="14.25" customHeight="1">
      <c r="A616" s="17"/>
      <c r="B616" s="17"/>
      <c r="C616" s="37"/>
      <c r="D616" s="37"/>
      <c r="E616" s="37"/>
      <c r="F616" s="37"/>
      <c r="G616" s="37"/>
      <c r="H616" s="37"/>
      <c r="I616" s="37"/>
      <c r="J616" s="37"/>
      <c r="K616" s="37"/>
      <c r="O616" s="17"/>
      <c r="P616" s="17"/>
      <c r="Q616" s="17"/>
      <c r="R616" s="17"/>
      <c r="S616" s="17"/>
      <c r="T616" s="17"/>
      <c r="U616" s="17"/>
      <c r="V616" s="17"/>
    </row>
    <row r="617" spans="1:22" ht="14.25" customHeight="1">
      <c r="A617" s="17"/>
      <c r="B617" s="17"/>
      <c r="C617" s="37"/>
      <c r="D617" s="37"/>
      <c r="E617" s="37"/>
      <c r="F617" s="37"/>
      <c r="G617" s="37"/>
      <c r="H617" s="37"/>
      <c r="I617" s="37"/>
      <c r="J617" s="37"/>
      <c r="K617" s="37"/>
      <c r="O617" s="17"/>
      <c r="P617" s="17"/>
      <c r="Q617" s="17"/>
      <c r="R617" s="17"/>
      <c r="S617" s="17"/>
      <c r="T617" s="17"/>
      <c r="U617" s="17"/>
      <c r="V617" s="17"/>
    </row>
    <row r="618" spans="1:22" ht="14.25" customHeight="1">
      <c r="A618" s="17"/>
      <c r="B618" s="17"/>
      <c r="C618" s="37"/>
      <c r="D618" s="37"/>
      <c r="E618" s="37"/>
      <c r="F618" s="37"/>
      <c r="G618" s="37"/>
      <c r="H618" s="37"/>
      <c r="I618" s="37"/>
      <c r="J618" s="37"/>
      <c r="K618" s="37"/>
      <c r="O618" s="17"/>
      <c r="P618" s="17"/>
      <c r="Q618" s="17"/>
      <c r="R618" s="17"/>
      <c r="S618" s="17"/>
      <c r="T618" s="17"/>
      <c r="U618" s="17"/>
      <c r="V618" s="17"/>
    </row>
    <row r="619" spans="1:22" ht="14.25" customHeight="1">
      <c r="A619" s="17"/>
      <c r="B619" s="17"/>
      <c r="C619" s="37"/>
      <c r="D619" s="37"/>
      <c r="E619" s="37"/>
      <c r="F619" s="37"/>
      <c r="G619" s="37"/>
      <c r="H619" s="37"/>
      <c r="I619" s="37"/>
      <c r="J619" s="37"/>
      <c r="K619" s="37"/>
      <c r="O619" s="17"/>
      <c r="P619" s="17"/>
      <c r="Q619" s="17"/>
      <c r="R619" s="17"/>
      <c r="S619" s="17"/>
      <c r="T619" s="17"/>
      <c r="U619" s="17"/>
      <c r="V619" s="17"/>
    </row>
    <row r="620" spans="1:22" ht="14.25" customHeight="1">
      <c r="A620" s="17"/>
      <c r="B620" s="17"/>
      <c r="C620" s="37"/>
      <c r="D620" s="37"/>
      <c r="E620" s="37"/>
      <c r="F620" s="37"/>
      <c r="G620" s="37"/>
      <c r="H620" s="37"/>
      <c r="I620" s="37"/>
      <c r="J620" s="37"/>
      <c r="K620" s="37"/>
      <c r="O620" s="17"/>
      <c r="P620" s="17"/>
      <c r="Q620" s="17"/>
      <c r="R620" s="17"/>
      <c r="S620" s="17"/>
      <c r="T620" s="17"/>
      <c r="U620" s="17"/>
      <c r="V620" s="17"/>
    </row>
    <row r="621" spans="1:22" ht="14.25" customHeight="1">
      <c r="A621" s="17"/>
      <c r="B621" s="17"/>
      <c r="C621" s="37"/>
      <c r="D621" s="37"/>
      <c r="E621" s="37"/>
      <c r="F621" s="37"/>
      <c r="G621" s="37"/>
      <c r="H621" s="37"/>
      <c r="I621" s="37"/>
      <c r="J621" s="37"/>
      <c r="K621" s="37"/>
      <c r="O621" s="17"/>
      <c r="P621" s="17"/>
      <c r="Q621" s="17"/>
      <c r="R621" s="17"/>
      <c r="S621" s="17"/>
      <c r="T621" s="17"/>
      <c r="U621" s="17"/>
      <c r="V621" s="17"/>
    </row>
    <row r="622" spans="1:22" ht="14.25" customHeight="1">
      <c r="A622" s="17"/>
      <c r="B622" s="17"/>
      <c r="C622" s="37"/>
      <c r="D622" s="37"/>
      <c r="E622" s="37"/>
      <c r="F622" s="37"/>
      <c r="G622" s="37"/>
      <c r="H622" s="37"/>
      <c r="I622" s="37"/>
      <c r="J622" s="37"/>
      <c r="K622" s="37"/>
      <c r="O622" s="17"/>
      <c r="P622" s="17"/>
      <c r="Q622" s="17"/>
      <c r="R622" s="17"/>
      <c r="S622" s="17"/>
      <c r="T622" s="17"/>
      <c r="U622" s="17"/>
      <c r="V622" s="17"/>
    </row>
    <row r="623" spans="1:22" ht="14.25" customHeight="1">
      <c r="A623" s="17"/>
      <c r="B623" s="17"/>
      <c r="C623" s="37"/>
      <c r="D623" s="37"/>
      <c r="E623" s="37"/>
      <c r="F623" s="37"/>
      <c r="G623" s="37"/>
      <c r="H623" s="37"/>
      <c r="I623" s="37"/>
      <c r="J623" s="37"/>
      <c r="K623" s="37"/>
      <c r="O623" s="17"/>
      <c r="P623" s="17"/>
      <c r="Q623" s="17"/>
      <c r="R623" s="17"/>
      <c r="S623" s="17"/>
      <c r="T623" s="17"/>
      <c r="U623" s="17"/>
      <c r="V623" s="17"/>
    </row>
    <row r="624" spans="1:22" ht="14.25" customHeight="1">
      <c r="A624" s="17"/>
      <c r="B624" s="17"/>
      <c r="C624" s="37"/>
      <c r="D624" s="37"/>
      <c r="E624" s="37"/>
      <c r="F624" s="37"/>
      <c r="G624" s="37"/>
      <c r="H624" s="37"/>
      <c r="I624" s="37"/>
      <c r="J624" s="37"/>
      <c r="K624" s="37"/>
      <c r="O624" s="17"/>
      <c r="P624" s="17"/>
      <c r="Q624" s="17"/>
      <c r="R624" s="17"/>
      <c r="S624" s="17"/>
      <c r="T624" s="17"/>
      <c r="U624" s="17"/>
      <c r="V624" s="17"/>
    </row>
    <row r="625" spans="1:22" ht="14.25" customHeight="1">
      <c r="A625" s="17"/>
      <c r="B625" s="17"/>
      <c r="C625" s="37"/>
      <c r="D625" s="37"/>
      <c r="E625" s="37"/>
      <c r="F625" s="37"/>
      <c r="G625" s="37"/>
      <c r="H625" s="37"/>
      <c r="I625" s="37"/>
      <c r="J625" s="37"/>
      <c r="K625" s="37"/>
      <c r="O625" s="17"/>
      <c r="P625" s="17"/>
      <c r="Q625" s="17"/>
      <c r="R625" s="17"/>
      <c r="S625" s="17"/>
      <c r="T625" s="17"/>
      <c r="U625" s="17"/>
      <c r="V625" s="17"/>
    </row>
    <row r="626" spans="1:22" ht="14.25" customHeight="1">
      <c r="A626" s="17"/>
      <c r="B626" s="17"/>
      <c r="C626" s="37"/>
      <c r="D626" s="37"/>
      <c r="E626" s="37"/>
      <c r="F626" s="37"/>
      <c r="G626" s="37"/>
      <c r="H626" s="37"/>
      <c r="I626" s="37"/>
      <c r="J626" s="37"/>
      <c r="K626" s="37"/>
      <c r="O626" s="17"/>
      <c r="P626" s="17"/>
      <c r="Q626" s="17"/>
      <c r="R626" s="17"/>
      <c r="S626" s="17"/>
      <c r="T626" s="17"/>
      <c r="U626" s="17"/>
      <c r="V626" s="17"/>
    </row>
    <row r="627" spans="1:22" ht="14.25" customHeight="1">
      <c r="A627" s="17"/>
      <c r="B627" s="17"/>
      <c r="C627" s="37"/>
      <c r="D627" s="37"/>
      <c r="E627" s="37"/>
      <c r="F627" s="37"/>
      <c r="G627" s="37"/>
      <c r="H627" s="37"/>
      <c r="I627" s="37"/>
      <c r="J627" s="37"/>
      <c r="K627" s="37"/>
      <c r="O627" s="17"/>
      <c r="P627" s="17"/>
      <c r="Q627" s="17"/>
      <c r="R627" s="17"/>
      <c r="S627" s="17"/>
      <c r="T627" s="17"/>
      <c r="U627" s="17"/>
      <c r="V627" s="17"/>
    </row>
    <row r="628" spans="1:22" ht="14.25" customHeight="1">
      <c r="A628" s="17"/>
      <c r="B628" s="17"/>
      <c r="C628" s="37"/>
      <c r="D628" s="37"/>
      <c r="E628" s="37"/>
      <c r="F628" s="37"/>
      <c r="G628" s="37"/>
      <c r="H628" s="37"/>
      <c r="I628" s="37"/>
      <c r="J628" s="37"/>
      <c r="K628" s="37"/>
      <c r="O628" s="17"/>
      <c r="P628" s="17"/>
      <c r="Q628" s="17"/>
      <c r="R628" s="17"/>
      <c r="S628" s="17"/>
      <c r="T628" s="17"/>
      <c r="U628" s="17"/>
      <c r="V628" s="17"/>
    </row>
    <row r="629" spans="1:22" ht="14.25" customHeight="1">
      <c r="A629" s="17"/>
      <c r="B629" s="17"/>
      <c r="C629" s="37"/>
      <c r="D629" s="37"/>
      <c r="E629" s="37"/>
      <c r="F629" s="37"/>
      <c r="G629" s="37"/>
      <c r="H629" s="37"/>
      <c r="I629" s="37"/>
      <c r="J629" s="37"/>
      <c r="K629" s="37"/>
      <c r="O629" s="17"/>
      <c r="P629" s="17"/>
      <c r="Q629" s="17"/>
      <c r="R629" s="17"/>
      <c r="S629" s="17"/>
      <c r="T629" s="17"/>
      <c r="U629" s="17"/>
      <c r="V629" s="17"/>
    </row>
    <row r="630" spans="1:22" ht="14.25" customHeight="1">
      <c r="A630" s="17"/>
      <c r="B630" s="17"/>
      <c r="C630" s="37"/>
      <c r="D630" s="37"/>
      <c r="E630" s="37"/>
      <c r="F630" s="37"/>
      <c r="G630" s="37"/>
      <c r="H630" s="37"/>
      <c r="I630" s="37"/>
      <c r="J630" s="37"/>
      <c r="K630" s="37"/>
      <c r="O630" s="17"/>
      <c r="P630" s="17"/>
      <c r="Q630" s="17"/>
      <c r="R630" s="17"/>
      <c r="S630" s="17"/>
      <c r="T630" s="17"/>
      <c r="U630" s="17"/>
      <c r="V630" s="17"/>
    </row>
    <row r="631" spans="1:22" ht="14.25" customHeight="1">
      <c r="A631" s="17"/>
      <c r="B631" s="17"/>
      <c r="C631" s="37"/>
      <c r="D631" s="37"/>
      <c r="E631" s="37"/>
      <c r="F631" s="37"/>
      <c r="G631" s="37"/>
      <c r="H631" s="37"/>
      <c r="I631" s="37"/>
      <c r="J631" s="37"/>
      <c r="K631" s="37"/>
      <c r="O631" s="17"/>
      <c r="P631" s="17"/>
      <c r="Q631" s="17"/>
      <c r="R631" s="17"/>
      <c r="S631" s="17"/>
      <c r="T631" s="17"/>
      <c r="U631" s="17"/>
      <c r="V631" s="17"/>
    </row>
    <row r="632" spans="1:22" ht="14.25" customHeight="1">
      <c r="A632" s="17"/>
      <c r="B632" s="17"/>
      <c r="C632" s="37"/>
      <c r="D632" s="37"/>
      <c r="E632" s="37"/>
      <c r="F632" s="37"/>
      <c r="G632" s="37"/>
      <c r="H632" s="37"/>
      <c r="I632" s="37"/>
      <c r="J632" s="37"/>
      <c r="K632" s="37"/>
      <c r="O632" s="17"/>
      <c r="P632" s="17"/>
      <c r="Q632" s="17"/>
      <c r="R632" s="17"/>
      <c r="S632" s="17"/>
      <c r="T632" s="17"/>
      <c r="U632" s="17"/>
      <c r="V632" s="17"/>
    </row>
    <row r="633" spans="1:22" ht="14.25" customHeight="1">
      <c r="A633" s="17"/>
      <c r="B633" s="17"/>
      <c r="C633" s="37"/>
      <c r="D633" s="37"/>
      <c r="E633" s="37"/>
      <c r="F633" s="37"/>
      <c r="G633" s="37"/>
      <c r="H633" s="37"/>
      <c r="I633" s="37"/>
      <c r="J633" s="37"/>
      <c r="K633" s="37"/>
      <c r="O633" s="17"/>
      <c r="P633" s="17"/>
      <c r="Q633" s="17"/>
      <c r="R633" s="17"/>
      <c r="S633" s="17"/>
      <c r="T633" s="17"/>
      <c r="U633" s="17"/>
      <c r="V633" s="17"/>
    </row>
    <row r="634" spans="1:22" ht="14.25" customHeight="1">
      <c r="A634" s="17"/>
      <c r="B634" s="17"/>
      <c r="C634" s="37"/>
      <c r="D634" s="37"/>
      <c r="E634" s="37"/>
      <c r="F634" s="37"/>
      <c r="G634" s="37"/>
      <c r="H634" s="37"/>
      <c r="I634" s="37"/>
      <c r="J634" s="37"/>
      <c r="K634" s="37"/>
      <c r="O634" s="17"/>
      <c r="P634" s="17"/>
      <c r="Q634" s="17"/>
      <c r="R634" s="17"/>
      <c r="S634" s="17"/>
      <c r="T634" s="17"/>
      <c r="U634" s="17"/>
      <c r="V634" s="17"/>
    </row>
    <row r="635" spans="1:22" ht="14.25" customHeight="1">
      <c r="A635" s="17"/>
      <c r="B635" s="17"/>
      <c r="C635" s="37"/>
      <c r="D635" s="37"/>
      <c r="E635" s="37"/>
      <c r="F635" s="37"/>
      <c r="G635" s="37"/>
      <c r="H635" s="37"/>
      <c r="I635" s="37"/>
      <c r="J635" s="37"/>
      <c r="K635" s="37"/>
      <c r="O635" s="17"/>
      <c r="P635" s="17"/>
      <c r="Q635" s="17"/>
      <c r="R635" s="17"/>
      <c r="S635" s="17"/>
      <c r="T635" s="17"/>
      <c r="U635" s="17"/>
      <c r="V635" s="17"/>
    </row>
    <row r="636" spans="1:22" ht="14.25" customHeight="1">
      <c r="A636" s="17"/>
      <c r="B636" s="17"/>
      <c r="C636" s="37"/>
      <c r="D636" s="37"/>
      <c r="E636" s="37"/>
      <c r="F636" s="37"/>
      <c r="G636" s="37"/>
      <c r="H636" s="37"/>
      <c r="I636" s="37"/>
      <c r="J636" s="37"/>
      <c r="K636" s="37"/>
      <c r="O636" s="17"/>
      <c r="P636" s="17"/>
      <c r="Q636" s="17"/>
      <c r="R636" s="17"/>
      <c r="S636" s="17"/>
      <c r="T636" s="17"/>
      <c r="U636" s="17"/>
      <c r="V636" s="17"/>
    </row>
    <row r="637" spans="1:22" ht="14.25" customHeight="1">
      <c r="A637" s="17"/>
      <c r="B637" s="17"/>
      <c r="C637" s="37"/>
      <c r="D637" s="37"/>
      <c r="E637" s="37"/>
      <c r="F637" s="37"/>
      <c r="G637" s="37"/>
      <c r="H637" s="37"/>
      <c r="I637" s="37"/>
      <c r="J637" s="37"/>
      <c r="K637" s="37"/>
      <c r="O637" s="17"/>
      <c r="P637" s="17"/>
      <c r="Q637" s="17"/>
      <c r="R637" s="17"/>
      <c r="S637" s="17"/>
      <c r="T637" s="17"/>
      <c r="U637" s="17"/>
      <c r="V637" s="17"/>
    </row>
    <row r="638" spans="1:22" ht="14.25" customHeight="1">
      <c r="A638" s="17"/>
      <c r="B638" s="17"/>
      <c r="C638" s="37"/>
      <c r="D638" s="37"/>
      <c r="E638" s="37"/>
      <c r="F638" s="37"/>
      <c r="G638" s="37"/>
      <c r="H638" s="37"/>
      <c r="I638" s="37"/>
      <c r="J638" s="37"/>
      <c r="K638" s="37"/>
      <c r="O638" s="17"/>
      <c r="P638" s="17"/>
      <c r="Q638" s="17"/>
      <c r="R638" s="17"/>
      <c r="S638" s="17"/>
      <c r="T638" s="17"/>
      <c r="U638" s="17"/>
      <c r="V638" s="17"/>
    </row>
    <row r="639" spans="1:22" ht="14.25" customHeight="1">
      <c r="A639" s="17"/>
      <c r="B639" s="17"/>
      <c r="C639" s="37"/>
      <c r="D639" s="37"/>
      <c r="E639" s="37"/>
      <c r="F639" s="37"/>
      <c r="G639" s="37"/>
      <c r="H639" s="37"/>
      <c r="I639" s="37"/>
      <c r="J639" s="37"/>
      <c r="K639" s="37"/>
      <c r="O639" s="17"/>
      <c r="P639" s="17"/>
      <c r="Q639" s="17"/>
      <c r="R639" s="17"/>
      <c r="S639" s="17"/>
      <c r="T639" s="17"/>
      <c r="U639" s="17"/>
      <c r="V639" s="17"/>
    </row>
    <row r="640" spans="1:22" ht="14.25" customHeight="1">
      <c r="A640" s="17"/>
      <c r="B640" s="17"/>
      <c r="C640" s="37"/>
      <c r="D640" s="37"/>
      <c r="E640" s="37"/>
      <c r="F640" s="37"/>
      <c r="G640" s="37"/>
      <c r="H640" s="37"/>
      <c r="I640" s="37"/>
      <c r="J640" s="37"/>
      <c r="K640" s="37"/>
      <c r="O640" s="17"/>
      <c r="P640" s="17"/>
      <c r="Q640" s="17"/>
      <c r="R640" s="17"/>
      <c r="S640" s="17"/>
      <c r="T640" s="17"/>
      <c r="U640" s="17"/>
      <c r="V640" s="17"/>
    </row>
    <row r="641" spans="1:22" ht="14.25" customHeight="1">
      <c r="A641" s="17"/>
      <c r="B641" s="17"/>
      <c r="C641" s="37"/>
      <c r="D641" s="37"/>
      <c r="E641" s="37"/>
      <c r="F641" s="37"/>
      <c r="G641" s="37"/>
      <c r="H641" s="37"/>
      <c r="I641" s="37"/>
      <c r="J641" s="37"/>
      <c r="K641" s="37"/>
      <c r="O641" s="17"/>
      <c r="P641" s="17"/>
      <c r="Q641" s="17"/>
      <c r="R641" s="17"/>
      <c r="S641" s="17"/>
      <c r="T641" s="17"/>
      <c r="U641" s="17"/>
      <c r="V641" s="17"/>
    </row>
    <row r="642" spans="1:22" ht="14.25" customHeight="1">
      <c r="A642" s="17"/>
      <c r="B642" s="17"/>
      <c r="C642" s="37"/>
      <c r="D642" s="37"/>
      <c r="E642" s="37"/>
      <c r="F642" s="37"/>
      <c r="G642" s="37"/>
      <c r="H642" s="37"/>
      <c r="I642" s="37"/>
      <c r="J642" s="37"/>
      <c r="K642" s="37"/>
      <c r="O642" s="17"/>
      <c r="P642" s="17"/>
      <c r="Q642" s="17"/>
      <c r="R642" s="17"/>
      <c r="S642" s="17"/>
      <c r="T642" s="17"/>
      <c r="U642" s="17"/>
      <c r="V642" s="17"/>
    </row>
    <row r="643" spans="1:22" ht="14.25" customHeight="1">
      <c r="A643" s="17"/>
      <c r="B643" s="17"/>
      <c r="C643" s="37"/>
      <c r="D643" s="37"/>
      <c r="E643" s="37"/>
      <c r="F643" s="37"/>
      <c r="G643" s="37"/>
      <c r="H643" s="37"/>
      <c r="I643" s="37"/>
      <c r="J643" s="37"/>
      <c r="K643" s="37"/>
      <c r="O643" s="17"/>
      <c r="P643" s="17"/>
      <c r="Q643" s="17"/>
      <c r="R643" s="17"/>
      <c r="S643" s="17"/>
      <c r="T643" s="17"/>
      <c r="U643" s="17"/>
      <c r="V643" s="17"/>
    </row>
    <row r="644" spans="1:22" ht="14.25" customHeight="1">
      <c r="A644" s="17"/>
      <c r="B644" s="17"/>
      <c r="C644" s="37"/>
      <c r="D644" s="37"/>
      <c r="E644" s="37"/>
      <c r="F644" s="37"/>
      <c r="G644" s="37"/>
      <c r="H644" s="37"/>
      <c r="I644" s="37"/>
      <c r="J644" s="37"/>
      <c r="K644" s="37"/>
      <c r="O644" s="17"/>
      <c r="P644" s="17"/>
      <c r="Q644" s="17"/>
      <c r="R644" s="17"/>
      <c r="S644" s="17"/>
      <c r="T644" s="17"/>
      <c r="U644" s="17"/>
      <c r="V644" s="17"/>
    </row>
    <row r="645" spans="1:22" ht="14.25" customHeight="1">
      <c r="A645" s="17"/>
      <c r="B645" s="17"/>
      <c r="C645" s="37"/>
      <c r="D645" s="37"/>
      <c r="E645" s="37"/>
      <c r="F645" s="37"/>
      <c r="G645" s="37"/>
      <c r="H645" s="37"/>
      <c r="I645" s="37"/>
      <c r="J645" s="37"/>
      <c r="K645" s="37"/>
      <c r="O645" s="17"/>
      <c r="P645" s="17"/>
      <c r="Q645" s="17"/>
      <c r="R645" s="17"/>
      <c r="S645" s="17"/>
      <c r="T645" s="17"/>
      <c r="U645" s="17"/>
      <c r="V645" s="17"/>
    </row>
    <row r="646" spans="1:22" ht="14.25" customHeight="1">
      <c r="A646" s="17"/>
      <c r="B646" s="17"/>
      <c r="C646" s="37"/>
      <c r="D646" s="37"/>
      <c r="E646" s="37"/>
      <c r="F646" s="37"/>
      <c r="G646" s="37"/>
      <c r="H646" s="37"/>
      <c r="I646" s="37"/>
      <c r="J646" s="37"/>
      <c r="K646" s="37"/>
      <c r="O646" s="17"/>
      <c r="P646" s="17"/>
      <c r="Q646" s="17"/>
      <c r="R646" s="17"/>
      <c r="S646" s="17"/>
      <c r="T646" s="17"/>
      <c r="U646" s="17"/>
      <c r="V646" s="17"/>
    </row>
    <row r="647" spans="1:22" ht="14.25" customHeight="1">
      <c r="A647" s="17"/>
      <c r="B647" s="17"/>
      <c r="C647" s="37"/>
      <c r="D647" s="37"/>
      <c r="E647" s="37"/>
      <c r="F647" s="37"/>
      <c r="G647" s="37"/>
      <c r="H647" s="37"/>
      <c r="I647" s="37"/>
      <c r="J647" s="37"/>
      <c r="K647" s="37"/>
      <c r="O647" s="17"/>
      <c r="P647" s="17"/>
      <c r="Q647" s="17"/>
      <c r="R647" s="17"/>
      <c r="S647" s="17"/>
      <c r="T647" s="17"/>
      <c r="U647" s="17"/>
      <c r="V647" s="17"/>
    </row>
    <row r="648" spans="1:22" ht="14.25" customHeight="1">
      <c r="A648" s="17"/>
      <c r="B648" s="17"/>
      <c r="C648" s="37"/>
      <c r="D648" s="37"/>
      <c r="E648" s="37"/>
      <c r="F648" s="37"/>
      <c r="G648" s="37"/>
      <c r="H648" s="37"/>
      <c r="I648" s="37"/>
      <c r="J648" s="37"/>
      <c r="K648" s="37"/>
      <c r="O648" s="17"/>
      <c r="P648" s="17"/>
      <c r="Q648" s="17"/>
      <c r="R648" s="17"/>
      <c r="S648" s="17"/>
      <c r="T648" s="17"/>
      <c r="U648" s="17"/>
      <c r="V648" s="17"/>
    </row>
    <row r="649" spans="1:22" ht="14.25" customHeight="1">
      <c r="A649" s="17"/>
      <c r="B649" s="17"/>
      <c r="C649" s="37"/>
      <c r="D649" s="37"/>
      <c r="E649" s="37"/>
      <c r="F649" s="37"/>
      <c r="G649" s="37"/>
      <c r="H649" s="37"/>
      <c r="I649" s="37"/>
      <c r="J649" s="37"/>
      <c r="K649" s="37"/>
      <c r="O649" s="17"/>
      <c r="P649" s="17"/>
      <c r="Q649" s="17"/>
      <c r="R649" s="17"/>
      <c r="S649" s="17"/>
      <c r="T649" s="17"/>
      <c r="U649" s="17"/>
      <c r="V649" s="17"/>
    </row>
    <row r="650" spans="1:22" ht="14.25" customHeight="1">
      <c r="A650" s="17"/>
      <c r="B650" s="17"/>
      <c r="C650" s="37"/>
      <c r="D650" s="37"/>
      <c r="E650" s="37"/>
      <c r="F650" s="37"/>
      <c r="G650" s="37"/>
      <c r="H650" s="37"/>
      <c r="I650" s="37"/>
      <c r="J650" s="37"/>
      <c r="K650" s="37"/>
      <c r="O650" s="17"/>
      <c r="P650" s="17"/>
      <c r="Q650" s="17"/>
      <c r="R650" s="17"/>
      <c r="S650" s="17"/>
      <c r="T650" s="17"/>
      <c r="U650" s="17"/>
      <c r="V650" s="17"/>
    </row>
    <row r="651" spans="1:22" ht="14.25" customHeight="1">
      <c r="A651" s="17"/>
      <c r="B651" s="17"/>
      <c r="C651" s="37"/>
      <c r="D651" s="37"/>
      <c r="E651" s="37"/>
      <c r="F651" s="37"/>
      <c r="G651" s="37"/>
      <c r="H651" s="37"/>
      <c r="I651" s="37"/>
      <c r="J651" s="37"/>
      <c r="K651" s="37"/>
      <c r="O651" s="17"/>
      <c r="P651" s="17"/>
      <c r="Q651" s="17"/>
      <c r="R651" s="17"/>
      <c r="S651" s="17"/>
      <c r="T651" s="17"/>
      <c r="U651" s="17"/>
      <c r="V651" s="17"/>
    </row>
    <row r="652" spans="1:22" ht="14.25" customHeight="1">
      <c r="A652" s="17"/>
      <c r="B652" s="17"/>
      <c r="C652" s="37"/>
      <c r="D652" s="37"/>
      <c r="E652" s="37"/>
      <c r="F652" s="37"/>
      <c r="G652" s="37"/>
      <c r="H652" s="37"/>
      <c r="I652" s="37"/>
      <c r="J652" s="37"/>
      <c r="K652" s="37"/>
      <c r="O652" s="17"/>
      <c r="P652" s="17"/>
      <c r="Q652" s="17"/>
      <c r="R652" s="17"/>
      <c r="S652" s="17"/>
      <c r="T652" s="17"/>
      <c r="U652" s="17"/>
      <c r="V652" s="17"/>
    </row>
    <row r="653" spans="1:22" ht="14.25" customHeight="1">
      <c r="A653" s="17"/>
      <c r="B653" s="17"/>
      <c r="C653" s="37"/>
      <c r="D653" s="37"/>
      <c r="E653" s="37"/>
      <c r="F653" s="37"/>
      <c r="G653" s="37"/>
      <c r="H653" s="37"/>
      <c r="I653" s="37"/>
      <c r="J653" s="37"/>
      <c r="K653" s="37"/>
      <c r="O653" s="17"/>
      <c r="P653" s="17"/>
      <c r="Q653" s="17"/>
      <c r="R653" s="17"/>
      <c r="S653" s="17"/>
      <c r="T653" s="17"/>
      <c r="U653" s="17"/>
      <c r="V653" s="17"/>
    </row>
    <row r="654" spans="1:22" ht="14.25" customHeight="1">
      <c r="A654" s="17"/>
      <c r="B654" s="17"/>
      <c r="C654" s="37"/>
      <c r="D654" s="37"/>
      <c r="E654" s="37"/>
      <c r="F654" s="37"/>
      <c r="G654" s="37"/>
      <c r="H654" s="37"/>
      <c r="I654" s="37"/>
      <c r="J654" s="37"/>
      <c r="K654" s="37"/>
      <c r="O654" s="17"/>
      <c r="P654" s="17"/>
      <c r="Q654" s="17"/>
      <c r="R654" s="17"/>
      <c r="S654" s="17"/>
      <c r="T654" s="17"/>
      <c r="U654" s="17"/>
      <c r="V654" s="17"/>
    </row>
    <row r="655" spans="1:22" ht="14.25" customHeight="1">
      <c r="A655" s="17"/>
      <c r="B655" s="17"/>
      <c r="C655" s="37"/>
      <c r="D655" s="37"/>
      <c r="E655" s="37"/>
      <c r="F655" s="37"/>
      <c r="G655" s="37"/>
      <c r="H655" s="37"/>
      <c r="I655" s="37"/>
      <c r="J655" s="37"/>
      <c r="K655" s="37"/>
      <c r="O655" s="17"/>
      <c r="P655" s="17"/>
      <c r="Q655" s="17"/>
      <c r="R655" s="17"/>
      <c r="S655" s="17"/>
      <c r="T655" s="17"/>
      <c r="U655" s="17"/>
      <c r="V655" s="17"/>
    </row>
    <row r="656" spans="1:22" ht="14.25" customHeight="1">
      <c r="A656" s="17"/>
      <c r="B656" s="17"/>
      <c r="C656" s="37"/>
      <c r="D656" s="37"/>
      <c r="E656" s="37"/>
      <c r="F656" s="37"/>
      <c r="G656" s="37"/>
      <c r="H656" s="37"/>
      <c r="I656" s="37"/>
      <c r="J656" s="37"/>
      <c r="K656" s="37"/>
      <c r="O656" s="17"/>
      <c r="P656" s="17"/>
      <c r="Q656" s="17"/>
      <c r="R656" s="17"/>
      <c r="S656" s="17"/>
      <c r="T656" s="17"/>
      <c r="U656" s="17"/>
      <c r="V656" s="17"/>
    </row>
    <row r="657" spans="1:22" ht="14.25" customHeight="1">
      <c r="A657" s="17"/>
      <c r="B657" s="17"/>
      <c r="C657" s="37"/>
      <c r="D657" s="37"/>
      <c r="E657" s="37"/>
      <c r="F657" s="37"/>
      <c r="G657" s="37"/>
      <c r="H657" s="37"/>
      <c r="I657" s="37"/>
      <c r="J657" s="37"/>
      <c r="K657" s="37"/>
      <c r="O657" s="17"/>
      <c r="P657" s="17"/>
      <c r="Q657" s="17"/>
      <c r="R657" s="17"/>
      <c r="S657" s="17"/>
      <c r="T657" s="17"/>
      <c r="U657" s="17"/>
      <c r="V657" s="17"/>
    </row>
    <row r="658" spans="1:22" ht="14.25" customHeight="1">
      <c r="A658" s="17"/>
      <c r="B658" s="17"/>
      <c r="C658" s="37"/>
      <c r="D658" s="37"/>
      <c r="E658" s="37"/>
      <c r="F658" s="37"/>
      <c r="G658" s="37"/>
      <c r="H658" s="37"/>
      <c r="I658" s="37"/>
      <c r="J658" s="37"/>
      <c r="K658" s="37"/>
      <c r="O658" s="17"/>
      <c r="P658" s="17"/>
      <c r="Q658" s="17"/>
      <c r="R658" s="17"/>
      <c r="S658" s="17"/>
      <c r="T658" s="17"/>
      <c r="U658" s="17"/>
      <c r="V658" s="17"/>
    </row>
    <row r="659" spans="1:22" ht="14.25" customHeight="1">
      <c r="A659" s="17"/>
      <c r="B659" s="17"/>
      <c r="C659" s="37"/>
      <c r="D659" s="37"/>
      <c r="E659" s="37"/>
      <c r="F659" s="37"/>
      <c r="G659" s="37"/>
      <c r="H659" s="37"/>
      <c r="I659" s="37"/>
      <c r="J659" s="37"/>
      <c r="K659" s="37"/>
      <c r="O659" s="17"/>
      <c r="P659" s="17"/>
      <c r="Q659" s="17"/>
      <c r="R659" s="17"/>
      <c r="S659" s="17"/>
      <c r="T659" s="17"/>
      <c r="U659" s="17"/>
      <c r="V659" s="17"/>
    </row>
    <row r="660" spans="1:22" ht="14.25" customHeight="1">
      <c r="A660" s="17"/>
      <c r="B660" s="17"/>
      <c r="C660" s="37"/>
      <c r="D660" s="37"/>
      <c r="E660" s="37"/>
      <c r="F660" s="37"/>
      <c r="G660" s="37"/>
      <c r="H660" s="37"/>
      <c r="I660" s="37"/>
      <c r="J660" s="37"/>
      <c r="K660" s="37"/>
      <c r="O660" s="17"/>
      <c r="P660" s="17"/>
      <c r="Q660" s="17"/>
      <c r="R660" s="17"/>
      <c r="S660" s="17"/>
      <c r="T660" s="17"/>
      <c r="U660" s="17"/>
      <c r="V660" s="17"/>
    </row>
    <row r="661" spans="1:22" ht="14.25" customHeight="1">
      <c r="A661" s="17"/>
      <c r="B661" s="17"/>
      <c r="C661" s="37"/>
      <c r="D661" s="37"/>
      <c r="E661" s="37"/>
      <c r="F661" s="37"/>
      <c r="G661" s="37"/>
      <c r="H661" s="37"/>
      <c r="I661" s="37"/>
      <c r="J661" s="37"/>
      <c r="K661" s="37"/>
      <c r="O661" s="17"/>
      <c r="P661" s="17"/>
      <c r="Q661" s="17"/>
      <c r="R661" s="17"/>
      <c r="S661" s="17"/>
      <c r="T661" s="17"/>
      <c r="U661" s="17"/>
      <c r="V661" s="17"/>
    </row>
    <row r="662" spans="1:22" ht="14.25" customHeight="1">
      <c r="A662" s="17"/>
      <c r="B662" s="17"/>
      <c r="C662" s="37"/>
      <c r="D662" s="37"/>
      <c r="E662" s="37"/>
      <c r="F662" s="37"/>
      <c r="G662" s="37"/>
      <c r="H662" s="37"/>
      <c r="I662" s="37"/>
      <c r="J662" s="37"/>
      <c r="K662" s="37"/>
      <c r="O662" s="17"/>
      <c r="P662" s="17"/>
      <c r="Q662" s="17"/>
      <c r="R662" s="17"/>
      <c r="S662" s="17"/>
      <c r="T662" s="17"/>
      <c r="U662" s="17"/>
      <c r="V662" s="17"/>
    </row>
    <row r="663" spans="1:22" ht="14.25" customHeight="1">
      <c r="A663" s="17"/>
      <c r="B663" s="17"/>
      <c r="C663" s="37"/>
      <c r="D663" s="37"/>
      <c r="E663" s="37"/>
      <c r="F663" s="37"/>
      <c r="G663" s="37"/>
      <c r="H663" s="37"/>
      <c r="I663" s="37"/>
      <c r="J663" s="37"/>
      <c r="K663" s="37"/>
      <c r="O663" s="17"/>
      <c r="P663" s="17"/>
      <c r="Q663" s="17"/>
      <c r="R663" s="17"/>
      <c r="S663" s="17"/>
      <c r="T663" s="17"/>
      <c r="U663" s="17"/>
      <c r="V663" s="17"/>
    </row>
    <row r="664" spans="1:22" ht="14.25" customHeight="1">
      <c r="A664" s="17"/>
      <c r="B664" s="17"/>
      <c r="C664" s="37"/>
      <c r="D664" s="37"/>
      <c r="E664" s="37"/>
      <c r="F664" s="37"/>
      <c r="G664" s="37"/>
      <c r="H664" s="37"/>
      <c r="I664" s="37"/>
      <c r="J664" s="37"/>
      <c r="K664" s="37"/>
      <c r="O664" s="17"/>
      <c r="P664" s="17"/>
      <c r="Q664" s="17"/>
      <c r="R664" s="17"/>
      <c r="S664" s="17"/>
      <c r="T664" s="17"/>
      <c r="U664" s="17"/>
      <c r="V664" s="17"/>
    </row>
    <row r="665" spans="1:22" ht="14.25" customHeight="1">
      <c r="A665" s="17"/>
      <c r="B665" s="17"/>
      <c r="C665" s="37"/>
      <c r="D665" s="37"/>
      <c r="E665" s="37"/>
      <c r="F665" s="37"/>
      <c r="G665" s="37"/>
      <c r="H665" s="37"/>
      <c r="I665" s="37"/>
      <c r="J665" s="37"/>
      <c r="K665" s="37"/>
      <c r="O665" s="17"/>
      <c r="P665" s="17"/>
      <c r="Q665" s="17"/>
      <c r="R665" s="17"/>
      <c r="S665" s="17"/>
      <c r="T665" s="17"/>
      <c r="U665" s="17"/>
      <c r="V665" s="17"/>
    </row>
    <row r="666" spans="1:22" ht="14.25" customHeight="1">
      <c r="A666" s="17"/>
      <c r="B666" s="17"/>
      <c r="C666" s="37"/>
      <c r="D666" s="37"/>
      <c r="E666" s="37"/>
      <c r="F666" s="37"/>
      <c r="G666" s="37"/>
      <c r="H666" s="37"/>
      <c r="I666" s="37"/>
      <c r="J666" s="37"/>
      <c r="K666" s="37"/>
      <c r="O666" s="17"/>
      <c r="P666" s="17"/>
      <c r="Q666" s="17"/>
      <c r="R666" s="17"/>
      <c r="S666" s="17"/>
      <c r="T666" s="17"/>
      <c r="U666" s="17"/>
      <c r="V666" s="17"/>
    </row>
    <row r="667" spans="1:22" ht="14.25" customHeight="1">
      <c r="A667" s="17"/>
      <c r="B667" s="17"/>
      <c r="C667" s="37"/>
      <c r="D667" s="37"/>
      <c r="E667" s="37"/>
      <c r="F667" s="37"/>
      <c r="G667" s="37"/>
      <c r="H667" s="37"/>
      <c r="I667" s="37"/>
      <c r="J667" s="37"/>
      <c r="K667" s="37"/>
      <c r="O667" s="17"/>
      <c r="P667" s="17"/>
      <c r="Q667" s="17"/>
      <c r="R667" s="17"/>
      <c r="S667" s="17"/>
      <c r="T667" s="17"/>
      <c r="U667" s="17"/>
      <c r="V667" s="17"/>
    </row>
    <row r="668" spans="1:22" ht="14.25" customHeight="1">
      <c r="A668" s="17"/>
      <c r="B668" s="17"/>
      <c r="C668" s="37"/>
      <c r="D668" s="37"/>
      <c r="E668" s="37"/>
      <c r="F668" s="37"/>
      <c r="G668" s="37"/>
      <c r="H668" s="37"/>
      <c r="I668" s="37"/>
      <c r="J668" s="37"/>
      <c r="K668" s="37"/>
      <c r="O668" s="17"/>
      <c r="P668" s="17"/>
      <c r="Q668" s="17"/>
      <c r="R668" s="17"/>
      <c r="S668" s="17"/>
      <c r="T668" s="17"/>
      <c r="U668" s="17"/>
      <c r="V668" s="17"/>
    </row>
    <row r="669" spans="1:22" ht="14.25" customHeight="1">
      <c r="A669" s="17"/>
      <c r="B669" s="17"/>
      <c r="C669" s="37"/>
      <c r="D669" s="37"/>
      <c r="E669" s="37"/>
      <c r="F669" s="37"/>
      <c r="G669" s="37"/>
      <c r="H669" s="37"/>
      <c r="I669" s="37"/>
      <c r="J669" s="37"/>
      <c r="K669" s="37"/>
      <c r="O669" s="17"/>
      <c r="P669" s="17"/>
      <c r="Q669" s="17"/>
      <c r="R669" s="17"/>
      <c r="S669" s="17"/>
      <c r="T669" s="17"/>
      <c r="U669" s="17"/>
      <c r="V669" s="17"/>
    </row>
    <row r="670" spans="1:22" ht="14.25" customHeight="1">
      <c r="A670" s="17"/>
      <c r="B670" s="17"/>
      <c r="C670" s="37"/>
      <c r="D670" s="37"/>
      <c r="E670" s="37"/>
      <c r="F670" s="37"/>
      <c r="G670" s="37"/>
      <c r="H670" s="37"/>
      <c r="I670" s="37"/>
      <c r="J670" s="37"/>
      <c r="K670" s="37"/>
      <c r="O670" s="17"/>
      <c r="P670" s="17"/>
      <c r="Q670" s="17"/>
      <c r="R670" s="17"/>
      <c r="S670" s="17"/>
      <c r="T670" s="17"/>
      <c r="U670" s="17"/>
      <c r="V670" s="17"/>
    </row>
    <row r="671" spans="1:22" ht="14.25" customHeight="1">
      <c r="A671" s="17"/>
      <c r="B671" s="17"/>
      <c r="C671" s="37"/>
      <c r="D671" s="37"/>
      <c r="E671" s="37"/>
      <c r="F671" s="37"/>
      <c r="G671" s="37"/>
      <c r="H671" s="37"/>
      <c r="I671" s="37"/>
      <c r="J671" s="37"/>
      <c r="K671" s="37"/>
      <c r="O671" s="17"/>
      <c r="P671" s="17"/>
      <c r="Q671" s="17"/>
      <c r="R671" s="17"/>
      <c r="S671" s="17"/>
      <c r="T671" s="17"/>
      <c r="U671" s="17"/>
      <c r="V671" s="17"/>
    </row>
    <row r="672" spans="1:22" ht="14.25" customHeight="1">
      <c r="A672" s="17"/>
      <c r="B672" s="17"/>
      <c r="C672" s="37"/>
      <c r="D672" s="37"/>
      <c r="E672" s="37"/>
      <c r="F672" s="37"/>
      <c r="G672" s="37"/>
      <c r="H672" s="37"/>
      <c r="I672" s="37"/>
      <c r="J672" s="37"/>
      <c r="K672" s="37"/>
      <c r="O672" s="17"/>
      <c r="P672" s="17"/>
      <c r="Q672" s="17"/>
      <c r="R672" s="17"/>
      <c r="S672" s="17"/>
      <c r="T672" s="17"/>
      <c r="U672" s="17"/>
      <c r="V672" s="17"/>
    </row>
    <row r="673" spans="1:22" ht="14.25" customHeight="1">
      <c r="A673" s="17"/>
      <c r="B673" s="17"/>
      <c r="C673" s="37"/>
      <c r="D673" s="37"/>
      <c r="E673" s="37"/>
      <c r="F673" s="37"/>
      <c r="G673" s="37"/>
      <c r="H673" s="37"/>
      <c r="I673" s="37"/>
      <c r="J673" s="37"/>
      <c r="K673" s="37"/>
      <c r="O673" s="17"/>
      <c r="P673" s="17"/>
      <c r="Q673" s="17"/>
      <c r="R673" s="17"/>
      <c r="S673" s="17"/>
      <c r="T673" s="17"/>
      <c r="U673" s="17"/>
      <c r="V673" s="17"/>
    </row>
    <row r="674" spans="1:22" ht="14.25" customHeight="1">
      <c r="A674" s="17"/>
      <c r="B674" s="17"/>
      <c r="C674" s="37"/>
      <c r="D674" s="37"/>
      <c r="E674" s="37"/>
      <c r="F674" s="37"/>
      <c r="G674" s="37"/>
      <c r="H674" s="37"/>
      <c r="I674" s="37"/>
      <c r="J674" s="37"/>
      <c r="K674" s="37"/>
      <c r="O674" s="17"/>
      <c r="P674" s="17"/>
      <c r="Q674" s="17"/>
      <c r="R674" s="17"/>
      <c r="S674" s="17"/>
      <c r="T674" s="17"/>
      <c r="U674" s="17"/>
      <c r="V674" s="17"/>
    </row>
    <row r="675" spans="1:22" ht="14.25" customHeight="1">
      <c r="A675" s="17"/>
      <c r="B675" s="17"/>
      <c r="C675" s="37"/>
      <c r="D675" s="37"/>
      <c r="E675" s="37"/>
      <c r="F675" s="37"/>
      <c r="G675" s="37"/>
      <c r="H675" s="37"/>
      <c r="I675" s="37"/>
      <c r="J675" s="37"/>
      <c r="K675" s="37"/>
      <c r="O675" s="17"/>
      <c r="P675" s="17"/>
      <c r="Q675" s="17"/>
      <c r="R675" s="17"/>
      <c r="S675" s="17"/>
      <c r="T675" s="17"/>
      <c r="U675" s="17"/>
      <c r="V675" s="17"/>
    </row>
    <row r="676" spans="1:22" ht="14.25" customHeight="1">
      <c r="A676" s="17"/>
      <c r="B676" s="17"/>
      <c r="C676" s="37"/>
      <c r="D676" s="37"/>
      <c r="E676" s="37"/>
      <c r="F676" s="37"/>
      <c r="G676" s="37"/>
      <c r="H676" s="37"/>
      <c r="I676" s="37"/>
      <c r="J676" s="37"/>
      <c r="K676" s="37"/>
      <c r="O676" s="17"/>
      <c r="P676" s="17"/>
      <c r="Q676" s="17"/>
      <c r="R676" s="17"/>
      <c r="S676" s="17"/>
      <c r="T676" s="17"/>
      <c r="U676" s="17"/>
      <c r="V676" s="17"/>
    </row>
    <row r="677" spans="1:22" ht="14.25" customHeight="1">
      <c r="A677" s="17"/>
      <c r="B677" s="17"/>
      <c r="C677" s="37"/>
      <c r="D677" s="37"/>
      <c r="E677" s="37"/>
      <c r="F677" s="37"/>
      <c r="G677" s="37"/>
      <c r="H677" s="37"/>
      <c r="I677" s="37"/>
      <c r="J677" s="37"/>
      <c r="K677" s="37"/>
      <c r="O677" s="17"/>
      <c r="P677" s="17"/>
      <c r="Q677" s="17"/>
      <c r="R677" s="17"/>
      <c r="S677" s="17"/>
      <c r="T677" s="17"/>
      <c r="U677" s="17"/>
      <c r="V677" s="17"/>
    </row>
    <row r="678" spans="1:22" ht="14.25" customHeight="1">
      <c r="A678" s="17"/>
      <c r="B678" s="17"/>
      <c r="C678" s="37"/>
      <c r="D678" s="37"/>
      <c r="E678" s="37"/>
      <c r="F678" s="37"/>
      <c r="G678" s="37"/>
      <c r="H678" s="37"/>
      <c r="I678" s="37"/>
      <c r="J678" s="37"/>
      <c r="K678" s="37"/>
      <c r="O678" s="17"/>
      <c r="P678" s="17"/>
      <c r="Q678" s="17"/>
      <c r="R678" s="17"/>
      <c r="S678" s="17"/>
      <c r="T678" s="17"/>
      <c r="U678" s="17"/>
      <c r="V678" s="17"/>
    </row>
    <row r="679" spans="1:22" ht="14.25" customHeight="1">
      <c r="A679" s="17"/>
      <c r="B679" s="17"/>
      <c r="C679" s="37"/>
      <c r="D679" s="37"/>
      <c r="E679" s="37"/>
      <c r="F679" s="37"/>
      <c r="G679" s="37"/>
      <c r="H679" s="37"/>
      <c r="I679" s="37"/>
      <c r="J679" s="37"/>
      <c r="K679" s="37"/>
      <c r="O679" s="17"/>
      <c r="P679" s="17"/>
      <c r="Q679" s="17"/>
      <c r="R679" s="17"/>
      <c r="S679" s="17"/>
      <c r="T679" s="17"/>
      <c r="U679" s="17"/>
      <c r="V679" s="17"/>
    </row>
    <row r="680" spans="1:22" ht="14.25" customHeight="1">
      <c r="A680" s="17"/>
      <c r="B680" s="17"/>
      <c r="C680" s="37"/>
      <c r="D680" s="37"/>
      <c r="E680" s="37"/>
      <c r="F680" s="37"/>
      <c r="G680" s="37"/>
      <c r="H680" s="37"/>
      <c r="I680" s="37"/>
      <c r="J680" s="37"/>
      <c r="K680" s="37"/>
      <c r="O680" s="17"/>
      <c r="P680" s="17"/>
      <c r="Q680" s="17"/>
      <c r="R680" s="17"/>
      <c r="S680" s="17"/>
      <c r="T680" s="17"/>
      <c r="U680" s="17"/>
      <c r="V680" s="17"/>
    </row>
    <row r="681" spans="1:22" ht="14.25" customHeight="1">
      <c r="A681" s="17"/>
      <c r="B681" s="17"/>
      <c r="C681" s="37"/>
      <c r="D681" s="37"/>
      <c r="E681" s="37"/>
      <c r="F681" s="37"/>
      <c r="G681" s="37"/>
      <c r="H681" s="37"/>
      <c r="I681" s="37"/>
      <c r="J681" s="37"/>
      <c r="K681" s="37"/>
      <c r="O681" s="17"/>
      <c r="P681" s="17"/>
      <c r="Q681" s="17"/>
      <c r="R681" s="17"/>
      <c r="S681" s="17"/>
      <c r="T681" s="17"/>
      <c r="U681" s="17"/>
      <c r="V681" s="17"/>
    </row>
    <row r="682" spans="1:22" ht="14.25" customHeight="1">
      <c r="A682" s="17"/>
      <c r="B682" s="17"/>
      <c r="C682" s="37"/>
      <c r="D682" s="37"/>
      <c r="E682" s="37"/>
      <c r="F682" s="37"/>
      <c r="G682" s="37"/>
      <c r="H682" s="37"/>
      <c r="I682" s="37"/>
      <c r="J682" s="37"/>
      <c r="K682" s="37"/>
      <c r="O682" s="17"/>
      <c r="P682" s="17"/>
      <c r="Q682" s="17"/>
      <c r="R682" s="17"/>
      <c r="S682" s="17"/>
      <c r="T682" s="17"/>
      <c r="U682" s="17"/>
      <c r="V682" s="17"/>
    </row>
    <row r="683" spans="1:22" ht="14.25" customHeight="1">
      <c r="A683" s="17"/>
      <c r="B683" s="17"/>
      <c r="C683" s="37"/>
      <c r="D683" s="37"/>
      <c r="E683" s="37"/>
      <c r="F683" s="37"/>
      <c r="G683" s="37"/>
      <c r="H683" s="37"/>
      <c r="I683" s="37"/>
      <c r="J683" s="37"/>
      <c r="K683" s="37"/>
      <c r="O683" s="17"/>
      <c r="P683" s="17"/>
      <c r="Q683" s="17"/>
      <c r="R683" s="17"/>
      <c r="S683" s="17"/>
      <c r="T683" s="17"/>
      <c r="U683" s="17"/>
      <c r="V683" s="17"/>
    </row>
    <row r="684" spans="1:22" ht="14.25" customHeight="1">
      <c r="A684" s="17"/>
      <c r="B684" s="17"/>
      <c r="C684" s="37"/>
      <c r="D684" s="37"/>
      <c r="E684" s="37"/>
      <c r="F684" s="37"/>
      <c r="G684" s="37"/>
      <c r="H684" s="37"/>
      <c r="I684" s="37"/>
      <c r="J684" s="37"/>
      <c r="K684" s="37"/>
      <c r="O684" s="17"/>
      <c r="P684" s="17"/>
      <c r="Q684" s="17"/>
      <c r="R684" s="17"/>
      <c r="S684" s="17"/>
      <c r="T684" s="17"/>
      <c r="U684" s="17"/>
      <c r="V684" s="17"/>
    </row>
    <row r="685" spans="1:22" ht="14.25" customHeight="1">
      <c r="A685" s="17"/>
      <c r="B685" s="17"/>
      <c r="C685" s="37"/>
      <c r="D685" s="37"/>
      <c r="E685" s="37"/>
      <c r="F685" s="37"/>
      <c r="G685" s="37"/>
      <c r="H685" s="37"/>
      <c r="I685" s="37"/>
      <c r="J685" s="37"/>
      <c r="K685" s="37"/>
      <c r="O685" s="17"/>
      <c r="P685" s="17"/>
      <c r="Q685" s="17"/>
      <c r="R685" s="17"/>
      <c r="S685" s="17"/>
      <c r="T685" s="17"/>
      <c r="U685" s="17"/>
      <c r="V685" s="17"/>
    </row>
    <row r="686" spans="1:22" ht="14.25" customHeight="1">
      <c r="A686" s="17"/>
      <c r="B686" s="17"/>
      <c r="C686" s="37"/>
      <c r="D686" s="37"/>
      <c r="E686" s="37"/>
      <c r="F686" s="37"/>
      <c r="G686" s="37"/>
      <c r="H686" s="37"/>
      <c r="I686" s="37"/>
      <c r="J686" s="37"/>
      <c r="K686" s="37"/>
      <c r="O686" s="17"/>
      <c r="P686" s="17"/>
      <c r="Q686" s="17"/>
      <c r="R686" s="17"/>
      <c r="S686" s="17"/>
      <c r="T686" s="17"/>
      <c r="U686" s="17"/>
      <c r="V686" s="17"/>
    </row>
    <row r="687" spans="1:22" ht="14.25" customHeight="1">
      <c r="A687" s="17"/>
      <c r="B687" s="17"/>
      <c r="C687" s="37"/>
      <c r="D687" s="37"/>
      <c r="E687" s="37"/>
      <c r="F687" s="37"/>
      <c r="G687" s="37"/>
      <c r="H687" s="37"/>
      <c r="I687" s="37"/>
      <c r="J687" s="37"/>
      <c r="K687" s="37"/>
      <c r="O687" s="17"/>
      <c r="P687" s="17"/>
      <c r="Q687" s="17"/>
      <c r="R687" s="17"/>
      <c r="S687" s="17"/>
      <c r="T687" s="17"/>
      <c r="U687" s="17"/>
      <c r="V687" s="17"/>
    </row>
    <row r="688" spans="1:22" ht="14.25" customHeight="1">
      <c r="A688" s="17"/>
      <c r="B688" s="17"/>
      <c r="C688" s="37"/>
      <c r="D688" s="37"/>
      <c r="E688" s="37"/>
      <c r="F688" s="37"/>
      <c r="G688" s="37"/>
      <c r="H688" s="37"/>
      <c r="I688" s="37"/>
      <c r="J688" s="37"/>
      <c r="K688" s="37"/>
      <c r="O688" s="17"/>
      <c r="P688" s="17"/>
      <c r="Q688" s="17"/>
      <c r="R688" s="17"/>
      <c r="S688" s="17"/>
      <c r="T688" s="17"/>
      <c r="U688" s="17"/>
      <c r="V688" s="17"/>
    </row>
    <row r="689" spans="1:22" ht="14.25" customHeight="1">
      <c r="A689" s="17"/>
      <c r="B689" s="17"/>
      <c r="C689" s="37"/>
      <c r="D689" s="37"/>
      <c r="E689" s="37"/>
      <c r="F689" s="37"/>
      <c r="G689" s="37"/>
      <c r="H689" s="37"/>
      <c r="I689" s="37"/>
      <c r="J689" s="37"/>
      <c r="K689" s="37"/>
      <c r="O689" s="17"/>
      <c r="P689" s="17"/>
      <c r="Q689" s="17"/>
      <c r="R689" s="17"/>
      <c r="S689" s="17"/>
      <c r="T689" s="17"/>
      <c r="U689" s="17"/>
      <c r="V689" s="17"/>
    </row>
    <row r="690" spans="1:22" ht="14.25" customHeight="1">
      <c r="A690" s="17"/>
      <c r="B690" s="17"/>
      <c r="C690" s="37"/>
      <c r="D690" s="37"/>
      <c r="E690" s="37"/>
      <c r="F690" s="37"/>
      <c r="G690" s="37"/>
      <c r="H690" s="37"/>
      <c r="I690" s="37"/>
      <c r="J690" s="37"/>
      <c r="K690" s="37"/>
      <c r="O690" s="17"/>
      <c r="P690" s="17"/>
      <c r="Q690" s="17"/>
      <c r="R690" s="17"/>
      <c r="S690" s="17"/>
      <c r="T690" s="17"/>
      <c r="U690" s="17"/>
      <c r="V690" s="17"/>
    </row>
    <row r="691" spans="1:22" ht="14.25" customHeight="1">
      <c r="A691" s="17"/>
      <c r="B691" s="17"/>
      <c r="C691" s="37"/>
      <c r="D691" s="37"/>
      <c r="E691" s="37"/>
      <c r="F691" s="37"/>
      <c r="G691" s="37"/>
      <c r="H691" s="37"/>
      <c r="I691" s="37"/>
      <c r="J691" s="37"/>
      <c r="K691" s="37"/>
      <c r="O691" s="17"/>
      <c r="P691" s="17"/>
      <c r="Q691" s="17"/>
      <c r="R691" s="17"/>
      <c r="S691" s="17"/>
      <c r="T691" s="17"/>
      <c r="U691" s="17"/>
      <c r="V691" s="17"/>
    </row>
    <row r="692" spans="1:22" ht="14.25" customHeight="1">
      <c r="A692" s="17"/>
      <c r="B692" s="17"/>
      <c r="C692" s="37"/>
      <c r="D692" s="37"/>
      <c r="E692" s="37"/>
      <c r="F692" s="37"/>
      <c r="G692" s="37"/>
      <c r="H692" s="37"/>
      <c r="I692" s="37"/>
      <c r="J692" s="37"/>
      <c r="K692" s="37"/>
      <c r="O692" s="17"/>
      <c r="P692" s="17"/>
      <c r="Q692" s="17"/>
      <c r="R692" s="17"/>
      <c r="S692" s="17"/>
      <c r="T692" s="17"/>
      <c r="U692" s="17"/>
      <c r="V692" s="17"/>
    </row>
    <row r="693" spans="1:22" ht="14.25" customHeight="1">
      <c r="A693" s="17"/>
      <c r="B693" s="17"/>
      <c r="C693" s="37"/>
      <c r="D693" s="37"/>
      <c r="E693" s="37"/>
      <c r="F693" s="37"/>
      <c r="G693" s="37"/>
      <c r="H693" s="37"/>
      <c r="I693" s="37"/>
      <c r="J693" s="37"/>
      <c r="K693" s="37"/>
      <c r="O693" s="17"/>
      <c r="P693" s="17"/>
      <c r="Q693" s="17"/>
      <c r="R693" s="17"/>
      <c r="S693" s="17"/>
      <c r="T693" s="17"/>
      <c r="U693" s="17"/>
      <c r="V693" s="17"/>
    </row>
    <row r="694" spans="1:22" ht="14.25" customHeight="1">
      <c r="A694" s="17"/>
      <c r="B694" s="17"/>
      <c r="C694" s="37"/>
      <c r="D694" s="37"/>
      <c r="E694" s="37"/>
      <c r="F694" s="37"/>
      <c r="G694" s="37"/>
      <c r="H694" s="37"/>
      <c r="I694" s="37"/>
      <c r="J694" s="37"/>
      <c r="K694" s="37"/>
      <c r="O694" s="17"/>
      <c r="P694" s="17"/>
      <c r="Q694" s="17"/>
      <c r="R694" s="17"/>
      <c r="S694" s="17"/>
      <c r="T694" s="17"/>
      <c r="U694" s="17"/>
      <c r="V694" s="17"/>
    </row>
    <row r="695" spans="1:22" ht="14.25" customHeight="1">
      <c r="A695" s="17"/>
      <c r="B695" s="17"/>
      <c r="C695" s="37"/>
      <c r="D695" s="37"/>
      <c r="E695" s="37"/>
      <c r="F695" s="37"/>
      <c r="G695" s="37"/>
      <c r="H695" s="37"/>
      <c r="I695" s="37"/>
      <c r="J695" s="37"/>
      <c r="K695" s="37"/>
      <c r="O695" s="17"/>
      <c r="P695" s="17"/>
      <c r="Q695" s="17"/>
      <c r="R695" s="17"/>
      <c r="S695" s="17"/>
      <c r="T695" s="17"/>
      <c r="U695" s="17"/>
      <c r="V695" s="17"/>
    </row>
    <row r="696" spans="1:22" ht="14.25" customHeight="1">
      <c r="A696" s="17"/>
      <c r="B696" s="17"/>
      <c r="C696" s="37"/>
      <c r="D696" s="37"/>
      <c r="E696" s="37"/>
      <c r="F696" s="37"/>
      <c r="G696" s="37"/>
      <c r="H696" s="37"/>
      <c r="I696" s="37"/>
      <c r="J696" s="37"/>
      <c r="K696" s="37"/>
      <c r="O696" s="17"/>
      <c r="P696" s="17"/>
      <c r="Q696" s="17"/>
      <c r="R696" s="17"/>
      <c r="S696" s="17"/>
      <c r="T696" s="17"/>
      <c r="U696" s="17"/>
      <c r="V696" s="17"/>
    </row>
    <row r="697" spans="1:22" ht="14.25" customHeight="1">
      <c r="A697" s="17"/>
      <c r="B697" s="17"/>
      <c r="C697" s="37"/>
      <c r="D697" s="37"/>
      <c r="E697" s="37"/>
      <c r="F697" s="37"/>
      <c r="G697" s="37"/>
      <c r="H697" s="37"/>
      <c r="I697" s="37"/>
      <c r="J697" s="37"/>
      <c r="K697" s="37"/>
      <c r="O697" s="17"/>
      <c r="P697" s="17"/>
      <c r="Q697" s="17"/>
      <c r="R697" s="17"/>
      <c r="S697" s="17"/>
      <c r="T697" s="17"/>
      <c r="U697" s="17"/>
      <c r="V697" s="17"/>
    </row>
    <row r="698" spans="1:22" ht="14.25" customHeight="1">
      <c r="A698" s="17"/>
      <c r="B698" s="17"/>
      <c r="C698" s="37"/>
      <c r="D698" s="37"/>
      <c r="E698" s="37"/>
      <c r="F698" s="37"/>
      <c r="G698" s="37"/>
      <c r="H698" s="37"/>
      <c r="I698" s="37"/>
      <c r="J698" s="37"/>
      <c r="K698" s="37"/>
      <c r="O698" s="17"/>
      <c r="P698" s="17"/>
      <c r="Q698" s="17"/>
      <c r="R698" s="17"/>
      <c r="S698" s="17"/>
      <c r="T698" s="17"/>
      <c r="U698" s="17"/>
      <c r="V698" s="17"/>
    </row>
    <row r="699" spans="1:22" ht="14.25" customHeight="1">
      <c r="A699" s="17"/>
      <c r="B699" s="17"/>
      <c r="C699" s="37"/>
      <c r="D699" s="37"/>
      <c r="E699" s="37"/>
      <c r="F699" s="37"/>
      <c r="G699" s="37"/>
      <c r="H699" s="37"/>
      <c r="I699" s="37"/>
      <c r="J699" s="37"/>
      <c r="K699" s="37"/>
      <c r="O699" s="17"/>
      <c r="P699" s="17"/>
      <c r="Q699" s="17"/>
      <c r="R699" s="17"/>
      <c r="S699" s="17"/>
      <c r="T699" s="17"/>
      <c r="U699" s="17"/>
      <c r="V699" s="17"/>
    </row>
    <row r="700" spans="1:22" ht="14.25" customHeight="1">
      <c r="A700" s="17"/>
      <c r="B700" s="17"/>
      <c r="C700" s="37"/>
      <c r="D700" s="37"/>
      <c r="E700" s="37"/>
      <c r="F700" s="37"/>
      <c r="G700" s="37"/>
      <c r="H700" s="37"/>
      <c r="I700" s="37"/>
      <c r="J700" s="37"/>
      <c r="K700" s="37"/>
      <c r="O700" s="17"/>
      <c r="P700" s="17"/>
      <c r="Q700" s="17"/>
      <c r="R700" s="17"/>
      <c r="S700" s="17"/>
      <c r="T700" s="17"/>
      <c r="U700" s="17"/>
      <c r="V700" s="17"/>
    </row>
    <row r="701" spans="1:22" ht="14.25" customHeight="1">
      <c r="A701" s="17"/>
      <c r="B701" s="17"/>
      <c r="C701" s="37"/>
      <c r="D701" s="37"/>
      <c r="E701" s="37"/>
      <c r="F701" s="37"/>
      <c r="G701" s="37"/>
      <c r="H701" s="37"/>
      <c r="I701" s="37"/>
      <c r="J701" s="37"/>
      <c r="K701" s="37"/>
      <c r="O701" s="17"/>
      <c r="P701" s="17"/>
      <c r="Q701" s="17"/>
      <c r="R701" s="17"/>
      <c r="S701" s="17"/>
      <c r="T701" s="17"/>
      <c r="U701" s="17"/>
      <c r="V701" s="17"/>
    </row>
    <row r="702" spans="1:22" ht="14.25" customHeight="1">
      <c r="A702" s="17"/>
      <c r="B702" s="17"/>
      <c r="C702" s="37"/>
      <c r="D702" s="37"/>
      <c r="E702" s="37"/>
      <c r="F702" s="37"/>
      <c r="G702" s="37"/>
      <c r="H702" s="37"/>
      <c r="I702" s="37"/>
      <c r="J702" s="37"/>
      <c r="K702" s="37"/>
      <c r="O702" s="17"/>
      <c r="P702" s="17"/>
      <c r="Q702" s="17"/>
      <c r="R702" s="17"/>
      <c r="S702" s="17"/>
      <c r="T702" s="17"/>
      <c r="U702" s="17"/>
      <c r="V702" s="17"/>
    </row>
    <row r="703" spans="1:22" ht="14.25" customHeight="1">
      <c r="A703" s="17"/>
      <c r="B703" s="17"/>
      <c r="C703" s="37"/>
      <c r="D703" s="37"/>
      <c r="E703" s="37"/>
      <c r="F703" s="37"/>
      <c r="G703" s="37"/>
      <c r="H703" s="37"/>
      <c r="I703" s="37"/>
      <c r="J703" s="37"/>
      <c r="K703" s="37"/>
      <c r="O703" s="17"/>
      <c r="P703" s="17"/>
      <c r="Q703" s="17"/>
      <c r="R703" s="17"/>
      <c r="S703" s="17"/>
      <c r="T703" s="17"/>
      <c r="U703" s="17"/>
      <c r="V703" s="17"/>
    </row>
    <row r="704" spans="1:22" ht="14.25" customHeight="1">
      <c r="A704" s="17"/>
      <c r="B704" s="17"/>
      <c r="C704" s="37"/>
      <c r="D704" s="37"/>
      <c r="E704" s="37"/>
      <c r="F704" s="37"/>
      <c r="G704" s="37"/>
      <c r="H704" s="37"/>
      <c r="I704" s="37"/>
      <c r="J704" s="37"/>
      <c r="K704" s="37"/>
      <c r="O704" s="17"/>
      <c r="P704" s="17"/>
      <c r="Q704" s="17"/>
      <c r="R704" s="17"/>
      <c r="S704" s="17"/>
      <c r="T704" s="17"/>
      <c r="U704" s="17"/>
      <c r="V704" s="17"/>
    </row>
    <row r="705" spans="1:22" ht="14.25" customHeight="1">
      <c r="A705" s="17"/>
      <c r="B705" s="17"/>
      <c r="C705" s="37"/>
      <c r="D705" s="37"/>
      <c r="E705" s="37"/>
      <c r="F705" s="37"/>
      <c r="G705" s="37"/>
      <c r="H705" s="37"/>
      <c r="I705" s="37"/>
      <c r="J705" s="37"/>
      <c r="K705" s="37"/>
      <c r="O705" s="17"/>
      <c r="P705" s="17"/>
      <c r="Q705" s="17"/>
      <c r="R705" s="17"/>
      <c r="S705" s="17"/>
      <c r="T705" s="17"/>
      <c r="U705" s="17"/>
      <c r="V705" s="17"/>
    </row>
    <row r="706" spans="1:22" ht="14.25" customHeight="1">
      <c r="A706" s="17"/>
      <c r="B706" s="17"/>
      <c r="C706" s="37"/>
      <c r="D706" s="37"/>
      <c r="E706" s="37"/>
      <c r="F706" s="37"/>
      <c r="G706" s="37"/>
      <c r="H706" s="37"/>
      <c r="I706" s="37"/>
      <c r="J706" s="37"/>
      <c r="K706" s="37"/>
      <c r="O706" s="17"/>
      <c r="P706" s="17"/>
      <c r="Q706" s="17"/>
      <c r="R706" s="17"/>
      <c r="S706" s="17"/>
      <c r="T706" s="17"/>
      <c r="U706" s="17"/>
      <c r="V706" s="17"/>
    </row>
    <row r="707" spans="1:22" ht="14.25" customHeight="1">
      <c r="A707" s="17"/>
      <c r="B707" s="17"/>
      <c r="C707" s="37"/>
      <c r="D707" s="37"/>
      <c r="E707" s="37"/>
      <c r="F707" s="37"/>
      <c r="G707" s="37"/>
      <c r="H707" s="37"/>
      <c r="I707" s="37"/>
      <c r="J707" s="37"/>
      <c r="K707" s="37"/>
      <c r="O707" s="17"/>
      <c r="P707" s="17"/>
      <c r="Q707" s="17"/>
      <c r="R707" s="17"/>
      <c r="S707" s="17"/>
      <c r="T707" s="17"/>
      <c r="U707" s="17"/>
      <c r="V707" s="17"/>
    </row>
    <row r="708" spans="1:22" ht="14.25" customHeight="1">
      <c r="A708" s="17"/>
      <c r="B708" s="17"/>
      <c r="C708" s="37"/>
      <c r="D708" s="37"/>
      <c r="E708" s="37"/>
      <c r="F708" s="37"/>
      <c r="G708" s="37"/>
      <c r="H708" s="37"/>
      <c r="I708" s="37"/>
      <c r="J708" s="37"/>
      <c r="K708" s="37"/>
      <c r="O708" s="17"/>
      <c r="P708" s="17"/>
      <c r="Q708" s="17"/>
      <c r="R708" s="17"/>
      <c r="S708" s="17"/>
      <c r="T708" s="17"/>
      <c r="U708" s="17"/>
      <c r="V708" s="17"/>
    </row>
    <row r="709" spans="1:22" ht="14.25" customHeight="1">
      <c r="A709" s="17"/>
      <c r="B709" s="17"/>
      <c r="C709" s="37"/>
      <c r="D709" s="37"/>
      <c r="E709" s="37"/>
      <c r="F709" s="37"/>
      <c r="G709" s="37"/>
      <c r="H709" s="37"/>
      <c r="I709" s="37"/>
      <c r="J709" s="37"/>
      <c r="K709" s="37"/>
      <c r="O709" s="17"/>
      <c r="P709" s="17"/>
      <c r="Q709" s="17"/>
      <c r="R709" s="17"/>
      <c r="S709" s="17"/>
      <c r="T709" s="17"/>
      <c r="U709" s="17"/>
      <c r="V709" s="17"/>
    </row>
    <row r="710" spans="1:22" ht="14.25" customHeight="1">
      <c r="A710" s="17"/>
      <c r="B710" s="17"/>
      <c r="C710" s="37"/>
      <c r="D710" s="37"/>
      <c r="E710" s="37"/>
      <c r="F710" s="37"/>
      <c r="G710" s="37"/>
      <c r="H710" s="37"/>
      <c r="I710" s="37"/>
      <c r="J710" s="37"/>
      <c r="K710" s="37"/>
      <c r="O710" s="17"/>
      <c r="P710" s="17"/>
      <c r="Q710" s="17"/>
      <c r="R710" s="17"/>
      <c r="S710" s="17"/>
      <c r="T710" s="17"/>
      <c r="U710" s="17"/>
      <c r="V710" s="17"/>
    </row>
    <row r="711" spans="1:22" ht="14.25" customHeight="1">
      <c r="A711" s="17"/>
      <c r="B711" s="17"/>
      <c r="C711" s="37"/>
      <c r="D711" s="37"/>
      <c r="E711" s="37"/>
      <c r="F711" s="37"/>
      <c r="G711" s="37"/>
      <c r="H711" s="37"/>
      <c r="I711" s="37"/>
      <c r="J711" s="37"/>
      <c r="K711" s="37"/>
      <c r="O711" s="17"/>
      <c r="P711" s="17"/>
      <c r="Q711" s="17"/>
      <c r="R711" s="17"/>
      <c r="S711" s="17"/>
      <c r="T711" s="17"/>
      <c r="U711" s="17"/>
      <c r="V711" s="17"/>
    </row>
    <row r="712" spans="1:22" ht="14.25" customHeight="1">
      <c r="A712" s="17"/>
      <c r="B712" s="17"/>
      <c r="C712" s="37"/>
      <c r="D712" s="37"/>
      <c r="E712" s="37"/>
      <c r="F712" s="37"/>
      <c r="G712" s="37"/>
      <c r="H712" s="37"/>
      <c r="I712" s="37"/>
      <c r="J712" s="37"/>
      <c r="K712" s="37"/>
      <c r="O712" s="17"/>
      <c r="P712" s="17"/>
      <c r="Q712" s="17"/>
      <c r="R712" s="17"/>
      <c r="S712" s="17"/>
      <c r="T712" s="17"/>
      <c r="U712" s="17"/>
      <c r="V712" s="17"/>
    </row>
    <row r="713" spans="1:22" ht="14.25" customHeight="1">
      <c r="A713" s="17"/>
      <c r="B713" s="17"/>
      <c r="C713" s="37"/>
      <c r="D713" s="37"/>
      <c r="E713" s="37"/>
      <c r="F713" s="37"/>
      <c r="G713" s="37"/>
      <c r="H713" s="37"/>
      <c r="I713" s="37"/>
      <c r="J713" s="37"/>
      <c r="K713" s="37"/>
      <c r="O713" s="17"/>
      <c r="P713" s="17"/>
      <c r="Q713" s="17"/>
      <c r="R713" s="17"/>
      <c r="S713" s="17"/>
      <c r="T713" s="17"/>
      <c r="U713" s="17"/>
      <c r="V713" s="17"/>
    </row>
    <row r="714" spans="1:22" ht="14.25" customHeight="1">
      <c r="A714" s="17"/>
      <c r="B714" s="17"/>
      <c r="C714" s="37"/>
      <c r="D714" s="37"/>
      <c r="E714" s="37"/>
      <c r="F714" s="37"/>
      <c r="G714" s="37"/>
      <c r="H714" s="37"/>
      <c r="I714" s="37"/>
      <c r="J714" s="37"/>
      <c r="K714" s="37"/>
      <c r="O714" s="17"/>
      <c r="P714" s="17"/>
      <c r="Q714" s="17"/>
      <c r="R714" s="17"/>
      <c r="S714" s="17"/>
      <c r="T714" s="17"/>
      <c r="U714" s="17"/>
      <c r="V714" s="17"/>
    </row>
    <row r="715" spans="1:22" ht="14.25" customHeight="1">
      <c r="A715" s="17"/>
      <c r="B715" s="17"/>
      <c r="C715" s="37"/>
      <c r="D715" s="37"/>
      <c r="E715" s="37"/>
      <c r="F715" s="37"/>
      <c r="G715" s="37"/>
      <c r="H715" s="37"/>
      <c r="I715" s="37"/>
      <c r="J715" s="37"/>
      <c r="K715" s="37"/>
      <c r="O715" s="17"/>
      <c r="P715" s="17"/>
      <c r="Q715" s="17"/>
      <c r="R715" s="17"/>
      <c r="S715" s="17"/>
      <c r="T715" s="17"/>
      <c r="U715" s="17"/>
      <c r="V715" s="17"/>
    </row>
    <row r="716" spans="1:22" ht="14.25" customHeight="1">
      <c r="A716" s="17"/>
      <c r="B716" s="17"/>
      <c r="C716" s="37"/>
      <c r="D716" s="37"/>
      <c r="E716" s="37"/>
      <c r="F716" s="37"/>
      <c r="G716" s="37"/>
      <c r="H716" s="37"/>
      <c r="I716" s="37"/>
      <c r="J716" s="37"/>
      <c r="K716" s="37"/>
      <c r="O716" s="17"/>
      <c r="P716" s="17"/>
      <c r="Q716" s="17"/>
      <c r="R716" s="17"/>
      <c r="S716" s="17"/>
      <c r="T716" s="17"/>
      <c r="U716" s="17"/>
      <c r="V716" s="17"/>
    </row>
    <row r="717" spans="1:22" ht="14.25" customHeight="1">
      <c r="A717" s="17"/>
      <c r="B717" s="17"/>
      <c r="C717" s="37"/>
      <c r="D717" s="37"/>
      <c r="E717" s="37"/>
      <c r="F717" s="37"/>
      <c r="G717" s="37"/>
      <c r="H717" s="37"/>
      <c r="I717" s="37"/>
      <c r="J717" s="37"/>
      <c r="K717" s="37"/>
      <c r="O717" s="17"/>
      <c r="P717" s="17"/>
      <c r="Q717" s="17"/>
      <c r="R717" s="17"/>
      <c r="S717" s="17"/>
      <c r="T717" s="17"/>
      <c r="U717" s="17"/>
      <c r="V717" s="17"/>
    </row>
    <row r="718" spans="1:22" ht="14.25" customHeight="1">
      <c r="A718" s="17"/>
      <c r="B718" s="17"/>
      <c r="C718" s="37"/>
      <c r="D718" s="37"/>
      <c r="E718" s="37"/>
      <c r="F718" s="37"/>
      <c r="G718" s="37"/>
      <c r="H718" s="37"/>
      <c r="I718" s="37"/>
      <c r="J718" s="37"/>
      <c r="K718" s="37"/>
      <c r="O718" s="17"/>
      <c r="P718" s="17"/>
      <c r="Q718" s="17"/>
      <c r="R718" s="17"/>
      <c r="S718" s="17"/>
      <c r="T718" s="17"/>
      <c r="U718" s="17"/>
      <c r="V718" s="17"/>
    </row>
    <row r="719" spans="1:22" ht="14.25" customHeight="1">
      <c r="A719" s="17"/>
      <c r="B719" s="17"/>
      <c r="C719" s="37"/>
      <c r="D719" s="37"/>
      <c r="E719" s="37"/>
      <c r="F719" s="37"/>
      <c r="G719" s="37"/>
      <c r="H719" s="37"/>
      <c r="I719" s="37"/>
      <c r="J719" s="37"/>
      <c r="K719" s="37"/>
      <c r="O719" s="17"/>
      <c r="P719" s="17"/>
      <c r="Q719" s="17"/>
      <c r="R719" s="17"/>
      <c r="S719" s="17"/>
      <c r="T719" s="17"/>
      <c r="U719" s="17"/>
      <c r="V719" s="17"/>
    </row>
    <row r="720" spans="1:22" ht="14.25" customHeight="1">
      <c r="A720" s="17"/>
      <c r="B720" s="17"/>
      <c r="C720" s="37"/>
      <c r="D720" s="37"/>
      <c r="E720" s="37"/>
      <c r="F720" s="37"/>
      <c r="G720" s="37"/>
      <c r="H720" s="37"/>
      <c r="I720" s="37"/>
      <c r="J720" s="37"/>
      <c r="K720" s="37"/>
      <c r="O720" s="17"/>
      <c r="P720" s="17"/>
      <c r="Q720" s="17"/>
      <c r="R720" s="17"/>
      <c r="S720" s="17"/>
      <c r="T720" s="17"/>
      <c r="U720" s="17"/>
      <c r="V720" s="17"/>
    </row>
    <row r="721" spans="1:22" ht="14.25" customHeight="1">
      <c r="A721" s="17"/>
      <c r="B721" s="17"/>
      <c r="C721" s="37"/>
      <c r="D721" s="37"/>
      <c r="E721" s="37"/>
      <c r="F721" s="37"/>
      <c r="G721" s="37"/>
      <c r="H721" s="37"/>
      <c r="I721" s="37"/>
      <c r="J721" s="37"/>
      <c r="K721" s="37"/>
      <c r="O721" s="17"/>
      <c r="P721" s="17"/>
      <c r="Q721" s="17"/>
      <c r="R721" s="17"/>
      <c r="S721" s="17"/>
      <c r="T721" s="17"/>
      <c r="U721" s="17"/>
      <c r="V721" s="17"/>
    </row>
    <row r="722" spans="1:22" ht="14.25" customHeight="1">
      <c r="A722" s="17"/>
      <c r="B722" s="17"/>
      <c r="C722" s="37"/>
      <c r="D722" s="37"/>
      <c r="E722" s="37"/>
      <c r="F722" s="37"/>
      <c r="G722" s="37"/>
      <c r="H722" s="37"/>
      <c r="I722" s="37"/>
      <c r="J722" s="37"/>
      <c r="K722" s="37"/>
      <c r="O722" s="17"/>
      <c r="P722" s="17"/>
      <c r="Q722" s="17"/>
      <c r="R722" s="17"/>
      <c r="S722" s="17"/>
      <c r="T722" s="17"/>
      <c r="U722" s="17"/>
      <c r="V722" s="17"/>
    </row>
    <row r="723" spans="1:22" ht="14.25" customHeight="1">
      <c r="A723" s="17"/>
      <c r="B723" s="17"/>
      <c r="C723" s="37"/>
      <c r="D723" s="37"/>
      <c r="E723" s="37"/>
      <c r="F723" s="37"/>
      <c r="G723" s="37"/>
      <c r="H723" s="37"/>
      <c r="I723" s="37"/>
      <c r="J723" s="37"/>
      <c r="K723" s="37"/>
      <c r="O723" s="17"/>
      <c r="P723" s="17"/>
      <c r="Q723" s="17"/>
      <c r="R723" s="17"/>
      <c r="S723" s="17"/>
      <c r="T723" s="17"/>
      <c r="U723" s="17"/>
      <c r="V723" s="17"/>
    </row>
    <row r="724" spans="1:22" ht="14.25" customHeight="1">
      <c r="A724" s="17"/>
      <c r="B724" s="17"/>
      <c r="C724" s="37"/>
      <c r="D724" s="37"/>
      <c r="E724" s="37"/>
      <c r="F724" s="37"/>
      <c r="G724" s="37"/>
      <c r="H724" s="37"/>
      <c r="I724" s="37"/>
      <c r="J724" s="37"/>
      <c r="K724" s="37"/>
      <c r="O724" s="17"/>
      <c r="P724" s="17"/>
      <c r="Q724" s="17"/>
      <c r="R724" s="17"/>
      <c r="S724" s="17"/>
      <c r="T724" s="17"/>
      <c r="U724" s="17"/>
      <c r="V724" s="17"/>
    </row>
    <row r="725" spans="1:22" ht="14.25" customHeight="1">
      <c r="A725" s="17"/>
      <c r="B725" s="17"/>
      <c r="C725" s="37"/>
      <c r="D725" s="37"/>
      <c r="E725" s="37"/>
      <c r="F725" s="37"/>
      <c r="G725" s="37"/>
      <c r="H725" s="37"/>
      <c r="I725" s="37"/>
      <c r="J725" s="37"/>
      <c r="K725" s="37"/>
      <c r="O725" s="17"/>
      <c r="P725" s="17"/>
      <c r="Q725" s="17"/>
      <c r="R725" s="17"/>
      <c r="S725" s="17"/>
      <c r="T725" s="17"/>
      <c r="U725" s="17"/>
      <c r="V725" s="17"/>
    </row>
    <row r="726" spans="1:22" ht="14.25" customHeight="1">
      <c r="A726" s="17"/>
      <c r="B726" s="17"/>
      <c r="C726" s="37"/>
      <c r="D726" s="37"/>
      <c r="E726" s="37"/>
      <c r="F726" s="37"/>
      <c r="G726" s="37"/>
      <c r="H726" s="37"/>
      <c r="I726" s="37"/>
      <c r="J726" s="37"/>
      <c r="K726" s="37"/>
      <c r="O726" s="17"/>
      <c r="P726" s="17"/>
      <c r="Q726" s="17"/>
      <c r="R726" s="17"/>
      <c r="S726" s="17"/>
      <c r="T726" s="17"/>
      <c r="U726" s="17"/>
      <c r="V726" s="17"/>
    </row>
    <row r="727" spans="1:22" ht="14.25" customHeight="1">
      <c r="A727" s="17"/>
      <c r="B727" s="17"/>
      <c r="C727" s="37"/>
      <c r="D727" s="37"/>
      <c r="E727" s="37"/>
      <c r="F727" s="37"/>
      <c r="G727" s="37"/>
      <c r="H727" s="37"/>
      <c r="I727" s="37"/>
      <c r="J727" s="37"/>
      <c r="K727" s="37"/>
      <c r="O727" s="17"/>
      <c r="P727" s="17"/>
      <c r="Q727" s="17"/>
      <c r="R727" s="17"/>
      <c r="S727" s="17"/>
      <c r="T727" s="17"/>
      <c r="U727" s="17"/>
      <c r="V727" s="17"/>
    </row>
    <row r="728" spans="1:22" ht="14.25" customHeight="1">
      <c r="A728" s="17"/>
      <c r="B728" s="17"/>
      <c r="C728" s="37"/>
      <c r="D728" s="37"/>
      <c r="E728" s="37"/>
      <c r="F728" s="37"/>
      <c r="G728" s="37"/>
      <c r="H728" s="37"/>
      <c r="I728" s="37"/>
      <c r="J728" s="37"/>
      <c r="K728" s="37"/>
      <c r="O728" s="17"/>
      <c r="P728" s="17"/>
      <c r="Q728" s="17"/>
      <c r="R728" s="17"/>
      <c r="S728" s="17"/>
      <c r="T728" s="17"/>
      <c r="U728" s="17"/>
      <c r="V728" s="17"/>
    </row>
    <row r="729" spans="1:22" ht="14.25" customHeight="1">
      <c r="A729" s="17"/>
      <c r="B729" s="17"/>
      <c r="C729" s="37"/>
      <c r="D729" s="37"/>
      <c r="E729" s="37"/>
      <c r="F729" s="37"/>
      <c r="G729" s="37"/>
      <c r="H729" s="37"/>
      <c r="I729" s="37"/>
      <c r="J729" s="37"/>
      <c r="K729" s="37"/>
      <c r="O729" s="17"/>
      <c r="P729" s="17"/>
      <c r="Q729" s="17"/>
      <c r="R729" s="17"/>
      <c r="S729" s="17"/>
      <c r="T729" s="17"/>
      <c r="U729" s="17"/>
      <c r="V729" s="17"/>
    </row>
    <row r="730" spans="1:22" ht="14.25" customHeight="1">
      <c r="A730" s="17"/>
      <c r="B730" s="17"/>
      <c r="C730" s="37"/>
      <c r="D730" s="37"/>
      <c r="E730" s="37"/>
      <c r="F730" s="37"/>
      <c r="G730" s="37"/>
      <c r="H730" s="37"/>
      <c r="I730" s="37"/>
      <c r="J730" s="37"/>
      <c r="K730" s="37"/>
      <c r="O730" s="17"/>
      <c r="P730" s="17"/>
      <c r="Q730" s="17"/>
      <c r="R730" s="17"/>
      <c r="S730" s="17"/>
      <c r="T730" s="17"/>
      <c r="U730" s="17"/>
      <c r="V730" s="17"/>
    </row>
    <row r="731" spans="1:22" ht="14.25" customHeight="1">
      <c r="A731" s="17"/>
      <c r="B731" s="17"/>
      <c r="C731" s="37"/>
      <c r="D731" s="37"/>
      <c r="E731" s="37"/>
      <c r="F731" s="37"/>
      <c r="G731" s="37"/>
      <c r="H731" s="37"/>
      <c r="I731" s="37"/>
      <c r="J731" s="37"/>
      <c r="K731" s="37"/>
      <c r="O731" s="17"/>
      <c r="P731" s="17"/>
      <c r="Q731" s="17"/>
      <c r="R731" s="17"/>
      <c r="S731" s="17"/>
      <c r="T731" s="17"/>
      <c r="U731" s="17"/>
      <c r="V731" s="17"/>
    </row>
    <row r="732" spans="1:22" ht="14.25" customHeight="1">
      <c r="A732" s="17"/>
      <c r="B732" s="17"/>
      <c r="C732" s="37"/>
      <c r="D732" s="37"/>
      <c r="E732" s="37"/>
      <c r="F732" s="37"/>
      <c r="G732" s="37"/>
      <c r="H732" s="37"/>
      <c r="I732" s="37"/>
      <c r="J732" s="37"/>
      <c r="K732" s="37"/>
      <c r="O732" s="17"/>
      <c r="P732" s="17"/>
      <c r="Q732" s="17"/>
      <c r="R732" s="17"/>
      <c r="S732" s="17"/>
      <c r="T732" s="17"/>
      <c r="U732" s="17"/>
      <c r="V732" s="17"/>
    </row>
    <row r="733" spans="1:22" ht="14.25" customHeight="1">
      <c r="A733" s="17"/>
      <c r="B733" s="17"/>
      <c r="C733" s="37"/>
      <c r="D733" s="37"/>
      <c r="E733" s="37"/>
      <c r="F733" s="37"/>
      <c r="G733" s="37"/>
      <c r="H733" s="37"/>
      <c r="I733" s="37"/>
      <c r="J733" s="37"/>
      <c r="K733" s="37"/>
      <c r="O733" s="17"/>
      <c r="P733" s="17"/>
      <c r="Q733" s="17"/>
      <c r="R733" s="17"/>
      <c r="S733" s="17"/>
      <c r="T733" s="17"/>
      <c r="U733" s="17"/>
      <c r="V733" s="17"/>
    </row>
    <row r="734" spans="1:22" ht="14.25" customHeight="1">
      <c r="A734" s="17"/>
      <c r="B734" s="17"/>
      <c r="C734" s="37"/>
      <c r="D734" s="37"/>
      <c r="E734" s="37"/>
      <c r="F734" s="37"/>
      <c r="G734" s="37"/>
      <c r="H734" s="37"/>
      <c r="I734" s="37"/>
      <c r="J734" s="37"/>
      <c r="K734" s="37"/>
      <c r="O734" s="17"/>
      <c r="P734" s="17"/>
      <c r="Q734" s="17"/>
      <c r="R734" s="17"/>
      <c r="S734" s="17"/>
      <c r="T734" s="17"/>
      <c r="U734" s="17"/>
      <c r="V734" s="17"/>
    </row>
    <row r="735" spans="1:22" ht="14.25" customHeight="1">
      <c r="A735" s="17"/>
      <c r="B735" s="17"/>
      <c r="C735" s="37"/>
      <c r="D735" s="37"/>
      <c r="E735" s="37"/>
      <c r="F735" s="37"/>
      <c r="G735" s="37"/>
      <c r="H735" s="37"/>
      <c r="I735" s="37"/>
      <c r="J735" s="37"/>
      <c r="K735" s="37"/>
      <c r="O735" s="17"/>
      <c r="P735" s="17"/>
      <c r="Q735" s="17"/>
      <c r="R735" s="17"/>
      <c r="S735" s="17"/>
      <c r="T735" s="17"/>
      <c r="U735" s="17"/>
      <c r="V735" s="17"/>
    </row>
    <row r="736" spans="1:22" ht="14.25" customHeight="1">
      <c r="A736" s="17"/>
      <c r="B736" s="17"/>
      <c r="C736" s="37"/>
      <c r="D736" s="37"/>
      <c r="E736" s="37"/>
      <c r="F736" s="37"/>
      <c r="G736" s="37"/>
      <c r="H736" s="37"/>
      <c r="I736" s="37"/>
      <c r="J736" s="37"/>
      <c r="K736" s="37"/>
      <c r="O736" s="17"/>
      <c r="P736" s="17"/>
      <c r="Q736" s="17"/>
      <c r="R736" s="17"/>
      <c r="S736" s="17"/>
      <c r="T736" s="17"/>
      <c r="U736" s="17"/>
      <c r="V736" s="17"/>
    </row>
    <row r="737" spans="1:22" ht="14.25" customHeight="1">
      <c r="A737" s="17"/>
      <c r="B737" s="17"/>
      <c r="C737" s="37"/>
      <c r="D737" s="37"/>
      <c r="E737" s="37"/>
      <c r="F737" s="37"/>
      <c r="G737" s="37"/>
      <c r="H737" s="37"/>
      <c r="I737" s="37"/>
      <c r="J737" s="37"/>
      <c r="K737" s="37"/>
      <c r="O737" s="17"/>
      <c r="P737" s="17"/>
      <c r="Q737" s="17"/>
      <c r="R737" s="17"/>
      <c r="S737" s="17"/>
      <c r="T737" s="17"/>
      <c r="U737" s="17"/>
      <c r="V737" s="17"/>
    </row>
    <row r="738" spans="1:22" ht="14.25" customHeight="1">
      <c r="A738" s="17"/>
      <c r="B738" s="17"/>
      <c r="C738" s="37"/>
      <c r="D738" s="37"/>
      <c r="E738" s="37"/>
      <c r="F738" s="37"/>
      <c r="G738" s="37"/>
      <c r="H738" s="37"/>
      <c r="I738" s="37"/>
      <c r="J738" s="37"/>
      <c r="K738" s="37"/>
      <c r="O738" s="17"/>
      <c r="P738" s="17"/>
      <c r="Q738" s="17"/>
      <c r="R738" s="17"/>
      <c r="S738" s="17"/>
      <c r="T738" s="17"/>
      <c r="U738" s="17"/>
      <c r="V738" s="17"/>
    </row>
    <row r="739" spans="1:22" ht="14.25" customHeight="1">
      <c r="A739" s="17"/>
      <c r="B739" s="17"/>
      <c r="C739" s="37"/>
      <c r="D739" s="37"/>
      <c r="E739" s="37"/>
      <c r="F739" s="37"/>
      <c r="G739" s="37"/>
      <c r="H739" s="37"/>
      <c r="I739" s="37"/>
      <c r="J739" s="37"/>
      <c r="K739" s="37"/>
      <c r="O739" s="17"/>
      <c r="P739" s="17"/>
      <c r="Q739" s="17"/>
      <c r="R739" s="17"/>
      <c r="S739" s="17"/>
      <c r="T739" s="17"/>
      <c r="U739" s="17"/>
      <c r="V739" s="17"/>
    </row>
    <row r="740" spans="1:22" ht="14.25" customHeight="1">
      <c r="A740" s="17"/>
      <c r="B740" s="17"/>
      <c r="C740" s="37"/>
      <c r="D740" s="37"/>
      <c r="E740" s="37"/>
      <c r="F740" s="37"/>
      <c r="G740" s="37"/>
      <c r="H740" s="37"/>
      <c r="I740" s="37"/>
      <c r="J740" s="37"/>
      <c r="K740" s="37"/>
      <c r="O740" s="17"/>
      <c r="P740" s="17"/>
      <c r="Q740" s="17"/>
      <c r="R740" s="17"/>
      <c r="S740" s="17"/>
      <c r="T740" s="17"/>
      <c r="U740" s="17"/>
      <c r="V740" s="17"/>
    </row>
    <row r="741" spans="1:22" ht="14.25" customHeight="1">
      <c r="A741" s="17"/>
      <c r="B741" s="17"/>
      <c r="C741" s="37"/>
      <c r="D741" s="37"/>
      <c r="E741" s="37"/>
      <c r="F741" s="37"/>
      <c r="G741" s="37"/>
      <c r="H741" s="37"/>
      <c r="I741" s="37"/>
      <c r="J741" s="37"/>
      <c r="K741" s="37"/>
      <c r="O741" s="17"/>
      <c r="P741" s="17"/>
      <c r="Q741" s="17"/>
      <c r="R741" s="17"/>
      <c r="S741" s="17"/>
      <c r="T741" s="17"/>
      <c r="U741" s="17"/>
      <c r="V741" s="17"/>
    </row>
    <row r="742" spans="1:22" ht="14.25" customHeight="1">
      <c r="A742" s="17"/>
      <c r="B742" s="17"/>
      <c r="C742" s="37"/>
      <c r="D742" s="37"/>
      <c r="E742" s="37"/>
      <c r="F742" s="37"/>
      <c r="G742" s="37"/>
      <c r="H742" s="37"/>
      <c r="I742" s="37"/>
      <c r="J742" s="37"/>
      <c r="K742" s="37"/>
      <c r="O742" s="17"/>
      <c r="P742" s="17"/>
      <c r="Q742" s="17"/>
      <c r="R742" s="17"/>
      <c r="S742" s="17"/>
      <c r="T742" s="17"/>
      <c r="U742" s="17"/>
      <c r="V742" s="17"/>
    </row>
    <row r="743" spans="1:22" ht="14.25" customHeight="1">
      <c r="A743" s="17"/>
      <c r="B743" s="17"/>
      <c r="C743" s="37"/>
      <c r="D743" s="37"/>
      <c r="E743" s="37"/>
      <c r="F743" s="37"/>
      <c r="G743" s="37"/>
      <c r="H743" s="37"/>
      <c r="I743" s="37"/>
      <c r="J743" s="37"/>
      <c r="K743" s="37"/>
      <c r="O743" s="17"/>
      <c r="P743" s="17"/>
      <c r="Q743" s="17"/>
      <c r="R743" s="17"/>
      <c r="S743" s="17"/>
      <c r="T743" s="17"/>
      <c r="U743" s="17"/>
      <c r="V743" s="17"/>
    </row>
    <row r="744" spans="1:22" ht="14.25" customHeight="1">
      <c r="A744" s="17"/>
      <c r="B744" s="17"/>
      <c r="C744" s="37"/>
      <c r="D744" s="37"/>
      <c r="E744" s="37"/>
      <c r="F744" s="37"/>
      <c r="G744" s="37"/>
      <c r="H744" s="37"/>
      <c r="I744" s="37"/>
      <c r="J744" s="37"/>
      <c r="K744" s="37"/>
      <c r="O744" s="17"/>
      <c r="P744" s="17"/>
      <c r="Q744" s="17"/>
      <c r="R744" s="17"/>
      <c r="S744" s="17"/>
      <c r="T744" s="17"/>
      <c r="U744" s="17"/>
      <c r="V744" s="17"/>
    </row>
    <row r="745" spans="1:22" ht="14.25" customHeight="1">
      <c r="A745" s="17"/>
      <c r="B745" s="17"/>
      <c r="C745" s="37"/>
      <c r="D745" s="37"/>
      <c r="E745" s="37"/>
      <c r="F745" s="37"/>
      <c r="G745" s="37"/>
      <c r="H745" s="37"/>
      <c r="I745" s="37"/>
      <c r="J745" s="37"/>
      <c r="K745" s="37"/>
      <c r="O745" s="17"/>
      <c r="P745" s="17"/>
      <c r="Q745" s="17"/>
      <c r="R745" s="17"/>
      <c r="S745" s="17"/>
      <c r="T745" s="17"/>
      <c r="U745" s="17"/>
      <c r="V745" s="17"/>
    </row>
    <row r="746" spans="1:22" ht="14.25" customHeight="1">
      <c r="A746" s="17"/>
      <c r="B746" s="17"/>
      <c r="C746" s="37"/>
      <c r="D746" s="37"/>
      <c r="E746" s="37"/>
      <c r="F746" s="37"/>
      <c r="G746" s="37"/>
      <c r="H746" s="37"/>
      <c r="I746" s="37"/>
      <c r="J746" s="37"/>
      <c r="K746" s="37"/>
      <c r="O746" s="17"/>
      <c r="P746" s="17"/>
      <c r="Q746" s="17"/>
      <c r="R746" s="17"/>
      <c r="S746" s="17"/>
      <c r="T746" s="17"/>
      <c r="U746" s="17"/>
      <c r="V746" s="17"/>
    </row>
    <row r="747" spans="1:22" ht="14.25" customHeight="1">
      <c r="A747" s="17"/>
      <c r="B747" s="17"/>
      <c r="C747" s="37"/>
      <c r="D747" s="37"/>
      <c r="E747" s="37"/>
      <c r="F747" s="37"/>
      <c r="G747" s="37"/>
      <c r="H747" s="37"/>
      <c r="I747" s="37"/>
      <c r="J747" s="37"/>
      <c r="K747" s="37"/>
      <c r="O747" s="17"/>
      <c r="P747" s="17"/>
      <c r="Q747" s="17"/>
      <c r="R747" s="17"/>
      <c r="S747" s="17"/>
      <c r="T747" s="17"/>
      <c r="U747" s="17"/>
      <c r="V747" s="17"/>
    </row>
    <row r="748" spans="1:22" ht="14.25" customHeight="1">
      <c r="A748" s="17"/>
      <c r="B748" s="17"/>
      <c r="C748" s="37"/>
      <c r="D748" s="37"/>
      <c r="E748" s="37"/>
      <c r="F748" s="37"/>
      <c r="G748" s="37"/>
      <c r="H748" s="37"/>
      <c r="I748" s="37"/>
      <c r="J748" s="37"/>
      <c r="K748" s="37"/>
      <c r="O748" s="17"/>
      <c r="P748" s="17"/>
      <c r="Q748" s="17"/>
      <c r="R748" s="17"/>
      <c r="S748" s="17"/>
      <c r="T748" s="17"/>
      <c r="U748" s="17"/>
      <c r="V748" s="17"/>
    </row>
    <row r="749" spans="1:22" ht="14.25" customHeight="1">
      <c r="A749" s="17"/>
      <c r="B749" s="17"/>
      <c r="C749" s="37"/>
      <c r="D749" s="37"/>
      <c r="E749" s="37"/>
      <c r="F749" s="37"/>
      <c r="G749" s="37"/>
      <c r="H749" s="37"/>
      <c r="I749" s="37"/>
      <c r="J749" s="37"/>
      <c r="K749" s="37"/>
      <c r="O749" s="17"/>
      <c r="P749" s="17"/>
      <c r="Q749" s="17"/>
      <c r="R749" s="17"/>
      <c r="S749" s="17"/>
      <c r="T749" s="17"/>
      <c r="U749" s="17"/>
      <c r="V749" s="17"/>
    </row>
    <row r="750" spans="1:22" ht="14.25" customHeight="1">
      <c r="A750" s="17"/>
      <c r="B750" s="17"/>
      <c r="C750" s="37"/>
      <c r="D750" s="37"/>
      <c r="E750" s="37"/>
      <c r="F750" s="37"/>
      <c r="G750" s="37"/>
      <c r="H750" s="37"/>
      <c r="I750" s="37"/>
      <c r="J750" s="37"/>
      <c r="K750" s="37"/>
      <c r="O750" s="17"/>
      <c r="P750" s="17"/>
      <c r="Q750" s="17"/>
      <c r="R750" s="17"/>
      <c r="S750" s="17"/>
      <c r="T750" s="17"/>
      <c r="U750" s="17"/>
      <c r="V750" s="17"/>
    </row>
    <row r="751" spans="1:22" ht="14.25" customHeight="1">
      <c r="A751" s="17"/>
      <c r="B751" s="17"/>
      <c r="C751" s="37"/>
      <c r="D751" s="37"/>
      <c r="E751" s="37"/>
      <c r="F751" s="37"/>
      <c r="G751" s="37"/>
      <c r="H751" s="37"/>
      <c r="I751" s="37"/>
      <c r="J751" s="37"/>
      <c r="K751" s="37"/>
      <c r="O751" s="17"/>
      <c r="P751" s="17"/>
      <c r="Q751" s="17"/>
      <c r="R751" s="17"/>
      <c r="S751" s="17"/>
      <c r="T751" s="17"/>
      <c r="U751" s="17"/>
      <c r="V751" s="17"/>
    </row>
    <row r="752" spans="1:22" ht="14.25" customHeight="1">
      <c r="A752" s="17"/>
      <c r="B752" s="17"/>
      <c r="C752" s="37"/>
      <c r="D752" s="37"/>
      <c r="E752" s="37"/>
      <c r="F752" s="37"/>
      <c r="G752" s="37"/>
      <c r="H752" s="37"/>
      <c r="I752" s="37"/>
      <c r="J752" s="37"/>
      <c r="K752" s="37"/>
      <c r="O752" s="17"/>
      <c r="P752" s="17"/>
      <c r="Q752" s="17"/>
      <c r="R752" s="17"/>
      <c r="S752" s="17"/>
      <c r="T752" s="17"/>
      <c r="U752" s="17"/>
      <c r="V752" s="17"/>
    </row>
    <row r="753" spans="1:22" ht="14.25" customHeight="1">
      <c r="A753" s="17"/>
      <c r="B753" s="17"/>
      <c r="C753" s="37"/>
      <c r="D753" s="37"/>
      <c r="E753" s="37"/>
      <c r="F753" s="37"/>
      <c r="G753" s="37"/>
      <c r="H753" s="37"/>
      <c r="I753" s="37"/>
      <c r="J753" s="37"/>
      <c r="K753" s="37"/>
      <c r="O753" s="17"/>
      <c r="P753" s="17"/>
      <c r="Q753" s="17"/>
      <c r="R753" s="17"/>
      <c r="S753" s="17"/>
      <c r="T753" s="17"/>
      <c r="U753" s="17"/>
      <c r="V753" s="17"/>
    </row>
    <row r="754" spans="1:22" ht="14.25" customHeight="1">
      <c r="A754" s="17"/>
      <c r="B754" s="17"/>
      <c r="C754" s="37"/>
      <c r="D754" s="37"/>
      <c r="E754" s="37"/>
      <c r="F754" s="37"/>
      <c r="G754" s="37"/>
      <c r="H754" s="37"/>
      <c r="I754" s="37"/>
      <c r="J754" s="37"/>
      <c r="K754" s="37"/>
      <c r="O754" s="17"/>
      <c r="P754" s="17"/>
      <c r="Q754" s="17"/>
      <c r="R754" s="17"/>
      <c r="S754" s="17"/>
      <c r="T754" s="17"/>
      <c r="U754" s="17"/>
      <c r="V754" s="17"/>
    </row>
    <row r="755" spans="1:22" ht="14.25" customHeight="1">
      <c r="A755" s="17"/>
      <c r="B755" s="17"/>
      <c r="C755" s="37"/>
      <c r="D755" s="37"/>
      <c r="E755" s="37"/>
      <c r="F755" s="37"/>
      <c r="G755" s="37"/>
      <c r="H755" s="37"/>
      <c r="I755" s="37"/>
      <c r="J755" s="37"/>
      <c r="K755" s="37"/>
      <c r="O755" s="17"/>
      <c r="P755" s="17"/>
      <c r="Q755" s="17"/>
      <c r="R755" s="17"/>
      <c r="S755" s="17"/>
      <c r="T755" s="17"/>
      <c r="U755" s="17"/>
      <c r="V755" s="17"/>
    </row>
    <row r="756" spans="1:22" ht="14.25" customHeight="1">
      <c r="A756" s="17"/>
      <c r="B756" s="17"/>
      <c r="C756" s="37"/>
      <c r="D756" s="37"/>
      <c r="E756" s="37"/>
      <c r="F756" s="37"/>
      <c r="G756" s="37"/>
      <c r="H756" s="37"/>
      <c r="I756" s="37"/>
      <c r="J756" s="37"/>
      <c r="K756" s="37"/>
      <c r="O756" s="17"/>
      <c r="P756" s="17"/>
      <c r="Q756" s="17"/>
      <c r="R756" s="17"/>
      <c r="S756" s="17"/>
      <c r="T756" s="17"/>
      <c r="U756" s="17"/>
      <c r="V756" s="17"/>
    </row>
    <row r="757" spans="1:22" ht="14.25" customHeight="1">
      <c r="A757" s="17"/>
      <c r="B757" s="17"/>
      <c r="C757" s="37"/>
      <c r="D757" s="37"/>
      <c r="E757" s="37"/>
      <c r="F757" s="37"/>
      <c r="G757" s="37"/>
      <c r="H757" s="37"/>
      <c r="I757" s="37"/>
      <c r="J757" s="37"/>
      <c r="K757" s="37"/>
      <c r="O757" s="17"/>
      <c r="P757" s="17"/>
      <c r="Q757" s="17"/>
      <c r="R757" s="17"/>
      <c r="S757" s="17"/>
      <c r="T757" s="17"/>
      <c r="U757" s="17"/>
      <c r="V757" s="17"/>
    </row>
    <row r="758" spans="1:22" ht="14.25" customHeight="1">
      <c r="A758" s="17"/>
      <c r="B758" s="17"/>
      <c r="C758" s="37"/>
      <c r="D758" s="37"/>
      <c r="E758" s="37"/>
      <c r="F758" s="37"/>
      <c r="G758" s="37"/>
      <c r="H758" s="37"/>
      <c r="I758" s="37"/>
      <c r="J758" s="37"/>
      <c r="K758" s="37"/>
      <c r="O758" s="17"/>
      <c r="P758" s="17"/>
      <c r="Q758" s="17"/>
      <c r="R758" s="17"/>
      <c r="S758" s="17"/>
      <c r="T758" s="17"/>
      <c r="U758" s="17"/>
      <c r="V758" s="17"/>
    </row>
    <row r="759" spans="1:22" ht="14.25" customHeight="1">
      <c r="A759" s="17"/>
      <c r="B759" s="17"/>
      <c r="C759" s="37"/>
      <c r="D759" s="37"/>
      <c r="E759" s="37"/>
      <c r="F759" s="37"/>
      <c r="G759" s="37"/>
      <c r="H759" s="37"/>
      <c r="I759" s="37"/>
      <c r="J759" s="37"/>
      <c r="K759" s="37"/>
      <c r="O759" s="17"/>
      <c r="P759" s="17"/>
      <c r="Q759" s="17"/>
      <c r="R759" s="17"/>
      <c r="S759" s="17"/>
      <c r="T759" s="17"/>
      <c r="U759" s="17"/>
      <c r="V759" s="17"/>
    </row>
    <row r="760" spans="1:22" ht="14.25" customHeight="1">
      <c r="A760" s="17"/>
      <c r="B760" s="17"/>
      <c r="C760" s="37"/>
      <c r="D760" s="37"/>
      <c r="E760" s="37"/>
      <c r="F760" s="37"/>
      <c r="G760" s="37"/>
      <c r="H760" s="37"/>
      <c r="I760" s="37"/>
      <c r="J760" s="37"/>
      <c r="K760" s="37"/>
      <c r="O760" s="17"/>
      <c r="P760" s="17"/>
      <c r="Q760" s="17"/>
      <c r="R760" s="17"/>
      <c r="S760" s="17"/>
      <c r="T760" s="17"/>
      <c r="U760" s="17"/>
      <c r="V760" s="17"/>
    </row>
    <row r="761" spans="1:22" ht="14.25" customHeight="1">
      <c r="A761" s="17"/>
      <c r="B761" s="17"/>
      <c r="C761" s="37"/>
      <c r="D761" s="37"/>
      <c r="E761" s="37"/>
      <c r="F761" s="37"/>
      <c r="G761" s="37"/>
      <c r="H761" s="37"/>
      <c r="I761" s="37"/>
      <c r="J761" s="37"/>
      <c r="K761" s="37"/>
      <c r="O761" s="17"/>
      <c r="P761" s="17"/>
      <c r="Q761" s="17"/>
      <c r="R761" s="17"/>
      <c r="S761" s="17"/>
      <c r="T761" s="17"/>
      <c r="U761" s="17"/>
      <c r="V761" s="17"/>
    </row>
    <row r="762" spans="1:22" ht="14.25" customHeight="1">
      <c r="A762" s="17"/>
      <c r="B762" s="17"/>
      <c r="C762" s="37"/>
      <c r="D762" s="37"/>
      <c r="E762" s="37"/>
      <c r="F762" s="37"/>
      <c r="G762" s="37"/>
      <c r="H762" s="37"/>
      <c r="I762" s="37"/>
      <c r="J762" s="37"/>
      <c r="K762" s="37"/>
      <c r="O762" s="17"/>
      <c r="P762" s="17"/>
      <c r="Q762" s="17"/>
      <c r="R762" s="17"/>
      <c r="S762" s="17"/>
      <c r="T762" s="17"/>
      <c r="U762" s="17"/>
      <c r="V762" s="17"/>
    </row>
    <row r="763" spans="1:22" ht="14.25" customHeight="1">
      <c r="A763" s="17"/>
      <c r="B763" s="17"/>
      <c r="C763" s="37"/>
      <c r="D763" s="37"/>
      <c r="E763" s="37"/>
      <c r="F763" s="37"/>
      <c r="G763" s="37"/>
      <c r="H763" s="37"/>
      <c r="I763" s="37"/>
      <c r="J763" s="37"/>
      <c r="K763" s="37"/>
      <c r="O763" s="17"/>
      <c r="P763" s="17"/>
      <c r="Q763" s="17"/>
      <c r="R763" s="17"/>
      <c r="S763" s="17"/>
      <c r="T763" s="17"/>
      <c r="U763" s="17"/>
      <c r="V763" s="17"/>
    </row>
    <row r="764" spans="1:22" ht="14.25" customHeight="1">
      <c r="A764" s="17"/>
      <c r="B764" s="17"/>
      <c r="C764" s="37"/>
      <c r="D764" s="37"/>
      <c r="E764" s="37"/>
      <c r="F764" s="37"/>
      <c r="G764" s="37"/>
      <c r="H764" s="37"/>
      <c r="I764" s="37"/>
      <c r="J764" s="37"/>
      <c r="K764" s="37"/>
      <c r="O764" s="17"/>
      <c r="P764" s="17"/>
      <c r="Q764" s="17"/>
      <c r="R764" s="17"/>
      <c r="S764" s="17"/>
      <c r="T764" s="17"/>
      <c r="U764" s="17"/>
      <c r="V764" s="17"/>
    </row>
    <row r="765" spans="1:22" ht="14.25" customHeight="1">
      <c r="A765" s="17"/>
      <c r="B765" s="17"/>
      <c r="C765" s="37"/>
      <c r="D765" s="37"/>
      <c r="E765" s="37"/>
      <c r="F765" s="37"/>
      <c r="G765" s="37"/>
      <c r="H765" s="37"/>
      <c r="I765" s="37"/>
      <c r="J765" s="37"/>
      <c r="K765" s="37"/>
      <c r="O765" s="17"/>
      <c r="P765" s="17"/>
      <c r="Q765" s="17"/>
      <c r="R765" s="17"/>
      <c r="S765" s="17"/>
      <c r="T765" s="17"/>
      <c r="U765" s="17"/>
      <c r="V765" s="17"/>
    </row>
    <row r="766" spans="1:22" ht="14.25" customHeight="1">
      <c r="A766" s="17"/>
      <c r="B766" s="17"/>
      <c r="C766" s="37"/>
      <c r="D766" s="37"/>
      <c r="E766" s="37"/>
      <c r="F766" s="37"/>
      <c r="G766" s="37"/>
      <c r="H766" s="37"/>
      <c r="I766" s="37"/>
      <c r="J766" s="37"/>
      <c r="K766" s="37"/>
      <c r="O766" s="17"/>
      <c r="P766" s="17"/>
      <c r="Q766" s="17"/>
      <c r="R766" s="17"/>
      <c r="S766" s="17"/>
      <c r="T766" s="17"/>
      <c r="U766" s="17"/>
      <c r="V766" s="17"/>
    </row>
    <row r="767" spans="1:22" ht="14.25" customHeight="1">
      <c r="A767" s="17"/>
      <c r="B767" s="17"/>
      <c r="C767" s="37"/>
      <c r="D767" s="37"/>
      <c r="E767" s="37"/>
      <c r="F767" s="37"/>
      <c r="G767" s="37"/>
      <c r="H767" s="37"/>
      <c r="I767" s="37"/>
      <c r="J767" s="37"/>
      <c r="K767" s="37"/>
      <c r="O767" s="17"/>
      <c r="P767" s="17"/>
      <c r="Q767" s="17"/>
      <c r="R767" s="17"/>
      <c r="S767" s="17"/>
      <c r="T767" s="17"/>
      <c r="U767" s="17"/>
      <c r="V767" s="17"/>
    </row>
    <row r="768" spans="1:22" ht="14.25" customHeight="1">
      <c r="A768" s="17"/>
      <c r="B768" s="17"/>
      <c r="C768" s="37"/>
      <c r="D768" s="37"/>
      <c r="E768" s="37"/>
      <c r="F768" s="37"/>
      <c r="G768" s="37"/>
      <c r="H768" s="37"/>
      <c r="I768" s="37"/>
      <c r="J768" s="37"/>
      <c r="K768" s="37"/>
      <c r="O768" s="17"/>
      <c r="P768" s="17"/>
      <c r="Q768" s="17"/>
      <c r="R768" s="17"/>
      <c r="S768" s="17"/>
      <c r="T768" s="17"/>
      <c r="U768" s="17"/>
      <c r="V768" s="17"/>
    </row>
    <row r="769" spans="1:22" ht="14.25" customHeight="1">
      <c r="A769" s="17"/>
      <c r="B769" s="17"/>
      <c r="C769" s="37"/>
      <c r="D769" s="37"/>
      <c r="E769" s="37"/>
      <c r="F769" s="37"/>
      <c r="G769" s="37"/>
      <c r="H769" s="37"/>
      <c r="I769" s="37"/>
      <c r="J769" s="37"/>
      <c r="K769" s="37"/>
      <c r="O769" s="17"/>
      <c r="P769" s="17"/>
      <c r="Q769" s="17"/>
      <c r="R769" s="17"/>
      <c r="S769" s="17"/>
      <c r="T769" s="17"/>
      <c r="U769" s="17"/>
      <c r="V769" s="17"/>
    </row>
    <row r="770" spans="1:22" ht="14.25" customHeight="1">
      <c r="A770" s="17"/>
      <c r="B770" s="17"/>
      <c r="C770" s="37"/>
      <c r="D770" s="37"/>
      <c r="E770" s="37"/>
      <c r="F770" s="37"/>
      <c r="G770" s="37"/>
      <c r="H770" s="37"/>
      <c r="I770" s="37"/>
      <c r="J770" s="37"/>
      <c r="K770" s="37"/>
      <c r="O770" s="17"/>
      <c r="P770" s="17"/>
      <c r="Q770" s="17"/>
      <c r="R770" s="17"/>
      <c r="S770" s="17"/>
      <c r="T770" s="17"/>
      <c r="U770" s="17"/>
      <c r="V770" s="17"/>
    </row>
    <row r="771" spans="1:22" ht="14.25" customHeight="1">
      <c r="A771" s="17"/>
      <c r="B771" s="17"/>
      <c r="C771" s="37"/>
      <c r="D771" s="37"/>
      <c r="E771" s="37"/>
      <c r="F771" s="37"/>
      <c r="G771" s="37"/>
      <c r="H771" s="37"/>
      <c r="I771" s="37"/>
      <c r="J771" s="37"/>
      <c r="K771" s="37"/>
      <c r="O771" s="17"/>
      <c r="P771" s="17"/>
      <c r="Q771" s="17"/>
      <c r="R771" s="17"/>
      <c r="S771" s="17"/>
      <c r="T771" s="17"/>
      <c r="U771" s="17"/>
      <c r="V771" s="17"/>
    </row>
    <row r="772" spans="1:22" ht="14.25" customHeight="1">
      <c r="A772" s="17"/>
      <c r="B772" s="17"/>
      <c r="C772" s="37"/>
      <c r="D772" s="37"/>
      <c r="E772" s="37"/>
      <c r="F772" s="37"/>
      <c r="G772" s="37"/>
      <c r="H772" s="37"/>
      <c r="I772" s="37"/>
      <c r="J772" s="37"/>
      <c r="K772" s="37"/>
      <c r="O772" s="17"/>
      <c r="P772" s="17"/>
      <c r="Q772" s="17"/>
      <c r="R772" s="17"/>
      <c r="S772" s="17"/>
      <c r="T772" s="17"/>
      <c r="U772" s="17"/>
      <c r="V772" s="17"/>
    </row>
    <row r="773" spans="1:22" ht="14.25" customHeight="1">
      <c r="A773" s="17"/>
      <c r="B773" s="17"/>
      <c r="C773" s="37"/>
      <c r="D773" s="37"/>
      <c r="E773" s="37"/>
      <c r="F773" s="37"/>
      <c r="G773" s="37"/>
      <c r="H773" s="37"/>
      <c r="I773" s="37"/>
      <c r="J773" s="37"/>
      <c r="K773" s="37"/>
      <c r="O773" s="17"/>
      <c r="P773" s="17"/>
      <c r="Q773" s="17"/>
      <c r="R773" s="17"/>
      <c r="S773" s="17"/>
      <c r="T773" s="17"/>
      <c r="U773" s="17"/>
      <c r="V773" s="17"/>
    </row>
    <row r="774" spans="1:22" ht="14.25" customHeight="1">
      <c r="A774" s="17"/>
      <c r="B774" s="17"/>
      <c r="C774" s="37"/>
      <c r="D774" s="37"/>
      <c r="E774" s="37"/>
      <c r="F774" s="37"/>
      <c r="G774" s="37"/>
      <c r="H774" s="37"/>
      <c r="I774" s="37"/>
      <c r="J774" s="37"/>
      <c r="K774" s="37"/>
      <c r="O774" s="17"/>
      <c r="P774" s="17"/>
      <c r="Q774" s="17"/>
      <c r="R774" s="17"/>
      <c r="S774" s="17"/>
      <c r="T774" s="17"/>
      <c r="U774" s="17"/>
      <c r="V774" s="17"/>
    </row>
    <row r="775" spans="1:22" ht="14.25" customHeight="1">
      <c r="A775" s="17"/>
      <c r="B775" s="17"/>
      <c r="C775" s="37"/>
      <c r="D775" s="37"/>
      <c r="E775" s="37"/>
      <c r="F775" s="37"/>
      <c r="G775" s="37"/>
      <c r="H775" s="37"/>
      <c r="I775" s="37"/>
      <c r="J775" s="37"/>
      <c r="K775" s="37"/>
      <c r="O775" s="17"/>
      <c r="P775" s="17"/>
      <c r="Q775" s="17"/>
      <c r="R775" s="17"/>
      <c r="S775" s="17"/>
      <c r="T775" s="17"/>
      <c r="U775" s="17"/>
      <c r="V775" s="17"/>
    </row>
    <row r="776" spans="1:22" ht="14.25" customHeight="1">
      <c r="A776" s="17"/>
      <c r="B776" s="17"/>
      <c r="C776" s="37"/>
      <c r="D776" s="37"/>
      <c r="E776" s="37"/>
      <c r="F776" s="37"/>
      <c r="G776" s="37"/>
      <c r="H776" s="37"/>
      <c r="I776" s="37"/>
      <c r="J776" s="37"/>
      <c r="K776" s="37"/>
      <c r="O776" s="17"/>
      <c r="P776" s="17"/>
      <c r="Q776" s="17"/>
      <c r="R776" s="17"/>
      <c r="S776" s="17"/>
      <c r="T776" s="17"/>
      <c r="U776" s="17"/>
      <c r="V776" s="17"/>
    </row>
    <row r="777" spans="1:22" ht="14.25" customHeight="1">
      <c r="A777" s="17"/>
      <c r="B777" s="17"/>
      <c r="C777" s="37"/>
      <c r="D777" s="37"/>
      <c r="E777" s="37"/>
      <c r="F777" s="37"/>
      <c r="G777" s="37"/>
      <c r="H777" s="37"/>
      <c r="I777" s="37"/>
      <c r="J777" s="37"/>
      <c r="K777" s="37"/>
      <c r="O777" s="17"/>
      <c r="P777" s="17"/>
      <c r="Q777" s="17"/>
      <c r="R777" s="17"/>
      <c r="S777" s="17"/>
      <c r="T777" s="17"/>
      <c r="U777" s="17"/>
      <c r="V777" s="17"/>
    </row>
    <row r="778" spans="1:22" ht="14.25" customHeight="1">
      <c r="A778" s="17"/>
      <c r="B778" s="17"/>
      <c r="C778" s="37"/>
      <c r="D778" s="37"/>
      <c r="E778" s="37"/>
      <c r="F778" s="37"/>
      <c r="G778" s="37"/>
      <c r="H778" s="37"/>
      <c r="I778" s="37"/>
      <c r="J778" s="37"/>
      <c r="K778" s="37"/>
      <c r="O778" s="17"/>
      <c r="P778" s="17"/>
      <c r="Q778" s="17"/>
      <c r="R778" s="17"/>
      <c r="S778" s="17"/>
      <c r="T778" s="17"/>
      <c r="U778" s="17"/>
      <c r="V778" s="17"/>
    </row>
    <row r="779" spans="1:22" ht="14.25" customHeight="1">
      <c r="A779" s="17"/>
      <c r="B779" s="17"/>
      <c r="C779" s="37"/>
      <c r="D779" s="37"/>
      <c r="E779" s="37"/>
      <c r="F779" s="37"/>
      <c r="G779" s="37"/>
      <c r="H779" s="37"/>
      <c r="I779" s="37"/>
      <c r="J779" s="37"/>
      <c r="K779" s="37"/>
      <c r="O779" s="17"/>
      <c r="P779" s="17"/>
      <c r="Q779" s="17"/>
      <c r="R779" s="17"/>
      <c r="S779" s="17"/>
      <c r="T779" s="17"/>
      <c r="U779" s="17"/>
      <c r="V779" s="17"/>
    </row>
    <row r="780" spans="1:22" ht="14.25" customHeight="1">
      <c r="A780" s="17"/>
      <c r="B780" s="17"/>
      <c r="C780" s="37"/>
      <c r="D780" s="37"/>
      <c r="E780" s="37"/>
      <c r="F780" s="37"/>
      <c r="G780" s="37"/>
      <c r="H780" s="37"/>
      <c r="I780" s="37"/>
      <c r="J780" s="37"/>
      <c r="K780" s="37"/>
      <c r="O780" s="17"/>
      <c r="P780" s="17"/>
      <c r="Q780" s="17"/>
      <c r="R780" s="17"/>
      <c r="S780" s="17"/>
      <c r="T780" s="17"/>
      <c r="U780" s="17"/>
      <c r="V780" s="17"/>
    </row>
    <row r="781" spans="1:22" ht="14.25" customHeight="1">
      <c r="A781" s="17"/>
      <c r="B781" s="17"/>
      <c r="C781" s="37"/>
      <c r="D781" s="37"/>
      <c r="E781" s="37"/>
      <c r="F781" s="37"/>
      <c r="G781" s="37"/>
      <c r="H781" s="37"/>
      <c r="I781" s="37"/>
      <c r="J781" s="37"/>
      <c r="K781" s="37"/>
      <c r="O781" s="17"/>
      <c r="P781" s="17"/>
      <c r="Q781" s="17"/>
      <c r="R781" s="17"/>
      <c r="S781" s="17"/>
      <c r="T781" s="17"/>
      <c r="U781" s="17"/>
      <c r="V781" s="17"/>
    </row>
    <row r="782" spans="1:22" ht="14.25" customHeight="1">
      <c r="A782" s="17"/>
      <c r="B782" s="17"/>
      <c r="C782" s="37"/>
      <c r="D782" s="37"/>
      <c r="E782" s="37"/>
      <c r="F782" s="37"/>
      <c r="G782" s="37"/>
      <c r="H782" s="37"/>
      <c r="I782" s="37"/>
      <c r="J782" s="37"/>
      <c r="K782" s="37"/>
      <c r="O782" s="17"/>
      <c r="P782" s="17"/>
      <c r="Q782" s="17"/>
      <c r="R782" s="17"/>
      <c r="S782" s="17"/>
      <c r="T782" s="17"/>
      <c r="U782" s="17"/>
      <c r="V782" s="17"/>
    </row>
    <row r="783" spans="1:22" ht="14.25" customHeight="1">
      <c r="A783" s="17"/>
      <c r="B783" s="17"/>
      <c r="C783" s="37"/>
      <c r="D783" s="37"/>
      <c r="E783" s="37"/>
      <c r="F783" s="37"/>
      <c r="G783" s="37"/>
      <c r="H783" s="37"/>
      <c r="I783" s="37"/>
      <c r="J783" s="37"/>
      <c r="K783" s="37"/>
      <c r="O783" s="17"/>
      <c r="P783" s="17"/>
      <c r="Q783" s="17"/>
      <c r="R783" s="17"/>
      <c r="S783" s="17"/>
      <c r="T783" s="17"/>
      <c r="U783" s="17"/>
      <c r="V783" s="17"/>
    </row>
    <row r="784" spans="1:22" ht="14.25" customHeight="1">
      <c r="A784" s="17"/>
      <c r="B784" s="17"/>
      <c r="C784" s="37"/>
      <c r="D784" s="37"/>
      <c r="E784" s="37"/>
      <c r="F784" s="37"/>
      <c r="G784" s="37"/>
      <c r="H784" s="37"/>
      <c r="I784" s="37"/>
      <c r="J784" s="37"/>
      <c r="K784" s="37"/>
      <c r="O784" s="17"/>
      <c r="P784" s="17"/>
      <c r="Q784" s="17"/>
      <c r="R784" s="17"/>
      <c r="S784" s="17"/>
      <c r="T784" s="17"/>
      <c r="U784" s="17"/>
      <c r="V784" s="17"/>
    </row>
    <row r="785" spans="1:22" ht="14.25" customHeight="1">
      <c r="A785" s="17"/>
      <c r="B785" s="17"/>
      <c r="C785" s="37"/>
      <c r="D785" s="37"/>
      <c r="E785" s="37"/>
      <c r="F785" s="37"/>
      <c r="G785" s="37"/>
      <c r="H785" s="37"/>
      <c r="I785" s="37"/>
      <c r="J785" s="37"/>
      <c r="K785" s="37"/>
      <c r="O785" s="17"/>
      <c r="P785" s="17"/>
      <c r="Q785" s="17"/>
      <c r="R785" s="17"/>
      <c r="S785" s="17"/>
      <c r="T785" s="17"/>
      <c r="U785" s="17"/>
      <c r="V785" s="17"/>
    </row>
    <row r="786" spans="1:22" ht="14.25" customHeight="1">
      <c r="A786" s="17"/>
      <c r="B786" s="17"/>
      <c r="C786" s="37"/>
      <c r="D786" s="37"/>
      <c r="E786" s="37"/>
      <c r="F786" s="37"/>
      <c r="G786" s="37"/>
      <c r="H786" s="37"/>
      <c r="I786" s="37"/>
      <c r="J786" s="37"/>
      <c r="K786" s="37"/>
      <c r="O786" s="17"/>
      <c r="P786" s="17"/>
      <c r="Q786" s="17"/>
      <c r="R786" s="17"/>
      <c r="S786" s="17"/>
      <c r="T786" s="17"/>
      <c r="U786" s="17"/>
      <c r="V786" s="17"/>
    </row>
    <row r="787" spans="1:22" ht="14.25" customHeight="1">
      <c r="A787" s="17"/>
      <c r="B787" s="17"/>
      <c r="C787" s="37"/>
      <c r="D787" s="37"/>
      <c r="E787" s="37"/>
      <c r="F787" s="37"/>
      <c r="G787" s="37"/>
      <c r="H787" s="37"/>
      <c r="I787" s="37"/>
      <c r="J787" s="37"/>
      <c r="K787" s="37"/>
      <c r="O787" s="17"/>
      <c r="P787" s="17"/>
      <c r="Q787" s="17"/>
      <c r="R787" s="17"/>
      <c r="S787" s="17"/>
      <c r="T787" s="17"/>
      <c r="U787" s="17"/>
      <c r="V787" s="17"/>
    </row>
    <row r="788" spans="1:22" ht="14.25" customHeight="1">
      <c r="A788" s="17"/>
      <c r="B788" s="17"/>
      <c r="C788" s="37"/>
      <c r="D788" s="37"/>
      <c r="E788" s="37"/>
      <c r="F788" s="37"/>
      <c r="G788" s="37"/>
      <c r="H788" s="37"/>
      <c r="I788" s="37"/>
      <c r="J788" s="37"/>
      <c r="K788" s="37"/>
      <c r="O788" s="17"/>
      <c r="P788" s="17"/>
      <c r="Q788" s="17"/>
      <c r="R788" s="17"/>
      <c r="S788" s="17"/>
      <c r="T788" s="17"/>
      <c r="U788" s="17"/>
      <c r="V788" s="17"/>
    </row>
    <row r="789" spans="1:22" ht="14.25" customHeight="1">
      <c r="A789" s="17"/>
      <c r="B789" s="17"/>
      <c r="C789" s="37"/>
      <c r="D789" s="37"/>
      <c r="E789" s="37"/>
      <c r="F789" s="37"/>
      <c r="G789" s="37"/>
      <c r="H789" s="37"/>
      <c r="I789" s="37"/>
      <c r="J789" s="37"/>
      <c r="K789" s="37"/>
      <c r="O789" s="17"/>
      <c r="P789" s="17"/>
      <c r="Q789" s="17"/>
      <c r="R789" s="17"/>
      <c r="S789" s="17"/>
      <c r="T789" s="17"/>
      <c r="U789" s="17"/>
      <c r="V789" s="17"/>
    </row>
    <row r="790" spans="1:22" ht="14.25" customHeight="1">
      <c r="A790" s="17"/>
      <c r="B790" s="17"/>
      <c r="C790" s="37"/>
      <c r="D790" s="37"/>
      <c r="E790" s="37"/>
      <c r="F790" s="37"/>
      <c r="G790" s="37"/>
      <c r="H790" s="37"/>
      <c r="I790" s="37"/>
      <c r="J790" s="37"/>
      <c r="K790" s="37"/>
      <c r="O790" s="17"/>
      <c r="P790" s="17"/>
      <c r="Q790" s="17"/>
      <c r="R790" s="17"/>
      <c r="S790" s="17"/>
      <c r="T790" s="17"/>
      <c r="U790" s="17"/>
      <c r="V790" s="17"/>
    </row>
    <row r="791" spans="1:22" ht="14.25" customHeight="1">
      <c r="A791" s="17"/>
      <c r="B791" s="17"/>
      <c r="C791" s="37"/>
      <c r="D791" s="37"/>
      <c r="E791" s="37"/>
      <c r="F791" s="37"/>
      <c r="G791" s="37"/>
      <c r="H791" s="37"/>
      <c r="I791" s="37"/>
      <c r="J791" s="37"/>
      <c r="K791" s="37"/>
      <c r="O791" s="17"/>
      <c r="P791" s="17"/>
      <c r="Q791" s="17"/>
      <c r="R791" s="17"/>
      <c r="S791" s="17"/>
      <c r="T791" s="17"/>
      <c r="U791" s="17"/>
      <c r="V791" s="17"/>
    </row>
    <row r="792" spans="1:22" ht="14.25" customHeight="1">
      <c r="A792" s="17"/>
      <c r="B792" s="17"/>
      <c r="C792" s="37"/>
      <c r="D792" s="37"/>
      <c r="E792" s="37"/>
      <c r="F792" s="37"/>
      <c r="G792" s="37"/>
      <c r="H792" s="37"/>
      <c r="I792" s="37"/>
      <c r="J792" s="37"/>
      <c r="K792" s="37"/>
      <c r="O792" s="17"/>
      <c r="P792" s="17"/>
      <c r="Q792" s="17"/>
      <c r="R792" s="17"/>
      <c r="S792" s="17"/>
      <c r="T792" s="17"/>
      <c r="U792" s="17"/>
      <c r="V792" s="17"/>
    </row>
    <row r="793" spans="1:22" ht="14.25" customHeight="1">
      <c r="A793" s="17"/>
      <c r="B793" s="17"/>
      <c r="C793" s="37"/>
      <c r="D793" s="37"/>
      <c r="E793" s="37"/>
      <c r="F793" s="37"/>
      <c r="G793" s="37"/>
      <c r="H793" s="37"/>
      <c r="I793" s="37"/>
      <c r="J793" s="37"/>
      <c r="K793" s="37"/>
      <c r="O793" s="17"/>
      <c r="P793" s="17"/>
      <c r="Q793" s="17"/>
      <c r="R793" s="17"/>
      <c r="S793" s="17"/>
      <c r="T793" s="17"/>
      <c r="U793" s="17"/>
      <c r="V793" s="17"/>
    </row>
    <row r="794" spans="1:22" ht="14.25" customHeight="1">
      <c r="A794" s="17"/>
      <c r="B794" s="17"/>
      <c r="C794" s="37"/>
      <c r="D794" s="37"/>
      <c r="E794" s="37"/>
      <c r="F794" s="37"/>
      <c r="G794" s="37"/>
      <c r="H794" s="37"/>
      <c r="I794" s="37"/>
      <c r="J794" s="37"/>
      <c r="K794" s="37"/>
      <c r="O794" s="17"/>
      <c r="P794" s="17"/>
      <c r="Q794" s="17"/>
      <c r="R794" s="17"/>
      <c r="S794" s="17"/>
      <c r="T794" s="17"/>
      <c r="U794" s="17"/>
      <c r="V794" s="17"/>
    </row>
    <row r="795" spans="1:22" ht="14.25" customHeight="1">
      <c r="A795" s="17"/>
      <c r="B795" s="17"/>
      <c r="C795" s="37"/>
      <c r="D795" s="37"/>
      <c r="E795" s="37"/>
      <c r="F795" s="37"/>
      <c r="G795" s="37"/>
      <c r="H795" s="37"/>
      <c r="I795" s="37"/>
      <c r="J795" s="37"/>
      <c r="K795" s="37"/>
      <c r="O795" s="17"/>
      <c r="P795" s="17"/>
      <c r="Q795" s="17"/>
      <c r="R795" s="17"/>
      <c r="S795" s="17"/>
      <c r="T795" s="17"/>
      <c r="U795" s="17"/>
      <c r="V795" s="17"/>
    </row>
    <row r="796" spans="1:22" ht="14.25" customHeight="1">
      <c r="A796" s="17"/>
      <c r="B796" s="17"/>
      <c r="C796" s="37"/>
      <c r="D796" s="37"/>
      <c r="E796" s="37"/>
      <c r="F796" s="37"/>
      <c r="G796" s="37"/>
      <c r="H796" s="37"/>
      <c r="I796" s="37"/>
      <c r="J796" s="37"/>
      <c r="K796" s="37"/>
      <c r="O796" s="17"/>
      <c r="P796" s="17"/>
      <c r="Q796" s="17"/>
      <c r="R796" s="17"/>
      <c r="S796" s="17"/>
      <c r="T796" s="17"/>
      <c r="U796" s="17"/>
      <c r="V796" s="17"/>
    </row>
    <row r="797" spans="1:22" ht="14.25" customHeight="1">
      <c r="A797" s="17"/>
      <c r="B797" s="17"/>
      <c r="C797" s="37"/>
      <c r="D797" s="37"/>
      <c r="E797" s="37"/>
      <c r="F797" s="37"/>
      <c r="G797" s="37"/>
      <c r="H797" s="37"/>
      <c r="I797" s="37"/>
      <c r="J797" s="37"/>
      <c r="K797" s="37"/>
      <c r="O797" s="17"/>
      <c r="P797" s="17"/>
      <c r="Q797" s="17"/>
      <c r="R797" s="17"/>
      <c r="S797" s="17"/>
      <c r="T797" s="17"/>
      <c r="U797" s="17"/>
      <c r="V797" s="17"/>
    </row>
    <row r="798" spans="1:22" ht="14.25" customHeight="1">
      <c r="A798" s="17"/>
      <c r="B798" s="17"/>
      <c r="C798" s="37"/>
      <c r="D798" s="37"/>
      <c r="E798" s="37"/>
      <c r="F798" s="37"/>
      <c r="G798" s="37"/>
      <c r="H798" s="37"/>
      <c r="I798" s="37"/>
      <c r="J798" s="37"/>
      <c r="K798" s="37"/>
      <c r="O798" s="17"/>
      <c r="P798" s="17"/>
      <c r="Q798" s="17"/>
      <c r="R798" s="17"/>
      <c r="S798" s="17"/>
      <c r="T798" s="17"/>
      <c r="U798" s="17"/>
      <c r="V798" s="17"/>
    </row>
    <row r="799" spans="1:22" ht="14.25" customHeight="1">
      <c r="A799" s="17"/>
      <c r="B799" s="17"/>
      <c r="C799" s="37"/>
      <c r="D799" s="37"/>
      <c r="E799" s="37"/>
      <c r="F799" s="37"/>
      <c r="G799" s="37"/>
      <c r="H799" s="37"/>
      <c r="I799" s="37"/>
      <c r="J799" s="37"/>
      <c r="K799" s="37"/>
      <c r="O799" s="17"/>
      <c r="P799" s="17"/>
      <c r="Q799" s="17"/>
      <c r="R799" s="17"/>
      <c r="S799" s="17"/>
      <c r="T799" s="17"/>
      <c r="U799" s="17"/>
      <c r="V799" s="17"/>
    </row>
    <row r="800" spans="1:22" ht="14.25" customHeight="1">
      <c r="A800" s="17"/>
      <c r="B800" s="17"/>
      <c r="C800" s="37"/>
      <c r="D800" s="37"/>
      <c r="E800" s="37"/>
      <c r="F800" s="37"/>
      <c r="G800" s="37"/>
      <c r="H800" s="37"/>
      <c r="I800" s="37"/>
      <c r="J800" s="37"/>
      <c r="K800" s="37"/>
      <c r="O800" s="17"/>
      <c r="P800" s="17"/>
      <c r="Q800" s="17"/>
      <c r="R800" s="17"/>
      <c r="S800" s="17"/>
      <c r="T800" s="17"/>
      <c r="U800" s="17"/>
      <c r="V800" s="17"/>
    </row>
    <row r="801" spans="1:22" ht="14.25" customHeight="1">
      <c r="A801" s="17"/>
      <c r="B801" s="17"/>
      <c r="C801" s="37"/>
      <c r="D801" s="37"/>
      <c r="E801" s="37"/>
      <c r="F801" s="37"/>
      <c r="G801" s="37"/>
      <c r="H801" s="37"/>
      <c r="I801" s="37"/>
      <c r="J801" s="37"/>
      <c r="K801" s="37"/>
      <c r="O801" s="17"/>
      <c r="P801" s="17"/>
      <c r="Q801" s="17"/>
      <c r="R801" s="17"/>
      <c r="S801" s="17"/>
      <c r="T801" s="17"/>
      <c r="U801" s="17"/>
      <c r="V801" s="17"/>
    </row>
    <row r="802" spans="1:22" ht="14.25" customHeight="1">
      <c r="A802" s="17"/>
      <c r="B802" s="17"/>
      <c r="C802" s="37"/>
      <c r="D802" s="37"/>
      <c r="E802" s="37"/>
      <c r="F802" s="37"/>
      <c r="G802" s="37"/>
      <c r="H802" s="37"/>
      <c r="I802" s="37"/>
      <c r="J802" s="37"/>
      <c r="K802" s="37"/>
      <c r="O802" s="17"/>
      <c r="P802" s="17"/>
      <c r="Q802" s="17"/>
      <c r="R802" s="17"/>
      <c r="S802" s="17"/>
      <c r="T802" s="17"/>
      <c r="U802" s="17"/>
      <c r="V802" s="17"/>
    </row>
    <row r="803" spans="1:22" ht="14.25" customHeight="1">
      <c r="A803" s="17"/>
      <c r="B803" s="17"/>
      <c r="C803" s="37"/>
      <c r="D803" s="37"/>
      <c r="E803" s="37"/>
      <c r="F803" s="37"/>
      <c r="G803" s="37"/>
      <c r="H803" s="37"/>
      <c r="I803" s="37"/>
      <c r="J803" s="37"/>
      <c r="K803" s="37"/>
      <c r="O803" s="17"/>
      <c r="P803" s="17"/>
      <c r="Q803" s="17"/>
      <c r="R803" s="17"/>
      <c r="S803" s="17"/>
      <c r="T803" s="17"/>
      <c r="U803" s="17"/>
      <c r="V803" s="17"/>
    </row>
    <row r="804" spans="1:22" ht="14.25" customHeight="1">
      <c r="A804" s="17"/>
      <c r="B804" s="17"/>
      <c r="C804" s="37"/>
      <c r="D804" s="37"/>
      <c r="E804" s="37"/>
      <c r="F804" s="37"/>
      <c r="G804" s="37"/>
      <c r="H804" s="37"/>
      <c r="I804" s="37"/>
      <c r="J804" s="37"/>
      <c r="K804" s="37"/>
      <c r="O804" s="17"/>
      <c r="P804" s="17"/>
      <c r="Q804" s="17"/>
      <c r="R804" s="17"/>
      <c r="S804" s="17"/>
      <c r="T804" s="17"/>
      <c r="U804" s="17"/>
      <c r="V804" s="17"/>
    </row>
    <row r="805" spans="1:22" ht="14.25" customHeight="1">
      <c r="A805" s="17"/>
      <c r="B805" s="17"/>
      <c r="C805" s="37"/>
      <c r="D805" s="37"/>
      <c r="E805" s="37"/>
      <c r="F805" s="37"/>
      <c r="G805" s="37"/>
      <c r="H805" s="37"/>
      <c r="I805" s="37"/>
      <c r="J805" s="37"/>
      <c r="K805" s="37"/>
      <c r="O805" s="17"/>
      <c r="P805" s="17"/>
      <c r="Q805" s="17"/>
      <c r="R805" s="17"/>
      <c r="S805" s="17"/>
      <c r="T805" s="17"/>
      <c r="U805" s="17"/>
      <c r="V805" s="17"/>
    </row>
    <row r="806" spans="1:22" ht="14.25" customHeight="1">
      <c r="A806" s="17"/>
      <c r="B806" s="17"/>
      <c r="C806" s="37"/>
      <c r="D806" s="37"/>
      <c r="E806" s="37"/>
      <c r="F806" s="37"/>
      <c r="G806" s="37"/>
      <c r="H806" s="37"/>
      <c r="I806" s="37"/>
      <c r="J806" s="37"/>
      <c r="K806" s="37"/>
      <c r="O806" s="17"/>
      <c r="P806" s="17"/>
      <c r="Q806" s="17"/>
      <c r="R806" s="17"/>
      <c r="S806" s="17"/>
      <c r="T806" s="17"/>
      <c r="U806" s="17"/>
      <c r="V806" s="17"/>
    </row>
    <row r="807" spans="1:22" ht="14.25" customHeight="1">
      <c r="A807" s="17"/>
      <c r="B807" s="17"/>
      <c r="C807" s="37"/>
      <c r="D807" s="37"/>
      <c r="E807" s="37"/>
      <c r="F807" s="37"/>
      <c r="G807" s="37"/>
      <c r="H807" s="37"/>
      <c r="I807" s="37"/>
      <c r="J807" s="37"/>
      <c r="K807" s="37"/>
      <c r="O807" s="17"/>
      <c r="P807" s="17"/>
      <c r="Q807" s="17"/>
      <c r="R807" s="17"/>
      <c r="S807" s="17"/>
      <c r="T807" s="17"/>
      <c r="U807" s="17"/>
      <c r="V807" s="17"/>
    </row>
    <row r="808" spans="1:22" ht="14.25" customHeight="1">
      <c r="A808" s="17"/>
      <c r="B808" s="17"/>
      <c r="C808" s="37"/>
      <c r="D808" s="37"/>
      <c r="E808" s="37"/>
      <c r="F808" s="37"/>
      <c r="G808" s="37"/>
      <c r="H808" s="37"/>
      <c r="I808" s="37"/>
      <c r="J808" s="37"/>
      <c r="K808" s="37"/>
      <c r="O808" s="17"/>
      <c r="P808" s="17"/>
      <c r="Q808" s="17"/>
      <c r="R808" s="17"/>
      <c r="S808" s="17"/>
      <c r="T808" s="17"/>
      <c r="U808" s="17"/>
      <c r="V808" s="17"/>
    </row>
    <row r="809" spans="1:22" ht="14.25" customHeight="1">
      <c r="A809" s="17"/>
      <c r="B809" s="17"/>
      <c r="C809" s="37"/>
      <c r="D809" s="37"/>
      <c r="E809" s="37"/>
      <c r="F809" s="37"/>
      <c r="G809" s="37"/>
      <c r="H809" s="37"/>
      <c r="I809" s="37"/>
      <c r="J809" s="37"/>
      <c r="K809" s="37"/>
      <c r="O809" s="17"/>
      <c r="P809" s="17"/>
      <c r="Q809" s="17"/>
      <c r="R809" s="17"/>
      <c r="S809" s="17"/>
      <c r="T809" s="17"/>
      <c r="U809" s="17"/>
      <c r="V809" s="17"/>
    </row>
    <row r="810" spans="1:22" ht="14.25" customHeight="1">
      <c r="A810" s="17"/>
      <c r="B810" s="17"/>
      <c r="C810" s="37"/>
      <c r="D810" s="37"/>
      <c r="E810" s="37"/>
      <c r="F810" s="37"/>
      <c r="G810" s="37"/>
      <c r="H810" s="37"/>
      <c r="I810" s="37"/>
      <c r="J810" s="37"/>
      <c r="K810" s="37"/>
      <c r="O810" s="17"/>
      <c r="P810" s="17"/>
      <c r="Q810" s="17"/>
      <c r="R810" s="17"/>
      <c r="S810" s="17"/>
      <c r="T810" s="17"/>
      <c r="U810" s="17"/>
      <c r="V810" s="17"/>
    </row>
    <row r="811" spans="1:22" ht="14.25" customHeight="1">
      <c r="A811" s="17"/>
      <c r="B811" s="17"/>
      <c r="C811" s="37"/>
      <c r="D811" s="37"/>
      <c r="E811" s="37"/>
      <c r="F811" s="37"/>
      <c r="G811" s="37"/>
      <c r="H811" s="37"/>
      <c r="I811" s="37"/>
      <c r="J811" s="37"/>
      <c r="K811" s="37"/>
      <c r="O811" s="17"/>
      <c r="P811" s="17"/>
      <c r="Q811" s="17"/>
      <c r="R811" s="17"/>
      <c r="S811" s="17"/>
      <c r="T811" s="17"/>
      <c r="U811" s="17"/>
      <c r="V811" s="17"/>
    </row>
    <row r="812" spans="1:22" ht="14.25" customHeight="1">
      <c r="A812" s="17"/>
      <c r="B812" s="17"/>
      <c r="C812" s="37"/>
      <c r="D812" s="37"/>
      <c r="E812" s="37"/>
      <c r="F812" s="37"/>
      <c r="G812" s="37"/>
      <c r="H812" s="37"/>
      <c r="I812" s="37"/>
      <c r="J812" s="37"/>
      <c r="K812" s="37"/>
      <c r="O812" s="17"/>
      <c r="P812" s="17"/>
      <c r="Q812" s="17"/>
      <c r="R812" s="17"/>
      <c r="S812" s="17"/>
      <c r="T812" s="17"/>
      <c r="U812" s="17"/>
      <c r="V812" s="17"/>
    </row>
    <row r="813" spans="1:22" ht="14.25" customHeight="1">
      <c r="A813" s="17"/>
      <c r="B813" s="17"/>
      <c r="C813" s="37"/>
      <c r="D813" s="37"/>
      <c r="E813" s="37"/>
      <c r="F813" s="37"/>
      <c r="G813" s="37"/>
      <c r="H813" s="37"/>
      <c r="I813" s="37"/>
      <c r="J813" s="37"/>
      <c r="K813" s="37"/>
      <c r="O813" s="17"/>
      <c r="P813" s="17"/>
      <c r="Q813" s="17"/>
      <c r="R813" s="17"/>
      <c r="S813" s="17"/>
      <c r="T813" s="17"/>
      <c r="U813" s="17"/>
      <c r="V813" s="17"/>
    </row>
    <row r="814" spans="1:22" ht="14.25" customHeight="1">
      <c r="A814" s="17"/>
      <c r="B814" s="17"/>
      <c r="C814" s="37"/>
      <c r="D814" s="37"/>
      <c r="E814" s="37"/>
      <c r="F814" s="37"/>
      <c r="G814" s="37"/>
      <c r="H814" s="37"/>
      <c r="I814" s="37"/>
      <c r="J814" s="37"/>
      <c r="K814" s="37"/>
      <c r="O814" s="17"/>
      <c r="P814" s="17"/>
      <c r="Q814" s="17"/>
      <c r="R814" s="17"/>
      <c r="S814" s="17"/>
      <c r="T814" s="17"/>
      <c r="U814" s="17"/>
      <c r="V814" s="17"/>
    </row>
    <row r="815" spans="1:22" ht="14.25" customHeight="1">
      <c r="A815" s="17"/>
      <c r="B815" s="17"/>
      <c r="C815" s="37"/>
      <c r="D815" s="37"/>
      <c r="E815" s="37"/>
      <c r="F815" s="37"/>
      <c r="G815" s="37"/>
      <c r="H815" s="37"/>
      <c r="I815" s="37"/>
      <c r="J815" s="37"/>
      <c r="K815" s="37"/>
      <c r="O815" s="17"/>
      <c r="P815" s="17"/>
      <c r="Q815" s="17"/>
      <c r="R815" s="17"/>
      <c r="S815" s="17"/>
      <c r="T815" s="17"/>
      <c r="U815" s="17"/>
      <c r="V815" s="17"/>
    </row>
    <row r="816" spans="1:22" ht="14.25" customHeight="1">
      <c r="A816" s="17"/>
      <c r="B816" s="17"/>
      <c r="C816" s="37"/>
      <c r="D816" s="37"/>
      <c r="E816" s="37"/>
      <c r="F816" s="37"/>
      <c r="G816" s="37"/>
      <c r="H816" s="37"/>
      <c r="I816" s="37"/>
      <c r="J816" s="37"/>
      <c r="K816" s="37"/>
      <c r="O816" s="17"/>
      <c r="P816" s="17"/>
      <c r="Q816" s="17"/>
      <c r="R816" s="17"/>
      <c r="S816" s="17"/>
      <c r="T816" s="17"/>
      <c r="U816" s="17"/>
      <c r="V816" s="17"/>
    </row>
    <row r="817" spans="1:22" ht="14.25" customHeight="1">
      <c r="A817" s="17"/>
      <c r="B817" s="17"/>
      <c r="C817" s="37"/>
      <c r="D817" s="37"/>
      <c r="E817" s="37"/>
      <c r="F817" s="37"/>
      <c r="G817" s="37"/>
      <c r="H817" s="37"/>
      <c r="I817" s="37"/>
      <c r="J817" s="37"/>
      <c r="K817" s="37"/>
      <c r="O817" s="17"/>
      <c r="P817" s="17"/>
      <c r="Q817" s="17"/>
      <c r="R817" s="17"/>
      <c r="S817" s="17"/>
      <c r="T817" s="17"/>
      <c r="U817" s="17"/>
      <c r="V817" s="17"/>
    </row>
    <row r="818" spans="1:22" ht="14.25" customHeight="1">
      <c r="A818" s="17"/>
      <c r="B818" s="17"/>
      <c r="C818" s="37"/>
      <c r="D818" s="37"/>
      <c r="E818" s="37"/>
      <c r="F818" s="37"/>
      <c r="G818" s="37"/>
      <c r="H818" s="37"/>
      <c r="I818" s="37"/>
      <c r="J818" s="37"/>
      <c r="K818" s="37"/>
      <c r="O818" s="17"/>
      <c r="P818" s="17"/>
      <c r="Q818" s="17"/>
      <c r="R818" s="17"/>
      <c r="S818" s="17"/>
      <c r="T818" s="17"/>
      <c r="U818" s="17"/>
      <c r="V818" s="17"/>
    </row>
    <row r="819" spans="1:22" ht="14.25" customHeight="1">
      <c r="A819" s="17"/>
      <c r="B819" s="17"/>
      <c r="C819" s="37"/>
      <c r="D819" s="37"/>
      <c r="E819" s="37"/>
      <c r="F819" s="37"/>
      <c r="G819" s="37"/>
      <c r="H819" s="37"/>
      <c r="I819" s="37"/>
      <c r="J819" s="37"/>
      <c r="K819" s="37"/>
      <c r="O819" s="17"/>
      <c r="P819" s="17"/>
      <c r="Q819" s="17"/>
      <c r="R819" s="17"/>
      <c r="S819" s="17"/>
      <c r="T819" s="17"/>
      <c r="U819" s="17"/>
      <c r="V819" s="17"/>
    </row>
    <row r="820" spans="1:22" ht="14.25" customHeight="1">
      <c r="A820" s="17"/>
      <c r="B820" s="17"/>
      <c r="C820" s="37"/>
      <c r="D820" s="37"/>
      <c r="E820" s="37"/>
      <c r="F820" s="37"/>
      <c r="G820" s="37"/>
      <c r="H820" s="37"/>
      <c r="I820" s="37"/>
      <c r="J820" s="37"/>
      <c r="K820" s="37"/>
      <c r="O820" s="17"/>
      <c r="P820" s="17"/>
      <c r="Q820" s="17"/>
      <c r="R820" s="17"/>
      <c r="S820" s="17"/>
      <c r="T820" s="17"/>
      <c r="U820" s="17"/>
      <c r="V820" s="17"/>
    </row>
    <row r="821" spans="1:22" ht="14.25" customHeight="1">
      <c r="A821" s="17"/>
      <c r="B821" s="17"/>
      <c r="C821" s="37"/>
      <c r="D821" s="37"/>
      <c r="E821" s="37"/>
      <c r="F821" s="37"/>
      <c r="G821" s="37"/>
      <c r="H821" s="37"/>
      <c r="I821" s="37"/>
      <c r="J821" s="37"/>
      <c r="K821" s="37"/>
      <c r="O821" s="17"/>
      <c r="P821" s="17"/>
      <c r="Q821" s="17"/>
      <c r="R821" s="17"/>
      <c r="S821" s="17"/>
      <c r="T821" s="17"/>
      <c r="U821" s="17"/>
      <c r="V821" s="17"/>
    </row>
    <row r="822" spans="1:22" ht="14.25" customHeight="1">
      <c r="A822" s="17"/>
      <c r="B822" s="17"/>
      <c r="C822" s="37"/>
      <c r="D822" s="37"/>
      <c r="E822" s="37"/>
      <c r="F822" s="37"/>
      <c r="G822" s="37"/>
      <c r="H822" s="37"/>
      <c r="I822" s="37"/>
      <c r="J822" s="37"/>
      <c r="K822" s="37"/>
      <c r="O822" s="17"/>
      <c r="P822" s="17"/>
      <c r="Q822" s="17"/>
      <c r="R822" s="17"/>
      <c r="S822" s="17"/>
      <c r="T822" s="17"/>
      <c r="U822" s="17"/>
      <c r="V822" s="17"/>
    </row>
    <row r="823" spans="1:22" ht="14.25" customHeight="1">
      <c r="A823" s="17"/>
      <c r="B823" s="17"/>
      <c r="C823" s="37"/>
      <c r="D823" s="37"/>
      <c r="E823" s="37"/>
      <c r="F823" s="37"/>
      <c r="G823" s="37"/>
      <c r="H823" s="37"/>
      <c r="I823" s="37"/>
      <c r="J823" s="37"/>
      <c r="K823" s="37"/>
      <c r="O823" s="17"/>
      <c r="P823" s="17"/>
      <c r="Q823" s="17"/>
      <c r="R823" s="17"/>
      <c r="S823" s="17"/>
      <c r="T823" s="17"/>
      <c r="U823" s="17"/>
      <c r="V823" s="17"/>
    </row>
    <row r="824" spans="1:22" ht="14.25" customHeight="1">
      <c r="A824" s="17"/>
      <c r="B824" s="17"/>
      <c r="C824" s="37"/>
      <c r="D824" s="37"/>
      <c r="E824" s="37"/>
      <c r="F824" s="37"/>
      <c r="G824" s="37"/>
      <c r="H824" s="37"/>
      <c r="I824" s="37"/>
      <c r="J824" s="37"/>
      <c r="K824" s="37"/>
      <c r="O824" s="17"/>
      <c r="P824" s="17"/>
      <c r="Q824" s="17"/>
      <c r="R824" s="17"/>
      <c r="S824" s="17"/>
      <c r="T824" s="17"/>
      <c r="U824" s="17"/>
      <c r="V824" s="17"/>
    </row>
    <row r="825" spans="1:22" ht="14.25" customHeight="1">
      <c r="A825" s="17"/>
      <c r="B825" s="17"/>
      <c r="C825" s="37"/>
      <c r="D825" s="37"/>
      <c r="E825" s="37"/>
      <c r="F825" s="37"/>
      <c r="G825" s="37"/>
      <c r="H825" s="37"/>
      <c r="I825" s="37"/>
      <c r="J825" s="37"/>
      <c r="K825" s="37"/>
      <c r="O825" s="17"/>
      <c r="P825" s="17"/>
      <c r="Q825" s="17"/>
      <c r="R825" s="17"/>
      <c r="S825" s="17"/>
      <c r="T825" s="17"/>
      <c r="U825" s="17"/>
      <c r="V825" s="17"/>
    </row>
    <row r="826" spans="1:22" ht="14.25" customHeight="1">
      <c r="A826" s="17"/>
      <c r="B826" s="17"/>
      <c r="C826" s="37"/>
      <c r="D826" s="37"/>
      <c r="E826" s="37"/>
      <c r="F826" s="37"/>
      <c r="G826" s="37"/>
      <c r="H826" s="37"/>
      <c r="I826" s="37"/>
      <c r="J826" s="37"/>
      <c r="K826" s="37"/>
      <c r="O826" s="17"/>
      <c r="P826" s="17"/>
      <c r="Q826" s="17"/>
      <c r="R826" s="17"/>
      <c r="S826" s="17"/>
      <c r="T826" s="17"/>
      <c r="U826" s="17"/>
      <c r="V826" s="17"/>
    </row>
    <row r="827" spans="1:22" ht="14.25" customHeight="1">
      <c r="A827" s="17"/>
      <c r="B827" s="17"/>
      <c r="C827" s="37"/>
      <c r="D827" s="37"/>
      <c r="E827" s="37"/>
      <c r="F827" s="37"/>
      <c r="G827" s="37"/>
      <c r="H827" s="37"/>
      <c r="I827" s="37"/>
      <c r="J827" s="37"/>
      <c r="K827" s="37"/>
      <c r="O827" s="17"/>
      <c r="P827" s="17"/>
      <c r="Q827" s="17"/>
      <c r="R827" s="17"/>
      <c r="S827" s="17"/>
      <c r="T827" s="17"/>
      <c r="U827" s="17"/>
      <c r="V827" s="17"/>
    </row>
    <row r="828" spans="1:22" ht="14.25" customHeight="1">
      <c r="A828" s="17"/>
      <c r="B828" s="17"/>
      <c r="C828" s="37"/>
      <c r="D828" s="37"/>
      <c r="E828" s="37"/>
      <c r="F828" s="37"/>
      <c r="G828" s="37"/>
      <c r="H828" s="37"/>
      <c r="I828" s="37"/>
      <c r="J828" s="37"/>
      <c r="K828" s="37"/>
      <c r="O828" s="17"/>
      <c r="P828" s="17"/>
      <c r="Q828" s="17"/>
      <c r="R828" s="17"/>
      <c r="S828" s="17"/>
      <c r="T828" s="17"/>
      <c r="U828" s="17"/>
      <c r="V828" s="17"/>
    </row>
    <row r="829" spans="1:22" ht="14.25" customHeight="1">
      <c r="A829" s="17"/>
      <c r="B829" s="17"/>
      <c r="C829" s="37"/>
      <c r="D829" s="37"/>
      <c r="E829" s="37"/>
      <c r="F829" s="37"/>
      <c r="G829" s="37"/>
      <c r="H829" s="37"/>
      <c r="I829" s="37"/>
      <c r="J829" s="37"/>
      <c r="K829" s="37"/>
      <c r="O829" s="17"/>
      <c r="P829" s="17"/>
      <c r="Q829" s="17"/>
      <c r="R829" s="17"/>
      <c r="S829" s="17"/>
      <c r="T829" s="17"/>
      <c r="U829" s="17"/>
      <c r="V829" s="17"/>
    </row>
    <row r="830" spans="1:22" ht="14.25" customHeight="1">
      <c r="A830" s="17"/>
      <c r="B830" s="17"/>
      <c r="C830" s="37"/>
      <c r="D830" s="37"/>
      <c r="E830" s="37"/>
      <c r="F830" s="37"/>
      <c r="G830" s="37"/>
      <c r="H830" s="37"/>
      <c r="I830" s="37"/>
      <c r="J830" s="37"/>
      <c r="K830" s="37"/>
      <c r="O830" s="17"/>
      <c r="P830" s="17"/>
      <c r="Q830" s="17"/>
      <c r="R830" s="17"/>
      <c r="S830" s="17"/>
      <c r="T830" s="17"/>
      <c r="U830" s="17"/>
      <c r="V830" s="17"/>
    </row>
    <row r="831" spans="1:22" ht="14.25" customHeight="1">
      <c r="A831" s="17"/>
      <c r="B831" s="17"/>
      <c r="C831" s="37"/>
      <c r="D831" s="37"/>
      <c r="E831" s="37"/>
      <c r="F831" s="37"/>
      <c r="G831" s="37"/>
      <c r="H831" s="37"/>
      <c r="I831" s="37"/>
      <c r="J831" s="37"/>
      <c r="K831" s="37"/>
      <c r="O831" s="17"/>
      <c r="P831" s="17"/>
      <c r="Q831" s="17"/>
      <c r="R831" s="17"/>
      <c r="S831" s="17"/>
      <c r="T831" s="17"/>
      <c r="U831" s="17"/>
      <c r="V831" s="17"/>
    </row>
    <row r="832" spans="1:22" ht="14.25" customHeight="1">
      <c r="A832" s="17"/>
      <c r="B832" s="17"/>
      <c r="C832" s="37"/>
      <c r="D832" s="37"/>
      <c r="E832" s="37"/>
      <c r="F832" s="37"/>
      <c r="G832" s="37"/>
      <c r="H832" s="37"/>
      <c r="I832" s="37"/>
      <c r="J832" s="37"/>
      <c r="K832" s="37"/>
      <c r="O832" s="17"/>
      <c r="P832" s="17"/>
      <c r="Q832" s="17"/>
      <c r="R832" s="17"/>
      <c r="S832" s="17"/>
      <c r="T832" s="17"/>
      <c r="U832" s="17"/>
      <c r="V832" s="17"/>
    </row>
    <row r="833" spans="1:22" ht="14.25" customHeight="1">
      <c r="A833" s="17"/>
      <c r="B833" s="17"/>
      <c r="C833" s="37"/>
      <c r="D833" s="37"/>
      <c r="E833" s="37"/>
      <c r="F833" s="37"/>
      <c r="G833" s="37"/>
      <c r="H833" s="37"/>
      <c r="I833" s="37"/>
      <c r="J833" s="37"/>
      <c r="K833" s="37"/>
      <c r="O833" s="17"/>
      <c r="P833" s="17"/>
      <c r="Q833" s="17"/>
      <c r="R833" s="17"/>
      <c r="S833" s="17"/>
      <c r="T833" s="17"/>
      <c r="U833" s="17"/>
      <c r="V833" s="17"/>
    </row>
    <row r="834" spans="1:22" ht="14.25" customHeight="1">
      <c r="A834" s="17"/>
      <c r="B834" s="17"/>
      <c r="C834" s="37"/>
      <c r="D834" s="37"/>
      <c r="E834" s="37"/>
      <c r="F834" s="37"/>
      <c r="G834" s="37"/>
      <c r="H834" s="37"/>
      <c r="I834" s="37"/>
      <c r="J834" s="37"/>
      <c r="K834" s="37"/>
      <c r="O834" s="17"/>
      <c r="P834" s="17"/>
      <c r="Q834" s="17"/>
      <c r="R834" s="17"/>
      <c r="S834" s="17"/>
      <c r="T834" s="17"/>
      <c r="U834" s="17"/>
      <c r="V834" s="17"/>
    </row>
    <row r="835" spans="1:22" ht="14.25" customHeight="1">
      <c r="A835" s="17"/>
      <c r="B835" s="17"/>
      <c r="C835" s="37"/>
      <c r="D835" s="37"/>
      <c r="E835" s="37"/>
      <c r="F835" s="37"/>
      <c r="G835" s="37"/>
      <c r="H835" s="37"/>
      <c r="I835" s="37"/>
      <c r="J835" s="37"/>
      <c r="K835" s="37"/>
      <c r="O835" s="17"/>
      <c r="P835" s="17"/>
      <c r="Q835" s="17"/>
      <c r="R835" s="17"/>
      <c r="S835" s="17"/>
      <c r="T835" s="17"/>
      <c r="U835" s="17"/>
      <c r="V835" s="17"/>
    </row>
    <row r="836" spans="1:22" ht="14.25" customHeight="1">
      <c r="A836" s="17"/>
      <c r="B836" s="17"/>
      <c r="C836" s="37"/>
      <c r="D836" s="37"/>
      <c r="E836" s="37"/>
      <c r="F836" s="37"/>
      <c r="G836" s="37"/>
      <c r="H836" s="37"/>
      <c r="I836" s="37"/>
      <c r="J836" s="37"/>
      <c r="K836" s="37"/>
      <c r="O836" s="17"/>
      <c r="P836" s="17"/>
      <c r="Q836" s="17"/>
      <c r="R836" s="17"/>
      <c r="S836" s="17"/>
      <c r="T836" s="17"/>
      <c r="U836" s="17"/>
      <c r="V836" s="17"/>
    </row>
    <row r="837" spans="1:22" ht="14.25" customHeight="1">
      <c r="A837" s="17"/>
      <c r="B837" s="17"/>
      <c r="C837" s="37"/>
      <c r="D837" s="37"/>
      <c r="E837" s="37"/>
      <c r="F837" s="37"/>
      <c r="G837" s="37"/>
      <c r="H837" s="37"/>
      <c r="I837" s="37"/>
      <c r="J837" s="37"/>
      <c r="K837" s="37"/>
      <c r="O837" s="17"/>
      <c r="P837" s="17"/>
      <c r="Q837" s="17"/>
      <c r="R837" s="17"/>
      <c r="S837" s="17"/>
      <c r="T837" s="17"/>
      <c r="U837" s="17"/>
      <c r="V837" s="17"/>
    </row>
    <row r="838" spans="1:22" ht="14.25" customHeight="1">
      <c r="A838" s="17"/>
      <c r="B838" s="17"/>
      <c r="C838" s="37"/>
      <c r="D838" s="37"/>
      <c r="E838" s="37"/>
      <c r="F838" s="37"/>
      <c r="G838" s="37"/>
      <c r="H838" s="37"/>
      <c r="I838" s="37"/>
      <c r="J838" s="37"/>
      <c r="K838" s="37"/>
      <c r="O838" s="17"/>
      <c r="P838" s="17"/>
      <c r="Q838" s="17"/>
      <c r="R838" s="17"/>
      <c r="S838" s="17"/>
      <c r="T838" s="17"/>
      <c r="U838" s="17"/>
      <c r="V838" s="17"/>
    </row>
    <row r="839" spans="1:22" ht="14.25" customHeight="1">
      <c r="A839" s="17"/>
      <c r="B839" s="17"/>
      <c r="C839" s="37"/>
      <c r="D839" s="37"/>
      <c r="E839" s="37"/>
      <c r="F839" s="37"/>
      <c r="G839" s="37"/>
      <c r="H839" s="37"/>
      <c r="I839" s="37"/>
      <c r="J839" s="37"/>
      <c r="K839" s="37"/>
      <c r="O839" s="17"/>
      <c r="P839" s="17"/>
      <c r="Q839" s="17"/>
      <c r="R839" s="17"/>
      <c r="S839" s="17"/>
      <c r="T839" s="17"/>
      <c r="U839" s="17"/>
      <c r="V839" s="17"/>
    </row>
    <row r="840" spans="1:22" ht="14.25" customHeight="1">
      <c r="A840" s="17"/>
      <c r="B840" s="17"/>
      <c r="C840" s="37"/>
      <c r="D840" s="37"/>
      <c r="E840" s="37"/>
      <c r="F840" s="37"/>
      <c r="G840" s="37"/>
      <c r="H840" s="37"/>
      <c r="I840" s="37"/>
      <c r="J840" s="37"/>
      <c r="K840" s="37"/>
      <c r="O840" s="17"/>
      <c r="P840" s="17"/>
      <c r="Q840" s="17"/>
      <c r="R840" s="17"/>
      <c r="S840" s="17"/>
      <c r="T840" s="17"/>
      <c r="U840" s="17"/>
      <c r="V840" s="17"/>
    </row>
    <row r="841" spans="1:22" ht="14.25" customHeight="1">
      <c r="A841" s="17"/>
      <c r="B841" s="17"/>
      <c r="C841" s="37"/>
      <c r="D841" s="37"/>
      <c r="E841" s="37"/>
      <c r="F841" s="37"/>
      <c r="G841" s="37"/>
      <c r="H841" s="37"/>
      <c r="I841" s="37"/>
      <c r="J841" s="37"/>
      <c r="K841" s="37"/>
      <c r="O841" s="17"/>
      <c r="P841" s="17"/>
      <c r="Q841" s="17"/>
      <c r="R841" s="17"/>
      <c r="S841" s="17"/>
      <c r="T841" s="17"/>
      <c r="U841" s="17"/>
      <c r="V841" s="17"/>
    </row>
    <row r="842" spans="1:22" ht="14.25" customHeight="1">
      <c r="A842" s="17"/>
      <c r="B842" s="17"/>
      <c r="C842" s="37"/>
      <c r="D842" s="37"/>
      <c r="E842" s="37"/>
      <c r="F842" s="37"/>
      <c r="G842" s="37"/>
      <c r="H842" s="37"/>
      <c r="I842" s="37"/>
      <c r="J842" s="37"/>
      <c r="K842" s="37"/>
      <c r="O842" s="17"/>
      <c r="P842" s="17"/>
      <c r="Q842" s="17"/>
      <c r="R842" s="17"/>
      <c r="S842" s="17"/>
      <c r="T842" s="17"/>
      <c r="U842" s="17"/>
      <c r="V842" s="17"/>
    </row>
    <row r="843" spans="1:22" ht="14.25" customHeight="1">
      <c r="A843" s="17"/>
      <c r="B843" s="17"/>
      <c r="C843" s="37"/>
      <c r="D843" s="37"/>
      <c r="E843" s="37"/>
      <c r="F843" s="37"/>
      <c r="G843" s="37"/>
      <c r="H843" s="37"/>
      <c r="I843" s="37"/>
      <c r="J843" s="37"/>
      <c r="K843" s="37"/>
      <c r="O843" s="17"/>
      <c r="P843" s="17"/>
      <c r="Q843" s="17"/>
      <c r="R843" s="17"/>
      <c r="S843" s="17"/>
      <c r="T843" s="17"/>
      <c r="U843" s="17"/>
      <c r="V843" s="17"/>
    </row>
    <row r="844" spans="1:22" ht="14.25" customHeight="1">
      <c r="A844" s="17"/>
      <c r="B844" s="17"/>
      <c r="C844" s="37"/>
      <c r="D844" s="37"/>
      <c r="E844" s="37"/>
      <c r="F844" s="37"/>
      <c r="G844" s="37"/>
      <c r="H844" s="37"/>
      <c r="I844" s="37"/>
      <c r="J844" s="37"/>
      <c r="K844" s="37"/>
      <c r="O844" s="17"/>
      <c r="P844" s="17"/>
      <c r="Q844" s="17"/>
      <c r="R844" s="17"/>
      <c r="S844" s="17"/>
      <c r="T844" s="17"/>
      <c r="U844" s="17"/>
      <c r="V844" s="17"/>
    </row>
    <row r="845" spans="1:22" ht="14.25" customHeight="1">
      <c r="A845" s="17"/>
      <c r="B845" s="17"/>
      <c r="C845" s="37"/>
      <c r="D845" s="37"/>
      <c r="E845" s="37"/>
      <c r="F845" s="37"/>
      <c r="G845" s="37"/>
      <c r="H845" s="37"/>
      <c r="I845" s="37"/>
      <c r="J845" s="37"/>
      <c r="K845" s="37"/>
      <c r="O845" s="17"/>
      <c r="P845" s="17"/>
      <c r="Q845" s="17"/>
      <c r="R845" s="17"/>
      <c r="S845" s="17"/>
      <c r="T845" s="17"/>
      <c r="U845" s="17"/>
      <c r="V845" s="17"/>
    </row>
    <row r="846" spans="1:22" ht="14.25" customHeight="1">
      <c r="A846" s="17"/>
      <c r="B846" s="17"/>
      <c r="C846" s="37"/>
      <c r="D846" s="37"/>
      <c r="E846" s="37"/>
      <c r="F846" s="37"/>
      <c r="G846" s="37"/>
      <c r="H846" s="37"/>
      <c r="I846" s="37"/>
      <c r="J846" s="37"/>
      <c r="K846" s="37"/>
      <c r="O846" s="17"/>
      <c r="P846" s="17"/>
      <c r="Q846" s="17"/>
      <c r="R846" s="17"/>
      <c r="S846" s="17"/>
      <c r="T846" s="17"/>
      <c r="U846" s="17"/>
      <c r="V846" s="17"/>
    </row>
    <row r="847" spans="1:22" ht="14.25" customHeight="1">
      <c r="A847" s="17"/>
      <c r="B847" s="17"/>
      <c r="C847" s="37"/>
      <c r="D847" s="37"/>
      <c r="E847" s="37"/>
      <c r="F847" s="37"/>
      <c r="G847" s="37"/>
      <c r="H847" s="37"/>
      <c r="I847" s="37"/>
      <c r="J847" s="37"/>
      <c r="K847" s="37"/>
      <c r="O847" s="17"/>
      <c r="P847" s="17"/>
      <c r="Q847" s="17"/>
      <c r="R847" s="17"/>
      <c r="S847" s="17"/>
      <c r="T847" s="17"/>
      <c r="U847" s="17"/>
      <c r="V847" s="17"/>
    </row>
    <row r="848" spans="1:22" ht="14.25" customHeight="1">
      <c r="A848" s="17"/>
      <c r="B848" s="17"/>
      <c r="C848" s="37"/>
      <c r="D848" s="37"/>
      <c r="E848" s="37"/>
      <c r="F848" s="37"/>
      <c r="G848" s="37"/>
      <c r="H848" s="37"/>
      <c r="I848" s="37"/>
      <c r="J848" s="37"/>
      <c r="K848" s="37"/>
      <c r="O848" s="17"/>
      <c r="P848" s="17"/>
      <c r="Q848" s="17"/>
      <c r="R848" s="17"/>
      <c r="S848" s="17"/>
      <c r="T848" s="17"/>
      <c r="U848" s="17"/>
      <c r="V848" s="17"/>
    </row>
    <row r="849" spans="1:22" ht="14.25" customHeight="1">
      <c r="A849" s="17"/>
      <c r="B849" s="17"/>
      <c r="C849" s="37"/>
      <c r="D849" s="37"/>
      <c r="E849" s="37"/>
      <c r="F849" s="37"/>
      <c r="G849" s="37"/>
      <c r="H849" s="37"/>
      <c r="I849" s="37"/>
      <c r="J849" s="37"/>
      <c r="K849" s="37"/>
      <c r="O849" s="17"/>
      <c r="P849" s="17"/>
      <c r="Q849" s="17"/>
      <c r="R849" s="17"/>
      <c r="S849" s="17"/>
      <c r="T849" s="17"/>
      <c r="U849" s="17"/>
      <c r="V849" s="17"/>
    </row>
    <row r="850" spans="1:22" ht="14.25" customHeight="1">
      <c r="A850" s="17"/>
      <c r="B850" s="17"/>
      <c r="C850" s="37"/>
      <c r="D850" s="37"/>
      <c r="E850" s="37"/>
      <c r="F850" s="37"/>
      <c r="G850" s="37"/>
      <c r="H850" s="37"/>
      <c r="I850" s="37"/>
      <c r="J850" s="37"/>
      <c r="K850" s="37"/>
      <c r="O850" s="17"/>
      <c r="P850" s="17"/>
      <c r="Q850" s="17"/>
      <c r="R850" s="17"/>
      <c r="S850" s="17"/>
      <c r="T850" s="17"/>
      <c r="U850" s="17"/>
      <c r="V850" s="17"/>
    </row>
    <row r="851" spans="1:22" ht="14.25" customHeight="1">
      <c r="A851" s="17"/>
      <c r="B851" s="17"/>
      <c r="C851" s="37"/>
      <c r="D851" s="37"/>
      <c r="E851" s="37"/>
      <c r="F851" s="37"/>
      <c r="G851" s="37"/>
      <c r="H851" s="37"/>
      <c r="I851" s="37"/>
      <c r="J851" s="37"/>
      <c r="K851" s="37"/>
      <c r="O851" s="17"/>
      <c r="P851" s="17"/>
      <c r="Q851" s="17"/>
      <c r="R851" s="17"/>
      <c r="S851" s="17"/>
      <c r="T851" s="17"/>
      <c r="U851" s="17"/>
      <c r="V851" s="17"/>
    </row>
    <row r="852" spans="1:22" ht="14.25" customHeight="1">
      <c r="A852" s="17"/>
      <c r="B852" s="17"/>
      <c r="C852" s="37"/>
      <c r="D852" s="37"/>
      <c r="E852" s="37"/>
      <c r="F852" s="37"/>
      <c r="G852" s="37"/>
      <c r="H852" s="37"/>
      <c r="I852" s="37"/>
      <c r="J852" s="37"/>
      <c r="K852" s="37"/>
      <c r="O852" s="17"/>
      <c r="P852" s="17"/>
      <c r="Q852" s="17"/>
      <c r="R852" s="17"/>
      <c r="S852" s="17"/>
      <c r="T852" s="17"/>
      <c r="U852" s="17"/>
      <c r="V852" s="17"/>
    </row>
    <row r="853" spans="1:22" ht="14.25" customHeight="1">
      <c r="A853" s="17"/>
      <c r="B853" s="17"/>
      <c r="C853" s="37"/>
      <c r="D853" s="37"/>
      <c r="E853" s="37"/>
      <c r="F853" s="37"/>
      <c r="G853" s="37"/>
      <c r="H853" s="37"/>
      <c r="I853" s="37"/>
      <c r="J853" s="37"/>
      <c r="K853" s="37"/>
      <c r="O853" s="17"/>
      <c r="P853" s="17"/>
      <c r="Q853" s="17"/>
      <c r="R853" s="17"/>
      <c r="S853" s="17"/>
      <c r="T853" s="17"/>
      <c r="U853" s="17"/>
      <c r="V853" s="17"/>
    </row>
    <row r="854" spans="1:22" ht="14.25" customHeight="1">
      <c r="A854" s="17"/>
      <c r="B854" s="17"/>
      <c r="C854" s="37"/>
      <c r="D854" s="37"/>
      <c r="E854" s="37"/>
      <c r="F854" s="37"/>
      <c r="G854" s="37"/>
      <c r="H854" s="37"/>
      <c r="I854" s="37"/>
      <c r="J854" s="37"/>
      <c r="K854" s="37"/>
      <c r="O854" s="17"/>
      <c r="P854" s="17"/>
      <c r="Q854" s="17"/>
      <c r="R854" s="17"/>
      <c r="S854" s="17"/>
      <c r="T854" s="17"/>
      <c r="U854" s="17"/>
      <c r="V854" s="17"/>
    </row>
    <row r="855" spans="1:22" ht="14.25" customHeight="1">
      <c r="A855" s="17"/>
      <c r="B855" s="17"/>
      <c r="C855" s="37"/>
      <c r="D855" s="37"/>
      <c r="E855" s="37"/>
      <c r="F855" s="37"/>
      <c r="G855" s="37"/>
      <c r="H855" s="37"/>
      <c r="I855" s="37"/>
      <c r="J855" s="37"/>
      <c r="K855" s="37"/>
      <c r="O855" s="17"/>
      <c r="P855" s="17"/>
      <c r="Q855" s="17"/>
      <c r="R855" s="17"/>
      <c r="S855" s="17"/>
      <c r="T855" s="17"/>
      <c r="U855" s="17"/>
      <c r="V855" s="17"/>
    </row>
    <row r="856" spans="1:22" ht="14.25" customHeight="1">
      <c r="A856" s="17"/>
      <c r="B856" s="17"/>
      <c r="C856" s="37"/>
      <c r="D856" s="37"/>
      <c r="E856" s="37"/>
      <c r="F856" s="37"/>
      <c r="G856" s="37"/>
      <c r="H856" s="37"/>
      <c r="I856" s="37"/>
      <c r="J856" s="37"/>
      <c r="K856" s="37"/>
      <c r="O856" s="17"/>
      <c r="P856" s="17"/>
      <c r="Q856" s="17"/>
      <c r="R856" s="17"/>
      <c r="S856" s="17"/>
      <c r="T856" s="17"/>
      <c r="U856" s="17"/>
      <c r="V856" s="17"/>
    </row>
    <row r="857" spans="1:22" ht="14.25" customHeight="1">
      <c r="A857" s="17"/>
      <c r="B857" s="17"/>
      <c r="C857" s="37"/>
      <c r="D857" s="37"/>
      <c r="E857" s="37"/>
      <c r="F857" s="37"/>
      <c r="G857" s="37"/>
      <c r="H857" s="37"/>
      <c r="I857" s="37"/>
      <c r="J857" s="37"/>
      <c r="K857" s="37"/>
      <c r="O857" s="17"/>
      <c r="P857" s="17"/>
      <c r="Q857" s="17"/>
      <c r="R857" s="17"/>
      <c r="S857" s="17"/>
      <c r="T857" s="17"/>
      <c r="U857" s="17"/>
      <c r="V857" s="17"/>
    </row>
    <row r="858" spans="1:22" ht="14.25" customHeight="1">
      <c r="A858" s="17"/>
      <c r="B858" s="17"/>
      <c r="C858" s="37"/>
      <c r="D858" s="37"/>
      <c r="E858" s="37"/>
      <c r="F858" s="37"/>
      <c r="G858" s="37"/>
      <c r="H858" s="37"/>
      <c r="I858" s="37"/>
      <c r="J858" s="37"/>
      <c r="K858" s="37"/>
      <c r="O858" s="17"/>
      <c r="P858" s="17"/>
      <c r="Q858" s="17"/>
      <c r="R858" s="17"/>
      <c r="S858" s="17"/>
      <c r="T858" s="17"/>
      <c r="U858" s="17"/>
      <c r="V858" s="17"/>
    </row>
    <row r="859" spans="1:22" ht="14.25" customHeight="1">
      <c r="A859" s="17"/>
      <c r="B859" s="17"/>
      <c r="C859" s="37"/>
      <c r="D859" s="37"/>
      <c r="E859" s="37"/>
      <c r="F859" s="37"/>
      <c r="G859" s="37"/>
      <c r="H859" s="37"/>
      <c r="I859" s="37"/>
      <c r="J859" s="37"/>
      <c r="K859" s="37"/>
      <c r="O859" s="17"/>
      <c r="P859" s="17"/>
      <c r="Q859" s="17"/>
      <c r="R859" s="17"/>
      <c r="S859" s="17"/>
      <c r="T859" s="17"/>
      <c r="U859" s="17"/>
      <c r="V859" s="17"/>
    </row>
    <row r="860" spans="1:22" ht="14.25" customHeight="1">
      <c r="A860" s="17"/>
      <c r="B860" s="17"/>
      <c r="C860" s="37"/>
      <c r="D860" s="37"/>
      <c r="E860" s="37"/>
      <c r="F860" s="37"/>
      <c r="G860" s="37"/>
      <c r="H860" s="37"/>
      <c r="I860" s="37"/>
      <c r="J860" s="37"/>
      <c r="K860" s="37"/>
      <c r="O860" s="17"/>
      <c r="P860" s="17"/>
      <c r="Q860" s="17"/>
      <c r="R860" s="17"/>
      <c r="S860" s="17"/>
      <c r="T860" s="17"/>
      <c r="U860" s="17"/>
      <c r="V860" s="17"/>
    </row>
    <row r="861" spans="1:22" ht="14.25" customHeight="1">
      <c r="A861" s="17"/>
      <c r="B861" s="17"/>
      <c r="C861" s="37"/>
      <c r="D861" s="37"/>
      <c r="E861" s="37"/>
      <c r="F861" s="37"/>
      <c r="G861" s="37"/>
      <c r="H861" s="37"/>
      <c r="I861" s="37"/>
      <c r="J861" s="37"/>
      <c r="K861" s="37"/>
      <c r="O861" s="17"/>
      <c r="P861" s="17"/>
      <c r="Q861" s="17"/>
      <c r="R861" s="17"/>
      <c r="S861" s="17"/>
      <c r="T861" s="17"/>
      <c r="U861" s="17"/>
      <c r="V861" s="17"/>
    </row>
    <row r="862" spans="1:22" ht="14.25" customHeight="1">
      <c r="A862" s="17"/>
      <c r="B862" s="17"/>
      <c r="C862" s="37"/>
      <c r="D862" s="37"/>
      <c r="E862" s="37"/>
      <c r="F862" s="37"/>
      <c r="G862" s="37"/>
      <c r="H862" s="37"/>
      <c r="I862" s="37"/>
      <c r="J862" s="37"/>
      <c r="K862" s="37"/>
      <c r="O862" s="17"/>
      <c r="P862" s="17"/>
      <c r="Q862" s="17"/>
      <c r="R862" s="17"/>
      <c r="S862" s="17"/>
      <c r="T862" s="17"/>
      <c r="U862" s="17"/>
      <c r="V862" s="17"/>
    </row>
    <row r="863" spans="1:22" ht="14.25" customHeight="1">
      <c r="A863" s="17"/>
      <c r="B863" s="17"/>
      <c r="C863" s="37"/>
      <c r="D863" s="37"/>
      <c r="E863" s="37"/>
      <c r="F863" s="37"/>
      <c r="G863" s="37"/>
      <c r="H863" s="37"/>
      <c r="I863" s="37"/>
      <c r="J863" s="37"/>
      <c r="K863" s="37"/>
      <c r="O863" s="17"/>
      <c r="P863" s="17"/>
      <c r="Q863" s="17"/>
      <c r="R863" s="17"/>
      <c r="S863" s="17"/>
      <c r="T863" s="17"/>
      <c r="U863" s="17"/>
      <c r="V863" s="17"/>
    </row>
    <row r="864" spans="1:22" ht="14.25" customHeight="1">
      <c r="A864" s="17"/>
      <c r="B864" s="17"/>
      <c r="C864" s="37"/>
      <c r="D864" s="37"/>
      <c r="E864" s="37"/>
      <c r="F864" s="37"/>
      <c r="G864" s="37"/>
      <c r="H864" s="37"/>
      <c r="I864" s="37"/>
      <c r="J864" s="37"/>
      <c r="K864" s="37"/>
      <c r="O864" s="17"/>
      <c r="P864" s="17"/>
      <c r="Q864" s="17"/>
      <c r="R864" s="17"/>
      <c r="S864" s="17"/>
      <c r="T864" s="17"/>
      <c r="U864" s="17"/>
      <c r="V864" s="17"/>
    </row>
    <row r="865" spans="1:22" ht="14.25" customHeight="1">
      <c r="A865" s="17"/>
      <c r="B865" s="17"/>
      <c r="C865" s="37"/>
      <c r="D865" s="37"/>
      <c r="E865" s="37"/>
      <c r="F865" s="37"/>
      <c r="G865" s="37"/>
      <c r="H865" s="37"/>
      <c r="I865" s="37"/>
      <c r="J865" s="37"/>
      <c r="K865" s="37"/>
      <c r="O865" s="17"/>
      <c r="P865" s="17"/>
      <c r="Q865" s="17"/>
      <c r="R865" s="17"/>
      <c r="S865" s="17"/>
      <c r="T865" s="17"/>
      <c r="U865" s="17"/>
      <c r="V865" s="17"/>
    </row>
    <row r="866" spans="1:22" ht="14.25" customHeight="1">
      <c r="A866" s="17"/>
      <c r="B866" s="17"/>
      <c r="C866" s="37"/>
      <c r="D866" s="37"/>
      <c r="E866" s="37"/>
      <c r="F866" s="37"/>
      <c r="G866" s="37"/>
      <c r="H866" s="37"/>
      <c r="I866" s="37"/>
      <c r="J866" s="37"/>
      <c r="K866" s="37"/>
      <c r="O866" s="17"/>
      <c r="P866" s="17"/>
      <c r="Q866" s="17"/>
      <c r="R866" s="17"/>
      <c r="S866" s="17"/>
      <c r="T866" s="17"/>
      <c r="U866" s="17"/>
      <c r="V866" s="17"/>
    </row>
    <row r="867" spans="1:22" ht="14.25" customHeight="1">
      <c r="A867" s="17"/>
      <c r="B867" s="17"/>
      <c r="C867" s="37"/>
      <c r="D867" s="37"/>
      <c r="E867" s="37"/>
      <c r="F867" s="37"/>
      <c r="G867" s="37"/>
      <c r="H867" s="37"/>
      <c r="I867" s="37"/>
      <c r="J867" s="37"/>
      <c r="K867" s="37"/>
      <c r="O867" s="17"/>
      <c r="P867" s="17"/>
      <c r="Q867" s="17"/>
      <c r="R867" s="17"/>
      <c r="S867" s="17"/>
      <c r="T867" s="17"/>
      <c r="U867" s="17"/>
      <c r="V867" s="17"/>
    </row>
    <row r="868" spans="1:22" ht="14.25" customHeight="1">
      <c r="A868" s="17"/>
      <c r="B868" s="17"/>
      <c r="C868" s="37"/>
      <c r="D868" s="37"/>
      <c r="E868" s="37"/>
      <c r="F868" s="37"/>
      <c r="G868" s="37"/>
      <c r="H868" s="37"/>
      <c r="I868" s="37"/>
      <c r="J868" s="37"/>
      <c r="K868" s="37"/>
      <c r="O868" s="17"/>
      <c r="P868" s="17"/>
      <c r="Q868" s="17"/>
      <c r="R868" s="17"/>
      <c r="S868" s="17"/>
      <c r="T868" s="17"/>
      <c r="U868" s="17"/>
      <c r="V868" s="17"/>
    </row>
    <row r="869" spans="1:22" ht="14.25" customHeight="1">
      <c r="A869" s="17"/>
      <c r="B869" s="17"/>
      <c r="C869" s="37"/>
      <c r="D869" s="37"/>
      <c r="E869" s="37"/>
      <c r="F869" s="37"/>
      <c r="G869" s="37"/>
      <c r="H869" s="37"/>
      <c r="I869" s="37"/>
      <c r="J869" s="37"/>
      <c r="K869" s="37"/>
      <c r="O869" s="17"/>
      <c r="P869" s="17"/>
      <c r="Q869" s="17"/>
      <c r="R869" s="17"/>
      <c r="S869" s="17"/>
      <c r="T869" s="17"/>
      <c r="U869" s="17"/>
      <c r="V869" s="17"/>
    </row>
    <row r="870" spans="1:22" ht="14.25" customHeight="1">
      <c r="A870" s="17"/>
      <c r="B870" s="17"/>
      <c r="C870" s="37"/>
      <c r="D870" s="37"/>
      <c r="E870" s="37"/>
      <c r="F870" s="37"/>
      <c r="G870" s="37"/>
      <c r="H870" s="37"/>
      <c r="I870" s="37"/>
      <c r="J870" s="37"/>
      <c r="K870" s="37"/>
      <c r="O870" s="17"/>
      <c r="P870" s="17"/>
      <c r="Q870" s="17"/>
      <c r="R870" s="17"/>
      <c r="S870" s="17"/>
      <c r="T870" s="17"/>
      <c r="U870" s="17"/>
      <c r="V870" s="17"/>
    </row>
    <row r="871" spans="1:22" ht="14.25" customHeight="1">
      <c r="A871" s="17"/>
      <c r="B871" s="17"/>
      <c r="C871" s="37"/>
      <c r="D871" s="37"/>
      <c r="E871" s="37"/>
      <c r="F871" s="37"/>
      <c r="G871" s="37"/>
      <c r="H871" s="37"/>
      <c r="I871" s="37"/>
      <c r="J871" s="37"/>
      <c r="K871" s="37"/>
      <c r="O871" s="17"/>
      <c r="P871" s="17"/>
      <c r="Q871" s="17"/>
      <c r="R871" s="17"/>
      <c r="S871" s="17"/>
      <c r="T871" s="17"/>
      <c r="U871" s="17"/>
      <c r="V871" s="17"/>
    </row>
    <row r="872" spans="1:22" ht="14.25" customHeight="1">
      <c r="A872" s="17"/>
      <c r="B872" s="17"/>
      <c r="C872" s="37"/>
      <c r="D872" s="37"/>
      <c r="E872" s="37"/>
      <c r="F872" s="37"/>
      <c r="G872" s="37"/>
      <c r="H872" s="37"/>
      <c r="I872" s="37"/>
      <c r="J872" s="37"/>
      <c r="K872" s="37"/>
      <c r="O872" s="17"/>
      <c r="P872" s="17"/>
      <c r="Q872" s="17"/>
      <c r="R872" s="17"/>
      <c r="S872" s="17"/>
      <c r="T872" s="17"/>
      <c r="U872" s="17"/>
      <c r="V872" s="17"/>
    </row>
    <row r="873" spans="1:22" ht="14.25" customHeight="1">
      <c r="A873" s="17"/>
      <c r="B873" s="17"/>
      <c r="C873" s="37"/>
      <c r="D873" s="37"/>
      <c r="E873" s="37"/>
      <c r="F873" s="37"/>
      <c r="G873" s="37"/>
      <c r="H873" s="37"/>
      <c r="I873" s="37"/>
      <c r="J873" s="37"/>
      <c r="K873" s="37"/>
      <c r="O873" s="17"/>
      <c r="P873" s="17"/>
      <c r="Q873" s="17"/>
      <c r="R873" s="17"/>
      <c r="S873" s="17"/>
      <c r="T873" s="17"/>
      <c r="U873" s="17"/>
      <c r="V873" s="17"/>
    </row>
    <row r="874" spans="1:22" ht="14.25" customHeight="1">
      <c r="A874" s="17"/>
      <c r="B874" s="17"/>
      <c r="C874" s="37"/>
      <c r="D874" s="37"/>
      <c r="E874" s="37"/>
      <c r="F874" s="37"/>
      <c r="G874" s="37"/>
      <c r="H874" s="37"/>
      <c r="I874" s="37"/>
      <c r="J874" s="37"/>
      <c r="K874" s="37"/>
      <c r="O874" s="17"/>
      <c r="P874" s="17"/>
      <c r="Q874" s="17"/>
      <c r="R874" s="17"/>
      <c r="S874" s="17"/>
      <c r="T874" s="17"/>
      <c r="U874" s="17"/>
      <c r="V874" s="17"/>
    </row>
    <row r="875" spans="1:22" ht="14.25" customHeight="1">
      <c r="A875" s="17"/>
      <c r="B875" s="17"/>
      <c r="C875" s="37"/>
      <c r="D875" s="37"/>
      <c r="E875" s="37"/>
      <c r="F875" s="37"/>
      <c r="G875" s="37"/>
      <c r="H875" s="37"/>
      <c r="I875" s="37"/>
      <c r="J875" s="37"/>
      <c r="K875" s="37"/>
      <c r="O875" s="17"/>
      <c r="P875" s="17"/>
      <c r="Q875" s="17"/>
      <c r="R875" s="17"/>
      <c r="S875" s="17"/>
      <c r="T875" s="17"/>
      <c r="U875" s="17"/>
      <c r="V875" s="17"/>
    </row>
    <row r="876" spans="1:22" ht="14.25" customHeight="1">
      <c r="A876" s="17"/>
      <c r="B876" s="17"/>
      <c r="C876" s="37"/>
      <c r="D876" s="37"/>
      <c r="E876" s="37"/>
      <c r="F876" s="37"/>
      <c r="G876" s="37"/>
      <c r="H876" s="37"/>
      <c r="I876" s="37"/>
      <c r="J876" s="37"/>
      <c r="K876" s="37"/>
      <c r="O876" s="17"/>
      <c r="P876" s="17"/>
      <c r="Q876" s="17"/>
      <c r="R876" s="17"/>
      <c r="S876" s="17"/>
      <c r="T876" s="17"/>
      <c r="U876" s="17"/>
      <c r="V876" s="17"/>
    </row>
    <row r="877" spans="1:22" ht="14.25" customHeight="1">
      <c r="A877" s="17"/>
      <c r="B877" s="17"/>
      <c r="C877" s="37"/>
      <c r="D877" s="37"/>
      <c r="E877" s="37"/>
      <c r="F877" s="37"/>
      <c r="G877" s="37"/>
      <c r="H877" s="37"/>
      <c r="I877" s="37"/>
      <c r="J877" s="37"/>
      <c r="K877" s="37"/>
      <c r="O877" s="17"/>
      <c r="P877" s="17"/>
      <c r="Q877" s="17"/>
      <c r="R877" s="17"/>
      <c r="S877" s="17"/>
      <c r="T877" s="17"/>
      <c r="U877" s="17"/>
      <c r="V877" s="17"/>
    </row>
    <row r="878" spans="1:22" ht="14.25" customHeight="1">
      <c r="A878" s="17"/>
      <c r="B878" s="17"/>
      <c r="C878" s="37"/>
      <c r="D878" s="37"/>
      <c r="E878" s="37"/>
      <c r="F878" s="37"/>
      <c r="G878" s="37"/>
      <c r="H878" s="37"/>
      <c r="I878" s="37"/>
      <c r="J878" s="37"/>
      <c r="K878" s="37"/>
      <c r="O878" s="17"/>
      <c r="P878" s="17"/>
      <c r="Q878" s="17"/>
      <c r="R878" s="17"/>
      <c r="S878" s="17"/>
      <c r="T878" s="17"/>
      <c r="U878" s="17"/>
      <c r="V878" s="17"/>
    </row>
    <row r="879" spans="1:22" ht="14.25" customHeight="1">
      <c r="A879" s="17"/>
      <c r="B879" s="17"/>
      <c r="C879" s="37"/>
      <c r="D879" s="37"/>
      <c r="E879" s="37"/>
      <c r="F879" s="37"/>
      <c r="G879" s="37"/>
      <c r="H879" s="37"/>
      <c r="I879" s="37"/>
      <c r="J879" s="37"/>
      <c r="K879" s="37"/>
      <c r="O879" s="17"/>
      <c r="P879" s="17"/>
      <c r="Q879" s="17"/>
      <c r="R879" s="17"/>
      <c r="S879" s="17"/>
      <c r="T879" s="17"/>
      <c r="U879" s="17"/>
      <c r="V879" s="17"/>
    </row>
    <row r="880" spans="1:22" ht="14.25" customHeight="1">
      <c r="A880" s="17"/>
      <c r="B880" s="17"/>
      <c r="C880" s="37"/>
      <c r="D880" s="37"/>
      <c r="E880" s="37"/>
      <c r="F880" s="37"/>
      <c r="G880" s="37"/>
      <c r="H880" s="37"/>
      <c r="I880" s="37"/>
      <c r="J880" s="37"/>
      <c r="K880" s="37"/>
      <c r="O880" s="17"/>
      <c r="P880" s="17"/>
      <c r="Q880" s="17"/>
      <c r="R880" s="17"/>
      <c r="S880" s="17"/>
      <c r="T880" s="17"/>
      <c r="U880" s="17"/>
      <c r="V880" s="17"/>
    </row>
    <row r="881" spans="1:22" ht="14.25" customHeight="1">
      <c r="A881" s="17"/>
      <c r="B881" s="17"/>
      <c r="C881" s="37"/>
      <c r="D881" s="37"/>
      <c r="E881" s="37"/>
      <c r="F881" s="37"/>
      <c r="G881" s="37"/>
      <c r="H881" s="37"/>
      <c r="I881" s="37"/>
      <c r="J881" s="37"/>
      <c r="K881" s="37"/>
      <c r="O881" s="17"/>
      <c r="P881" s="17"/>
      <c r="Q881" s="17"/>
      <c r="R881" s="17"/>
      <c r="S881" s="17"/>
      <c r="T881" s="17"/>
      <c r="U881" s="17"/>
      <c r="V881" s="17"/>
    </row>
    <row r="882" spans="1:22" ht="14.25" customHeight="1">
      <c r="A882" s="17"/>
      <c r="B882" s="17"/>
      <c r="C882" s="37"/>
      <c r="D882" s="37"/>
      <c r="E882" s="37"/>
      <c r="F882" s="37"/>
      <c r="G882" s="37"/>
      <c r="H882" s="37"/>
      <c r="I882" s="37"/>
      <c r="J882" s="37"/>
      <c r="K882" s="37"/>
      <c r="O882" s="17"/>
      <c r="P882" s="17"/>
      <c r="Q882" s="17"/>
      <c r="R882" s="17"/>
      <c r="S882" s="17"/>
      <c r="T882" s="17"/>
      <c r="U882" s="17"/>
      <c r="V882" s="17"/>
    </row>
    <row r="883" spans="1:22" ht="14.25" customHeight="1">
      <c r="A883" s="17"/>
      <c r="B883" s="17"/>
      <c r="C883" s="37"/>
      <c r="D883" s="37"/>
      <c r="E883" s="37"/>
      <c r="F883" s="37"/>
      <c r="G883" s="37"/>
      <c r="H883" s="37"/>
      <c r="I883" s="37"/>
      <c r="J883" s="37"/>
      <c r="K883" s="37"/>
      <c r="O883" s="17"/>
      <c r="P883" s="17"/>
      <c r="Q883" s="17"/>
      <c r="R883" s="17"/>
      <c r="S883" s="17"/>
      <c r="T883" s="17"/>
      <c r="U883" s="17"/>
      <c r="V883" s="17"/>
    </row>
    <row r="884" spans="1:22" ht="14.25" customHeight="1">
      <c r="A884" s="17"/>
      <c r="B884" s="17"/>
      <c r="C884" s="37"/>
      <c r="D884" s="37"/>
      <c r="E884" s="37"/>
      <c r="F884" s="37"/>
      <c r="G884" s="37"/>
      <c r="H884" s="37"/>
      <c r="I884" s="37"/>
      <c r="J884" s="37"/>
      <c r="K884" s="37"/>
      <c r="O884" s="17"/>
      <c r="P884" s="17"/>
      <c r="Q884" s="17"/>
      <c r="R884" s="17"/>
      <c r="S884" s="17"/>
      <c r="T884" s="17"/>
      <c r="U884" s="17"/>
      <c r="V884" s="17"/>
    </row>
    <row r="885" spans="1:22" ht="14.25" customHeight="1">
      <c r="A885" s="17"/>
      <c r="B885" s="17"/>
      <c r="C885" s="37"/>
      <c r="D885" s="37"/>
      <c r="E885" s="37"/>
      <c r="F885" s="37"/>
      <c r="G885" s="37"/>
      <c r="H885" s="37"/>
      <c r="I885" s="37"/>
      <c r="J885" s="37"/>
      <c r="K885" s="37"/>
      <c r="O885" s="17"/>
      <c r="P885" s="17"/>
      <c r="Q885" s="17"/>
      <c r="R885" s="17"/>
      <c r="S885" s="17"/>
      <c r="T885" s="17"/>
      <c r="U885" s="17"/>
      <c r="V885" s="17"/>
    </row>
    <row r="886" spans="1:22" ht="14.25" customHeight="1">
      <c r="A886" s="17"/>
      <c r="B886" s="17"/>
      <c r="C886" s="37"/>
      <c r="D886" s="37"/>
      <c r="E886" s="37"/>
      <c r="F886" s="37"/>
      <c r="G886" s="37"/>
      <c r="H886" s="37"/>
      <c r="I886" s="37"/>
      <c r="J886" s="37"/>
      <c r="K886" s="37"/>
      <c r="O886" s="17"/>
      <c r="P886" s="17"/>
      <c r="Q886" s="17"/>
      <c r="R886" s="17"/>
      <c r="S886" s="17"/>
      <c r="T886" s="17"/>
      <c r="U886" s="17"/>
      <c r="V886" s="17"/>
    </row>
    <row r="887" spans="1:22" ht="14.25" customHeight="1">
      <c r="A887" s="17"/>
      <c r="B887" s="17"/>
      <c r="C887" s="37"/>
      <c r="D887" s="37"/>
      <c r="E887" s="37"/>
      <c r="F887" s="37"/>
      <c r="G887" s="37"/>
      <c r="H887" s="37"/>
      <c r="I887" s="37"/>
      <c r="J887" s="37"/>
      <c r="K887" s="37"/>
      <c r="O887" s="17"/>
      <c r="P887" s="17"/>
      <c r="Q887" s="17"/>
      <c r="R887" s="17"/>
      <c r="S887" s="17"/>
      <c r="T887" s="17"/>
      <c r="U887" s="17"/>
      <c r="V887" s="17"/>
    </row>
    <row r="888" spans="1:22" ht="14.25" customHeight="1">
      <c r="A888" s="17"/>
      <c r="B888" s="17"/>
      <c r="C888" s="37"/>
      <c r="D888" s="37"/>
      <c r="E888" s="37"/>
      <c r="F888" s="37"/>
      <c r="G888" s="37"/>
      <c r="H888" s="37"/>
      <c r="I888" s="37"/>
      <c r="J888" s="37"/>
      <c r="K888" s="37"/>
      <c r="O888" s="17"/>
      <c r="P888" s="17"/>
      <c r="Q888" s="17"/>
      <c r="R888" s="17"/>
      <c r="S888" s="17"/>
      <c r="T888" s="17"/>
      <c r="U888" s="17"/>
      <c r="V888" s="17"/>
    </row>
    <row r="889" spans="1:22" ht="14.25" customHeight="1">
      <c r="A889" s="17"/>
      <c r="B889" s="17"/>
      <c r="C889" s="37"/>
      <c r="D889" s="37"/>
      <c r="E889" s="37"/>
      <c r="F889" s="37"/>
      <c r="G889" s="37"/>
      <c r="H889" s="37"/>
      <c r="I889" s="37"/>
      <c r="J889" s="37"/>
      <c r="K889" s="37"/>
      <c r="O889" s="17"/>
      <c r="P889" s="17"/>
      <c r="Q889" s="17"/>
      <c r="R889" s="17"/>
      <c r="S889" s="17"/>
      <c r="T889" s="17"/>
      <c r="U889" s="17"/>
      <c r="V889" s="17"/>
    </row>
    <row r="890" spans="1:22" ht="14.25" customHeight="1">
      <c r="A890" s="17"/>
      <c r="B890" s="17"/>
      <c r="C890" s="37"/>
      <c r="D890" s="37"/>
      <c r="E890" s="37"/>
      <c r="F890" s="37"/>
      <c r="G890" s="37"/>
      <c r="H890" s="37"/>
      <c r="I890" s="37"/>
      <c r="J890" s="37"/>
      <c r="K890" s="37"/>
      <c r="O890" s="17"/>
      <c r="P890" s="17"/>
      <c r="Q890" s="17"/>
      <c r="R890" s="17"/>
      <c r="S890" s="17"/>
      <c r="T890" s="17"/>
      <c r="U890" s="17"/>
      <c r="V890" s="17"/>
    </row>
    <row r="891" spans="1:22" ht="14.25" customHeight="1">
      <c r="A891" s="17"/>
      <c r="B891" s="17"/>
      <c r="C891" s="37"/>
      <c r="D891" s="37"/>
      <c r="E891" s="37"/>
      <c r="F891" s="37"/>
      <c r="G891" s="37"/>
      <c r="H891" s="37"/>
      <c r="I891" s="37"/>
      <c r="J891" s="37"/>
      <c r="K891" s="37"/>
      <c r="O891" s="17"/>
      <c r="P891" s="17"/>
      <c r="Q891" s="17"/>
      <c r="R891" s="17"/>
      <c r="S891" s="17"/>
      <c r="T891" s="17"/>
      <c r="U891" s="17"/>
      <c r="V891" s="17"/>
    </row>
    <row r="892" spans="1:22" ht="14.25" customHeight="1">
      <c r="A892" s="17"/>
      <c r="B892" s="17"/>
      <c r="C892" s="37"/>
      <c r="D892" s="37"/>
      <c r="E892" s="37"/>
      <c r="F892" s="37"/>
      <c r="G892" s="37"/>
      <c r="H892" s="37"/>
      <c r="I892" s="37"/>
      <c r="J892" s="37"/>
      <c r="K892" s="37"/>
      <c r="O892" s="17"/>
      <c r="P892" s="17"/>
      <c r="Q892" s="17"/>
      <c r="R892" s="17"/>
      <c r="S892" s="17"/>
      <c r="T892" s="17"/>
      <c r="U892" s="17"/>
      <c r="V892" s="17"/>
    </row>
    <row r="893" spans="1:22" ht="14.25" customHeight="1">
      <c r="A893" s="17"/>
      <c r="B893" s="17"/>
      <c r="C893" s="37"/>
      <c r="D893" s="37"/>
      <c r="E893" s="37"/>
      <c r="F893" s="37"/>
      <c r="G893" s="37"/>
      <c r="H893" s="37"/>
      <c r="I893" s="37"/>
      <c r="J893" s="37"/>
      <c r="K893" s="37"/>
      <c r="O893" s="17"/>
      <c r="P893" s="17"/>
      <c r="Q893" s="17"/>
      <c r="R893" s="17"/>
      <c r="S893" s="17"/>
      <c r="T893" s="17"/>
      <c r="U893" s="17"/>
      <c r="V893" s="17"/>
    </row>
    <row r="894" spans="1:22" ht="14.25" customHeight="1">
      <c r="A894" s="17"/>
      <c r="B894" s="17"/>
      <c r="C894" s="37"/>
      <c r="D894" s="37"/>
      <c r="E894" s="37"/>
      <c r="F894" s="37"/>
      <c r="G894" s="37"/>
      <c r="H894" s="37"/>
      <c r="I894" s="37"/>
      <c r="J894" s="37"/>
      <c r="K894" s="37"/>
      <c r="O894" s="17"/>
      <c r="P894" s="17"/>
      <c r="Q894" s="17"/>
      <c r="R894" s="17"/>
      <c r="S894" s="17"/>
      <c r="T894" s="17"/>
      <c r="U894" s="17"/>
      <c r="V894" s="17"/>
    </row>
    <row r="895" spans="1:22" ht="14.25" customHeight="1">
      <c r="A895" s="17"/>
      <c r="B895" s="17"/>
      <c r="C895" s="37"/>
      <c r="D895" s="37"/>
      <c r="E895" s="37"/>
      <c r="F895" s="37"/>
      <c r="G895" s="37"/>
      <c r="H895" s="37"/>
      <c r="I895" s="37"/>
      <c r="J895" s="37"/>
      <c r="K895" s="37"/>
      <c r="O895" s="17"/>
      <c r="P895" s="17"/>
      <c r="Q895" s="17"/>
      <c r="R895" s="17"/>
      <c r="S895" s="17"/>
      <c r="T895" s="17"/>
      <c r="U895" s="17"/>
      <c r="V895" s="17"/>
    </row>
    <row r="896" spans="1:22" ht="14.25" customHeight="1">
      <c r="A896" s="17"/>
      <c r="B896" s="17"/>
      <c r="C896" s="37"/>
      <c r="D896" s="37"/>
      <c r="E896" s="37"/>
      <c r="F896" s="37"/>
      <c r="G896" s="37"/>
      <c r="H896" s="37"/>
      <c r="I896" s="37"/>
      <c r="J896" s="37"/>
      <c r="K896" s="37"/>
      <c r="O896" s="17"/>
      <c r="P896" s="17"/>
      <c r="Q896" s="17"/>
      <c r="R896" s="17"/>
      <c r="S896" s="17"/>
      <c r="T896" s="17"/>
      <c r="U896" s="17"/>
      <c r="V896" s="17"/>
    </row>
    <row r="897" spans="1:22" ht="14.25" customHeight="1">
      <c r="A897" s="17"/>
      <c r="B897" s="17"/>
      <c r="C897" s="37"/>
      <c r="D897" s="37"/>
      <c r="E897" s="37"/>
      <c r="F897" s="37"/>
      <c r="G897" s="37"/>
      <c r="H897" s="37"/>
      <c r="I897" s="37"/>
      <c r="J897" s="37"/>
      <c r="K897" s="37"/>
      <c r="O897" s="17"/>
      <c r="P897" s="17"/>
      <c r="Q897" s="17"/>
      <c r="R897" s="17"/>
      <c r="S897" s="17"/>
      <c r="T897" s="17"/>
      <c r="U897" s="17"/>
      <c r="V897" s="17"/>
    </row>
    <row r="898" spans="1:22" ht="14.25" customHeight="1">
      <c r="A898" s="17"/>
      <c r="B898" s="17"/>
      <c r="C898" s="37"/>
      <c r="D898" s="37"/>
      <c r="E898" s="37"/>
      <c r="F898" s="37"/>
      <c r="G898" s="37"/>
      <c r="H898" s="37"/>
      <c r="I898" s="37"/>
      <c r="J898" s="37"/>
      <c r="K898" s="37"/>
      <c r="O898" s="17"/>
      <c r="P898" s="17"/>
      <c r="Q898" s="17"/>
      <c r="R898" s="17"/>
      <c r="S898" s="17"/>
      <c r="T898" s="17"/>
      <c r="U898" s="17"/>
      <c r="V898" s="17"/>
    </row>
    <row r="899" spans="1:22" ht="14.25" customHeight="1">
      <c r="A899" s="17"/>
      <c r="B899" s="17"/>
      <c r="C899" s="37"/>
      <c r="D899" s="37"/>
      <c r="E899" s="37"/>
      <c r="F899" s="37"/>
      <c r="G899" s="37"/>
      <c r="H899" s="37"/>
      <c r="I899" s="37"/>
      <c r="J899" s="37"/>
      <c r="K899" s="37"/>
      <c r="O899" s="17"/>
      <c r="P899" s="17"/>
      <c r="Q899" s="17"/>
      <c r="R899" s="17"/>
      <c r="S899" s="17"/>
      <c r="T899" s="17"/>
      <c r="U899" s="17"/>
      <c r="V899" s="17"/>
    </row>
    <row r="900" spans="1:22" ht="14.25" customHeight="1">
      <c r="A900" s="17"/>
      <c r="B900" s="17"/>
      <c r="C900" s="37"/>
      <c r="D900" s="37"/>
      <c r="E900" s="37"/>
      <c r="F900" s="37"/>
      <c r="G900" s="37"/>
      <c r="H900" s="37"/>
      <c r="I900" s="37"/>
      <c r="J900" s="37"/>
      <c r="K900" s="37"/>
      <c r="O900" s="17"/>
      <c r="P900" s="17"/>
      <c r="Q900" s="17"/>
      <c r="R900" s="17"/>
      <c r="S900" s="17"/>
      <c r="T900" s="17"/>
      <c r="U900" s="17"/>
      <c r="V900" s="17"/>
    </row>
    <row r="901" spans="1:22" ht="14.25" customHeight="1">
      <c r="A901" s="17"/>
      <c r="B901" s="17"/>
      <c r="C901" s="37"/>
      <c r="D901" s="37"/>
      <c r="E901" s="37"/>
      <c r="F901" s="37"/>
      <c r="G901" s="37"/>
      <c r="H901" s="37"/>
      <c r="I901" s="37"/>
      <c r="J901" s="37"/>
      <c r="K901" s="37"/>
      <c r="O901" s="17"/>
      <c r="P901" s="17"/>
      <c r="Q901" s="17"/>
      <c r="R901" s="17"/>
      <c r="S901" s="17"/>
      <c r="T901" s="17"/>
      <c r="U901" s="17"/>
      <c r="V901" s="17"/>
    </row>
    <row r="902" spans="1:22" ht="14.25" customHeight="1">
      <c r="A902" s="17"/>
      <c r="B902" s="17"/>
      <c r="C902" s="37"/>
      <c r="D902" s="37"/>
      <c r="E902" s="37"/>
      <c r="F902" s="37"/>
      <c r="G902" s="37"/>
      <c r="H902" s="37"/>
      <c r="I902" s="37"/>
      <c r="J902" s="37"/>
      <c r="K902" s="37"/>
      <c r="O902" s="17"/>
      <c r="P902" s="17"/>
      <c r="Q902" s="17"/>
      <c r="R902" s="17"/>
      <c r="S902" s="17"/>
      <c r="T902" s="17"/>
      <c r="U902" s="17"/>
      <c r="V902" s="17"/>
    </row>
    <row r="903" spans="1:22" ht="14.25" customHeight="1">
      <c r="A903" s="17"/>
      <c r="B903" s="17"/>
      <c r="C903" s="37"/>
      <c r="D903" s="37"/>
      <c r="E903" s="37"/>
      <c r="F903" s="37"/>
      <c r="G903" s="37"/>
      <c r="H903" s="37"/>
      <c r="I903" s="37"/>
      <c r="J903" s="37"/>
      <c r="K903" s="37"/>
      <c r="O903" s="17"/>
      <c r="P903" s="17"/>
      <c r="Q903" s="17"/>
      <c r="R903" s="17"/>
      <c r="S903" s="17"/>
      <c r="T903" s="17"/>
      <c r="U903" s="17"/>
      <c r="V903" s="17"/>
    </row>
    <row r="904" spans="1:22" ht="14.25" customHeight="1">
      <c r="A904" s="17"/>
      <c r="B904" s="17"/>
      <c r="C904" s="37"/>
      <c r="D904" s="37"/>
      <c r="E904" s="37"/>
      <c r="F904" s="37"/>
      <c r="G904" s="37"/>
      <c r="H904" s="37"/>
      <c r="I904" s="37"/>
      <c r="J904" s="37"/>
      <c r="K904" s="37"/>
      <c r="O904" s="17"/>
      <c r="P904" s="17"/>
      <c r="Q904" s="17"/>
      <c r="R904" s="17"/>
      <c r="S904" s="17"/>
      <c r="T904" s="17"/>
      <c r="U904" s="17"/>
      <c r="V904" s="17"/>
    </row>
    <row r="905" spans="1:22" ht="14.25" customHeight="1">
      <c r="A905" s="17"/>
      <c r="B905" s="17"/>
      <c r="C905" s="37"/>
      <c r="D905" s="37"/>
      <c r="E905" s="37"/>
      <c r="F905" s="37"/>
      <c r="G905" s="37"/>
      <c r="H905" s="37"/>
      <c r="I905" s="37"/>
      <c r="J905" s="37"/>
      <c r="K905" s="37"/>
      <c r="O905" s="17"/>
      <c r="P905" s="17"/>
      <c r="Q905" s="17"/>
      <c r="R905" s="17"/>
      <c r="S905" s="17"/>
      <c r="T905" s="17"/>
      <c r="U905" s="17"/>
      <c r="V905" s="17"/>
    </row>
    <row r="906" spans="1:22" ht="14.25" customHeight="1">
      <c r="A906" s="17"/>
      <c r="B906" s="17"/>
      <c r="C906" s="37"/>
      <c r="D906" s="37"/>
      <c r="E906" s="37"/>
      <c r="F906" s="37"/>
      <c r="G906" s="37"/>
      <c r="H906" s="37"/>
      <c r="I906" s="37"/>
      <c r="J906" s="37"/>
      <c r="K906" s="37"/>
      <c r="O906" s="17"/>
      <c r="P906" s="17"/>
      <c r="Q906" s="17"/>
      <c r="R906" s="17"/>
      <c r="S906" s="17"/>
      <c r="T906" s="17"/>
      <c r="U906" s="17"/>
      <c r="V906" s="17"/>
    </row>
    <row r="907" spans="1:22" ht="14.25" customHeight="1">
      <c r="A907" s="17"/>
      <c r="B907" s="17"/>
      <c r="C907" s="37"/>
      <c r="D907" s="37"/>
      <c r="E907" s="37"/>
      <c r="F907" s="37"/>
      <c r="G907" s="37"/>
      <c r="H907" s="37"/>
      <c r="I907" s="37"/>
      <c r="J907" s="37"/>
      <c r="K907" s="37"/>
      <c r="O907" s="17"/>
      <c r="P907" s="17"/>
      <c r="Q907" s="17"/>
      <c r="R907" s="17"/>
      <c r="S907" s="17"/>
      <c r="T907" s="17"/>
      <c r="U907" s="17"/>
      <c r="V907" s="17"/>
    </row>
    <row r="908" spans="1:22" ht="14.25" customHeight="1">
      <c r="A908" s="17"/>
      <c r="B908" s="17"/>
      <c r="C908" s="37"/>
      <c r="D908" s="37"/>
      <c r="E908" s="37"/>
      <c r="F908" s="37"/>
      <c r="G908" s="37"/>
      <c r="H908" s="37"/>
      <c r="I908" s="37"/>
      <c r="J908" s="37"/>
      <c r="K908" s="37"/>
      <c r="O908" s="17"/>
      <c r="P908" s="17"/>
      <c r="Q908" s="17"/>
      <c r="R908" s="17"/>
      <c r="S908" s="17"/>
      <c r="T908" s="17"/>
      <c r="U908" s="17"/>
      <c r="V908" s="17"/>
    </row>
    <row r="909" spans="1:22" ht="14.25" customHeight="1">
      <c r="A909" s="17"/>
      <c r="B909" s="17"/>
      <c r="C909" s="37"/>
      <c r="D909" s="37"/>
      <c r="E909" s="37"/>
      <c r="F909" s="37"/>
      <c r="G909" s="37"/>
      <c r="H909" s="37"/>
      <c r="I909" s="37"/>
      <c r="J909" s="37"/>
      <c r="K909" s="37"/>
      <c r="O909" s="17"/>
      <c r="P909" s="17"/>
      <c r="Q909" s="17"/>
      <c r="R909" s="17"/>
      <c r="S909" s="17"/>
      <c r="T909" s="17"/>
      <c r="U909" s="17"/>
      <c r="V909" s="17"/>
    </row>
    <row r="910" spans="1:22" ht="14.25" customHeight="1">
      <c r="A910" s="17"/>
      <c r="B910" s="17"/>
      <c r="C910" s="37"/>
      <c r="D910" s="37"/>
      <c r="E910" s="37"/>
      <c r="F910" s="37"/>
      <c r="G910" s="37"/>
      <c r="H910" s="37"/>
      <c r="I910" s="37"/>
      <c r="J910" s="37"/>
      <c r="K910" s="37"/>
      <c r="O910" s="17"/>
      <c r="P910" s="17"/>
      <c r="Q910" s="17"/>
      <c r="R910" s="17"/>
      <c r="S910" s="17"/>
      <c r="T910" s="17"/>
      <c r="U910" s="17"/>
      <c r="V910" s="17"/>
    </row>
    <row r="911" spans="1:22" ht="14.25" customHeight="1">
      <c r="A911" s="17"/>
      <c r="B911" s="17"/>
      <c r="C911" s="37"/>
      <c r="D911" s="37"/>
      <c r="E911" s="37"/>
      <c r="F911" s="37"/>
      <c r="G911" s="37"/>
      <c r="H911" s="37"/>
      <c r="I911" s="37"/>
      <c r="J911" s="37"/>
      <c r="K911" s="37"/>
      <c r="O911" s="17"/>
      <c r="P911" s="17"/>
      <c r="Q911" s="17"/>
      <c r="R911" s="17"/>
      <c r="S911" s="17"/>
      <c r="T911" s="17"/>
      <c r="U911" s="17"/>
      <c r="V911" s="17"/>
    </row>
    <row r="912" spans="1:22" ht="14.25" customHeight="1">
      <c r="A912" s="17"/>
      <c r="B912" s="17"/>
      <c r="C912" s="37"/>
      <c r="D912" s="37"/>
      <c r="E912" s="37"/>
      <c r="F912" s="37"/>
      <c r="G912" s="37"/>
      <c r="H912" s="37"/>
      <c r="I912" s="37"/>
      <c r="J912" s="37"/>
      <c r="K912" s="37"/>
      <c r="O912" s="17"/>
      <c r="P912" s="17"/>
      <c r="Q912" s="17"/>
      <c r="R912" s="17"/>
      <c r="S912" s="17"/>
      <c r="T912" s="17"/>
      <c r="U912" s="17"/>
      <c r="V912" s="17"/>
    </row>
    <row r="913" spans="1:22" ht="14.25" customHeight="1">
      <c r="A913" s="17"/>
      <c r="B913" s="17"/>
      <c r="C913" s="37"/>
      <c r="D913" s="37"/>
      <c r="E913" s="37"/>
      <c r="F913" s="37"/>
      <c r="G913" s="37"/>
      <c r="H913" s="37"/>
      <c r="I913" s="37"/>
      <c r="J913" s="37"/>
      <c r="K913" s="37"/>
      <c r="O913" s="17"/>
      <c r="P913" s="17"/>
      <c r="Q913" s="17"/>
      <c r="R913" s="17"/>
      <c r="S913" s="17"/>
      <c r="T913" s="17"/>
      <c r="U913" s="17"/>
      <c r="V913" s="17"/>
    </row>
    <row r="914" spans="1:22" ht="14.25" customHeight="1">
      <c r="A914" s="17"/>
      <c r="B914" s="17"/>
      <c r="C914" s="37"/>
      <c r="D914" s="37"/>
      <c r="E914" s="37"/>
      <c r="F914" s="37"/>
      <c r="G914" s="37"/>
      <c r="H914" s="37"/>
      <c r="I914" s="37"/>
      <c r="J914" s="37"/>
      <c r="K914" s="37"/>
      <c r="O914" s="17"/>
      <c r="P914" s="17"/>
      <c r="Q914" s="17"/>
      <c r="R914" s="17"/>
      <c r="S914" s="17"/>
      <c r="T914" s="17"/>
      <c r="U914" s="17"/>
      <c r="V914" s="17"/>
    </row>
    <row r="915" spans="1:22" ht="14.25" customHeight="1">
      <c r="A915" s="17"/>
      <c r="B915" s="17"/>
      <c r="C915" s="37"/>
      <c r="D915" s="37"/>
      <c r="E915" s="37"/>
      <c r="F915" s="37"/>
      <c r="G915" s="37"/>
      <c r="H915" s="37"/>
      <c r="I915" s="37"/>
      <c r="J915" s="37"/>
      <c r="K915" s="37"/>
      <c r="O915" s="17"/>
      <c r="P915" s="17"/>
      <c r="Q915" s="17"/>
      <c r="R915" s="17"/>
      <c r="S915" s="17"/>
      <c r="T915" s="17"/>
      <c r="U915" s="17"/>
      <c r="V915" s="17"/>
    </row>
    <row r="916" spans="1:22" ht="14.25" customHeight="1">
      <c r="A916" s="17"/>
      <c r="B916" s="17"/>
      <c r="C916" s="37"/>
      <c r="D916" s="37"/>
      <c r="E916" s="37"/>
      <c r="F916" s="37"/>
      <c r="G916" s="37"/>
      <c r="H916" s="37"/>
      <c r="I916" s="37"/>
      <c r="J916" s="37"/>
      <c r="K916" s="37"/>
      <c r="O916" s="17"/>
      <c r="P916" s="17"/>
      <c r="Q916" s="17"/>
      <c r="R916" s="17"/>
      <c r="S916" s="17"/>
      <c r="T916" s="17"/>
      <c r="U916" s="17"/>
      <c r="V916" s="17"/>
    </row>
    <row r="917" spans="1:22" ht="14.25" customHeight="1">
      <c r="A917" s="17"/>
      <c r="B917" s="17"/>
      <c r="C917" s="37"/>
      <c r="D917" s="37"/>
      <c r="E917" s="37"/>
      <c r="F917" s="37"/>
      <c r="G917" s="37"/>
      <c r="H917" s="37"/>
      <c r="I917" s="37"/>
      <c r="J917" s="37"/>
      <c r="K917" s="37"/>
      <c r="O917" s="17"/>
      <c r="P917" s="17"/>
      <c r="Q917" s="17"/>
      <c r="R917" s="17"/>
      <c r="S917" s="17"/>
      <c r="T917" s="17"/>
      <c r="U917" s="17"/>
      <c r="V917" s="17"/>
    </row>
    <row r="918" spans="1:22" ht="14.25" customHeight="1">
      <c r="A918" s="17"/>
      <c r="B918" s="17"/>
      <c r="C918" s="37"/>
      <c r="D918" s="37"/>
      <c r="E918" s="37"/>
      <c r="F918" s="37"/>
      <c r="G918" s="37"/>
      <c r="H918" s="37"/>
      <c r="I918" s="37"/>
      <c r="J918" s="37"/>
      <c r="K918" s="37"/>
      <c r="O918" s="17"/>
      <c r="P918" s="17"/>
      <c r="Q918" s="17"/>
      <c r="R918" s="17"/>
      <c r="S918" s="17"/>
      <c r="T918" s="17"/>
      <c r="U918" s="17"/>
      <c r="V918" s="17"/>
    </row>
    <row r="919" spans="1:22" ht="14.25" customHeight="1">
      <c r="A919" s="17"/>
      <c r="B919" s="17"/>
      <c r="C919" s="37"/>
      <c r="D919" s="37"/>
      <c r="E919" s="37"/>
      <c r="F919" s="37"/>
      <c r="G919" s="37"/>
      <c r="H919" s="37"/>
      <c r="I919" s="37"/>
      <c r="J919" s="37"/>
      <c r="K919" s="37"/>
      <c r="O919" s="17"/>
      <c r="P919" s="17"/>
      <c r="Q919" s="17"/>
      <c r="R919" s="17"/>
      <c r="S919" s="17"/>
      <c r="T919" s="17"/>
      <c r="U919" s="17"/>
      <c r="V919" s="17"/>
    </row>
    <row r="920" spans="1:22" ht="14.25" customHeight="1">
      <c r="A920" s="17"/>
      <c r="B920" s="17"/>
      <c r="C920" s="37"/>
      <c r="D920" s="37"/>
      <c r="E920" s="37"/>
      <c r="F920" s="37"/>
      <c r="G920" s="37"/>
      <c r="H920" s="37"/>
      <c r="I920" s="37"/>
      <c r="J920" s="37"/>
      <c r="K920" s="37"/>
      <c r="O920" s="17"/>
      <c r="P920" s="17"/>
      <c r="Q920" s="17"/>
      <c r="R920" s="17"/>
      <c r="S920" s="17"/>
      <c r="T920" s="17"/>
      <c r="U920" s="17"/>
      <c r="V920" s="17"/>
    </row>
    <row r="921" spans="1:22" ht="14.25" customHeight="1">
      <c r="A921" s="17"/>
      <c r="B921" s="17"/>
      <c r="C921" s="37"/>
      <c r="D921" s="37"/>
      <c r="E921" s="37"/>
      <c r="F921" s="37"/>
      <c r="G921" s="37"/>
      <c r="H921" s="37"/>
      <c r="I921" s="37"/>
      <c r="J921" s="37"/>
      <c r="K921" s="37"/>
      <c r="O921" s="17"/>
      <c r="P921" s="17"/>
      <c r="Q921" s="17"/>
      <c r="R921" s="17"/>
      <c r="S921" s="17"/>
      <c r="T921" s="17"/>
      <c r="U921" s="17"/>
      <c r="V921" s="17"/>
    </row>
    <row r="922" spans="1:22" ht="14.25" customHeight="1">
      <c r="A922" s="17"/>
      <c r="B922" s="17"/>
      <c r="C922" s="37"/>
      <c r="D922" s="37"/>
      <c r="E922" s="37"/>
      <c r="F922" s="37"/>
      <c r="G922" s="37"/>
      <c r="H922" s="37"/>
      <c r="I922" s="37"/>
      <c r="J922" s="37"/>
      <c r="K922" s="37"/>
      <c r="O922" s="17"/>
      <c r="P922" s="17"/>
      <c r="Q922" s="17"/>
      <c r="R922" s="17"/>
      <c r="S922" s="17"/>
      <c r="T922" s="17"/>
      <c r="U922" s="17"/>
      <c r="V922" s="17"/>
    </row>
    <row r="923" spans="1:22" ht="14.25" customHeight="1">
      <c r="A923" s="17"/>
      <c r="B923" s="17"/>
      <c r="C923" s="37"/>
      <c r="D923" s="37"/>
      <c r="E923" s="37"/>
      <c r="F923" s="37"/>
      <c r="G923" s="37"/>
      <c r="H923" s="37"/>
      <c r="I923" s="37"/>
      <c r="J923" s="37"/>
      <c r="K923" s="37"/>
      <c r="O923" s="17"/>
      <c r="P923" s="17"/>
      <c r="Q923" s="17"/>
      <c r="R923" s="17"/>
      <c r="S923" s="17"/>
      <c r="T923" s="17"/>
      <c r="U923" s="17"/>
      <c r="V923" s="17"/>
    </row>
    <row r="924" spans="1:22" ht="14.25" customHeight="1">
      <c r="A924" s="17"/>
      <c r="B924" s="17"/>
      <c r="C924" s="37"/>
      <c r="D924" s="37"/>
      <c r="E924" s="37"/>
      <c r="F924" s="37"/>
      <c r="G924" s="37"/>
      <c r="H924" s="37"/>
      <c r="I924" s="37"/>
      <c r="J924" s="37"/>
      <c r="K924" s="37"/>
      <c r="O924" s="17"/>
      <c r="P924" s="17"/>
      <c r="Q924" s="17"/>
      <c r="R924" s="17"/>
      <c r="S924" s="17"/>
      <c r="T924" s="17"/>
      <c r="U924" s="17"/>
      <c r="V924" s="17"/>
    </row>
    <row r="925" spans="1:22" ht="14.25" customHeight="1">
      <c r="A925" s="17"/>
      <c r="B925" s="17"/>
      <c r="C925" s="37"/>
      <c r="D925" s="37"/>
      <c r="E925" s="37"/>
      <c r="F925" s="37"/>
      <c r="G925" s="37"/>
      <c r="H925" s="37"/>
      <c r="I925" s="37"/>
      <c r="J925" s="37"/>
      <c r="K925" s="37"/>
      <c r="O925" s="17"/>
      <c r="P925" s="17"/>
      <c r="Q925" s="17"/>
      <c r="R925" s="17"/>
      <c r="S925" s="17"/>
      <c r="T925" s="17"/>
      <c r="U925" s="17"/>
      <c r="V925" s="17"/>
    </row>
    <row r="926" spans="1:22" ht="14.25" customHeight="1">
      <c r="A926" s="17"/>
      <c r="B926" s="17"/>
      <c r="C926" s="37"/>
      <c r="D926" s="37"/>
      <c r="E926" s="37"/>
      <c r="F926" s="37"/>
      <c r="G926" s="37"/>
      <c r="H926" s="37"/>
      <c r="I926" s="37"/>
      <c r="J926" s="37"/>
      <c r="K926" s="37"/>
      <c r="O926" s="17"/>
      <c r="P926" s="17"/>
      <c r="Q926" s="17"/>
      <c r="R926" s="17"/>
      <c r="S926" s="17"/>
      <c r="T926" s="17"/>
      <c r="U926" s="17"/>
      <c r="V926" s="17"/>
    </row>
    <row r="927" spans="1:22" ht="14.25" customHeight="1">
      <c r="A927" s="17"/>
      <c r="B927" s="17"/>
      <c r="C927" s="37"/>
      <c r="D927" s="37"/>
      <c r="E927" s="37"/>
      <c r="F927" s="37"/>
      <c r="G927" s="37"/>
      <c r="H927" s="37"/>
      <c r="I927" s="37"/>
      <c r="J927" s="37"/>
      <c r="K927" s="37"/>
      <c r="O927" s="17"/>
      <c r="P927" s="17"/>
      <c r="Q927" s="17"/>
      <c r="R927" s="17"/>
      <c r="S927" s="17"/>
      <c r="T927" s="17"/>
      <c r="U927" s="17"/>
      <c r="V927" s="17"/>
    </row>
    <row r="928" spans="1:22" ht="14.25" customHeight="1">
      <c r="A928" s="17"/>
      <c r="B928" s="17"/>
      <c r="C928" s="37"/>
      <c r="D928" s="37"/>
      <c r="E928" s="37"/>
      <c r="F928" s="37"/>
      <c r="G928" s="37"/>
      <c r="H928" s="37"/>
      <c r="I928" s="37"/>
      <c r="J928" s="37"/>
      <c r="K928" s="37"/>
      <c r="O928" s="17"/>
      <c r="P928" s="17"/>
      <c r="Q928" s="17"/>
      <c r="R928" s="17"/>
      <c r="S928" s="17"/>
      <c r="T928" s="17"/>
      <c r="U928" s="17"/>
      <c r="V928" s="17"/>
    </row>
    <row r="929" spans="1:22" ht="14.25" customHeight="1">
      <c r="A929" s="17"/>
      <c r="B929" s="17"/>
      <c r="C929" s="37"/>
      <c r="D929" s="37"/>
      <c r="E929" s="37"/>
      <c r="F929" s="37"/>
      <c r="G929" s="37"/>
      <c r="H929" s="37"/>
      <c r="I929" s="37"/>
      <c r="J929" s="37"/>
      <c r="K929" s="37"/>
      <c r="O929" s="17"/>
      <c r="P929" s="17"/>
      <c r="Q929" s="17"/>
      <c r="R929" s="17"/>
      <c r="S929" s="17"/>
      <c r="T929" s="17"/>
      <c r="U929" s="17"/>
      <c r="V929" s="17"/>
    </row>
    <row r="930" spans="1:22" ht="14.25" customHeight="1">
      <c r="A930" s="17"/>
      <c r="B930" s="17"/>
      <c r="C930" s="37"/>
      <c r="D930" s="37"/>
      <c r="E930" s="37"/>
      <c r="F930" s="37"/>
      <c r="G930" s="37"/>
      <c r="H930" s="37"/>
      <c r="I930" s="37"/>
      <c r="J930" s="37"/>
      <c r="K930" s="37"/>
      <c r="O930" s="17"/>
      <c r="P930" s="17"/>
      <c r="Q930" s="17"/>
      <c r="R930" s="17"/>
      <c r="S930" s="17"/>
      <c r="T930" s="17"/>
      <c r="U930" s="17"/>
      <c r="V930" s="17"/>
    </row>
    <row r="931" spans="1:22" ht="14.25" customHeight="1">
      <c r="A931" s="17"/>
      <c r="B931" s="17"/>
      <c r="C931" s="37"/>
      <c r="D931" s="37"/>
      <c r="E931" s="37"/>
      <c r="F931" s="37"/>
      <c r="G931" s="37"/>
      <c r="H931" s="37"/>
      <c r="I931" s="37"/>
      <c r="J931" s="37"/>
      <c r="K931" s="37"/>
      <c r="O931" s="17"/>
      <c r="P931" s="17"/>
      <c r="Q931" s="17"/>
      <c r="R931" s="17"/>
      <c r="S931" s="17"/>
      <c r="T931" s="17"/>
      <c r="U931" s="17"/>
      <c r="V931" s="17"/>
    </row>
    <row r="932" spans="1:22" ht="14.25" customHeight="1">
      <c r="A932" s="17"/>
      <c r="B932" s="17"/>
      <c r="C932" s="37"/>
      <c r="D932" s="37"/>
      <c r="E932" s="37"/>
      <c r="F932" s="37"/>
      <c r="G932" s="37"/>
      <c r="H932" s="37"/>
      <c r="I932" s="37"/>
      <c r="J932" s="37"/>
      <c r="K932" s="37"/>
      <c r="O932" s="17"/>
      <c r="P932" s="17"/>
      <c r="Q932" s="17"/>
      <c r="R932" s="17"/>
      <c r="S932" s="17"/>
      <c r="T932" s="17"/>
      <c r="U932" s="17"/>
      <c r="V932" s="17"/>
    </row>
    <row r="933" spans="1:22" ht="14.25" customHeight="1">
      <c r="A933" s="17"/>
      <c r="B933" s="17"/>
      <c r="C933" s="37"/>
      <c r="D933" s="37"/>
      <c r="E933" s="37"/>
      <c r="F933" s="37"/>
      <c r="G933" s="37"/>
      <c r="H933" s="37"/>
      <c r="I933" s="37"/>
      <c r="J933" s="37"/>
      <c r="K933" s="37"/>
      <c r="O933" s="17"/>
      <c r="P933" s="17"/>
      <c r="Q933" s="17"/>
      <c r="R933" s="17"/>
      <c r="S933" s="17"/>
      <c r="T933" s="17"/>
      <c r="U933" s="17"/>
      <c r="V933" s="17"/>
    </row>
    <row r="934" spans="1:22" ht="14.25" customHeight="1">
      <c r="A934" s="17"/>
      <c r="B934" s="17"/>
      <c r="C934" s="37"/>
      <c r="D934" s="37"/>
      <c r="E934" s="37"/>
      <c r="F934" s="37"/>
      <c r="G934" s="37"/>
      <c r="H934" s="37"/>
      <c r="I934" s="37"/>
      <c r="J934" s="37"/>
      <c r="K934" s="37"/>
      <c r="O934" s="17"/>
      <c r="P934" s="17"/>
      <c r="Q934" s="17"/>
      <c r="R934" s="17"/>
      <c r="S934" s="17"/>
      <c r="T934" s="17"/>
      <c r="U934" s="17"/>
      <c r="V934" s="17"/>
    </row>
    <row r="935" spans="1:22" ht="14.25" customHeight="1">
      <c r="A935" s="17"/>
      <c r="B935" s="17"/>
      <c r="C935" s="37"/>
      <c r="D935" s="37"/>
      <c r="E935" s="37"/>
      <c r="F935" s="37"/>
      <c r="G935" s="37"/>
      <c r="H935" s="37"/>
      <c r="I935" s="37"/>
      <c r="J935" s="37"/>
      <c r="K935" s="37"/>
      <c r="O935" s="17"/>
      <c r="P935" s="17"/>
      <c r="Q935" s="17"/>
      <c r="R935" s="17"/>
      <c r="S935" s="17"/>
      <c r="T935" s="17"/>
      <c r="U935" s="17"/>
      <c r="V935" s="17"/>
    </row>
    <row r="936" spans="1:22" ht="14.25" customHeight="1">
      <c r="A936" s="17"/>
      <c r="B936" s="17"/>
      <c r="C936" s="37"/>
      <c r="D936" s="37"/>
      <c r="E936" s="37"/>
      <c r="F936" s="37"/>
      <c r="G936" s="37"/>
      <c r="H936" s="37"/>
      <c r="I936" s="37"/>
      <c r="J936" s="37"/>
      <c r="K936" s="37"/>
      <c r="O936" s="17"/>
      <c r="P936" s="17"/>
      <c r="Q936" s="17"/>
      <c r="R936" s="17"/>
      <c r="S936" s="17"/>
      <c r="T936" s="17"/>
      <c r="U936" s="17"/>
      <c r="V936" s="17"/>
    </row>
    <row r="937" spans="1:22" ht="14.25" customHeight="1">
      <c r="A937" s="17"/>
      <c r="B937" s="17"/>
      <c r="C937" s="37"/>
      <c r="D937" s="37"/>
      <c r="E937" s="37"/>
      <c r="F937" s="37"/>
      <c r="G937" s="37"/>
      <c r="H937" s="37"/>
      <c r="I937" s="37"/>
      <c r="J937" s="37"/>
      <c r="K937" s="37"/>
      <c r="O937" s="17"/>
      <c r="P937" s="17"/>
      <c r="Q937" s="17"/>
      <c r="R937" s="17"/>
      <c r="S937" s="17"/>
      <c r="T937" s="17"/>
      <c r="U937" s="17"/>
      <c r="V937" s="17"/>
    </row>
    <row r="938" spans="1:22" ht="14.25" customHeight="1">
      <c r="A938" s="17"/>
      <c r="B938" s="17"/>
      <c r="C938" s="37"/>
      <c r="D938" s="37"/>
      <c r="E938" s="37"/>
      <c r="F938" s="37"/>
      <c r="G938" s="37"/>
      <c r="H938" s="37"/>
      <c r="I938" s="37"/>
      <c r="J938" s="37"/>
      <c r="K938" s="37"/>
      <c r="O938" s="17"/>
      <c r="P938" s="17"/>
      <c r="Q938" s="17"/>
      <c r="R938" s="17"/>
      <c r="S938" s="17"/>
      <c r="T938" s="17"/>
      <c r="U938" s="17"/>
      <c r="V938" s="17"/>
    </row>
    <row r="939" spans="1:22" ht="14.25" customHeight="1">
      <c r="A939" s="17"/>
      <c r="B939" s="17"/>
      <c r="C939" s="37"/>
      <c r="D939" s="37"/>
      <c r="E939" s="37"/>
      <c r="F939" s="37"/>
      <c r="G939" s="37"/>
      <c r="H939" s="37"/>
      <c r="I939" s="37"/>
      <c r="J939" s="37"/>
      <c r="K939" s="37"/>
      <c r="O939" s="17"/>
      <c r="P939" s="17"/>
      <c r="Q939" s="17"/>
      <c r="R939" s="17"/>
      <c r="S939" s="17"/>
      <c r="T939" s="17"/>
      <c r="U939" s="17"/>
      <c r="V939" s="17"/>
    </row>
    <row r="940" spans="1:22" ht="14.25" customHeight="1">
      <c r="A940" s="17"/>
      <c r="B940" s="17"/>
      <c r="C940" s="37"/>
      <c r="D940" s="37"/>
      <c r="E940" s="37"/>
      <c r="F940" s="37"/>
      <c r="G940" s="37"/>
      <c r="H940" s="37"/>
      <c r="I940" s="37"/>
      <c r="J940" s="37"/>
      <c r="K940" s="37"/>
      <c r="O940" s="17"/>
      <c r="P940" s="17"/>
      <c r="Q940" s="17"/>
      <c r="R940" s="17"/>
      <c r="S940" s="17"/>
      <c r="T940" s="17"/>
      <c r="U940" s="17"/>
      <c r="V940" s="17"/>
    </row>
    <row r="941" spans="1:22" ht="14.25" customHeight="1">
      <c r="A941" s="17"/>
      <c r="B941" s="17"/>
      <c r="C941" s="37"/>
      <c r="D941" s="37"/>
      <c r="E941" s="37"/>
      <c r="F941" s="37"/>
      <c r="G941" s="37"/>
      <c r="H941" s="37"/>
      <c r="I941" s="37"/>
      <c r="J941" s="37"/>
      <c r="K941" s="37"/>
      <c r="O941" s="17"/>
      <c r="P941" s="17"/>
      <c r="Q941" s="17"/>
      <c r="R941" s="17"/>
      <c r="S941" s="17"/>
      <c r="T941" s="17"/>
      <c r="U941" s="17"/>
      <c r="V941" s="17"/>
    </row>
    <row r="942" spans="1:22" ht="14.25" customHeight="1">
      <c r="A942" s="17"/>
      <c r="B942" s="17"/>
      <c r="C942" s="37"/>
      <c r="D942" s="37"/>
      <c r="E942" s="37"/>
      <c r="F942" s="37"/>
      <c r="G942" s="37"/>
      <c r="H942" s="37"/>
      <c r="I942" s="37"/>
      <c r="J942" s="37"/>
      <c r="K942" s="37"/>
      <c r="O942" s="17"/>
      <c r="P942" s="17"/>
      <c r="Q942" s="17"/>
      <c r="R942" s="17"/>
      <c r="S942" s="17"/>
      <c r="T942" s="17"/>
      <c r="U942" s="17"/>
      <c r="V942" s="17"/>
    </row>
    <row r="943" spans="1:22" ht="14.25" customHeight="1">
      <c r="A943" s="17"/>
      <c r="B943" s="17"/>
      <c r="C943" s="37"/>
      <c r="D943" s="37"/>
      <c r="E943" s="37"/>
      <c r="F943" s="37"/>
      <c r="G943" s="37"/>
      <c r="H943" s="37"/>
      <c r="I943" s="37"/>
      <c r="J943" s="37"/>
      <c r="K943" s="37"/>
      <c r="O943" s="17"/>
      <c r="P943" s="17"/>
      <c r="Q943" s="17"/>
      <c r="R943" s="17"/>
      <c r="S943" s="17"/>
      <c r="T943" s="17"/>
      <c r="U943" s="17"/>
      <c r="V943" s="17"/>
    </row>
    <row r="944" spans="1:22" ht="14.25" customHeight="1">
      <c r="A944" s="17"/>
      <c r="B944" s="17"/>
      <c r="C944" s="37"/>
      <c r="D944" s="37"/>
      <c r="E944" s="37"/>
      <c r="F944" s="37"/>
      <c r="G944" s="37"/>
      <c r="H944" s="37"/>
      <c r="I944" s="37"/>
      <c r="J944" s="37"/>
      <c r="K944" s="37"/>
      <c r="O944" s="17"/>
      <c r="P944" s="17"/>
      <c r="Q944" s="17"/>
      <c r="R944" s="17"/>
      <c r="S944" s="17"/>
      <c r="T944" s="17"/>
      <c r="U944" s="17"/>
      <c r="V944" s="17"/>
    </row>
    <row r="945" spans="1:22" ht="14.25" customHeight="1">
      <c r="A945" s="17"/>
      <c r="B945" s="17"/>
      <c r="C945" s="37"/>
      <c r="D945" s="37"/>
      <c r="E945" s="37"/>
      <c r="F945" s="37"/>
      <c r="G945" s="37"/>
      <c r="H945" s="37"/>
      <c r="I945" s="37"/>
      <c r="J945" s="37"/>
      <c r="K945" s="37"/>
      <c r="O945" s="17"/>
      <c r="P945" s="17"/>
      <c r="Q945" s="17"/>
      <c r="R945" s="17"/>
      <c r="S945" s="17"/>
      <c r="T945" s="17"/>
      <c r="U945" s="17"/>
      <c r="V945" s="17"/>
    </row>
    <row r="946" spans="1:22" ht="14.25" customHeight="1">
      <c r="A946" s="17"/>
      <c r="B946" s="17"/>
      <c r="C946" s="37"/>
      <c r="D946" s="37"/>
      <c r="E946" s="37"/>
      <c r="F946" s="37"/>
      <c r="G946" s="37"/>
      <c r="H946" s="37"/>
      <c r="I946" s="37"/>
      <c r="J946" s="37"/>
      <c r="K946" s="37"/>
      <c r="O946" s="17"/>
      <c r="P946" s="17"/>
      <c r="Q946" s="17"/>
      <c r="R946" s="17"/>
      <c r="S946" s="17"/>
      <c r="T946" s="17"/>
      <c r="U946" s="17"/>
      <c r="V946" s="17"/>
    </row>
    <row r="947" spans="1:22" ht="14.25" customHeight="1">
      <c r="A947" s="17"/>
      <c r="B947" s="17"/>
      <c r="C947" s="37"/>
      <c r="D947" s="37"/>
      <c r="E947" s="37"/>
      <c r="F947" s="37"/>
      <c r="G947" s="37"/>
      <c r="H947" s="37"/>
      <c r="I947" s="37"/>
      <c r="J947" s="37"/>
      <c r="K947" s="37"/>
      <c r="O947" s="17"/>
      <c r="P947" s="17"/>
      <c r="Q947" s="17"/>
      <c r="R947" s="17"/>
      <c r="S947" s="17"/>
      <c r="T947" s="17"/>
      <c r="U947" s="17"/>
      <c r="V947" s="17"/>
    </row>
    <row r="948" spans="1:22" ht="14.25" customHeight="1">
      <c r="A948" s="17"/>
      <c r="B948" s="17"/>
      <c r="C948" s="37"/>
      <c r="D948" s="37"/>
      <c r="E948" s="37"/>
      <c r="F948" s="37"/>
      <c r="G948" s="37"/>
      <c r="H948" s="37"/>
      <c r="I948" s="37"/>
      <c r="J948" s="37"/>
      <c r="K948" s="37"/>
      <c r="O948" s="17"/>
      <c r="P948" s="17"/>
      <c r="Q948" s="17"/>
      <c r="R948" s="17"/>
      <c r="S948" s="17"/>
      <c r="T948" s="17"/>
      <c r="U948" s="17"/>
      <c r="V948" s="17"/>
    </row>
    <row r="949" spans="1:22" ht="14.25" customHeight="1">
      <c r="A949" s="17"/>
      <c r="B949" s="17"/>
      <c r="C949" s="37"/>
      <c r="D949" s="37"/>
      <c r="E949" s="37"/>
      <c r="F949" s="37"/>
      <c r="G949" s="37"/>
      <c r="H949" s="37"/>
      <c r="I949" s="37"/>
      <c r="J949" s="37"/>
      <c r="K949" s="37"/>
      <c r="O949" s="17"/>
      <c r="P949" s="17"/>
      <c r="Q949" s="17"/>
      <c r="R949" s="17"/>
      <c r="S949" s="17"/>
      <c r="T949" s="17"/>
      <c r="U949" s="17"/>
      <c r="V949" s="17"/>
    </row>
    <row r="950" spans="1:22" ht="14.25" customHeight="1">
      <c r="A950" s="17"/>
      <c r="B950" s="17"/>
      <c r="C950" s="37"/>
      <c r="D950" s="37"/>
      <c r="E950" s="37"/>
      <c r="F950" s="37"/>
      <c r="G950" s="37"/>
      <c r="H950" s="37"/>
      <c r="I950" s="37"/>
      <c r="J950" s="37"/>
      <c r="K950" s="37"/>
      <c r="O950" s="17"/>
      <c r="P950" s="17"/>
      <c r="Q950" s="17"/>
      <c r="R950" s="17"/>
      <c r="S950" s="17"/>
      <c r="T950" s="17"/>
      <c r="U950" s="17"/>
      <c r="V950" s="17"/>
    </row>
    <row r="951" spans="1:22" ht="14.25" customHeight="1">
      <c r="A951" s="17"/>
      <c r="B951" s="17"/>
      <c r="C951" s="37"/>
      <c r="D951" s="37"/>
      <c r="E951" s="37"/>
      <c r="F951" s="37"/>
      <c r="G951" s="37"/>
      <c r="H951" s="37"/>
      <c r="I951" s="37"/>
      <c r="J951" s="37"/>
      <c r="K951" s="37"/>
      <c r="O951" s="17"/>
      <c r="P951" s="17"/>
      <c r="Q951" s="17"/>
      <c r="R951" s="17"/>
      <c r="S951" s="17"/>
      <c r="T951" s="17"/>
      <c r="U951" s="17"/>
      <c r="V951" s="17"/>
    </row>
    <row r="952" spans="1:22" ht="14.25" customHeight="1">
      <c r="A952" s="17"/>
      <c r="B952" s="17"/>
      <c r="C952" s="37"/>
      <c r="D952" s="37"/>
      <c r="E952" s="37"/>
      <c r="F952" s="37"/>
      <c r="G952" s="37"/>
      <c r="H952" s="37"/>
      <c r="I952" s="37"/>
      <c r="J952" s="37"/>
      <c r="K952" s="37"/>
      <c r="O952" s="17"/>
      <c r="P952" s="17"/>
      <c r="Q952" s="17"/>
      <c r="R952" s="17"/>
      <c r="S952" s="17"/>
      <c r="T952" s="17"/>
      <c r="U952" s="17"/>
      <c r="V952" s="17"/>
    </row>
    <row r="953" spans="1:22" ht="14.25" customHeight="1">
      <c r="A953" s="17"/>
      <c r="B953" s="17"/>
      <c r="C953" s="37"/>
      <c r="D953" s="37"/>
      <c r="E953" s="37"/>
      <c r="F953" s="37"/>
      <c r="G953" s="37"/>
      <c r="H953" s="37"/>
      <c r="I953" s="37"/>
      <c r="J953" s="37"/>
      <c r="K953" s="37"/>
      <c r="O953" s="17"/>
      <c r="P953" s="17"/>
      <c r="Q953" s="17"/>
      <c r="R953" s="17"/>
      <c r="S953" s="17"/>
      <c r="T953" s="17"/>
      <c r="U953" s="17"/>
      <c r="V953" s="17"/>
    </row>
    <row r="954" spans="1:22" ht="14.25" customHeight="1">
      <c r="A954" s="17"/>
      <c r="B954" s="17"/>
      <c r="C954" s="37"/>
      <c r="D954" s="37"/>
      <c r="E954" s="37"/>
      <c r="F954" s="37"/>
      <c r="G954" s="37"/>
      <c r="H954" s="37"/>
      <c r="I954" s="37"/>
      <c r="J954" s="37"/>
      <c r="K954" s="37"/>
      <c r="O954" s="17"/>
      <c r="P954" s="17"/>
      <c r="Q954" s="17"/>
      <c r="R954" s="17"/>
      <c r="S954" s="17"/>
      <c r="T954" s="17"/>
      <c r="U954" s="17"/>
      <c r="V954" s="17"/>
    </row>
    <row r="955" spans="1:22" ht="14.25" customHeight="1">
      <c r="A955" s="17"/>
      <c r="B955" s="17"/>
      <c r="C955" s="37"/>
      <c r="D955" s="37"/>
      <c r="E955" s="37"/>
      <c r="F955" s="37"/>
      <c r="G955" s="37"/>
      <c r="H955" s="37"/>
      <c r="I955" s="37"/>
      <c r="J955" s="37"/>
      <c r="K955" s="37"/>
      <c r="O955" s="17"/>
      <c r="P955" s="17"/>
      <c r="Q955" s="17"/>
      <c r="R955" s="17"/>
      <c r="S955" s="17"/>
      <c r="T955" s="17"/>
      <c r="U955" s="17"/>
      <c r="V955" s="17"/>
    </row>
    <row r="956" spans="1:22" ht="14.25" customHeight="1">
      <c r="A956" s="17"/>
      <c r="B956" s="17"/>
      <c r="C956" s="37"/>
      <c r="D956" s="37"/>
      <c r="E956" s="37"/>
      <c r="F956" s="37"/>
      <c r="G956" s="37"/>
      <c r="H956" s="37"/>
      <c r="I956" s="37"/>
      <c r="J956" s="37"/>
      <c r="K956" s="37"/>
      <c r="O956" s="17"/>
      <c r="P956" s="17"/>
      <c r="Q956" s="17"/>
      <c r="R956" s="17"/>
      <c r="S956" s="17"/>
      <c r="T956" s="17"/>
      <c r="U956" s="17"/>
      <c r="V956" s="17"/>
    </row>
    <row r="957" spans="1:22" ht="14.25" customHeight="1">
      <c r="A957" s="17"/>
      <c r="B957" s="17"/>
      <c r="C957" s="37"/>
      <c r="D957" s="37"/>
      <c r="E957" s="37"/>
      <c r="F957" s="37"/>
      <c r="G957" s="37"/>
      <c r="H957" s="37"/>
      <c r="I957" s="37"/>
      <c r="J957" s="37"/>
      <c r="K957" s="37"/>
      <c r="O957" s="17"/>
      <c r="P957" s="17"/>
      <c r="Q957" s="17"/>
      <c r="R957" s="17"/>
      <c r="S957" s="17"/>
      <c r="T957" s="17"/>
      <c r="U957" s="17"/>
      <c r="V957" s="17"/>
    </row>
    <row r="958" spans="1:22" ht="14.25" customHeight="1">
      <c r="A958" s="17"/>
      <c r="B958" s="17"/>
      <c r="C958" s="37"/>
      <c r="D958" s="37"/>
      <c r="E958" s="37"/>
      <c r="F958" s="37"/>
      <c r="G958" s="37"/>
      <c r="H958" s="37"/>
      <c r="I958" s="37"/>
      <c r="J958" s="37"/>
      <c r="K958" s="37"/>
      <c r="O958" s="17"/>
      <c r="P958" s="17"/>
      <c r="Q958" s="17"/>
      <c r="R958" s="17"/>
      <c r="S958" s="17"/>
      <c r="T958" s="17"/>
      <c r="U958" s="17"/>
      <c r="V958" s="17"/>
    </row>
    <row r="959" spans="1:22" ht="14.25" customHeight="1">
      <c r="A959" s="17"/>
      <c r="B959" s="17"/>
      <c r="C959" s="37"/>
      <c r="D959" s="37"/>
      <c r="E959" s="37"/>
      <c r="F959" s="37"/>
      <c r="G959" s="37"/>
      <c r="H959" s="37"/>
      <c r="I959" s="37"/>
      <c r="J959" s="37"/>
      <c r="K959" s="37"/>
      <c r="O959" s="17"/>
      <c r="P959" s="17"/>
      <c r="Q959" s="17"/>
      <c r="R959" s="17"/>
      <c r="S959" s="17"/>
      <c r="T959" s="17"/>
      <c r="U959" s="17"/>
      <c r="V959" s="17"/>
    </row>
    <row r="960" spans="1:22" ht="14.25" customHeight="1">
      <c r="A960" s="17"/>
      <c r="B960" s="17"/>
      <c r="C960" s="37"/>
      <c r="D960" s="37"/>
      <c r="E960" s="37"/>
      <c r="F960" s="37"/>
      <c r="G960" s="37"/>
      <c r="H960" s="37"/>
      <c r="I960" s="37"/>
      <c r="J960" s="37"/>
      <c r="K960" s="37"/>
      <c r="O960" s="17"/>
      <c r="P960" s="17"/>
      <c r="Q960" s="17"/>
      <c r="R960" s="17"/>
      <c r="S960" s="17"/>
      <c r="T960" s="17"/>
      <c r="U960" s="17"/>
      <c r="V960" s="17"/>
    </row>
    <row r="961" spans="1:22" ht="14.25" customHeight="1">
      <c r="A961" s="17"/>
      <c r="B961" s="17"/>
      <c r="C961" s="37"/>
      <c r="D961" s="37"/>
      <c r="E961" s="37"/>
      <c r="F961" s="37"/>
      <c r="G961" s="37"/>
      <c r="H961" s="37"/>
      <c r="I961" s="37"/>
      <c r="J961" s="37"/>
      <c r="K961" s="37"/>
      <c r="O961" s="17"/>
      <c r="P961" s="17"/>
      <c r="Q961" s="17"/>
      <c r="R961" s="17"/>
      <c r="S961" s="17"/>
      <c r="T961" s="17"/>
      <c r="U961" s="17"/>
      <c r="V961" s="17"/>
    </row>
    <row r="962" spans="1:22" ht="14.25" customHeight="1">
      <c r="A962" s="17"/>
      <c r="B962" s="17"/>
      <c r="C962" s="37"/>
      <c r="D962" s="37"/>
      <c r="E962" s="37"/>
      <c r="F962" s="37"/>
      <c r="G962" s="37"/>
      <c r="H962" s="37"/>
      <c r="I962" s="37"/>
      <c r="J962" s="37"/>
      <c r="K962" s="37"/>
      <c r="O962" s="17"/>
      <c r="P962" s="17"/>
      <c r="Q962" s="17"/>
      <c r="R962" s="17"/>
      <c r="S962" s="17"/>
      <c r="T962" s="17"/>
      <c r="U962" s="17"/>
      <c r="V962" s="17"/>
    </row>
    <row r="963" spans="1:22" ht="14.25" customHeight="1">
      <c r="A963" s="17"/>
      <c r="B963" s="17"/>
      <c r="C963" s="37"/>
      <c r="D963" s="37"/>
      <c r="E963" s="37"/>
      <c r="F963" s="37"/>
      <c r="G963" s="37"/>
      <c r="H963" s="37"/>
      <c r="I963" s="37"/>
      <c r="J963" s="37"/>
      <c r="K963" s="37"/>
      <c r="O963" s="17"/>
      <c r="P963" s="17"/>
      <c r="Q963" s="17"/>
      <c r="R963" s="17"/>
      <c r="S963" s="17"/>
      <c r="T963" s="17"/>
      <c r="U963" s="17"/>
      <c r="V963" s="17"/>
    </row>
    <row r="964" spans="1:22" ht="14.25" customHeight="1">
      <c r="A964" s="17"/>
      <c r="B964" s="17"/>
      <c r="C964" s="37"/>
      <c r="D964" s="37"/>
      <c r="E964" s="37"/>
      <c r="F964" s="37"/>
      <c r="G964" s="37"/>
      <c r="H964" s="37"/>
      <c r="I964" s="37"/>
      <c r="J964" s="37"/>
      <c r="K964" s="37"/>
      <c r="O964" s="17"/>
      <c r="P964" s="17"/>
      <c r="Q964" s="17"/>
      <c r="R964" s="17"/>
      <c r="S964" s="17"/>
      <c r="T964" s="17"/>
      <c r="U964" s="17"/>
      <c r="V964" s="17"/>
    </row>
    <row r="965" spans="1:22" ht="14.25" customHeight="1">
      <c r="A965" s="17"/>
      <c r="B965" s="17"/>
      <c r="C965" s="37"/>
      <c r="D965" s="37"/>
      <c r="E965" s="37"/>
      <c r="F965" s="37"/>
      <c r="G965" s="37"/>
      <c r="H965" s="37"/>
      <c r="I965" s="37"/>
      <c r="J965" s="37"/>
      <c r="K965" s="37"/>
      <c r="O965" s="17"/>
      <c r="P965" s="17"/>
      <c r="Q965" s="17"/>
      <c r="R965" s="17"/>
      <c r="S965" s="17"/>
      <c r="T965" s="17"/>
      <c r="U965" s="17"/>
      <c r="V965" s="17"/>
    </row>
    <row r="966" spans="1:22" ht="14.25" customHeight="1">
      <c r="A966" s="17"/>
      <c r="B966" s="17"/>
      <c r="C966" s="37"/>
      <c r="D966" s="37"/>
      <c r="E966" s="37"/>
      <c r="F966" s="37"/>
      <c r="G966" s="37"/>
      <c r="H966" s="37"/>
      <c r="I966" s="37"/>
      <c r="J966" s="37"/>
      <c r="K966" s="37"/>
      <c r="O966" s="17"/>
      <c r="P966" s="17"/>
      <c r="Q966" s="17"/>
      <c r="R966" s="17"/>
      <c r="S966" s="17"/>
      <c r="T966" s="17"/>
      <c r="U966" s="17"/>
      <c r="V966" s="17"/>
    </row>
    <row r="967" spans="1:22" ht="14.25" customHeight="1">
      <c r="A967" s="17"/>
      <c r="B967" s="17"/>
      <c r="C967" s="37"/>
      <c r="D967" s="37"/>
      <c r="E967" s="37"/>
      <c r="F967" s="37"/>
      <c r="G967" s="37"/>
      <c r="H967" s="37"/>
      <c r="I967" s="37"/>
      <c r="J967" s="37"/>
      <c r="K967" s="37"/>
      <c r="O967" s="17"/>
      <c r="P967" s="17"/>
      <c r="Q967" s="17"/>
      <c r="R967" s="17"/>
      <c r="S967" s="17"/>
      <c r="T967" s="17"/>
      <c r="U967" s="17"/>
      <c r="V967" s="17"/>
    </row>
    <row r="968" spans="1:22" ht="14.25" customHeight="1">
      <c r="A968" s="17"/>
      <c r="B968" s="17"/>
      <c r="C968" s="37"/>
      <c r="D968" s="37"/>
      <c r="E968" s="37"/>
      <c r="F968" s="37"/>
      <c r="G968" s="37"/>
      <c r="H968" s="37"/>
      <c r="I968" s="37"/>
      <c r="J968" s="37"/>
      <c r="K968" s="37"/>
      <c r="O968" s="17"/>
      <c r="P968" s="17"/>
      <c r="Q968" s="17"/>
      <c r="R968" s="17"/>
      <c r="S968" s="17"/>
      <c r="T968" s="17"/>
      <c r="U968" s="17"/>
      <c r="V968" s="17"/>
    </row>
    <row r="969" spans="1:22" ht="14.25" customHeight="1">
      <c r="A969" s="17"/>
      <c r="B969" s="17"/>
      <c r="C969" s="37"/>
      <c r="D969" s="37"/>
      <c r="E969" s="37"/>
      <c r="F969" s="37"/>
      <c r="G969" s="37"/>
      <c r="H969" s="37"/>
      <c r="I969" s="37"/>
      <c r="J969" s="37"/>
      <c r="K969" s="37"/>
      <c r="O969" s="17"/>
      <c r="P969" s="17"/>
      <c r="Q969" s="17"/>
      <c r="R969" s="17"/>
      <c r="S969" s="17"/>
      <c r="T969" s="17"/>
      <c r="U969" s="17"/>
      <c r="V969" s="17"/>
    </row>
    <row r="970" spans="1:22" ht="14.25" customHeight="1">
      <c r="A970" s="17"/>
      <c r="B970" s="17"/>
      <c r="C970" s="37"/>
      <c r="D970" s="37"/>
      <c r="E970" s="37"/>
      <c r="F970" s="37"/>
      <c r="G970" s="37"/>
      <c r="H970" s="37"/>
      <c r="I970" s="37"/>
      <c r="J970" s="37"/>
      <c r="K970" s="37"/>
      <c r="O970" s="17"/>
      <c r="P970" s="17"/>
      <c r="Q970" s="17"/>
      <c r="R970" s="17"/>
      <c r="S970" s="17"/>
      <c r="T970" s="17"/>
      <c r="U970" s="17"/>
      <c r="V970" s="17"/>
    </row>
    <row r="971" spans="1:22" ht="14.25" customHeight="1">
      <c r="A971" s="17"/>
      <c r="B971" s="17"/>
      <c r="C971" s="37"/>
      <c r="D971" s="37"/>
      <c r="E971" s="37"/>
      <c r="F971" s="37"/>
      <c r="G971" s="37"/>
      <c r="H971" s="37"/>
      <c r="I971" s="37"/>
      <c r="J971" s="37"/>
      <c r="K971" s="37"/>
      <c r="O971" s="17"/>
      <c r="P971" s="17"/>
      <c r="Q971" s="17"/>
      <c r="R971" s="17"/>
      <c r="S971" s="17"/>
      <c r="T971" s="17"/>
      <c r="U971" s="17"/>
      <c r="V971" s="17"/>
    </row>
    <row r="972" spans="1:22" ht="14.25" customHeight="1">
      <c r="A972" s="17"/>
      <c r="B972" s="17"/>
      <c r="C972" s="37"/>
      <c r="D972" s="37"/>
      <c r="E972" s="37"/>
      <c r="F972" s="37"/>
      <c r="G972" s="37"/>
      <c r="H972" s="37"/>
      <c r="I972" s="37"/>
      <c r="J972" s="37"/>
      <c r="K972" s="37"/>
      <c r="O972" s="17"/>
      <c r="P972" s="17"/>
      <c r="Q972" s="17"/>
      <c r="R972" s="17"/>
      <c r="S972" s="17"/>
      <c r="T972" s="17"/>
      <c r="U972" s="17"/>
      <c r="V972" s="17"/>
    </row>
    <row r="973" spans="1:22" ht="14.25" customHeight="1">
      <c r="A973" s="17"/>
      <c r="B973" s="17"/>
      <c r="C973" s="37"/>
      <c r="D973" s="37"/>
      <c r="E973" s="37"/>
      <c r="F973" s="37"/>
      <c r="G973" s="37"/>
      <c r="H973" s="37"/>
      <c r="I973" s="37"/>
      <c r="J973" s="37"/>
      <c r="K973" s="37"/>
      <c r="O973" s="17"/>
      <c r="P973" s="17"/>
      <c r="Q973" s="17"/>
      <c r="R973" s="17"/>
      <c r="S973" s="17"/>
      <c r="T973" s="17"/>
      <c r="U973" s="17"/>
      <c r="V973" s="17"/>
    </row>
    <row r="974" spans="1:22" ht="14.25" customHeight="1">
      <c r="A974" s="17"/>
      <c r="B974" s="17"/>
      <c r="C974" s="37"/>
      <c r="D974" s="37"/>
      <c r="E974" s="37"/>
      <c r="F974" s="37"/>
      <c r="G974" s="37"/>
      <c r="H974" s="37"/>
      <c r="I974" s="37"/>
      <c r="J974" s="37"/>
      <c r="K974" s="37"/>
      <c r="O974" s="17"/>
      <c r="P974" s="17"/>
      <c r="Q974" s="17"/>
      <c r="R974" s="17"/>
      <c r="S974" s="17"/>
      <c r="T974" s="17"/>
      <c r="U974" s="17"/>
      <c r="V974" s="17"/>
    </row>
    <row r="975" spans="1:22" ht="14.25" customHeight="1">
      <c r="A975" s="17"/>
      <c r="B975" s="17"/>
      <c r="C975" s="37"/>
      <c r="D975" s="37"/>
      <c r="E975" s="37"/>
      <c r="F975" s="37"/>
      <c r="G975" s="37"/>
      <c r="H975" s="37"/>
      <c r="I975" s="37"/>
      <c r="J975" s="37"/>
      <c r="K975" s="37"/>
      <c r="O975" s="17"/>
      <c r="P975" s="17"/>
      <c r="Q975" s="17"/>
      <c r="R975" s="17"/>
      <c r="S975" s="17"/>
      <c r="T975" s="17"/>
      <c r="U975" s="17"/>
      <c r="V975" s="17"/>
    </row>
    <row r="976" spans="1:22" ht="14.25" customHeight="1">
      <c r="A976" s="17"/>
      <c r="B976" s="17"/>
      <c r="C976" s="37"/>
      <c r="D976" s="37"/>
      <c r="E976" s="37"/>
      <c r="F976" s="37"/>
      <c r="G976" s="37"/>
      <c r="H976" s="37"/>
      <c r="I976" s="37"/>
      <c r="J976" s="37"/>
      <c r="K976" s="37"/>
      <c r="O976" s="17"/>
      <c r="P976" s="17"/>
      <c r="Q976" s="17"/>
      <c r="R976" s="17"/>
      <c r="S976" s="17"/>
      <c r="T976" s="17"/>
      <c r="U976" s="17"/>
      <c r="V976" s="17"/>
    </row>
    <row r="977" spans="1:22" ht="14.25" customHeight="1">
      <c r="A977" s="17"/>
      <c r="B977" s="17"/>
      <c r="C977" s="37"/>
      <c r="D977" s="37"/>
      <c r="E977" s="37"/>
      <c r="F977" s="37"/>
      <c r="G977" s="37"/>
      <c r="H977" s="37"/>
      <c r="I977" s="37"/>
      <c r="J977" s="37"/>
      <c r="K977" s="37"/>
      <c r="O977" s="17"/>
      <c r="P977" s="17"/>
      <c r="Q977" s="17"/>
      <c r="R977" s="17"/>
      <c r="S977" s="17"/>
      <c r="T977" s="17"/>
      <c r="U977" s="17"/>
      <c r="V977" s="17"/>
    </row>
    <row r="978" spans="1:22" ht="14.25" customHeight="1">
      <c r="A978" s="17"/>
      <c r="B978" s="17"/>
      <c r="C978" s="37"/>
      <c r="D978" s="37"/>
      <c r="E978" s="37"/>
      <c r="F978" s="37"/>
      <c r="G978" s="37"/>
      <c r="H978" s="37"/>
      <c r="I978" s="37"/>
      <c r="J978" s="37"/>
      <c r="K978" s="37"/>
      <c r="O978" s="17"/>
      <c r="P978" s="17"/>
      <c r="Q978" s="17"/>
      <c r="R978" s="17"/>
      <c r="S978" s="17"/>
      <c r="T978" s="17"/>
      <c r="U978" s="17"/>
      <c r="V978" s="17"/>
    </row>
    <row r="979" spans="1:22" ht="14.25" customHeight="1">
      <c r="A979" s="17"/>
      <c r="B979" s="17"/>
      <c r="C979" s="37"/>
      <c r="D979" s="37"/>
      <c r="E979" s="37"/>
      <c r="F979" s="37"/>
      <c r="G979" s="37"/>
      <c r="H979" s="37"/>
      <c r="I979" s="37"/>
      <c r="J979" s="37"/>
      <c r="K979" s="37"/>
      <c r="O979" s="17"/>
      <c r="P979" s="17"/>
      <c r="Q979" s="17"/>
      <c r="R979" s="17"/>
      <c r="S979" s="17"/>
      <c r="T979" s="17"/>
      <c r="U979" s="17"/>
      <c r="V979" s="17"/>
    </row>
    <row r="980" spans="1:22" ht="14.25" customHeight="1">
      <c r="A980" s="17"/>
      <c r="B980" s="17"/>
      <c r="C980" s="37"/>
      <c r="D980" s="37"/>
      <c r="E980" s="37"/>
      <c r="F980" s="37"/>
      <c r="G980" s="37"/>
      <c r="H980" s="37"/>
      <c r="I980" s="37"/>
      <c r="J980" s="37"/>
      <c r="K980" s="37"/>
      <c r="O980" s="17"/>
      <c r="P980" s="17"/>
      <c r="Q980" s="17"/>
      <c r="R980" s="17"/>
      <c r="S980" s="17"/>
      <c r="T980" s="17"/>
      <c r="U980" s="17"/>
      <c r="V980" s="17"/>
    </row>
    <row r="981" spans="1:22" ht="14.25" customHeight="1">
      <c r="A981" s="17"/>
      <c r="B981" s="17"/>
      <c r="C981" s="37"/>
      <c r="D981" s="37"/>
      <c r="E981" s="37"/>
      <c r="F981" s="37"/>
      <c r="G981" s="37"/>
      <c r="H981" s="37"/>
      <c r="I981" s="37"/>
      <c r="J981" s="37"/>
      <c r="K981" s="37"/>
      <c r="O981" s="17"/>
      <c r="P981" s="17"/>
      <c r="Q981" s="17"/>
      <c r="R981" s="17"/>
      <c r="S981" s="17"/>
      <c r="T981" s="17"/>
      <c r="U981" s="17"/>
      <c r="V981" s="17"/>
    </row>
    <row r="982" spans="1:22" ht="14.25" customHeight="1">
      <c r="A982" s="17"/>
      <c r="B982" s="17"/>
      <c r="C982" s="37"/>
      <c r="D982" s="37"/>
      <c r="E982" s="37"/>
      <c r="F982" s="37"/>
      <c r="G982" s="37"/>
      <c r="H982" s="37"/>
      <c r="I982" s="37"/>
      <c r="J982" s="37"/>
      <c r="K982" s="37"/>
      <c r="O982" s="17"/>
      <c r="P982" s="17"/>
      <c r="Q982" s="17"/>
      <c r="R982" s="17"/>
      <c r="S982" s="17"/>
      <c r="T982" s="17"/>
      <c r="U982" s="17"/>
      <c r="V982" s="17"/>
    </row>
    <row r="983" spans="1:22" ht="14.25" customHeight="1">
      <c r="A983" s="17"/>
      <c r="B983" s="17"/>
      <c r="C983" s="37"/>
      <c r="D983" s="37"/>
      <c r="E983" s="37"/>
      <c r="F983" s="37"/>
      <c r="G983" s="37"/>
      <c r="H983" s="37"/>
      <c r="I983" s="37"/>
      <c r="J983" s="37"/>
      <c r="K983" s="37"/>
      <c r="O983" s="17"/>
      <c r="P983" s="17"/>
      <c r="Q983" s="17"/>
      <c r="R983" s="17"/>
      <c r="S983" s="17"/>
      <c r="T983" s="17"/>
      <c r="U983" s="17"/>
      <c r="V983" s="17"/>
    </row>
    <row r="984" spans="1:22" ht="14.25" customHeight="1">
      <c r="A984" s="17"/>
      <c r="B984" s="17"/>
      <c r="C984" s="37"/>
      <c r="D984" s="37"/>
      <c r="E984" s="37"/>
      <c r="F984" s="37"/>
      <c r="G984" s="37"/>
      <c r="H984" s="37"/>
      <c r="I984" s="37"/>
      <c r="J984" s="37"/>
      <c r="K984" s="37"/>
      <c r="O984" s="17"/>
      <c r="P984" s="17"/>
      <c r="Q984" s="17"/>
      <c r="R984" s="17"/>
      <c r="S984" s="17"/>
      <c r="T984" s="17"/>
      <c r="U984" s="17"/>
      <c r="V984" s="17"/>
    </row>
    <row r="985" spans="1:22" ht="14.25" customHeight="1">
      <c r="A985" s="17"/>
      <c r="B985" s="17"/>
      <c r="C985" s="37"/>
      <c r="D985" s="37"/>
      <c r="E985" s="37"/>
      <c r="F985" s="37"/>
      <c r="G985" s="37"/>
      <c r="H985" s="37"/>
      <c r="I985" s="37"/>
      <c r="J985" s="37"/>
      <c r="K985" s="37"/>
      <c r="O985" s="17"/>
      <c r="P985" s="17"/>
      <c r="Q985" s="17"/>
      <c r="R985" s="17"/>
      <c r="S985" s="17"/>
      <c r="T985" s="17"/>
      <c r="U985" s="17"/>
      <c r="V985" s="17"/>
    </row>
    <row r="986" spans="1:22" ht="14.25" customHeight="1">
      <c r="A986" s="17"/>
      <c r="B986" s="17"/>
      <c r="C986" s="37"/>
      <c r="D986" s="37"/>
      <c r="E986" s="37"/>
      <c r="F986" s="37"/>
      <c r="G986" s="37"/>
      <c r="H986" s="37"/>
      <c r="I986" s="37"/>
      <c r="J986" s="37"/>
      <c r="K986" s="37"/>
      <c r="O986" s="17"/>
      <c r="P986" s="17"/>
      <c r="Q986" s="17"/>
      <c r="R986" s="17"/>
      <c r="S986" s="17"/>
      <c r="T986" s="17"/>
      <c r="U986" s="17"/>
      <c r="V986" s="17"/>
    </row>
    <row r="987" spans="1:22" ht="14.25" customHeight="1">
      <c r="A987" s="17"/>
      <c r="B987" s="17"/>
      <c r="C987" s="37"/>
      <c r="D987" s="37"/>
      <c r="E987" s="37"/>
      <c r="F987" s="37"/>
      <c r="G987" s="37"/>
      <c r="H987" s="37"/>
      <c r="I987" s="37"/>
      <c r="J987" s="37"/>
      <c r="K987" s="37"/>
      <c r="O987" s="17"/>
      <c r="P987" s="17"/>
      <c r="Q987" s="17"/>
      <c r="R987" s="17"/>
      <c r="S987" s="17"/>
      <c r="T987" s="17"/>
      <c r="U987" s="17"/>
      <c r="V987" s="17"/>
    </row>
    <row r="988" spans="1:22" ht="14.25" customHeight="1">
      <c r="A988" s="17"/>
      <c r="B988" s="17"/>
      <c r="C988" s="37"/>
      <c r="D988" s="37"/>
      <c r="E988" s="37"/>
      <c r="F988" s="37"/>
      <c r="G988" s="37"/>
      <c r="H988" s="37"/>
      <c r="I988" s="37"/>
      <c r="J988" s="37"/>
      <c r="K988" s="37"/>
      <c r="O988" s="17"/>
      <c r="P988" s="17"/>
      <c r="Q988" s="17"/>
      <c r="R988" s="17"/>
      <c r="S988" s="17"/>
      <c r="T988" s="17"/>
      <c r="U988" s="17"/>
      <c r="V988" s="17"/>
    </row>
    <row r="989" spans="1:22" ht="14.25" customHeight="1">
      <c r="A989" s="17"/>
      <c r="B989" s="17"/>
      <c r="C989" s="37"/>
      <c r="D989" s="37"/>
      <c r="E989" s="37"/>
      <c r="F989" s="37"/>
      <c r="G989" s="37"/>
      <c r="H989" s="37"/>
      <c r="I989" s="37"/>
      <c r="J989" s="37"/>
      <c r="K989" s="37"/>
      <c r="O989" s="17"/>
      <c r="P989" s="17"/>
      <c r="Q989" s="17"/>
      <c r="R989" s="17"/>
      <c r="S989" s="17"/>
      <c r="T989" s="17"/>
      <c r="U989" s="17"/>
      <c r="V989" s="17"/>
    </row>
    <row r="990" spans="1:22" ht="14.25" customHeight="1">
      <c r="A990" s="17"/>
      <c r="B990" s="17"/>
      <c r="C990" s="37"/>
      <c r="D990" s="37"/>
      <c r="E990" s="37"/>
      <c r="F990" s="37"/>
      <c r="G990" s="37"/>
      <c r="H990" s="37"/>
      <c r="I990" s="37"/>
      <c r="J990" s="37"/>
      <c r="K990" s="37"/>
      <c r="O990" s="17"/>
      <c r="P990" s="17"/>
      <c r="Q990" s="17"/>
      <c r="R990" s="17"/>
      <c r="S990" s="17"/>
      <c r="T990" s="17"/>
      <c r="U990" s="17"/>
      <c r="V990" s="17"/>
    </row>
    <row r="991" spans="1:22" ht="14.25" customHeight="1">
      <c r="A991" s="17"/>
      <c r="B991" s="17"/>
      <c r="C991" s="37"/>
      <c r="D991" s="37"/>
      <c r="E991" s="37"/>
      <c r="F991" s="37"/>
      <c r="G991" s="37"/>
      <c r="H991" s="37"/>
      <c r="I991" s="37"/>
      <c r="J991" s="37"/>
      <c r="K991" s="37"/>
      <c r="O991" s="17"/>
      <c r="P991" s="17"/>
      <c r="Q991" s="17"/>
      <c r="R991" s="17"/>
      <c r="S991" s="17"/>
      <c r="T991" s="17"/>
      <c r="U991" s="17"/>
      <c r="V991" s="17"/>
    </row>
    <row r="992" spans="1:22" ht="14.25" customHeight="1">
      <c r="A992" s="17"/>
      <c r="B992" s="17"/>
      <c r="C992" s="37"/>
      <c r="D992" s="37"/>
      <c r="E992" s="37"/>
      <c r="F992" s="37"/>
      <c r="G992" s="37"/>
      <c r="H992" s="37"/>
      <c r="I992" s="37"/>
      <c r="J992" s="37"/>
      <c r="K992" s="37"/>
      <c r="O992" s="17"/>
      <c r="P992" s="17"/>
      <c r="Q992" s="17"/>
      <c r="R992" s="17"/>
      <c r="S992" s="17"/>
      <c r="T992" s="17"/>
      <c r="U992" s="17"/>
      <c r="V992" s="17"/>
    </row>
    <row r="993" spans="1:22" ht="14.25" customHeight="1">
      <c r="A993" s="17"/>
      <c r="B993" s="17"/>
      <c r="C993" s="37"/>
      <c r="D993" s="37"/>
      <c r="E993" s="37"/>
      <c r="F993" s="37"/>
      <c r="G993" s="37"/>
      <c r="H993" s="37"/>
      <c r="I993" s="37"/>
      <c r="J993" s="37"/>
      <c r="K993" s="37"/>
      <c r="O993" s="17"/>
      <c r="P993" s="17"/>
      <c r="Q993" s="17"/>
      <c r="R993" s="17"/>
      <c r="S993" s="17"/>
      <c r="T993" s="17"/>
      <c r="U993" s="17"/>
      <c r="V993" s="17"/>
    </row>
    <row r="994" spans="1:22" ht="14.25" customHeight="1">
      <c r="A994" s="17"/>
      <c r="B994" s="17"/>
      <c r="C994" s="37"/>
      <c r="D994" s="37"/>
      <c r="E994" s="37"/>
      <c r="F994" s="37"/>
      <c r="G994" s="37"/>
      <c r="H994" s="37"/>
      <c r="I994" s="37"/>
      <c r="J994" s="37"/>
      <c r="K994" s="37"/>
      <c r="O994" s="17"/>
      <c r="P994" s="17"/>
      <c r="Q994" s="17"/>
      <c r="R994" s="17"/>
      <c r="S994" s="17"/>
      <c r="T994" s="17"/>
      <c r="U994" s="17"/>
      <c r="V994" s="17"/>
    </row>
    <row r="995" spans="1:22" ht="14.25" customHeight="1">
      <c r="A995" s="17"/>
      <c r="B995" s="17"/>
      <c r="C995" s="37"/>
      <c r="D995" s="37"/>
      <c r="E995" s="37"/>
      <c r="F995" s="37"/>
      <c r="G995" s="37"/>
      <c r="H995" s="37"/>
      <c r="I995" s="37"/>
      <c r="J995" s="37"/>
      <c r="K995" s="37"/>
      <c r="O995" s="17"/>
      <c r="P995" s="17"/>
      <c r="Q995" s="17"/>
      <c r="R995" s="17"/>
      <c r="S995" s="17"/>
      <c r="T995" s="17"/>
      <c r="U995" s="17"/>
      <c r="V995" s="17"/>
    </row>
    <row r="996" spans="1:22" ht="14.25" customHeight="1">
      <c r="A996" s="17"/>
      <c r="B996" s="17"/>
      <c r="C996" s="37"/>
      <c r="D996" s="37"/>
      <c r="E996" s="37"/>
      <c r="F996" s="37"/>
      <c r="G996" s="37"/>
      <c r="H996" s="37"/>
      <c r="I996" s="37"/>
      <c r="J996" s="37"/>
      <c r="K996" s="37"/>
      <c r="O996" s="17"/>
      <c r="P996" s="17"/>
      <c r="Q996" s="17"/>
      <c r="R996" s="17"/>
      <c r="S996" s="17"/>
      <c r="T996" s="17"/>
      <c r="U996" s="17"/>
      <c r="V996" s="17"/>
    </row>
    <row r="997" spans="1:22" ht="14.25" customHeight="1">
      <c r="A997" s="17"/>
      <c r="B997" s="17"/>
      <c r="C997" s="37"/>
      <c r="D997" s="37"/>
      <c r="E997" s="37"/>
      <c r="F997" s="37"/>
      <c r="G997" s="37"/>
      <c r="H997" s="37"/>
      <c r="I997" s="37"/>
      <c r="J997" s="37"/>
      <c r="K997" s="37"/>
      <c r="O997" s="17"/>
      <c r="P997" s="17"/>
      <c r="Q997" s="17"/>
      <c r="R997" s="17"/>
      <c r="S997" s="17"/>
      <c r="T997" s="17"/>
      <c r="U997" s="17"/>
      <c r="V997" s="17"/>
    </row>
    <row r="998" spans="1:22" ht="14.25" customHeight="1">
      <c r="A998" s="17"/>
      <c r="B998" s="17"/>
      <c r="C998" s="37"/>
      <c r="D998" s="37"/>
      <c r="E998" s="37"/>
      <c r="F998" s="37"/>
      <c r="G998" s="37"/>
      <c r="H998" s="37"/>
      <c r="I998" s="37"/>
      <c r="J998" s="37"/>
      <c r="K998" s="37"/>
      <c r="O998" s="17"/>
      <c r="P998" s="17"/>
      <c r="Q998" s="17"/>
      <c r="R998" s="17"/>
      <c r="S998" s="17"/>
      <c r="T998" s="17"/>
      <c r="U998" s="17"/>
      <c r="V998" s="17"/>
    </row>
    <row r="999" spans="1:22" ht="14.25" customHeight="1">
      <c r="A999" s="17"/>
      <c r="B999" s="17"/>
      <c r="C999" s="37"/>
      <c r="D999" s="37"/>
      <c r="E999" s="37"/>
      <c r="F999" s="37"/>
      <c r="G999" s="37"/>
      <c r="H999" s="37"/>
      <c r="I999" s="37"/>
      <c r="J999" s="37"/>
      <c r="K999" s="37"/>
      <c r="O999" s="17"/>
      <c r="P999" s="17"/>
      <c r="Q999" s="17"/>
      <c r="R999" s="17"/>
      <c r="S999" s="17"/>
      <c r="T999" s="17"/>
      <c r="U999" s="17"/>
      <c r="V999" s="17"/>
    </row>
    <row r="1000" spans="1:22" ht="14.25" customHeight="1">
      <c r="A1000" s="17"/>
      <c r="B1000" s="17"/>
      <c r="C1000" s="37"/>
      <c r="D1000" s="37"/>
      <c r="E1000" s="37"/>
      <c r="F1000" s="37"/>
      <c r="G1000" s="37"/>
      <c r="H1000" s="37"/>
      <c r="I1000" s="37"/>
      <c r="J1000" s="37"/>
      <c r="K1000" s="37"/>
      <c r="O1000" s="17"/>
      <c r="P1000" s="17"/>
      <c r="Q1000" s="17"/>
      <c r="R1000" s="17"/>
      <c r="S1000" s="17"/>
      <c r="T1000" s="17"/>
      <c r="U1000" s="17"/>
      <c r="V1000" s="17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1"/>
  <sheetViews>
    <sheetView workbookViewId="0">
      <selection activeCell="B28" sqref="B28"/>
    </sheetView>
  </sheetViews>
  <sheetFormatPr baseColWidth="10" defaultColWidth="14.44140625" defaultRowHeight="15" customHeight="1"/>
  <cols>
    <col min="1" max="1" width="8.88671875" customWidth="1"/>
    <col min="2" max="2" width="11.33203125" customWidth="1"/>
    <col min="3" max="3" width="17.88671875" customWidth="1"/>
    <col min="4" max="4" width="13.44140625" customWidth="1"/>
    <col min="5" max="5" width="15.109375" customWidth="1"/>
    <col min="6" max="6" width="18.33203125" customWidth="1"/>
    <col min="7" max="7" width="24.33203125" customWidth="1"/>
    <col min="8" max="8" width="22.6640625" customWidth="1"/>
    <col min="9" max="9" width="18.6640625" customWidth="1"/>
    <col min="10" max="10" width="18" customWidth="1"/>
    <col min="11" max="11" width="22.109375" customWidth="1"/>
    <col min="12" max="12" width="8.88671875" customWidth="1"/>
    <col min="13" max="13" width="14.6640625" customWidth="1"/>
    <col min="14" max="24" width="8.88671875" customWidth="1"/>
  </cols>
  <sheetData>
    <row r="1" spans="1:24" ht="14.25" customHeight="1">
      <c r="A1" s="38" t="s">
        <v>0</v>
      </c>
      <c r="B1" s="38" t="s">
        <v>1</v>
      </c>
      <c r="C1" s="34" t="s">
        <v>360</v>
      </c>
      <c r="D1" s="34" t="s">
        <v>361</v>
      </c>
      <c r="E1" s="34" t="s">
        <v>362</v>
      </c>
      <c r="F1" s="34" t="s">
        <v>363</v>
      </c>
      <c r="G1" s="35" t="s">
        <v>364</v>
      </c>
      <c r="H1" s="35" t="s">
        <v>365</v>
      </c>
      <c r="I1" s="34" t="s">
        <v>366</v>
      </c>
      <c r="J1" s="34" t="s">
        <v>367</v>
      </c>
      <c r="K1" s="34" t="s">
        <v>368</v>
      </c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spans="1:24" ht="14.25" customHeight="1">
      <c r="A2" s="36">
        <v>10101</v>
      </c>
      <c r="B2" s="36" t="s">
        <v>11</v>
      </c>
      <c r="C2" s="37">
        <v>10.390000343322754</v>
      </c>
      <c r="D2" s="37">
        <v>0.44999998807907104</v>
      </c>
      <c r="E2" s="37">
        <v>3.4300000667572021</v>
      </c>
      <c r="F2" s="37">
        <v>0.87999999523162842</v>
      </c>
      <c r="G2" s="37">
        <v>2.6099998950958252</v>
      </c>
      <c r="H2" s="37">
        <v>3.8499999046325684</v>
      </c>
      <c r="I2" s="37">
        <v>5.9200000762939453</v>
      </c>
      <c r="J2" s="37">
        <v>2.5</v>
      </c>
      <c r="K2" s="37">
        <v>14.329999923706055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1:24" ht="14.25" customHeight="1">
      <c r="A3" s="36">
        <v>10102</v>
      </c>
      <c r="B3" s="36" t="s">
        <v>13</v>
      </c>
      <c r="C3" s="37">
        <v>20.620000839233398</v>
      </c>
      <c r="D3" s="37">
        <v>1.1799999475479126</v>
      </c>
      <c r="E3" s="37">
        <v>7</v>
      </c>
      <c r="F3" s="37">
        <v>0.80000001192092896</v>
      </c>
      <c r="G3" s="37">
        <v>3.2899999618530273</v>
      </c>
      <c r="H3" s="37">
        <v>6.4600000381469727</v>
      </c>
      <c r="I3" s="37">
        <v>11.939999580383301</v>
      </c>
      <c r="J3" s="37">
        <v>8.2700004577636719</v>
      </c>
      <c r="K3" s="37">
        <v>24.399999618530273</v>
      </c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</row>
    <row r="4" spans="1:24" ht="14.25" customHeight="1">
      <c r="A4" s="36">
        <v>10103</v>
      </c>
      <c r="B4" s="36" t="s">
        <v>15</v>
      </c>
      <c r="C4" s="37">
        <v>32.290000915527344</v>
      </c>
      <c r="D4" s="37">
        <v>0.70999997854232788</v>
      </c>
      <c r="E4" s="37">
        <v>24.510000228881836</v>
      </c>
      <c r="F4" s="37">
        <v>7.369999885559082</v>
      </c>
      <c r="G4" s="37">
        <v>8.4499998092651367</v>
      </c>
      <c r="H4" s="37">
        <v>22.200000762939453</v>
      </c>
      <c r="I4" s="37">
        <v>34.279998779296875</v>
      </c>
      <c r="J4" s="37">
        <v>51.279998779296875</v>
      </c>
      <c r="K4" s="37">
        <v>83.819999694824219</v>
      </c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</row>
    <row r="5" spans="1:24" ht="14.25" customHeight="1">
      <c r="A5" s="36">
        <v>10201</v>
      </c>
      <c r="B5" s="36" t="s">
        <v>17</v>
      </c>
      <c r="C5" s="37">
        <v>35.619998931884766</v>
      </c>
      <c r="D5" s="37">
        <v>0.69999998807907104</v>
      </c>
      <c r="E5" s="37">
        <v>18.360000610351563</v>
      </c>
      <c r="F5" s="37">
        <v>8</v>
      </c>
      <c r="G5" s="37">
        <v>7.3000001907348633</v>
      </c>
      <c r="H5" s="37">
        <v>20.540000915527344</v>
      </c>
      <c r="I5" s="37">
        <v>29.930000305175781</v>
      </c>
      <c r="J5" s="37">
        <v>43.590000152587891</v>
      </c>
      <c r="K5" s="37">
        <v>63.630001068115234</v>
      </c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</row>
    <row r="6" spans="1:24" ht="14.25" customHeight="1">
      <c r="A6" s="36">
        <v>10202</v>
      </c>
      <c r="B6" s="36" t="s">
        <v>19</v>
      </c>
      <c r="C6" s="37">
        <v>39.580001831054688</v>
      </c>
      <c r="D6" s="37">
        <v>0.23999999463558197</v>
      </c>
      <c r="E6" s="37">
        <v>17.590000152587891</v>
      </c>
      <c r="F6" s="37">
        <v>3.4000000953674316</v>
      </c>
      <c r="G6" s="37">
        <v>6.3000001907348633</v>
      </c>
      <c r="H6" s="37">
        <v>16.579999923706055</v>
      </c>
      <c r="I6" s="37">
        <v>20.549999237060547</v>
      </c>
      <c r="J6" s="37">
        <v>28.020000457763672</v>
      </c>
      <c r="K6" s="37">
        <v>60.990001678466797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</row>
    <row r="7" spans="1:24" ht="14.25" customHeight="1">
      <c r="A7" s="36">
        <v>10301</v>
      </c>
      <c r="B7" s="36" t="s">
        <v>21</v>
      </c>
      <c r="C7" s="37">
        <v>28.920000076293945</v>
      </c>
      <c r="D7" s="37">
        <v>0.17000000178813934</v>
      </c>
      <c r="E7" s="37">
        <v>14.359999656677246</v>
      </c>
      <c r="F7" s="37">
        <v>1.6200000047683716</v>
      </c>
      <c r="G7" s="37">
        <v>7.8000001907348633</v>
      </c>
      <c r="H7" s="37">
        <v>17.719999313354492</v>
      </c>
      <c r="I7" s="37">
        <v>12.890000343322754</v>
      </c>
      <c r="J7" s="37">
        <v>12.680000305175781</v>
      </c>
      <c r="K7" s="37">
        <v>56.799999237060547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</row>
    <row r="8" spans="1:24" ht="14.25" customHeight="1">
      <c r="A8" s="36">
        <v>10302</v>
      </c>
      <c r="B8" s="36" t="s">
        <v>23</v>
      </c>
      <c r="C8" s="37">
        <v>37.110000610351563</v>
      </c>
      <c r="D8" s="37">
        <v>0.9100000262260437</v>
      </c>
      <c r="E8" s="37">
        <v>20.040000915527344</v>
      </c>
      <c r="F8" s="37">
        <v>8.3100004196166992</v>
      </c>
      <c r="G8" s="37">
        <v>6.9099998474121094</v>
      </c>
      <c r="H8" s="37">
        <v>20.059999465942383</v>
      </c>
      <c r="I8" s="37">
        <v>17.920000076293945</v>
      </c>
      <c r="J8" s="37">
        <v>24.739999771118164</v>
      </c>
      <c r="K8" s="37">
        <v>55.340000152587891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</row>
    <row r="9" spans="1:24" ht="14.25" customHeight="1">
      <c r="A9" s="36">
        <v>10303</v>
      </c>
      <c r="B9" s="36" t="s">
        <v>25</v>
      </c>
      <c r="C9" s="37">
        <v>22.850000381469727</v>
      </c>
      <c r="D9" s="37">
        <v>0.15999999642372131</v>
      </c>
      <c r="E9" s="37">
        <v>13.470000267028809</v>
      </c>
      <c r="F9" s="37">
        <v>2.3199999332427979</v>
      </c>
      <c r="G9" s="37">
        <v>4.2100000381469727</v>
      </c>
      <c r="H9" s="37">
        <v>10.760000228881836</v>
      </c>
      <c r="I9" s="37">
        <v>12.75</v>
      </c>
      <c r="J9" s="37">
        <v>23.219999313354492</v>
      </c>
      <c r="K9" s="37">
        <v>48.610000610351563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</row>
    <row r="10" spans="1:24" ht="14.25" customHeight="1">
      <c r="A10" s="36">
        <v>10304</v>
      </c>
      <c r="B10" s="36" t="s">
        <v>27</v>
      </c>
      <c r="C10" s="37">
        <v>39.389999389648438</v>
      </c>
      <c r="D10" s="37">
        <v>0.5899999737739563</v>
      </c>
      <c r="E10" s="37">
        <v>15</v>
      </c>
      <c r="F10" s="37">
        <v>4.1599998474121094</v>
      </c>
      <c r="G10" s="37">
        <v>7.4899997711181641</v>
      </c>
      <c r="H10" s="37">
        <v>24</v>
      </c>
      <c r="I10" s="37">
        <v>12.939999580383301</v>
      </c>
      <c r="J10" s="37">
        <v>24.229999542236328</v>
      </c>
      <c r="K10" s="37">
        <v>44.509998321533203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</row>
    <row r="11" spans="1:24" ht="14.25" customHeight="1">
      <c r="A11" s="36">
        <v>10401</v>
      </c>
      <c r="B11" s="36" t="s">
        <v>29</v>
      </c>
      <c r="C11" s="37">
        <v>21.139999389648438</v>
      </c>
      <c r="D11" s="37">
        <v>0.34999999403953552</v>
      </c>
      <c r="E11" s="37">
        <v>8.369999885559082</v>
      </c>
      <c r="F11" s="37">
        <v>1.1100000143051147</v>
      </c>
      <c r="G11" s="37">
        <v>4.8299999237060547</v>
      </c>
      <c r="H11" s="37">
        <v>10.010000228881836</v>
      </c>
      <c r="I11" s="37">
        <v>11.300000190734863</v>
      </c>
      <c r="J11" s="37">
        <v>18.860000610351563</v>
      </c>
      <c r="K11" s="37">
        <v>45.799999237060547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</row>
    <row r="12" spans="1:24" ht="14.25" customHeight="1">
      <c r="A12" s="36">
        <v>10402</v>
      </c>
      <c r="B12" s="36" t="s">
        <v>31</v>
      </c>
      <c r="C12" s="37">
        <v>36.959999084472656</v>
      </c>
      <c r="D12" s="37">
        <v>1.0800000429153442</v>
      </c>
      <c r="E12" s="37">
        <v>9.7899999618530273</v>
      </c>
      <c r="F12" s="37">
        <v>1.9299999475479126</v>
      </c>
      <c r="G12" s="37">
        <v>9.8599996566772461</v>
      </c>
      <c r="H12" s="37">
        <v>22.340000152587891</v>
      </c>
      <c r="I12" s="37">
        <v>8.9200000762939453</v>
      </c>
      <c r="J12" s="37">
        <v>9.0699996948242188</v>
      </c>
      <c r="K12" s="37">
        <v>34.959999084472656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</row>
    <row r="13" spans="1:24" ht="14.25" customHeight="1">
      <c r="A13" s="36">
        <v>10403</v>
      </c>
      <c r="B13" s="36" t="s">
        <v>33</v>
      </c>
      <c r="C13" s="37">
        <v>41.590000152587891</v>
      </c>
      <c r="D13" s="37">
        <v>0.50999999046325684</v>
      </c>
      <c r="E13" s="37">
        <v>12.539999961853027</v>
      </c>
      <c r="F13" s="37">
        <v>2.2799999713897705</v>
      </c>
      <c r="G13" s="37">
        <v>7.8499999046325684</v>
      </c>
      <c r="H13" s="37">
        <v>23.290000915527344</v>
      </c>
      <c r="I13" s="37">
        <v>22.809999465942383</v>
      </c>
      <c r="J13" s="37">
        <v>31.620000839233398</v>
      </c>
      <c r="K13" s="37">
        <v>54.330001831054688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</row>
    <row r="14" spans="1:24" ht="14.25" customHeight="1">
      <c r="A14" s="36">
        <v>10404</v>
      </c>
      <c r="B14" s="36" t="s">
        <v>34</v>
      </c>
      <c r="C14" s="37">
        <v>25.389999389648438</v>
      </c>
      <c r="D14" s="37">
        <v>1.059999942779541</v>
      </c>
      <c r="E14" s="37">
        <v>6.1500000953674316</v>
      </c>
      <c r="F14" s="37">
        <v>0.93000000715255737</v>
      </c>
      <c r="G14" s="37">
        <v>3.6500000953674316</v>
      </c>
      <c r="H14" s="37">
        <v>10.649999618530273</v>
      </c>
      <c r="I14" s="37">
        <v>6.2300000190734863</v>
      </c>
      <c r="J14" s="37">
        <v>6.4200000762939453</v>
      </c>
      <c r="K14" s="37">
        <v>35.700000762939453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</row>
    <row r="15" spans="1:24" ht="14.25" customHeight="1">
      <c r="A15" s="36">
        <v>10405</v>
      </c>
      <c r="B15" s="36" t="s">
        <v>35</v>
      </c>
      <c r="C15" s="37">
        <v>29.899999618530273</v>
      </c>
      <c r="D15" s="37">
        <v>1.059999942779541</v>
      </c>
      <c r="E15" s="37">
        <v>14.539999961853027</v>
      </c>
      <c r="F15" s="37">
        <v>1.8799999952316284</v>
      </c>
      <c r="G15" s="37">
        <v>5.320000171661377</v>
      </c>
      <c r="H15" s="37">
        <v>11.600000381469727</v>
      </c>
      <c r="I15" s="37">
        <v>15</v>
      </c>
      <c r="J15" s="37">
        <v>23.920000076293945</v>
      </c>
      <c r="K15" s="37">
        <v>44.479999542236328</v>
      </c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</row>
    <row r="16" spans="1:24" ht="14.25" customHeight="1">
      <c r="A16" s="36">
        <v>10501</v>
      </c>
      <c r="B16" s="36" t="s">
        <v>36</v>
      </c>
      <c r="C16" s="37">
        <v>19.680000305175781</v>
      </c>
      <c r="D16" s="37">
        <v>0.43000000715255737</v>
      </c>
      <c r="E16" s="37">
        <v>10.109999656677246</v>
      </c>
      <c r="F16" s="37">
        <v>0.63999998569488525</v>
      </c>
      <c r="G16" s="37">
        <v>3.1099998950958252</v>
      </c>
      <c r="H16" s="37">
        <v>6.3499999046325684</v>
      </c>
      <c r="I16" s="37">
        <v>10.800000190734863</v>
      </c>
      <c r="J16" s="37">
        <v>12.229999542236328</v>
      </c>
      <c r="K16" s="37">
        <v>28.870000839233398</v>
      </c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</row>
    <row r="17" spans="1:24" ht="14.25" customHeight="1">
      <c r="A17" s="36">
        <v>10502</v>
      </c>
      <c r="B17" s="36" t="s">
        <v>38</v>
      </c>
      <c r="C17" s="37">
        <v>24.889999389648438</v>
      </c>
      <c r="D17" s="37">
        <v>0.5</v>
      </c>
      <c r="E17" s="37">
        <v>14.869999885559082</v>
      </c>
      <c r="F17" s="37">
        <v>2.6400001049041748</v>
      </c>
      <c r="G17" s="37">
        <v>4.5500001907348633</v>
      </c>
      <c r="H17" s="37">
        <v>7.9899997711181641</v>
      </c>
      <c r="I17" s="37">
        <v>12.590000152587891</v>
      </c>
      <c r="J17" s="37">
        <v>16.420000076293945</v>
      </c>
      <c r="K17" s="37">
        <v>49.090000152587891</v>
      </c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</row>
    <row r="18" spans="1:24" ht="14.25" customHeight="1">
      <c r="A18" s="36">
        <v>10601</v>
      </c>
      <c r="B18" s="36" t="s">
        <v>40</v>
      </c>
      <c r="C18" s="37">
        <v>43.529998779296875</v>
      </c>
      <c r="D18" s="37">
        <v>0.20999999344348907</v>
      </c>
      <c r="E18" s="37">
        <v>13.340000152587891</v>
      </c>
      <c r="F18" s="37">
        <v>5.8299999237060547</v>
      </c>
      <c r="G18" s="37">
        <v>6.1999998092651367</v>
      </c>
      <c r="H18" s="37">
        <v>15.920000076293945</v>
      </c>
      <c r="I18" s="37">
        <v>13.949999809265137</v>
      </c>
      <c r="J18" s="37">
        <v>12.920000076293945</v>
      </c>
      <c r="K18" s="37">
        <v>49.310001373291016</v>
      </c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</row>
    <row r="19" spans="1:24" ht="14.25" customHeight="1">
      <c r="A19" s="36">
        <v>10602</v>
      </c>
      <c r="B19" s="36" t="s">
        <v>42</v>
      </c>
      <c r="C19" s="37">
        <v>27.690000534057617</v>
      </c>
      <c r="D19" s="37">
        <v>0.30000001192092896</v>
      </c>
      <c r="E19" s="37">
        <v>9.6700000762939453</v>
      </c>
      <c r="F19" s="37">
        <v>1.2999999523162842</v>
      </c>
      <c r="G19" s="37">
        <v>4.369999885559082</v>
      </c>
      <c r="H19" s="37">
        <v>9.5600004196166992</v>
      </c>
      <c r="I19" s="37">
        <v>24.290000915527344</v>
      </c>
      <c r="J19" s="37">
        <v>13.609999656677246</v>
      </c>
      <c r="K19" s="37">
        <v>48.090000152587891</v>
      </c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</row>
    <row r="20" spans="1:24" ht="14.25" customHeight="1">
      <c r="A20" s="36">
        <v>10701</v>
      </c>
      <c r="B20" s="36" t="s">
        <v>44</v>
      </c>
      <c r="C20" s="37">
        <v>13.890000343322754</v>
      </c>
      <c r="D20" s="37">
        <v>1.2599999904632568</v>
      </c>
      <c r="E20" s="37">
        <v>7.7100000381469727</v>
      </c>
      <c r="F20" s="37">
        <v>1.4600000381469727</v>
      </c>
      <c r="G20" s="37">
        <v>3.0899999141693115</v>
      </c>
      <c r="H20" s="37">
        <v>10.039999961853027</v>
      </c>
      <c r="I20" s="37">
        <v>11.659999847412109</v>
      </c>
      <c r="J20" s="37">
        <v>11.399999618530273</v>
      </c>
      <c r="K20" s="37">
        <v>42.169998168945313</v>
      </c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</row>
    <row r="21" spans="1:24" ht="14.25" customHeight="1">
      <c r="A21" s="36">
        <v>10702</v>
      </c>
      <c r="B21" s="36" t="s">
        <v>45</v>
      </c>
      <c r="C21" s="37">
        <v>24.059999465942383</v>
      </c>
      <c r="D21" s="37">
        <v>1.0199999809265137</v>
      </c>
      <c r="E21" s="37">
        <v>11.739999771118164</v>
      </c>
      <c r="F21" s="37">
        <v>6.8400001525878906</v>
      </c>
      <c r="G21" s="37">
        <v>6.9000000953674316</v>
      </c>
      <c r="H21" s="37">
        <v>18.940000534057617</v>
      </c>
      <c r="I21" s="37">
        <v>27.899999618530273</v>
      </c>
      <c r="J21" s="37">
        <v>21.959999084472656</v>
      </c>
      <c r="K21" s="37">
        <v>61.840000152587891</v>
      </c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</row>
    <row r="22" spans="1:24" ht="14.25" customHeight="1">
      <c r="A22" s="36">
        <v>10703</v>
      </c>
      <c r="B22" s="36" t="s">
        <v>47</v>
      </c>
      <c r="C22" s="37">
        <v>30.739999771118164</v>
      </c>
      <c r="D22" s="37">
        <v>1.4500000476837158</v>
      </c>
      <c r="E22" s="37">
        <v>22.809999465942383</v>
      </c>
      <c r="F22" s="37">
        <v>8.8199996948242188</v>
      </c>
      <c r="G22" s="37">
        <v>6.6100001335144043</v>
      </c>
      <c r="H22" s="37">
        <v>23.860000610351563</v>
      </c>
      <c r="I22" s="37">
        <v>35.040000915527344</v>
      </c>
      <c r="J22" s="37">
        <v>36.639999389648438</v>
      </c>
      <c r="K22" s="37">
        <v>66.419998168945313</v>
      </c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</row>
    <row r="23" spans="1:24" ht="14.25" customHeight="1">
      <c r="A23" s="36">
        <v>10704</v>
      </c>
      <c r="B23" s="36" t="s">
        <v>48</v>
      </c>
      <c r="C23" s="37">
        <v>26.579999923706055</v>
      </c>
      <c r="D23" s="37">
        <v>2.630000114440918</v>
      </c>
      <c r="E23" s="37">
        <v>15.289999961853027</v>
      </c>
      <c r="F23" s="37">
        <v>6.1100001335144043</v>
      </c>
      <c r="G23" s="37">
        <v>8.1999998092651367</v>
      </c>
      <c r="H23" s="37">
        <v>25.709999084472656</v>
      </c>
      <c r="I23" s="37">
        <v>28.829999923706055</v>
      </c>
      <c r="J23" s="37">
        <v>25.159999847412109</v>
      </c>
      <c r="K23" s="37">
        <v>62.330001831054688</v>
      </c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</row>
    <row r="24" spans="1:24" ht="14.25" customHeight="1">
      <c r="A24" s="36">
        <v>10801</v>
      </c>
      <c r="B24" s="36" t="s">
        <v>49</v>
      </c>
      <c r="C24" s="37">
        <v>27.549999237060547</v>
      </c>
      <c r="D24" s="37">
        <v>0.17000000178813934</v>
      </c>
      <c r="E24" s="37">
        <v>11.170000076293945</v>
      </c>
      <c r="F24" s="37">
        <v>1.8600000143051147</v>
      </c>
      <c r="G24" s="37">
        <v>4.5500001907348633</v>
      </c>
      <c r="H24" s="37">
        <v>9.880000114440918</v>
      </c>
      <c r="I24" s="37">
        <v>8.869999885559082</v>
      </c>
      <c r="J24" s="37">
        <v>12.289999961853027</v>
      </c>
      <c r="K24" s="37">
        <v>36.310001373291016</v>
      </c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</row>
    <row r="25" spans="1:24" ht="14.25" customHeight="1">
      <c r="A25" s="36">
        <v>10901</v>
      </c>
      <c r="B25" s="36" t="s">
        <v>50</v>
      </c>
      <c r="C25" s="37">
        <v>18.440000534057617</v>
      </c>
      <c r="D25" s="37">
        <v>6.2300000190734863</v>
      </c>
      <c r="E25" s="37">
        <v>8.8199996948242188</v>
      </c>
      <c r="F25" s="37">
        <v>1.6399999856948853</v>
      </c>
      <c r="G25" s="37">
        <v>3.8599998950958252</v>
      </c>
      <c r="H25" s="37">
        <v>12.050000190734863</v>
      </c>
      <c r="I25" s="37">
        <v>10.239999771118164</v>
      </c>
      <c r="J25" s="37">
        <v>11.859999656677246</v>
      </c>
      <c r="K25" s="37">
        <v>49.529998779296875</v>
      </c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</row>
    <row r="26" spans="1:24" ht="14.25" customHeight="1">
      <c r="A26" s="36">
        <v>10902</v>
      </c>
      <c r="B26" s="36" t="s">
        <v>51</v>
      </c>
      <c r="C26" s="37">
        <v>22.540000915527344</v>
      </c>
      <c r="D26" s="37">
        <v>1.5399999618530273</v>
      </c>
      <c r="E26" s="37">
        <v>13.619999885559082</v>
      </c>
      <c r="F26" s="37">
        <v>4.619999885559082</v>
      </c>
      <c r="G26" s="37">
        <v>5.75</v>
      </c>
      <c r="H26" s="37">
        <v>23.559999465942383</v>
      </c>
      <c r="I26" s="37">
        <v>20.850000381469727</v>
      </c>
      <c r="J26" s="37">
        <v>27.700000762939453</v>
      </c>
      <c r="K26" s="37">
        <v>54</v>
      </c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</row>
    <row r="27" spans="1:24" ht="14.25" customHeight="1">
      <c r="A27" s="36">
        <v>10903</v>
      </c>
      <c r="B27" s="36" t="s">
        <v>52</v>
      </c>
      <c r="C27" s="37">
        <v>19.899999618530273</v>
      </c>
      <c r="D27" s="37">
        <v>7.9600000381469727</v>
      </c>
      <c r="E27" s="37">
        <v>12.880000114440918</v>
      </c>
      <c r="F27" s="37">
        <v>2.190000057220459</v>
      </c>
      <c r="G27" s="37">
        <v>4.1999998092651367</v>
      </c>
      <c r="H27" s="37">
        <v>12.229999542236328</v>
      </c>
      <c r="I27" s="37">
        <v>23.600000381469727</v>
      </c>
      <c r="J27" s="37">
        <v>7.9499998092651367</v>
      </c>
      <c r="K27" s="37">
        <v>23.600000381469727</v>
      </c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</row>
    <row r="28" spans="1:24" ht="14.25" customHeight="1">
      <c r="A28" s="36">
        <v>11001</v>
      </c>
      <c r="B28" s="36" t="s">
        <v>53</v>
      </c>
      <c r="C28" s="37">
        <v>23.959999084472656</v>
      </c>
      <c r="D28" s="37">
        <v>1.0299999713897705</v>
      </c>
      <c r="E28" s="37">
        <v>17.870000839233398</v>
      </c>
      <c r="F28" s="37">
        <v>3.380000114440918</v>
      </c>
      <c r="G28" s="37">
        <v>3.869999885559082</v>
      </c>
      <c r="H28" s="37">
        <v>13.310000419616699</v>
      </c>
      <c r="I28" s="37">
        <v>11.010000228881836</v>
      </c>
      <c r="J28" s="37">
        <v>18.700000762939453</v>
      </c>
      <c r="K28" s="37">
        <v>36.380001068115234</v>
      </c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</row>
    <row r="29" spans="1:24" ht="14.25" customHeight="1">
      <c r="A29" s="36">
        <v>11002</v>
      </c>
      <c r="B29" s="36" t="s">
        <v>54</v>
      </c>
      <c r="C29" s="37">
        <v>8.869999885559082</v>
      </c>
      <c r="D29" s="37">
        <v>0.4699999988079071</v>
      </c>
      <c r="E29" s="37">
        <v>17.469999313354492</v>
      </c>
      <c r="F29" s="37">
        <v>2.0099999904632568</v>
      </c>
      <c r="G29" s="37">
        <v>5</v>
      </c>
      <c r="H29" s="37">
        <v>9.1800003051757813</v>
      </c>
      <c r="I29" s="37">
        <v>7.2100000381469727</v>
      </c>
      <c r="J29" s="37">
        <v>9.4600000381469727</v>
      </c>
      <c r="K29" s="37">
        <v>19.540000915527344</v>
      </c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</row>
    <row r="30" spans="1:24" ht="14.25" customHeight="1">
      <c r="A30" s="36">
        <v>11003</v>
      </c>
      <c r="B30" s="36" t="s">
        <v>55</v>
      </c>
      <c r="C30" s="37">
        <v>10.130000114440918</v>
      </c>
      <c r="D30" s="37">
        <v>0.77999997138977051</v>
      </c>
      <c r="E30" s="37">
        <v>16.719999313354492</v>
      </c>
      <c r="F30" s="37">
        <v>2.3599998950958252</v>
      </c>
      <c r="G30" s="37">
        <v>5.5100002288818359</v>
      </c>
      <c r="H30" s="37">
        <v>10.529999732971191</v>
      </c>
      <c r="I30" s="37">
        <v>6.0399999618530273</v>
      </c>
      <c r="J30" s="37">
        <v>20.870000839233398</v>
      </c>
      <c r="K30" s="37">
        <v>13.840000152587891</v>
      </c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</row>
    <row r="31" spans="1:24" ht="14.25" customHeight="1">
      <c r="A31" s="36">
        <v>20101</v>
      </c>
      <c r="B31" s="36" t="s">
        <v>56</v>
      </c>
      <c r="C31" s="37">
        <v>3.440000057220459</v>
      </c>
      <c r="D31" s="37">
        <v>0.5899999737739563</v>
      </c>
      <c r="E31" s="37">
        <v>1.6699999570846558</v>
      </c>
      <c r="F31" s="37">
        <v>0.43000000715255737</v>
      </c>
      <c r="G31" s="37">
        <v>1.25</v>
      </c>
      <c r="H31" s="37">
        <v>2.5799999237060547</v>
      </c>
      <c r="I31" s="37">
        <v>2.9900000095367432</v>
      </c>
      <c r="J31" s="37">
        <v>0.76999998092651367</v>
      </c>
      <c r="K31" s="37">
        <v>5.1700000762939453</v>
      </c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</row>
    <row r="32" spans="1:24" ht="14.25" customHeight="1">
      <c r="A32" s="36">
        <v>20102</v>
      </c>
      <c r="B32" s="36" t="s">
        <v>57</v>
      </c>
      <c r="C32" s="37">
        <v>10.819999694824219</v>
      </c>
      <c r="D32" s="37">
        <v>0.34000000357627869</v>
      </c>
      <c r="E32" s="37">
        <v>10.630000114440918</v>
      </c>
      <c r="F32" s="37">
        <v>9.3500003814697266</v>
      </c>
      <c r="G32" s="37">
        <v>4.1100001335144043</v>
      </c>
      <c r="H32" s="37">
        <v>8.8000001907348633</v>
      </c>
      <c r="I32" s="37">
        <v>28.520000457763672</v>
      </c>
      <c r="J32" s="37">
        <v>9.4899997711181641</v>
      </c>
      <c r="K32" s="37">
        <v>54.610000610351563</v>
      </c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</row>
    <row r="33" spans="1:24" ht="14.25" customHeight="1">
      <c r="A33" s="36">
        <v>20103</v>
      </c>
      <c r="B33" s="36" t="s">
        <v>58</v>
      </c>
      <c r="C33" s="37">
        <v>9.5900001525878906</v>
      </c>
      <c r="D33" s="37">
        <v>0.62999999523162842</v>
      </c>
      <c r="E33" s="37">
        <v>6.8499999046325684</v>
      </c>
      <c r="F33" s="37">
        <v>4.9200000762939453</v>
      </c>
      <c r="G33" s="37">
        <v>2.7000000476837158</v>
      </c>
      <c r="H33" s="37">
        <v>6.0100002288818359</v>
      </c>
      <c r="I33" s="37">
        <v>10.890000343322754</v>
      </c>
      <c r="J33" s="37">
        <v>6.9800000190734863</v>
      </c>
      <c r="K33" s="37">
        <v>39.270000457763672</v>
      </c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</row>
    <row r="34" spans="1:24" ht="14.25" customHeight="1">
      <c r="A34" s="36">
        <v>20104</v>
      </c>
      <c r="B34" s="36" t="s">
        <v>59</v>
      </c>
      <c r="C34" s="37">
        <v>7.9600000381469727</v>
      </c>
      <c r="D34" s="37">
        <v>0.34000000357627869</v>
      </c>
      <c r="E34" s="37">
        <v>6.3000001907348633</v>
      </c>
      <c r="F34" s="37">
        <v>3.0299999713897705</v>
      </c>
      <c r="G34" s="37">
        <v>2.7200000286102295</v>
      </c>
      <c r="H34" s="37">
        <v>5.619999885559082</v>
      </c>
      <c r="I34" s="37">
        <v>28.719999313354492</v>
      </c>
      <c r="J34" s="37">
        <v>10.289999961853027</v>
      </c>
      <c r="K34" s="37">
        <v>79.849998474121094</v>
      </c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</row>
    <row r="35" spans="1:24" ht="14.25" customHeight="1">
      <c r="A35" s="36">
        <v>20105</v>
      </c>
      <c r="B35" s="36" t="s">
        <v>60</v>
      </c>
      <c r="C35" s="37">
        <v>5.4600000381469727</v>
      </c>
      <c r="D35" s="37">
        <v>0.37000000476837158</v>
      </c>
      <c r="E35" s="37">
        <v>2.9500000476837158</v>
      </c>
      <c r="F35" s="37">
        <v>2.2699999809265137</v>
      </c>
      <c r="G35" s="37">
        <v>2.2200000286102295</v>
      </c>
      <c r="H35" s="37">
        <v>4.7899999618530273</v>
      </c>
      <c r="I35" s="37">
        <v>2.0199999809265137</v>
      </c>
      <c r="J35" s="37">
        <v>1.6699999570846558</v>
      </c>
      <c r="K35" s="37">
        <v>12.590000152587891</v>
      </c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</row>
    <row r="36" spans="1:24" ht="14.25" customHeight="1">
      <c r="A36" s="36">
        <v>20201</v>
      </c>
      <c r="B36" s="36" t="s">
        <v>61</v>
      </c>
      <c r="C36" s="37">
        <v>15.210000038146973</v>
      </c>
      <c r="D36" s="37">
        <v>0.11999999731779099</v>
      </c>
      <c r="E36" s="37">
        <v>11.210000038146973</v>
      </c>
      <c r="F36" s="37">
        <v>6.179999828338623</v>
      </c>
      <c r="G36" s="37">
        <v>2.5399999618530273</v>
      </c>
      <c r="H36" s="37">
        <v>5.2100000381469727</v>
      </c>
      <c r="I36" s="37">
        <v>12.850000381469727</v>
      </c>
      <c r="J36" s="37">
        <v>11.869999885559082</v>
      </c>
      <c r="K36" s="37">
        <v>29.030000686645508</v>
      </c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</row>
    <row r="37" spans="1:24" ht="14.25" customHeight="1">
      <c r="A37" s="36">
        <v>20202</v>
      </c>
      <c r="B37" s="36" t="s">
        <v>62</v>
      </c>
      <c r="C37" s="37">
        <v>18.520000457763672</v>
      </c>
      <c r="D37" s="37">
        <v>0.18000000715255737</v>
      </c>
      <c r="E37" s="37">
        <v>17.920000076293945</v>
      </c>
      <c r="F37" s="37">
        <v>9.0399999618530273</v>
      </c>
      <c r="G37" s="37">
        <v>2.3499999046325684</v>
      </c>
      <c r="H37" s="37">
        <v>6.2199997901916504</v>
      </c>
      <c r="I37" s="37">
        <v>15.539999961853027</v>
      </c>
      <c r="J37" s="37">
        <v>21.059999465942383</v>
      </c>
      <c r="K37" s="37">
        <v>51.290000915527344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</row>
    <row r="38" spans="1:24" ht="14.25" customHeight="1">
      <c r="A38" s="36">
        <v>20203</v>
      </c>
      <c r="B38" s="36" t="s">
        <v>63</v>
      </c>
      <c r="C38" s="37">
        <v>12.300000190734863</v>
      </c>
      <c r="D38" s="37">
        <v>0.4699999988079071</v>
      </c>
      <c r="E38" s="37">
        <v>11.420000076293945</v>
      </c>
      <c r="F38" s="37">
        <v>2.7000000476837158</v>
      </c>
      <c r="G38" s="37">
        <v>2.3499999046325684</v>
      </c>
      <c r="H38" s="37">
        <v>4.9899997711181641</v>
      </c>
      <c r="I38" s="37">
        <v>7.1100001335144043</v>
      </c>
      <c r="J38" s="37">
        <v>19.120000839233398</v>
      </c>
      <c r="K38" s="37">
        <v>37.770000457763672</v>
      </c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</row>
    <row r="39" spans="1:24" ht="14.25" customHeight="1">
      <c r="A39" s="36">
        <v>20204</v>
      </c>
      <c r="B39" s="36" t="s">
        <v>64</v>
      </c>
      <c r="C39" s="37">
        <v>12.390000343322754</v>
      </c>
      <c r="D39" s="37">
        <v>0.33000001311302185</v>
      </c>
      <c r="E39" s="37">
        <v>11.760000228881836</v>
      </c>
      <c r="F39" s="37">
        <v>3.5499999523162842</v>
      </c>
      <c r="G39" s="37">
        <v>1.940000057220459</v>
      </c>
      <c r="H39" s="37">
        <v>3.8299999237060547</v>
      </c>
      <c r="I39" s="37">
        <v>18.549999237060547</v>
      </c>
      <c r="J39" s="37">
        <v>17.579999923706055</v>
      </c>
      <c r="K39" s="37">
        <v>31.379999160766602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</row>
    <row r="40" spans="1:24" ht="14.25" customHeight="1">
      <c r="A40" s="36">
        <v>20205</v>
      </c>
      <c r="B40" s="36" t="s">
        <v>65</v>
      </c>
      <c r="C40" s="37">
        <v>12.289999961853027</v>
      </c>
      <c r="D40" s="37">
        <v>0.40999999642372131</v>
      </c>
      <c r="E40" s="37">
        <v>13.350000381469727</v>
      </c>
      <c r="F40" s="37">
        <v>4.0500001907348633</v>
      </c>
      <c r="G40" s="37">
        <v>2.4700000286102295</v>
      </c>
      <c r="H40" s="37">
        <v>3.7300000190734863</v>
      </c>
      <c r="I40" s="37">
        <v>10.590000152587891</v>
      </c>
      <c r="J40" s="37">
        <v>15.640000343322754</v>
      </c>
      <c r="K40" s="37">
        <v>31.850000381469727</v>
      </c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</row>
    <row r="41" spans="1:24" ht="14.25" customHeight="1">
      <c r="A41" s="36">
        <v>20206</v>
      </c>
      <c r="B41" s="36" t="s">
        <v>66</v>
      </c>
      <c r="C41" s="37">
        <v>6.2300000190734863</v>
      </c>
      <c r="D41" s="37">
        <v>0.41999998688697815</v>
      </c>
      <c r="E41" s="37">
        <v>12.600000381469727</v>
      </c>
      <c r="F41" s="37">
        <v>1.0499999523162842</v>
      </c>
      <c r="G41" s="37">
        <v>1.0399999618530273</v>
      </c>
      <c r="H41" s="37">
        <v>3.2200000286102295</v>
      </c>
      <c r="I41" s="37">
        <v>6.929999828338623</v>
      </c>
      <c r="J41" s="37">
        <v>12.380000114440918</v>
      </c>
      <c r="K41" s="37">
        <v>21.299999237060547</v>
      </c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spans="1:24" ht="14.25" customHeight="1">
      <c r="A42" s="36">
        <v>20301</v>
      </c>
      <c r="B42" s="36" t="s">
        <v>67</v>
      </c>
      <c r="C42" s="37">
        <v>8.119999885559082</v>
      </c>
      <c r="D42" s="37">
        <v>0.12999999523162842</v>
      </c>
      <c r="E42" s="37">
        <v>15.970000267028809</v>
      </c>
      <c r="F42" s="37">
        <v>6.0500001907348633</v>
      </c>
      <c r="G42" s="37">
        <v>2.3900001049041748</v>
      </c>
      <c r="H42" s="37">
        <v>7.940000057220459</v>
      </c>
      <c r="I42" s="37">
        <v>34.580001831054688</v>
      </c>
      <c r="J42" s="37">
        <v>23.120000839233398</v>
      </c>
      <c r="K42" s="37">
        <v>62.409999847412109</v>
      </c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</row>
    <row r="43" spans="1:24" ht="14.25" customHeight="1">
      <c r="A43" s="36">
        <v>20302</v>
      </c>
      <c r="B43" s="36" t="s">
        <v>68</v>
      </c>
      <c r="C43" s="37">
        <v>7.369999885559082</v>
      </c>
      <c r="D43" s="37">
        <v>0.20000000298023224</v>
      </c>
      <c r="E43" s="37">
        <v>15.260000228881836</v>
      </c>
      <c r="F43" s="37">
        <v>6.4099998474121094</v>
      </c>
      <c r="G43" s="37">
        <v>3.119999885559082</v>
      </c>
      <c r="H43" s="37">
        <v>7.8499999046325684</v>
      </c>
      <c r="I43" s="37">
        <v>27.989999771118164</v>
      </c>
      <c r="J43" s="37">
        <v>19.909999847412109</v>
      </c>
      <c r="K43" s="37">
        <v>46.630001068115234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</row>
    <row r="44" spans="1:24" ht="14.25" customHeight="1">
      <c r="A44" s="36">
        <v>20303</v>
      </c>
      <c r="B44" s="36" t="s">
        <v>69</v>
      </c>
      <c r="C44" s="37">
        <v>5.9899997711181641</v>
      </c>
      <c r="D44" s="37">
        <v>0.37999999523162842</v>
      </c>
      <c r="E44" s="37">
        <v>22.5</v>
      </c>
      <c r="F44" s="37">
        <v>5.3499999046325684</v>
      </c>
      <c r="G44" s="37">
        <v>2.559999942779541</v>
      </c>
      <c r="H44" s="37">
        <v>7.4800000190734863</v>
      </c>
      <c r="I44" s="37">
        <v>40.560001373291016</v>
      </c>
      <c r="J44" s="37">
        <v>42</v>
      </c>
      <c r="K44" s="37">
        <v>46.229999542236328</v>
      </c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</row>
    <row r="45" spans="1:24" ht="14.25" customHeight="1">
      <c r="A45" s="36">
        <v>20304</v>
      </c>
      <c r="B45" s="36" t="s">
        <v>70</v>
      </c>
      <c r="C45" s="37">
        <v>8.2799997329711914</v>
      </c>
      <c r="D45" s="37">
        <v>0.27000001072883606</v>
      </c>
      <c r="E45" s="37">
        <v>11.310000419616699</v>
      </c>
      <c r="F45" s="37">
        <v>4.619999885559082</v>
      </c>
      <c r="G45" s="37">
        <v>3.1800000667572021</v>
      </c>
      <c r="H45" s="37">
        <v>6.7399997711181641</v>
      </c>
      <c r="I45" s="37">
        <v>20.75</v>
      </c>
      <c r="J45" s="37">
        <v>15.390000343322754</v>
      </c>
      <c r="K45" s="37">
        <v>46.459999084472656</v>
      </c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</row>
    <row r="46" spans="1:24" ht="14.25" customHeight="1">
      <c r="A46" s="36">
        <v>20305</v>
      </c>
      <c r="B46" s="36" t="s">
        <v>71</v>
      </c>
      <c r="C46" s="37">
        <v>2.7300000190734863</v>
      </c>
      <c r="D46" s="37">
        <v>0.75</v>
      </c>
      <c r="E46" s="37">
        <v>19.969999313354492</v>
      </c>
      <c r="F46" s="37">
        <v>4.2699999809265137</v>
      </c>
      <c r="G46" s="37">
        <v>2.4300000667572021</v>
      </c>
      <c r="H46" s="37">
        <v>6.4099998474121094</v>
      </c>
      <c r="I46" s="37">
        <v>44.919998168945313</v>
      </c>
      <c r="J46" s="37">
        <v>53.889999389648438</v>
      </c>
      <c r="K46" s="37">
        <v>47.590000152587891</v>
      </c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</row>
    <row r="47" spans="1:24" ht="14.25" customHeight="1">
      <c r="A47" s="36">
        <v>20306</v>
      </c>
      <c r="B47" s="36" t="s">
        <v>72</v>
      </c>
      <c r="C47" s="37">
        <v>4.2699999809265137</v>
      </c>
      <c r="D47" s="37">
        <v>0.34999999403953552</v>
      </c>
      <c r="E47" s="37">
        <v>27.620000839233398</v>
      </c>
      <c r="F47" s="37">
        <v>4.369999885559082</v>
      </c>
      <c r="G47" s="37">
        <v>2.1600000858306885</v>
      </c>
      <c r="H47" s="37">
        <v>10.529999732971191</v>
      </c>
      <c r="I47" s="37">
        <v>17.079999923706055</v>
      </c>
      <c r="J47" s="37">
        <v>21.770000457763672</v>
      </c>
      <c r="K47" s="37">
        <v>63.470001220703125</v>
      </c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</row>
    <row r="48" spans="1:24" ht="14.25" customHeight="1">
      <c r="A48" s="36">
        <v>20307</v>
      </c>
      <c r="B48" s="36" t="s">
        <v>73</v>
      </c>
      <c r="C48" s="37">
        <v>13.289999961853027</v>
      </c>
      <c r="D48" s="37">
        <v>0.67000001668930054</v>
      </c>
      <c r="E48" s="37">
        <v>17.100000381469727</v>
      </c>
      <c r="F48" s="37">
        <v>6.059999942779541</v>
      </c>
      <c r="G48" s="37">
        <v>4.190000057220459</v>
      </c>
      <c r="H48" s="37">
        <v>9.9600000381469727</v>
      </c>
      <c r="I48" s="37">
        <v>24.770000457763672</v>
      </c>
      <c r="J48" s="37">
        <v>25.090000152587891</v>
      </c>
      <c r="K48" s="37">
        <v>49.069999694824219</v>
      </c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</row>
    <row r="49" spans="1:24" ht="14.25" customHeight="1">
      <c r="A49" s="36">
        <v>20308</v>
      </c>
      <c r="B49" s="36" t="s">
        <v>74</v>
      </c>
      <c r="C49" s="37">
        <v>11.100000381469727</v>
      </c>
      <c r="D49" s="37">
        <v>0.18999999761581421</v>
      </c>
      <c r="E49" s="37">
        <v>20.190000534057617</v>
      </c>
      <c r="F49" s="37">
        <v>6.2800002098083496</v>
      </c>
      <c r="G49" s="37">
        <v>2.190000057220459</v>
      </c>
      <c r="H49" s="37">
        <v>5.880000114440918</v>
      </c>
      <c r="I49" s="37">
        <v>46.669998168945313</v>
      </c>
      <c r="J49" s="37">
        <v>38.799999237060547</v>
      </c>
      <c r="K49" s="37">
        <v>80.879997253417969</v>
      </c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</row>
    <row r="50" spans="1:24" ht="14.25" customHeight="1">
      <c r="A50" s="36">
        <v>20401</v>
      </c>
      <c r="B50" s="36" t="s">
        <v>75</v>
      </c>
      <c r="C50" s="37">
        <v>18.059999465942383</v>
      </c>
      <c r="D50" s="37">
        <v>0.41999998688697815</v>
      </c>
      <c r="E50" s="37">
        <v>18.579999923706055</v>
      </c>
      <c r="F50" s="37">
        <v>6.8299999237060547</v>
      </c>
      <c r="G50" s="37">
        <v>1.8400000333786011</v>
      </c>
      <c r="H50" s="37">
        <v>5.679999828338623</v>
      </c>
      <c r="I50" s="37">
        <v>23.790000915527344</v>
      </c>
      <c r="J50" s="37">
        <v>24.079999923706055</v>
      </c>
      <c r="K50" s="37">
        <v>69.589996337890625</v>
      </c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</row>
    <row r="51" spans="1:24" ht="14.25" customHeight="1">
      <c r="A51" s="36">
        <v>20402</v>
      </c>
      <c r="B51" s="36" t="s">
        <v>76</v>
      </c>
      <c r="C51" s="37">
        <v>20.280000686645508</v>
      </c>
      <c r="D51" s="37">
        <v>0.31999999284744263</v>
      </c>
      <c r="E51" s="37">
        <v>18.620000839233398</v>
      </c>
      <c r="F51" s="37">
        <v>7.3899998664855957</v>
      </c>
      <c r="G51" s="37">
        <v>2.690000057220459</v>
      </c>
      <c r="H51" s="37">
        <v>8.1800003051757813</v>
      </c>
      <c r="I51" s="37">
        <v>11</v>
      </c>
      <c r="J51" s="37">
        <v>24.680000305175781</v>
      </c>
      <c r="K51" s="37">
        <v>54.159999847412109</v>
      </c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</row>
    <row r="52" spans="1:24" ht="14.25" customHeight="1">
      <c r="A52" s="36">
        <v>20403</v>
      </c>
      <c r="B52" s="36" t="s">
        <v>77</v>
      </c>
      <c r="C52" s="37">
        <v>15.380000114440918</v>
      </c>
      <c r="D52" s="37">
        <v>0.25</v>
      </c>
      <c r="E52" s="37">
        <v>15.619999885559082</v>
      </c>
      <c r="F52" s="37">
        <v>7.2100000381469727</v>
      </c>
      <c r="G52" s="37">
        <v>2.5699999332427979</v>
      </c>
      <c r="H52" s="37">
        <v>6.5799999237060547</v>
      </c>
      <c r="I52" s="37">
        <v>16.739999771118164</v>
      </c>
      <c r="J52" s="37">
        <v>18.120000839233398</v>
      </c>
      <c r="K52" s="37">
        <v>59.099998474121094</v>
      </c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</row>
    <row r="53" spans="1:24" ht="14.25" customHeight="1">
      <c r="A53" s="36">
        <v>20404</v>
      </c>
      <c r="B53" s="36" t="s">
        <v>78</v>
      </c>
      <c r="C53" s="37">
        <v>20.620000839233398</v>
      </c>
      <c r="D53" s="37">
        <v>0.34999999403953552</v>
      </c>
      <c r="E53" s="37">
        <v>21.229999542236328</v>
      </c>
      <c r="F53" s="37">
        <v>10.060000419616699</v>
      </c>
      <c r="G53" s="37">
        <v>2.0999999046325684</v>
      </c>
      <c r="H53" s="37">
        <v>8.6899995803833008</v>
      </c>
      <c r="I53" s="37">
        <v>27.180000305175781</v>
      </c>
      <c r="J53" s="37">
        <v>23.729999542236328</v>
      </c>
      <c r="K53" s="37">
        <v>69.790000915527344</v>
      </c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</row>
    <row r="54" spans="1:24" ht="14.25" customHeight="1">
      <c r="A54" s="36">
        <v>20405</v>
      </c>
      <c r="B54" s="36" t="s">
        <v>79</v>
      </c>
      <c r="C54" s="37">
        <v>17.350000381469727</v>
      </c>
      <c r="D54" s="37">
        <v>0.18999999761581421</v>
      </c>
      <c r="E54" s="37">
        <v>16.620000839233398</v>
      </c>
      <c r="F54" s="37">
        <v>5.5500001907348633</v>
      </c>
      <c r="G54" s="37">
        <v>1.9900000095367432</v>
      </c>
      <c r="H54" s="37">
        <v>4.25</v>
      </c>
      <c r="I54" s="37">
        <v>21.719999313354492</v>
      </c>
      <c r="J54" s="37">
        <v>25.219999313354492</v>
      </c>
      <c r="K54" s="37">
        <v>66.19000244140625</v>
      </c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</row>
    <row r="55" spans="1:24" ht="14.25" customHeight="1">
      <c r="A55" s="36">
        <v>20501</v>
      </c>
      <c r="B55" s="36" t="s">
        <v>80</v>
      </c>
      <c r="C55" s="37">
        <v>16.579999923706055</v>
      </c>
      <c r="D55" s="37">
        <v>0.60000002384185791</v>
      </c>
      <c r="E55" s="37">
        <v>17.729999542236328</v>
      </c>
      <c r="F55" s="37">
        <v>7.5399999618530273</v>
      </c>
      <c r="G55" s="37">
        <v>3.380000114440918</v>
      </c>
      <c r="H55" s="37">
        <v>10.319999694824219</v>
      </c>
      <c r="I55" s="37">
        <v>8.6499996185302734</v>
      </c>
      <c r="J55" s="37">
        <v>18.409999847412109</v>
      </c>
      <c r="K55" s="37">
        <v>48.759998321533203</v>
      </c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</row>
    <row r="56" spans="1:24" ht="14.25" customHeight="1">
      <c r="A56" s="36">
        <v>20502</v>
      </c>
      <c r="B56" s="36" t="s">
        <v>81</v>
      </c>
      <c r="C56" s="37">
        <v>20.610000610351563</v>
      </c>
      <c r="D56" s="37">
        <v>0.75999999046325684</v>
      </c>
      <c r="E56" s="37">
        <v>22.450000762939453</v>
      </c>
      <c r="F56" s="37">
        <v>10.029999732971191</v>
      </c>
      <c r="G56" s="37">
        <v>3.8399999141693115</v>
      </c>
      <c r="H56" s="37">
        <v>14.170000076293945</v>
      </c>
      <c r="I56" s="37">
        <v>20.629999160766602</v>
      </c>
      <c r="J56" s="37">
        <v>14.260000228881836</v>
      </c>
      <c r="K56" s="37">
        <v>50.75</v>
      </c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</row>
    <row r="57" spans="1:24" ht="14.25" customHeight="1">
      <c r="A57" s="36">
        <v>20503</v>
      </c>
      <c r="B57" s="36" t="s">
        <v>82</v>
      </c>
      <c r="C57" s="37">
        <v>20.790000915527344</v>
      </c>
      <c r="D57" s="37">
        <v>0.20000000298023224</v>
      </c>
      <c r="E57" s="37">
        <v>17.280000686645508</v>
      </c>
      <c r="F57" s="37">
        <v>10.029999732971191</v>
      </c>
      <c r="G57" s="37">
        <v>4.8000001907348633</v>
      </c>
      <c r="H57" s="37">
        <v>12.880000114440918</v>
      </c>
      <c r="I57" s="37">
        <v>14.199999809265137</v>
      </c>
      <c r="J57" s="37">
        <v>14.689999580383301</v>
      </c>
      <c r="K57" s="37">
        <v>58.040000915527344</v>
      </c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</row>
    <row r="58" spans="1:24" ht="14.25" customHeight="1">
      <c r="A58" s="36">
        <v>20601</v>
      </c>
      <c r="B58" s="36" t="s">
        <v>83</v>
      </c>
      <c r="C58" s="37">
        <v>11.819999694824219</v>
      </c>
      <c r="D58" s="37">
        <v>0.40000000596046448</v>
      </c>
      <c r="E58" s="37">
        <v>14.899999618530273</v>
      </c>
      <c r="F58" s="37">
        <v>6.570000171661377</v>
      </c>
      <c r="G58" s="37">
        <v>3.3299999237060547</v>
      </c>
      <c r="H58" s="37">
        <v>8.1099996566772461</v>
      </c>
      <c r="I58" s="37">
        <v>21.819999694824219</v>
      </c>
      <c r="J58" s="37">
        <v>15.409999847412109</v>
      </c>
      <c r="K58" s="37">
        <v>44.389999389648438</v>
      </c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</row>
    <row r="59" spans="1:24" ht="14.25" customHeight="1">
      <c r="A59" s="36">
        <v>20602</v>
      </c>
      <c r="B59" s="36" t="s">
        <v>84</v>
      </c>
      <c r="C59" s="37">
        <v>5.4699997901916504</v>
      </c>
      <c r="D59" s="37">
        <v>0.72000002861022949</v>
      </c>
      <c r="E59" s="37">
        <v>10.020000457763672</v>
      </c>
      <c r="F59" s="37">
        <v>2.5699999332427979</v>
      </c>
      <c r="G59" s="37">
        <v>4.4800000190734863</v>
      </c>
      <c r="H59" s="37">
        <v>9.2100000381469727</v>
      </c>
      <c r="I59" s="37">
        <v>17.899999618530273</v>
      </c>
      <c r="J59" s="37">
        <v>13.689999580383301</v>
      </c>
      <c r="K59" s="37">
        <v>32</v>
      </c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</row>
    <row r="60" spans="1:24" ht="14.25" customHeight="1">
      <c r="A60" s="36">
        <v>20603</v>
      </c>
      <c r="B60" s="36" t="s">
        <v>85</v>
      </c>
      <c r="C60" s="37">
        <v>9.8599996566772461</v>
      </c>
      <c r="D60" s="37">
        <v>0.20999999344348907</v>
      </c>
      <c r="E60" s="37">
        <v>13.869999885559082</v>
      </c>
      <c r="F60" s="37">
        <v>4.8600001335144043</v>
      </c>
      <c r="G60" s="37">
        <v>3.6400001049041748</v>
      </c>
      <c r="H60" s="37">
        <v>7.809999942779541</v>
      </c>
      <c r="I60" s="37">
        <v>41.580001831054688</v>
      </c>
      <c r="J60" s="37">
        <v>19.709999084472656</v>
      </c>
      <c r="K60" s="37">
        <v>38.229999542236328</v>
      </c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</row>
    <row r="61" spans="1:24" ht="14.25" customHeight="1">
      <c r="A61" s="36">
        <v>20604</v>
      </c>
      <c r="B61" s="36" t="s">
        <v>86</v>
      </c>
      <c r="C61" s="37">
        <v>17.090000152587891</v>
      </c>
      <c r="D61" s="37">
        <v>0.62999999523162842</v>
      </c>
      <c r="E61" s="37">
        <v>20.709999084472656</v>
      </c>
      <c r="F61" s="37">
        <v>8.119999885559082</v>
      </c>
      <c r="G61" s="37">
        <v>6.2100000381469727</v>
      </c>
      <c r="H61" s="37">
        <v>10.829999923706055</v>
      </c>
      <c r="I61" s="37">
        <v>23.25</v>
      </c>
      <c r="J61" s="37">
        <v>18.709999084472656</v>
      </c>
      <c r="K61" s="37">
        <v>57.240001678466797</v>
      </c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</row>
    <row r="62" spans="1:24" ht="14.25" customHeight="1">
      <c r="A62" s="36">
        <v>20605</v>
      </c>
      <c r="B62" s="36" t="s">
        <v>87</v>
      </c>
      <c r="C62" s="37">
        <v>16.409999847412109</v>
      </c>
      <c r="D62" s="37">
        <v>0.17000000178813934</v>
      </c>
      <c r="E62" s="37">
        <v>27.25</v>
      </c>
      <c r="F62" s="37">
        <v>4.7600002288818359</v>
      </c>
      <c r="G62" s="37">
        <v>2.7899999618530273</v>
      </c>
      <c r="H62" s="37">
        <v>7.559999942779541</v>
      </c>
      <c r="I62" s="37">
        <v>8.7600002288818359</v>
      </c>
      <c r="J62" s="37">
        <v>18.540000915527344</v>
      </c>
      <c r="K62" s="37">
        <v>61.389999389648438</v>
      </c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</row>
    <row r="63" spans="1:24" ht="14.25" customHeight="1">
      <c r="A63" s="36">
        <v>20606</v>
      </c>
      <c r="B63" s="36" t="s">
        <v>88</v>
      </c>
      <c r="C63" s="37">
        <v>5.7199997901916504</v>
      </c>
      <c r="D63" s="37">
        <v>0.61000001430511475</v>
      </c>
      <c r="E63" s="37">
        <v>7.2100000381469727</v>
      </c>
      <c r="F63" s="37">
        <v>0.89999997615814209</v>
      </c>
      <c r="G63" s="37">
        <v>3.4700000286102295</v>
      </c>
      <c r="H63" s="37">
        <v>6.4699997901916504</v>
      </c>
      <c r="I63" s="37">
        <v>31.340000152587891</v>
      </c>
      <c r="J63" s="37">
        <v>4.75</v>
      </c>
      <c r="K63" s="37">
        <v>48.009998321533203</v>
      </c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</row>
    <row r="64" spans="1:24" ht="14.25" customHeight="1">
      <c r="A64" s="36">
        <v>20607</v>
      </c>
      <c r="B64" s="36" t="s">
        <v>89</v>
      </c>
      <c r="C64" s="37">
        <v>5.5199999809265137</v>
      </c>
      <c r="D64" s="37">
        <v>1.2400000095367432</v>
      </c>
      <c r="E64" s="37">
        <v>6.3899998664855957</v>
      </c>
      <c r="F64" s="37">
        <v>2.25</v>
      </c>
      <c r="G64" s="37">
        <v>6.75</v>
      </c>
      <c r="H64" s="37">
        <v>11.210000038146973</v>
      </c>
      <c r="I64" s="37">
        <v>9.1000003814697266</v>
      </c>
      <c r="J64" s="37">
        <v>3.4600000381469727</v>
      </c>
      <c r="K64" s="37">
        <v>34.900001525878906</v>
      </c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</row>
    <row r="65" spans="1:24" ht="14.25" customHeight="1">
      <c r="A65" s="36">
        <v>20608</v>
      </c>
      <c r="B65" s="36" t="s">
        <v>90</v>
      </c>
      <c r="C65" s="37">
        <v>6.619999885559082</v>
      </c>
      <c r="D65" s="37">
        <v>1.5299999713897705</v>
      </c>
      <c r="E65" s="37">
        <v>12.340000152587891</v>
      </c>
      <c r="F65" s="37">
        <v>2.3900001049041748</v>
      </c>
      <c r="G65" s="37">
        <v>5.4600000381469727</v>
      </c>
      <c r="H65" s="37">
        <v>14.189999580383301</v>
      </c>
      <c r="I65" s="37">
        <v>26.270000457763672</v>
      </c>
      <c r="J65" s="37">
        <v>28.409999847412109</v>
      </c>
      <c r="K65" s="37">
        <v>51.049999237060547</v>
      </c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</row>
    <row r="66" spans="1:24" ht="14.25" customHeight="1">
      <c r="A66" s="36">
        <v>20701</v>
      </c>
      <c r="B66" s="36" t="s">
        <v>91</v>
      </c>
      <c r="C66" s="37">
        <v>12.920000076293945</v>
      </c>
      <c r="D66" s="37">
        <v>0.79000002145767212</v>
      </c>
      <c r="E66" s="37">
        <v>15.409999847412109</v>
      </c>
      <c r="F66" s="37">
        <v>12.329999923706055</v>
      </c>
      <c r="G66" s="37">
        <v>6.929999828338623</v>
      </c>
      <c r="H66" s="37">
        <v>13.579999923706055</v>
      </c>
      <c r="I66" s="37">
        <v>15.010000228881836</v>
      </c>
      <c r="J66" s="37">
        <v>18.020000457763672</v>
      </c>
      <c r="K66" s="37">
        <v>58.900001525878906</v>
      </c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</row>
    <row r="67" spans="1:24" ht="14.25" customHeight="1">
      <c r="A67" s="36">
        <v>20702</v>
      </c>
      <c r="B67" s="36" t="s">
        <v>92</v>
      </c>
      <c r="C67" s="37">
        <v>9.1999998092651367</v>
      </c>
      <c r="D67" s="37">
        <v>2.4700000286102295</v>
      </c>
      <c r="E67" s="37">
        <v>16.379999160766602</v>
      </c>
      <c r="F67" s="37">
        <v>10.470000267028809</v>
      </c>
      <c r="G67" s="37">
        <v>2.380000114440918</v>
      </c>
      <c r="H67" s="37">
        <v>11.649999618530273</v>
      </c>
      <c r="I67" s="37">
        <v>24.969999313354492</v>
      </c>
      <c r="J67" s="37">
        <v>15.909999847412109</v>
      </c>
      <c r="K67" s="37">
        <v>31.159999847412109</v>
      </c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</row>
    <row r="68" spans="1:24" ht="14.25" customHeight="1">
      <c r="A68" s="36">
        <v>20801</v>
      </c>
      <c r="B68" s="36" t="s">
        <v>93</v>
      </c>
      <c r="C68" s="37">
        <v>5.7300000190734863</v>
      </c>
      <c r="D68" s="37">
        <v>0.25</v>
      </c>
      <c r="E68" s="37">
        <v>5.7399997711181641</v>
      </c>
      <c r="F68" s="37">
        <v>2.8199999332427979</v>
      </c>
      <c r="G68" s="37">
        <v>2.7999999523162842</v>
      </c>
      <c r="H68" s="37">
        <v>4.9800000190734863</v>
      </c>
      <c r="I68" s="37">
        <v>8.1999998092651367</v>
      </c>
      <c r="J68" s="37">
        <v>7.4800000190734863</v>
      </c>
      <c r="K68" s="37">
        <v>37.540000915527344</v>
      </c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</row>
    <row r="69" spans="1:24" ht="14.25" customHeight="1">
      <c r="A69" s="36">
        <v>20802</v>
      </c>
      <c r="B69" s="36" t="s">
        <v>94</v>
      </c>
      <c r="C69" s="37">
        <v>13.25</v>
      </c>
      <c r="D69" s="37">
        <v>0.20000000298023224</v>
      </c>
      <c r="E69" s="37">
        <v>11.149999618530273</v>
      </c>
      <c r="F69" s="37">
        <v>4.8299999237060547</v>
      </c>
      <c r="G69" s="37">
        <v>2.8299999237060547</v>
      </c>
      <c r="H69" s="37">
        <v>5.5399999618530273</v>
      </c>
      <c r="I69" s="37">
        <v>7.5900001525878906</v>
      </c>
      <c r="J69" s="37">
        <v>12.029999732971191</v>
      </c>
      <c r="K69" s="37">
        <v>27.889999389648438</v>
      </c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</row>
    <row r="70" spans="1:24" ht="14.25" customHeight="1">
      <c r="A70" s="36">
        <v>20803</v>
      </c>
      <c r="B70" s="36" t="s">
        <v>95</v>
      </c>
      <c r="C70" s="37">
        <v>15.760000228881836</v>
      </c>
      <c r="D70" s="37">
        <v>0.27000001072883606</v>
      </c>
      <c r="E70" s="37">
        <v>16.889999389648438</v>
      </c>
      <c r="F70" s="37">
        <v>6.7699999809265137</v>
      </c>
      <c r="G70" s="37">
        <v>3.869999885559082</v>
      </c>
      <c r="H70" s="37">
        <v>7.429999828338623</v>
      </c>
      <c r="I70" s="37">
        <v>24.159999847412109</v>
      </c>
      <c r="J70" s="37">
        <v>18.299999237060547</v>
      </c>
      <c r="K70" s="37">
        <v>43.75</v>
      </c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</row>
    <row r="71" spans="1:24" ht="14.25" customHeight="1">
      <c r="A71" s="36">
        <v>20804</v>
      </c>
      <c r="B71" s="36" t="s">
        <v>96</v>
      </c>
      <c r="C71" s="37">
        <v>9.369999885559082</v>
      </c>
      <c r="D71" s="37">
        <v>2.5299999713897705</v>
      </c>
      <c r="E71" s="37">
        <v>5.7699999809265137</v>
      </c>
      <c r="F71" s="37">
        <v>2.3299999237060547</v>
      </c>
      <c r="G71" s="37">
        <v>2.7599999904632568</v>
      </c>
      <c r="H71" s="37">
        <v>5.809999942779541</v>
      </c>
      <c r="I71" s="37">
        <v>4.25</v>
      </c>
      <c r="J71" s="37">
        <v>4.5500001907348633</v>
      </c>
      <c r="K71" s="37">
        <v>31.520000457763672</v>
      </c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</row>
    <row r="72" spans="1:24" ht="14.25" customHeight="1">
      <c r="A72" s="36">
        <v>20805</v>
      </c>
      <c r="B72" s="36" t="s">
        <v>97</v>
      </c>
      <c r="C72" s="37">
        <v>9.4200000762939453</v>
      </c>
      <c r="D72" s="37">
        <v>1.8899999856948853</v>
      </c>
      <c r="E72" s="37">
        <v>15.939999580383301</v>
      </c>
      <c r="F72" s="37">
        <v>5.5999999046325684</v>
      </c>
      <c r="G72" s="37">
        <v>2.309999942779541</v>
      </c>
      <c r="H72" s="37">
        <v>6.3499999046325684</v>
      </c>
      <c r="I72" s="37">
        <v>35.279998779296875</v>
      </c>
      <c r="J72" s="37">
        <v>23.799999237060547</v>
      </c>
      <c r="K72" s="37">
        <v>35.409999847412109</v>
      </c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</row>
    <row r="73" spans="1:24" ht="14.25" customHeight="1">
      <c r="A73" s="36">
        <v>20806</v>
      </c>
      <c r="B73" s="36" t="s">
        <v>98</v>
      </c>
      <c r="C73" s="37">
        <v>10.369999885559082</v>
      </c>
      <c r="D73" s="37">
        <v>0.15000000596046448</v>
      </c>
      <c r="E73" s="37">
        <v>16.889999389648438</v>
      </c>
      <c r="F73" s="37">
        <v>6</v>
      </c>
      <c r="G73" s="37">
        <v>2.9500000476837158</v>
      </c>
      <c r="H73" s="37">
        <v>7.059999942779541</v>
      </c>
      <c r="I73" s="37">
        <v>20.129999160766602</v>
      </c>
      <c r="J73" s="37">
        <v>21.440000534057617</v>
      </c>
      <c r="K73" s="37">
        <v>28.190000534057617</v>
      </c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</row>
    <row r="74" spans="1:24" ht="14.25" customHeight="1">
      <c r="A74" s="36">
        <v>20807</v>
      </c>
      <c r="B74" s="36" t="s">
        <v>99</v>
      </c>
      <c r="C74" s="37">
        <v>16.989999771118164</v>
      </c>
      <c r="D74" s="37">
        <v>0.36000001430511475</v>
      </c>
      <c r="E74" s="37">
        <v>9.630000114440918</v>
      </c>
      <c r="F74" s="37">
        <v>6.0100002288818359</v>
      </c>
      <c r="G74" s="37">
        <v>3.440000057220459</v>
      </c>
      <c r="H74" s="37">
        <v>6.8600001335144043</v>
      </c>
      <c r="I74" s="37">
        <v>11.970000267028809</v>
      </c>
      <c r="J74" s="37">
        <v>12.460000038146973</v>
      </c>
      <c r="K74" s="37">
        <v>46.930000305175781</v>
      </c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</row>
    <row r="75" spans="1:24" ht="14.25" customHeight="1">
      <c r="A75" s="36">
        <v>20901</v>
      </c>
      <c r="B75" s="36" t="s">
        <v>100</v>
      </c>
      <c r="C75" s="37">
        <v>11.479999542236328</v>
      </c>
      <c r="D75" s="37">
        <v>0.60000002384185791</v>
      </c>
      <c r="E75" s="37">
        <v>13.989999771118164</v>
      </c>
      <c r="F75" s="37">
        <v>3.25</v>
      </c>
      <c r="G75" s="37">
        <v>3.2699999809265137</v>
      </c>
      <c r="H75" s="37">
        <v>6.2800002098083496</v>
      </c>
      <c r="I75" s="37">
        <v>9.6499996185302734</v>
      </c>
      <c r="J75" s="37">
        <v>14.609999656677246</v>
      </c>
      <c r="K75" s="37">
        <v>39.880001068115234</v>
      </c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</row>
    <row r="76" spans="1:24" ht="14.25" customHeight="1">
      <c r="A76" s="36">
        <v>20902</v>
      </c>
      <c r="B76" s="36" t="s">
        <v>101</v>
      </c>
      <c r="C76" s="37">
        <v>11.479999542236328</v>
      </c>
      <c r="D76" s="37">
        <v>0.60000002384185791</v>
      </c>
      <c r="E76" s="37">
        <v>10.710000038146973</v>
      </c>
      <c r="F76" s="37">
        <v>6.440000057220459</v>
      </c>
      <c r="G76" s="37">
        <v>3.059999942779541</v>
      </c>
      <c r="H76" s="37">
        <v>8.3599996566772461</v>
      </c>
      <c r="I76" s="37">
        <v>14.260000228881836</v>
      </c>
      <c r="J76" s="37">
        <v>16.760000228881836</v>
      </c>
      <c r="K76" s="37">
        <v>60.069999694824219</v>
      </c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  <row r="77" spans="1:24" ht="14.25" customHeight="1">
      <c r="A77" s="36">
        <v>20903</v>
      </c>
      <c r="B77" s="36" t="s">
        <v>102</v>
      </c>
      <c r="C77" s="37">
        <v>8.880000114440918</v>
      </c>
      <c r="D77" s="37">
        <v>0.40000000596046448</v>
      </c>
      <c r="E77" s="37">
        <v>17.309999465942383</v>
      </c>
      <c r="F77" s="37">
        <v>9.130000114440918</v>
      </c>
      <c r="G77" s="37">
        <v>3.5299999713897705</v>
      </c>
      <c r="H77" s="37">
        <v>12.979999542236328</v>
      </c>
      <c r="I77" s="37">
        <v>25.450000762939453</v>
      </c>
      <c r="J77" s="37">
        <v>22.959999084472656</v>
      </c>
      <c r="K77" s="37">
        <v>68.419998168945313</v>
      </c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</row>
    <row r="78" spans="1:24" ht="14.25" customHeight="1">
      <c r="A78" s="36">
        <v>20904</v>
      </c>
      <c r="B78" s="36" t="s">
        <v>103</v>
      </c>
      <c r="C78" s="37">
        <v>12.210000038146973</v>
      </c>
      <c r="D78" s="37">
        <v>1.0499999523162842</v>
      </c>
      <c r="E78" s="37">
        <v>15.050000190734863</v>
      </c>
      <c r="F78" s="37">
        <v>12.119999885559082</v>
      </c>
      <c r="G78" s="37">
        <v>4.179999828338623</v>
      </c>
      <c r="H78" s="37">
        <v>12.800000190734863</v>
      </c>
      <c r="I78" s="37">
        <v>16.219999313354492</v>
      </c>
      <c r="J78" s="37">
        <v>26.370000839233398</v>
      </c>
      <c r="K78" s="37">
        <v>67.669998168945313</v>
      </c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</row>
    <row r="79" spans="1:24" ht="14.25" customHeight="1">
      <c r="A79" s="36">
        <v>20905</v>
      </c>
      <c r="B79" s="36" t="s">
        <v>104</v>
      </c>
      <c r="C79" s="37">
        <v>8.5100002288818359</v>
      </c>
      <c r="D79" s="37">
        <v>0.70999997854232788</v>
      </c>
      <c r="E79" s="37">
        <v>14.520000457763672</v>
      </c>
      <c r="F79" s="37">
        <v>6.0199999809265137</v>
      </c>
      <c r="G79" s="37">
        <v>3.7599999904632568</v>
      </c>
      <c r="H79" s="37">
        <v>10.880000114440918</v>
      </c>
      <c r="I79" s="37">
        <v>22.819999694824219</v>
      </c>
      <c r="J79" s="37">
        <v>11.010000228881836</v>
      </c>
      <c r="K79" s="37">
        <v>68.620002746582031</v>
      </c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</row>
    <row r="80" spans="1:24" ht="14.25" customHeight="1">
      <c r="A80" s="36">
        <v>21001</v>
      </c>
      <c r="B80" s="36" t="s">
        <v>105</v>
      </c>
      <c r="C80" s="37">
        <v>9.3000001907348633</v>
      </c>
      <c r="D80" s="37">
        <v>0.56999999284744263</v>
      </c>
      <c r="E80" s="37">
        <v>15.470000267028809</v>
      </c>
      <c r="F80" s="37">
        <v>10.409999847412109</v>
      </c>
      <c r="G80" s="37">
        <v>5.1599998474121094</v>
      </c>
      <c r="H80" s="37">
        <v>10.239999771118164</v>
      </c>
      <c r="I80" s="37">
        <v>34.189998626708984</v>
      </c>
      <c r="J80" s="37">
        <v>25.469999313354492</v>
      </c>
      <c r="K80" s="37">
        <v>65.330001831054688</v>
      </c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</row>
    <row r="81" spans="1:24" ht="14.25" customHeight="1">
      <c r="A81" s="36">
        <v>21002</v>
      </c>
      <c r="B81" s="36" t="s">
        <v>106</v>
      </c>
      <c r="C81" s="37">
        <v>9.0900001525878906</v>
      </c>
      <c r="D81" s="37">
        <v>0.38999998569488525</v>
      </c>
      <c r="E81" s="37">
        <v>12.869999885559082</v>
      </c>
      <c r="F81" s="37">
        <v>4.7800002098083496</v>
      </c>
      <c r="G81" s="37">
        <v>2.5899999141693115</v>
      </c>
      <c r="H81" s="37">
        <v>6.5900001525878906</v>
      </c>
      <c r="I81" s="37">
        <v>13.399999618530273</v>
      </c>
      <c r="J81" s="37">
        <v>16.479999542236328</v>
      </c>
      <c r="K81" s="37">
        <v>49.880001068115234</v>
      </c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</row>
    <row r="82" spans="1:24" ht="14.25" customHeight="1">
      <c r="A82" s="36">
        <v>21003</v>
      </c>
      <c r="B82" s="36" t="s">
        <v>107</v>
      </c>
      <c r="C82" s="37">
        <v>8.3000001907348633</v>
      </c>
      <c r="D82" s="37">
        <v>0.6600000262260437</v>
      </c>
      <c r="E82" s="37">
        <v>12.279999732971191</v>
      </c>
      <c r="F82" s="37">
        <v>3.7000000476837158</v>
      </c>
      <c r="G82" s="37">
        <v>5</v>
      </c>
      <c r="H82" s="37">
        <v>11.720000267028809</v>
      </c>
      <c r="I82" s="37">
        <v>8.8999996185302734</v>
      </c>
      <c r="J82" s="37">
        <v>9.1000003814697266</v>
      </c>
      <c r="K82" s="37">
        <v>41.340000152587891</v>
      </c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</row>
    <row r="83" spans="1:24" ht="14.25" customHeight="1">
      <c r="A83" s="36">
        <v>21004</v>
      </c>
      <c r="B83" s="36" t="s">
        <v>108</v>
      </c>
      <c r="C83" s="37">
        <v>12.260000228881836</v>
      </c>
      <c r="D83" s="37">
        <v>0.20999999344348907</v>
      </c>
      <c r="E83" s="37">
        <v>10.710000038146973</v>
      </c>
      <c r="F83" s="37">
        <v>7.2199997901916504</v>
      </c>
      <c r="G83" s="37">
        <v>4.4899997711181641</v>
      </c>
      <c r="H83" s="37">
        <v>7.5100002288818359</v>
      </c>
      <c r="I83" s="37">
        <v>15.260000228881836</v>
      </c>
      <c r="J83" s="37">
        <v>13.539999961853027</v>
      </c>
      <c r="K83" s="37">
        <v>69.919998168945313</v>
      </c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</row>
    <row r="84" spans="1:24" ht="14.25" customHeight="1">
      <c r="A84" s="36">
        <v>21005</v>
      </c>
      <c r="B84" s="36" t="s">
        <v>109</v>
      </c>
      <c r="C84" s="37">
        <v>6.369999885559082</v>
      </c>
      <c r="D84" s="37">
        <v>0.40000000596046448</v>
      </c>
      <c r="E84" s="37">
        <v>19.829999923706055</v>
      </c>
      <c r="F84" s="37">
        <v>11.180000305175781</v>
      </c>
      <c r="G84" s="37">
        <v>2.2200000286102295</v>
      </c>
      <c r="H84" s="37">
        <v>11.779999732971191</v>
      </c>
      <c r="I84" s="37">
        <v>49.549999237060547</v>
      </c>
      <c r="J84" s="37">
        <v>32.229999542236328</v>
      </c>
      <c r="K84" s="37">
        <v>79.400001525878906</v>
      </c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</row>
    <row r="85" spans="1:24" ht="14.25" customHeight="1">
      <c r="A85" s="36">
        <v>21006</v>
      </c>
      <c r="B85" s="36" t="s">
        <v>110</v>
      </c>
      <c r="C85" s="37">
        <v>9.0399999618530273</v>
      </c>
      <c r="D85" s="37">
        <v>0.50999999046325684</v>
      </c>
      <c r="E85" s="37">
        <v>18.670000076293945</v>
      </c>
      <c r="F85" s="37">
        <v>3.5999999046325684</v>
      </c>
      <c r="G85" s="37">
        <v>3.059999942779541</v>
      </c>
      <c r="H85" s="37">
        <v>10.470000267028809</v>
      </c>
      <c r="I85" s="37">
        <v>15.939999580383301</v>
      </c>
      <c r="J85" s="37">
        <v>16.200000762939453</v>
      </c>
      <c r="K85" s="37">
        <v>44.009998321533203</v>
      </c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</row>
    <row r="86" spans="1:24" ht="14.25" customHeight="1">
      <c r="A86" s="36">
        <v>21101</v>
      </c>
      <c r="B86" s="36" t="s">
        <v>111</v>
      </c>
      <c r="C86" s="37">
        <v>6.6100001335144043</v>
      </c>
      <c r="D86" s="37">
        <v>0.46000000834465027</v>
      </c>
      <c r="E86" s="37">
        <v>8.380000114440918</v>
      </c>
      <c r="F86" s="37">
        <v>1.5800000429153442</v>
      </c>
      <c r="G86" s="37">
        <v>2.9100000858306885</v>
      </c>
      <c r="H86" s="37">
        <v>7.7699999809265137</v>
      </c>
      <c r="I86" s="37">
        <v>13.720000267028809</v>
      </c>
      <c r="J86" s="37">
        <v>5.8400001525878906</v>
      </c>
      <c r="K86" s="37">
        <v>33.159999847412109</v>
      </c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</row>
    <row r="87" spans="1:24" ht="14.25" customHeight="1">
      <c r="A87" s="36">
        <v>21102</v>
      </c>
      <c r="B87" s="36" t="s">
        <v>112</v>
      </c>
      <c r="C87" s="37">
        <v>6.929999828338623</v>
      </c>
      <c r="D87" s="37">
        <v>0.41999998688697815</v>
      </c>
      <c r="E87" s="37">
        <v>10.659999847412109</v>
      </c>
      <c r="F87" s="37">
        <v>3.880000114440918</v>
      </c>
      <c r="G87" s="37">
        <v>3.119999885559082</v>
      </c>
      <c r="H87" s="37">
        <v>8.6400003433227539</v>
      </c>
      <c r="I87" s="37">
        <v>26.040000915527344</v>
      </c>
      <c r="J87" s="37">
        <v>12.390000343322754</v>
      </c>
      <c r="K87" s="37">
        <v>42.930000305175781</v>
      </c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</row>
    <row r="88" spans="1:24" ht="14.25" customHeight="1">
      <c r="A88" s="36">
        <v>21103</v>
      </c>
      <c r="B88" s="36" t="s">
        <v>113</v>
      </c>
      <c r="C88" s="37">
        <v>5.429999828338623</v>
      </c>
      <c r="D88" s="37">
        <v>0.18999999761581421</v>
      </c>
      <c r="E88" s="37">
        <v>6.9499998092651367</v>
      </c>
      <c r="F88" s="37">
        <v>1.8400000333786011</v>
      </c>
      <c r="G88" s="37">
        <v>2.5199999809265137</v>
      </c>
      <c r="H88" s="37">
        <v>5.440000057220459</v>
      </c>
      <c r="I88" s="37">
        <v>12.439999580383301</v>
      </c>
      <c r="J88" s="37">
        <v>8.6599998474121094</v>
      </c>
      <c r="K88" s="37">
        <v>21.129999160766602</v>
      </c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</row>
    <row r="89" spans="1:24" ht="14.25" customHeight="1">
      <c r="A89" s="36">
        <v>21104</v>
      </c>
      <c r="B89" s="36" t="s">
        <v>114</v>
      </c>
      <c r="C89" s="37">
        <v>7.8299999237060547</v>
      </c>
      <c r="D89" s="37">
        <v>0.69999998807907104</v>
      </c>
      <c r="E89" s="37">
        <v>11.590000152587891</v>
      </c>
      <c r="F89" s="37">
        <v>4.8499999046325684</v>
      </c>
      <c r="G89" s="37">
        <v>4.4800000190734863</v>
      </c>
      <c r="H89" s="37">
        <v>10.779999732971191</v>
      </c>
      <c r="I89" s="37">
        <v>21.920000076293945</v>
      </c>
      <c r="J89" s="37">
        <v>32.759998321533203</v>
      </c>
      <c r="K89" s="37">
        <v>46.130001068115234</v>
      </c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</row>
    <row r="90" spans="1:24" ht="14.25" customHeight="1">
      <c r="A90" s="36">
        <v>21105</v>
      </c>
      <c r="B90" s="36" t="s">
        <v>115</v>
      </c>
      <c r="C90" s="37">
        <v>6.179999828338623</v>
      </c>
      <c r="D90" s="37">
        <v>0.36000001430511475</v>
      </c>
      <c r="E90" s="37">
        <v>13.789999961853027</v>
      </c>
      <c r="F90" s="37">
        <v>5.179999828338623</v>
      </c>
      <c r="G90" s="37">
        <v>4.5799999237060547</v>
      </c>
      <c r="H90" s="37">
        <v>11.949999809265137</v>
      </c>
      <c r="I90" s="37">
        <v>28.25</v>
      </c>
      <c r="J90" s="37">
        <v>22.790000915527344</v>
      </c>
      <c r="K90" s="37">
        <v>50.099998474121094</v>
      </c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</row>
    <row r="91" spans="1:24" ht="14.25" customHeight="1">
      <c r="A91" s="36">
        <v>21201</v>
      </c>
      <c r="B91" s="36" t="s">
        <v>116</v>
      </c>
      <c r="C91" s="37">
        <v>10.850000381469727</v>
      </c>
      <c r="D91" s="37">
        <v>0.23999999463558197</v>
      </c>
      <c r="E91" s="37">
        <v>12.720000267028809</v>
      </c>
      <c r="F91" s="37">
        <v>7.6700000762939453</v>
      </c>
      <c r="G91" s="37">
        <v>3.0499999523162842</v>
      </c>
      <c r="H91" s="37">
        <v>6.880000114440918</v>
      </c>
      <c r="I91" s="37">
        <v>20.159999847412109</v>
      </c>
      <c r="J91" s="37">
        <v>19.190000534057617</v>
      </c>
      <c r="K91" s="37">
        <v>52.930000305175781</v>
      </c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</row>
    <row r="92" spans="1:24" ht="14.25" customHeight="1">
      <c r="A92" s="36">
        <v>21202</v>
      </c>
      <c r="B92" s="36" t="s">
        <v>117</v>
      </c>
      <c r="C92" s="37">
        <v>11.810000419616699</v>
      </c>
      <c r="D92" s="37">
        <v>0.37999999523162842</v>
      </c>
      <c r="E92" s="37">
        <v>11.869999885559082</v>
      </c>
      <c r="F92" s="37">
        <v>7.0900001525878906</v>
      </c>
      <c r="G92" s="37">
        <v>3.0899999141693115</v>
      </c>
      <c r="H92" s="37">
        <v>8.380000114440918</v>
      </c>
      <c r="I92" s="37">
        <v>14.810000419616699</v>
      </c>
      <c r="J92" s="37">
        <v>15.600000381469727</v>
      </c>
      <c r="K92" s="37">
        <v>39.909999847412109</v>
      </c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</row>
    <row r="93" spans="1:24" ht="14.25" customHeight="1">
      <c r="A93" s="36">
        <v>21203</v>
      </c>
      <c r="B93" s="36" t="s">
        <v>118</v>
      </c>
      <c r="C93" s="37">
        <v>12.25</v>
      </c>
      <c r="D93" s="37">
        <v>0.31000000238418579</v>
      </c>
      <c r="E93" s="37">
        <v>12.720000267028809</v>
      </c>
      <c r="F93" s="37">
        <v>6.820000171661377</v>
      </c>
      <c r="G93" s="37">
        <v>2.880000114440918</v>
      </c>
      <c r="H93" s="37">
        <v>5.8899998664855957</v>
      </c>
      <c r="I93" s="37">
        <v>22.559999465942383</v>
      </c>
      <c r="J93" s="37">
        <v>15.430000305175781</v>
      </c>
      <c r="K93" s="37">
        <v>29.510000228881836</v>
      </c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</row>
    <row r="94" spans="1:24" ht="14.25" customHeight="1">
      <c r="A94" s="36">
        <v>21204</v>
      </c>
      <c r="B94" s="36" t="s">
        <v>119</v>
      </c>
      <c r="C94" s="37">
        <v>14.640000343322754</v>
      </c>
      <c r="D94" s="37">
        <v>0.5</v>
      </c>
      <c r="E94" s="37">
        <v>16.579999923706055</v>
      </c>
      <c r="F94" s="37">
        <v>6.3499999046325684</v>
      </c>
      <c r="G94" s="37">
        <v>1.809999942779541</v>
      </c>
      <c r="H94" s="37">
        <v>5.8000001907348633</v>
      </c>
      <c r="I94" s="37">
        <v>21.790000915527344</v>
      </c>
      <c r="J94" s="37">
        <v>14.770000457763672</v>
      </c>
      <c r="K94" s="37">
        <v>53.020000457763672</v>
      </c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</row>
    <row r="95" spans="1:24" ht="14.25" customHeight="1">
      <c r="A95" s="36">
        <v>21301</v>
      </c>
      <c r="B95" s="36" t="s">
        <v>120</v>
      </c>
      <c r="C95" s="37">
        <v>7.4200000762939453</v>
      </c>
      <c r="D95" s="37">
        <v>0.41999998688697815</v>
      </c>
      <c r="E95" s="37">
        <v>14.869999885559082</v>
      </c>
      <c r="F95" s="37">
        <v>6.9000000953674316</v>
      </c>
      <c r="G95" s="37">
        <v>2.9300000667572021</v>
      </c>
      <c r="H95" s="37">
        <v>7.630000114440918</v>
      </c>
      <c r="I95" s="37">
        <v>22.059999465942383</v>
      </c>
      <c r="J95" s="37">
        <v>20.790000915527344</v>
      </c>
      <c r="K95" s="37">
        <v>59.080001831054688</v>
      </c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</row>
    <row r="96" spans="1:24" ht="14.25" customHeight="1">
      <c r="A96" s="36">
        <v>21302</v>
      </c>
      <c r="B96" s="36" t="s">
        <v>121</v>
      </c>
      <c r="C96" s="37">
        <v>7.820000171661377</v>
      </c>
      <c r="D96" s="37">
        <v>0.43000000715255737</v>
      </c>
      <c r="E96" s="37">
        <v>14.899999618530273</v>
      </c>
      <c r="F96" s="37">
        <v>6.6500000953674316</v>
      </c>
      <c r="G96" s="37">
        <v>2.9600000381469727</v>
      </c>
      <c r="H96" s="37">
        <v>6.2199997901916504</v>
      </c>
      <c r="I96" s="37">
        <v>22.579999923706055</v>
      </c>
      <c r="J96" s="37">
        <v>19.770000457763672</v>
      </c>
      <c r="K96" s="37">
        <v>44.130001068115234</v>
      </c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</row>
    <row r="97" spans="1:24" ht="14.25" customHeight="1">
      <c r="A97" s="36">
        <v>21303</v>
      </c>
      <c r="B97" s="36" t="s">
        <v>122</v>
      </c>
      <c r="C97" s="37">
        <v>7.4099998474121094</v>
      </c>
      <c r="D97" s="37">
        <v>0.37000000476837158</v>
      </c>
      <c r="E97" s="37">
        <v>15.930000305175781</v>
      </c>
      <c r="F97" s="37">
        <v>8.1700000762939453</v>
      </c>
      <c r="G97" s="37">
        <v>2.7699999809265137</v>
      </c>
      <c r="H97" s="37">
        <v>7.9000000953674316</v>
      </c>
      <c r="I97" s="37">
        <v>36.810001373291016</v>
      </c>
      <c r="J97" s="37">
        <v>25.090000152587891</v>
      </c>
      <c r="K97" s="37">
        <v>64.199996948242188</v>
      </c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</row>
    <row r="98" spans="1:24" ht="14.25" customHeight="1">
      <c r="A98" s="36">
        <v>21304</v>
      </c>
      <c r="B98" s="36" t="s">
        <v>123</v>
      </c>
      <c r="C98" s="37">
        <v>7.5100002288818359</v>
      </c>
      <c r="D98" s="37">
        <v>0.31999999284744263</v>
      </c>
      <c r="E98" s="37">
        <v>12.430000305175781</v>
      </c>
      <c r="F98" s="37">
        <v>7.320000171661377</v>
      </c>
      <c r="G98" s="37">
        <v>3.380000114440918</v>
      </c>
      <c r="H98" s="37">
        <v>8.1099996566772461</v>
      </c>
      <c r="I98" s="37">
        <v>17.969999313354492</v>
      </c>
      <c r="J98" s="37">
        <v>14.319999694824219</v>
      </c>
      <c r="K98" s="37">
        <v>43.540000915527344</v>
      </c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</row>
    <row r="99" spans="1:24" ht="14.25" customHeight="1">
      <c r="A99" s="36">
        <v>21305</v>
      </c>
      <c r="B99" s="36" t="s">
        <v>124</v>
      </c>
      <c r="C99" s="37">
        <v>8.2600002288818359</v>
      </c>
      <c r="D99" s="37">
        <v>0.31999999284744263</v>
      </c>
      <c r="E99" s="37">
        <v>10.180000305175781</v>
      </c>
      <c r="F99" s="37">
        <v>6.4000000953674316</v>
      </c>
      <c r="G99" s="37">
        <v>3.7699999809265137</v>
      </c>
      <c r="H99" s="37">
        <v>6.320000171661377</v>
      </c>
      <c r="I99" s="37">
        <v>13.409999847412109</v>
      </c>
      <c r="J99" s="37">
        <v>11.539999961853027</v>
      </c>
      <c r="K99" s="37">
        <v>44.950000762939453</v>
      </c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</row>
    <row r="100" spans="1:24" ht="14.25" customHeight="1">
      <c r="A100" s="36">
        <v>21306</v>
      </c>
      <c r="B100" s="36" t="s">
        <v>125</v>
      </c>
      <c r="C100" s="37">
        <v>5.2800002098083496</v>
      </c>
      <c r="D100" s="37">
        <v>0.37000000476837158</v>
      </c>
      <c r="E100" s="37">
        <v>11.569999694824219</v>
      </c>
      <c r="F100" s="37">
        <v>5.619999885559082</v>
      </c>
      <c r="G100" s="37">
        <v>3.4500000476837158</v>
      </c>
      <c r="H100" s="37">
        <v>7.7600002288818359</v>
      </c>
      <c r="I100" s="37">
        <v>15.840000152587891</v>
      </c>
      <c r="J100" s="37">
        <v>15.100000381469727</v>
      </c>
      <c r="K100" s="37">
        <v>68.160003662109375</v>
      </c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</row>
    <row r="101" spans="1:24" ht="14.25" customHeight="1">
      <c r="A101" s="36">
        <v>21307</v>
      </c>
      <c r="B101" s="36" t="s">
        <v>126</v>
      </c>
      <c r="C101" s="37">
        <v>7.3499999046325684</v>
      </c>
      <c r="D101" s="37">
        <v>1.1100000143051147</v>
      </c>
      <c r="E101" s="37">
        <v>15.020000457763672</v>
      </c>
      <c r="F101" s="37">
        <v>3.4500000476837158</v>
      </c>
      <c r="G101" s="37">
        <v>1.1299999952316284</v>
      </c>
      <c r="H101" s="37">
        <v>6.0900001525878906</v>
      </c>
      <c r="I101" s="37">
        <v>14.489999771118164</v>
      </c>
      <c r="J101" s="37">
        <v>10.369999885559082</v>
      </c>
      <c r="K101" s="37">
        <v>73.959999084472656</v>
      </c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</row>
    <row r="102" spans="1:24" ht="14.25" customHeight="1">
      <c r="A102" s="36">
        <v>21401</v>
      </c>
      <c r="B102" s="36" t="s">
        <v>127</v>
      </c>
      <c r="C102" s="37">
        <v>6.7600002288818359</v>
      </c>
      <c r="D102" s="37">
        <v>0.60000002384185791</v>
      </c>
      <c r="E102" s="37">
        <v>9.1800003051757813</v>
      </c>
      <c r="F102" s="37">
        <v>2.7999999523162842</v>
      </c>
      <c r="G102" s="37">
        <v>2.940000057220459</v>
      </c>
      <c r="H102" s="37">
        <v>8.119999885559082</v>
      </c>
      <c r="I102" s="37">
        <v>16.170000076293945</v>
      </c>
      <c r="J102" s="37">
        <v>17.930000305175781</v>
      </c>
      <c r="K102" s="37">
        <v>39.369998931884766</v>
      </c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</row>
    <row r="103" spans="1:24" ht="14.25" customHeight="1">
      <c r="A103" s="36">
        <v>21402</v>
      </c>
      <c r="B103" s="36" t="s">
        <v>128</v>
      </c>
      <c r="C103" s="37">
        <v>5.9600000381469727</v>
      </c>
      <c r="D103" s="37">
        <v>0.62000000476837158</v>
      </c>
      <c r="E103" s="37">
        <v>9.6499996185302734</v>
      </c>
      <c r="F103" s="37">
        <v>2.8399999141693115</v>
      </c>
      <c r="G103" s="37">
        <v>2.7799999713897705</v>
      </c>
      <c r="H103" s="37">
        <v>8.2399997711181641</v>
      </c>
      <c r="I103" s="37">
        <v>10.020000457763672</v>
      </c>
      <c r="J103" s="37">
        <v>5.1999998092651367</v>
      </c>
      <c r="K103" s="37">
        <v>29.690000534057617</v>
      </c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</row>
    <row r="104" spans="1:24" ht="14.25" customHeight="1">
      <c r="A104" s="36">
        <v>21501</v>
      </c>
      <c r="B104" s="36" t="s">
        <v>129</v>
      </c>
      <c r="C104" s="37">
        <v>7.7600002288818359</v>
      </c>
      <c r="D104" s="37">
        <v>1.8400000333786011</v>
      </c>
      <c r="E104" s="37">
        <v>23.899999618530273</v>
      </c>
      <c r="F104" s="37">
        <v>8.630000114440918</v>
      </c>
      <c r="G104" s="37">
        <v>7.3899998664855957</v>
      </c>
      <c r="H104" s="37">
        <v>16.389999389648438</v>
      </c>
      <c r="I104" s="37">
        <v>32.369998931884766</v>
      </c>
      <c r="J104" s="37">
        <v>30.709999084472656</v>
      </c>
      <c r="K104" s="37">
        <v>49.509998321533203</v>
      </c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</row>
    <row r="105" spans="1:24" ht="14.25" customHeight="1">
      <c r="A105" s="36">
        <v>21502</v>
      </c>
      <c r="B105" s="36" t="s">
        <v>130</v>
      </c>
      <c r="C105" s="37">
        <v>10.600000381469727</v>
      </c>
      <c r="D105" s="37">
        <v>1.6000000238418579</v>
      </c>
      <c r="E105" s="37">
        <v>10.710000038146973</v>
      </c>
      <c r="F105" s="37">
        <v>4.3499999046325684</v>
      </c>
      <c r="G105" s="37">
        <v>6.619999885559082</v>
      </c>
      <c r="H105" s="37">
        <v>11.140000343322754</v>
      </c>
      <c r="I105" s="37">
        <v>6.619999885559082</v>
      </c>
      <c r="J105" s="37">
        <v>8.9300003051757813</v>
      </c>
      <c r="K105" s="37">
        <v>29.690000534057617</v>
      </c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</row>
    <row r="106" spans="1:24" ht="14.25" customHeight="1">
      <c r="A106" s="36">
        <v>21601</v>
      </c>
      <c r="B106" s="36" t="s">
        <v>131</v>
      </c>
      <c r="C106" s="37">
        <v>21.159999847412109</v>
      </c>
      <c r="D106" s="37">
        <v>0.85000002384185791</v>
      </c>
      <c r="E106" s="37">
        <v>17.579999923706055</v>
      </c>
      <c r="F106" s="37">
        <v>13.909999847412109</v>
      </c>
      <c r="G106" s="37">
        <v>5.0399999618530273</v>
      </c>
      <c r="H106" s="37">
        <v>12.810000419616699</v>
      </c>
      <c r="I106" s="37">
        <v>17.159999847412109</v>
      </c>
      <c r="J106" s="37">
        <v>17.899999618530273</v>
      </c>
      <c r="K106" s="37">
        <v>53.040000915527344</v>
      </c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</row>
    <row r="107" spans="1:24" ht="14.25" customHeight="1">
      <c r="A107" s="36">
        <v>21602</v>
      </c>
      <c r="B107" s="36" t="s">
        <v>132</v>
      </c>
      <c r="C107" s="37">
        <v>23.930000305175781</v>
      </c>
      <c r="D107" s="37">
        <v>4.369999885559082</v>
      </c>
      <c r="E107" s="37">
        <v>18.020000457763672</v>
      </c>
      <c r="F107" s="37">
        <v>19.719999313354492</v>
      </c>
      <c r="G107" s="37">
        <v>4.6500000953674316</v>
      </c>
      <c r="H107" s="37">
        <v>17.729999542236328</v>
      </c>
      <c r="I107" s="37">
        <v>20.809999465942383</v>
      </c>
      <c r="J107" s="37">
        <v>31.780000686645508</v>
      </c>
      <c r="K107" s="37">
        <v>43.759998321533203</v>
      </c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</row>
    <row r="108" spans="1:24" ht="14.25" customHeight="1">
      <c r="A108" s="36">
        <v>21701</v>
      </c>
      <c r="B108" s="36" t="s">
        <v>133</v>
      </c>
      <c r="C108" s="37">
        <v>14.149999618530273</v>
      </c>
      <c r="D108" s="37">
        <v>1.7000000476837158</v>
      </c>
      <c r="E108" s="37">
        <v>10.260000228881836</v>
      </c>
      <c r="F108" s="37">
        <v>5.0500001907348633</v>
      </c>
      <c r="G108" s="37">
        <v>2.3399999141693115</v>
      </c>
      <c r="H108" s="37">
        <v>6.2800002098083496</v>
      </c>
      <c r="I108" s="37">
        <v>11.829999923706055</v>
      </c>
      <c r="J108" s="37">
        <v>15.630000114440918</v>
      </c>
      <c r="K108" s="37">
        <v>37.459999084472656</v>
      </c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</row>
    <row r="109" spans="1:24" ht="14.25" customHeight="1">
      <c r="A109" s="36">
        <v>21702</v>
      </c>
      <c r="B109" s="36" t="s">
        <v>134</v>
      </c>
      <c r="C109" s="37">
        <v>12.819999694824219</v>
      </c>
      <c r="D109" s="37">
        <v>0.64999997615814209</v>
      </c>
      <c r="E109" s="37">
        <v>10.630000114440918</v>
      </c>
      <c r="F109" s="37">
        <v>2.559999942779541</v>
      </c>
      <c r="G109" s="37">
        <v>1.940000057220459</v>
      </c>
      <c r="H109" s="37">
        <v>5.1100001335144043</v>
      </c>
      <c r="I109" s="37">
        <v>10.510000228881836</v>
      </c>
      <c r="J109" s="37">
        <v>14.649999618530273</v>
      </c>
      <c r="K109" s="37">
        <v>48.229999542236328</v>
      </c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</row>
    <row r="110" spans="1:24" ht="14.25" customHeight="1">
      <c r="A110" s="36">
        <v>21703</v>
      </c>
      <c r="B110" s="36" t="s">
        <v>135</v>
      </c>
      <c r="C110" s="37">
        <v>22.219999313354492</v>
      </c>
      <c r="D110" s="37">
        <v>3.1700000762939453</v>
      </c>
      <c r="E110" s="37">
        <v>16.629999160766602</v>
      </c>
      <c r="F110" s="37">
        <v>3.6600000858306885</v>
      </c>
      <c r="G110" s="37">
        <v>1.3600000143051147</v>
      </c>
      <c r="H110" s="37">
        <v>10.060000419616699</v>
      </c>
      <c r="I110" s="37">
        <v>15.699999809265137</v>
      </c>
      <c r="J110" s="37">
        <v>26.049999237060547</v>
      </c>
      <c r="K110" s="37">
        <v>77.139999389648438</v>
      </c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</row>
    <row r="111" spans="1:24" ht="14.25" customHeight="1">
      <c r="A111" s="36">
        <v>21801</v>
      </c>
      <c r="B111" s="36" t="s">
        <v>136</v>
      </c>
      <c r="C111" s="37">
        <v>6.9699997901916504</v>
      </c>
      <c r="D111" s="37">
        <v>0.51999998092651367</v>
      </c>
      <c r="E111" s="37">
        <v>15.949999809265137</v>
      </c>
      <c r="F111" s="37">
        <v>7.119999885559082</v>
      </c>
      <c r="G111" s="37">
        <v>3.5199999809265137</v>
      </c>
      <c r="H111" s="37">
        <v>8.2299995422363281</v>
      </c>
      <c r="I111" s="37">
        <v>30.520000457763672</v>
      </c>
      <c r="J111" s="37">
        <v>20.479999542236328</v>
      </c>
      <c r="K111" s="37">
        <v>62.459999084472656</v>
      </c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</row>
    <row r="112" spans="1:24" ht="14.25" customHeight="1">
      <c r="A112" s="36">
        <v>21802</v>
      </c>
      <c r="B112" s="36" t="s">
        <v>137</v>
      </c>
      <c r="C112" s="37">
        <v>7.3000001907348633</v>
      </c>
      <c r="D112" s="37">
        <v>0.27000001072883606</v>
      </c>
      <c r="E112" s="37">
        <v>13.149999618530273</v>
      </c>
      <c r="F112" s="37">
        <v>3.5199999809265137</v>
      </c>
      <c r="G112" s="37">
        <v>2.2699999809265137</v>
      </c>
      <c r="H112" s="37">
        <v>6.2100000381469727</v>
      </c>
      <c r="I112" s="37">
        <v>25.239999771118164</v>
      </c>
      <c r="J112" s="37">
        <v>24.270000457763672</v>
      </c>
      <c r="K112" s="37">
        <v>37.779998779296875</v>
      </c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</row>
    <row r="113" spans="1:24" ht="14.25" customHeight="1">
      <c r="A113" s="36">
        <v>21803</v>
      </c>
      <c r="B113" s="36" t="s">
        <v>138</v>
      </c>
      <c r="C113" s="37">
        <v>6.3600001335144043</v>
      </c>
      <c r="D113" s="37">
        <v>5.000000074505806E-2</v>
      </c>
      <c r="E113" s="37">
        <v>12.939999580383301</v>
      </c>
      <c r="F113" s="37">
        <v>7.820000171661377</v>
      </c>
      <c r="G113" s="37">
        <v>3.7200000286102295</v>
      </c>
      <c r="H113" s="37">
        <v>5.619999885559082</v>
      </c>
      <c r="I113" s="37">
        <v>31.149999618530273</v>
      </c>
      <c r="J113" s="37">
        <v>32.279998779296875</v>
      </c>
      <c r="K113" s="37">
        <v>79.389999389648438</v>
      </c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</row>
    <row r="114" spans="1:24" ht="14.25" customHeight="1">
      <c r="A114" s="36">
        <v>21901</v>
      </c>
      <c r="B114" s="36" t="s">
        <v>139</v>
      </c>
      <c r="C114" s="37">
        <v>6.429999828338623</v>
      </c>
      <c r="D114" s="37">
        <v>1.0399999618530273</v>
      </c>
      <c r="E114" s="37">
        <v>15.279999732971191</v>
      </c>
      <c r="F114" s="37">
        <v>4.2899999618530273</v>
      </c>
      <c r="G114" s="37">
        <v>2.5499999523162842</v>
      </c>
      <c r="H114" s="37">
        <v>5.8299999237060547</v>
      </c>
      <c r="I114" s="37">
        <v>35.869998931884766</v>
      </c>
      <c r="J114" s="37">
        <v>21.600000381469727</v>
      </c>
      <c r="K114" s="37">
        <v>34.310001373291016</v>
      </c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</row>
    <row r="115" spans="1:24" ht="14.25" customHeight="1">
      <c r="A115" s="36">
        <v>21902</v>
      </c>
      <c r="B115" s="36" t="s">
        <v>140</v>
      </c>
      <c r="C115" s="37">
        <v>4.9099998474121094</v>
      </c>
      <c r="D115" s="37">
        <v>6.5199999809265137</v>
      </c>
      <c r="E115" s="37">
        <v>22.5</v>
      </c>
      <c r="F115" s="37">
        <v>6.8499999046325684</v>
      </c>
      <c r="G115" s="37">
        <v>2.3499999046325684</v>
      </c>
      <c r="H115" s="37">
        <v>9.8999996185302734</v>
      </c>
      <c r="I115" s="37">
        <v>32.279998779296875</v>
      </c>
      <c r="J115" s="37">
        <v>22.940000534057617</v>
      </c>
      <c r="K115" s="37">
        <v>29.370000839233398</v>
      </c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</row>
    <row r="116" spans="1:24" ht="14.25" customHeight="1">
      <c r="A116" s="36">
        <v>22001</v>
      </c>
      <c r="B116" s="36" t="s">
        <v>141</v>
      </c>
      <c r="C116" s="37">
        <v>6.8499999046325684</v>
      </c>
      <c r="D116" s="37">
        <v>0.49000000953674316</v>
      </c>
      <c r="E116" s="37">
        <v>10.640000343322754</v>
      </c>
      <c r="F116" s="37">
        <v>3.3299999237060547</v>
      </c>
      <c r="G116" s="37">
        <v>3.6400001049041748</v>
      </c>
      <c r="H116" s="37">
        <v>9.1400003433227539</v>
      </c>
      <c r="I116" s="37">
        <v>21.569999694824219</v>
      </c>
      <c r="J116" s="37">
        <v>15.800000190734863</v>
      </c>
      <c r="K116" s="37">
        <v>35.819999694824219</v>
      </c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</row>
    <row r="117" spans="1:24" ht="14.25" customHeight="1">
      <c r="A117" s="36">
        <v>22002</v>
      </c>
      <c r="B117" s="36" t="s">
        <v>142</v>
      </c>
      <c r="C117" s="37">
        <v>7.880000114440918</v>
      </c>
      <c r="D117" s="37">
        <v>0.46000000834465027</v>
      </c>
      <c r="E117" s="37">
        <v>11.920000076293945</v>
      </c>
      <c r="F117" s="37">
        <v>2.630000114440918</v>
      </c>
      <c r="G117" s="37">
        <v>3.2200000286102295</v>
      </c>
      <c r="H117" s="37">
        <v>9.3999996185302734</v>
      </c>
      <c r="I117" s="37">
        <v>31.079999923706055</v>
      </c>
      <c r="J117" s="37">
        <v>37.770000457763672</v>
      </c>
      <c r="K117" s="37">
        <v>45.869998931884766</v>
      </c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</row>
    <row r="118" spans="1:24" ht="14.25" customHeight="1">
      <c r="A118" s="36">
        <v>30101</v>
      </c>
      <c r="B118" s="36" t="s">
        <v>16</v>
      </c>
      <c r="C118" s="37">
        <v>5.5999999046325684</v>
      </c>
      <c r="D118" s="37">
        <v>0.70999997854232788</v>
      </c>
      <c r="E118" s="37">
        <v>2.3299999237060547</v>
      </c>
      <c r="F118" s="37">
        <v>0.80000001192092896</v>
      </c>
      <c r="G118" s="37">
        <v>2.1400001049041748</v>
      </c>
      <c r="H118" s="37">
        <v>4.4600000381469727</v>
      </c>
      <c r="I118" s="37">
        <v>27.319999694824219</v>
      </c>
      <c r="J118" s="37">
        <v>1.3700000047683716</v>
      </c>
      <c r="K118" s="37">
        <v>33.119998931884766</v>
      </c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</row>
    <row r="119" spans="1:24" ht="14.25" customHeight="1">
      <c r="A119" s="36">
        <v>30201</v>
      </c>
      <c r="B119" s="36" t="s">
        <v>143</v>
      </c>
      <c r="C119" s="37">
        <v>19.219999313354492</v>
      </c>
      <c r="D119" s="37">
        <v>0.36000001430511475</v>
      </c>
      <c r="E119" s="37">
        <v>12.039999961853027</v>
      </c>
      <c r="F119" s="37">
        <v>3.5999999046325684</v>
      </c>
      <c r="G119" s="37">
        <v>4.570000171661377</v>
      </c>
      <c r="H119" s="37">
        <v>11.739999771118164</v>
      </c>
      <c r="I119" s="37">
        <v>14.479999542236328</v>
      </c>
      <c r="J119" s="37">
        <v>18.790000915527344</v>
      </c>
      <c r="K119" s="37">
        <v>42.180000305175781</v>
      </c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</row>
    <row r="120" spans="1:24" ht="14.25" customHeight="1">
      <c r="A120" s="36">
        <v>30202</v>
      </c>
      <c r="B120" s="36" t="s">
        <v>144</v>
      </c>
      <c r="C120" s="37">
        <v>13.170000076293945</v>
      </c>
      <c r="D120" s="37">
        <v>0.98000001907348633</v>
      </c>
      <c r="E120" s="37">
        <v>12.539999961853027</v>
      </c>
      <c r="F120" s="37">
        <v>1.5800000429153442</v>
      </c>
      <c r="G120" s="37">
        <v>2.6400001049041748</v>
      </c>
      <c r="H120" s="37">
        <v>8.7600002288818359</v>
      </c>
      <c r="I120" s="37">
        <v>11.829999923706055</v>
      </c>
      <c r="J120" s="37">
        <v>24.559999465942383</v>
      </c>
      <c r="K120" s="37">
        <v>47.549999237060547</v>
      </c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</row>
    <row r="121" spans="1:24" ht="14.25" customHeight="1">
      <c r="A121" s="36">
        <v>30203</v>
      </c>
      <c r="B121" s="36" t="s">
        <v>145</v>
      </c>
      <c r="C121" s="37">
        <v>16.370000839233398</v>
      </c>
      <c r="D121" s="37">
        <v>0.44999998807907104</v>
      </c>
      <c r="E121" s="37">
        <v>8.2899999618530273</v>
      </c>
      <c r="F121" s="37">
        <v>1.9900000095367432</v>
      </c>
      <c r="G121" s="37">
        <v>5.75</v>
      </c>
      <c r="H121" s="37">
        <v>15.229999542236328</v>
      </c>
      <c r="I121" s="37">
        <v>8.7299995422363281</v>
      </c>
      <c r="J121" s="37">
        <v>7.8899998664855957</v>
      </c>
      <c r="K121" s="37">
        <v>26.670000076293945</v>
      </c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</row>
    <row r="122" spans="1:24" ht="14.25" customHeight="1">
      <c r="A122" s="36">
        <v>30301</v>
      </c>
      <c r="B122" s="36" t="s">
        <v>146</v>
      </c>
      <c r="C122" s="37">
        <v>26.329999923706055</v>
      </c>
      <c r="D122" s="37">
        <v>0.18999999761581421</v>
      </c>
      <c r="E122" s="37">
        <v>12.600000381469727</v>
      </c>
      <c r="F122" s="37">
        <v>8.130000114440918</v>
      </c>
      <c r="G122" s="37">
        <v>5.190000057220459</v>
      </c>
      <c r="H122" s="37">
        <v>11.25</v>
      </c>
      <c r="I122" s="37">
        <v>24.930000305175781</v>
      </c>
      <c r="J122" s="37">
        <v>22.989999771118164</v>
      </c>
      <c r="K122" s="37">
        <v>64.349998474121094</v>
      </c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</row>
    <row r="123" spans="1:24" ht="14.25" customHeight="1">
      <c r="A123" s="36">
        <v>30302</v>
      </c>
      <c r="B123" s="36" t="s">
        <v>147</v>
      </c>
      <c r="C123" s="37">
        <v>26.25</v>
      </c>
      <c r="D123" s="37">
        <v>0.23000000417232513</v>
      </c>
      <c r="E123" s="37">
        <v>13.220000267028809</v>
      </c>
      <c r="F123" s="37">
        <v>7.369999885559082</v>
      </c>
      <c r="G123" s="37">
        <v>5.2699999809265137</v>
      </c>
      <c r="H123" s="37">
        <v>11.930000305175781</v>
      </c>
      <c r="I123" s="37">
        <v>18.5</v>
      </c>
      <c r="J123" s="37">
        <v>33.540000915527344</v>
      </c>
      <c r="K123" s="37">
        <v>57.220001220703125</v>
      </c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</row>
    <row r="124" spans="1:24" ht="14.25" customHeight="1">
      <c r="A124" s="36">
        <v>30303</v>
      </c>
      <c r="B124" s="36" t="s">
        <v>148</v>
      </c>
      <c r="C124" s="37">
        <v>14.930000305175781</v>
      </c>
      <c r="D124" s="37">
        <v>0.2199999988079071</v>
      </c>
      <c r="E124" s="37">
        <v>21.610000610351563</v>
      </c>
      <c r="F124" s="37">
        <v>9.5100002288818359</v>
      </c>
      <c r="G124" s="37">
        <v>6.5399999618530273</v>
      </c>
      <c r="H124" s="37">
        <v>15.199999809265137</v>
      </c>
      <c r="I124" s="37">
        <v>51.740001678466797</v>
      </c>
      <c r="J124" s="37">
        <v>31.030000686645508</v>
      </c>
      <c r="K124" s="37">
        <v>56.340000152587891</v>
      </c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</row>
    <row r="125" spans="1:24" ht="14.25" customHeight="1">
      <c r="A125" s="36">
        <v>30401</v>
      </c>
      <c r="B125" s="36" t="s">
        <v>149</v>
      </c>
      <c r="C125" s="37">
        <v>13.399999618530273</v>
      </c>
      <c r="D125" s="37">
        <v>0.95999997854232788</v>
      </c>
      <c r="E125" s="37">
        <v>10.590000152587891</v>
      </c>
      <c r="F125" s="37">
        <v>2.2200000286102295</v>
      </c>
      <c r="G125" s="37">
        <v>4.0999999046325684</v>
      </c>
      <c r="H125" s="37">
        <v>8.8500003814697266</v>
      </c>
      <c r="I125" s="37">
        <v>14.409999847412109</v>
      </c>
      <c r="J125" s="37">
        <v>18.329999923706055</v>
      </c>
      <c r="K125" s="37">
        <v>38.770000457763672</v>
      </c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</row>
    <row r="126" spans="1:24" ht="14.25" customHeight="1">
      <c r="A126" s="36">
        <v>30402</v>
      </c>
      <c r="B126" s="36" t="s">
        <v>150</v>
      </c>
      <c r="C126" s="37">
        <v>19.370000839233398</v>
      </c>
      <c r="D126" s="37">
        <v>0.18999999761581421</v>
      </c>
      <c r="E126" s="37">
        <v>15.25</v>
      </c>
      <c r="F126" s="37">
        <v>4.6999998092651367</v>
      </c>
      <c r="G126" s="37">
        <v>3.5699999332427979</v>
      </c>
      <c r="H126" s="37">
        <v>9.6400003433227539</v>
      </c>
      <c r="I126" s="37">
        <v>20.780000686645508</v>
      </c>
      <c r="J126" s="37">
        <v>33.759998321533203</v>
      </c>
      <c r="K126" s="37">
        <v>68.519996643066406</v>
      </c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</row>
    <row r="127" spans="1:24" ht="14.25" customHeight="1">
      <c r="A127" s="36">
        <v>30403</v>
      </c>
      <c r="B127" s="36" t="s">
        <v>151</v>
      </c>
      <c r="C127" s="37">
        <v>12.239999771118164</v>
      </c>
      <c r="D127" s="37">
        <v>0.82999998331069946</v>
      </c>
      <c r="E127" s="37">
        <v>6.619999885559082</v>
      </c>
      <c r="F127" s="37">
        <v>2.5299999713897705</v>
      </c>
      <c r="G127" s="37">
        <v>4.5300002098083496</v>
      </c>
      <c r="H127" s="37">
        <v>7.3000001907348633</v>
      </c>
      <c r="I127" s="37">
        <v>61.650001525878906</v>
      </c>
      <c r="J127" s="37">
        <v>22.360000610351563</v>
      </c>
      <c r="K127" s="37">
        <v>72.860000610351563</v>
      </c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</row>
    <row r="128" spans="1:24" ht="14.25" customHeight="1">
      <c r="A128" s="36">
        <v>30404</v>
      </c>
      <c r="B128" s="36" t="s">
        <v>152</v>
      </c>
      <c r="C128" s="37">
        <v>18.450000762939453</v>
      </c>
      <c r="D128" s="37">
        <v>0.37999999523162842</v>
      </c>
      <c r="E128" s="37">
        <v>20.569999694824219</v>
      </c>
      <c r="F128" s="37">
        <v>4.1999998092651367</v>
      </c>
      <c r="G128" s="37">
        <v>3.5299999713897705</v>
      </c>
      <c r="H128" s="37">
        <v>13.680000305175781</v>
      </c>
      <c r="I128" s="37">
        <v>27.129999160766602</v>
      </c>
      <c r="J128" s="37">
        <v>39</v>
      </c>
      <c r="K128" s="37">
        <v>64.650001525878906</v>
      </c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</row>
    <row r="129" spans="1:24" ht="14.25" customHeight="1">
      <c r="A129" s="36">
        <v>30501</v>
      </c>
      <c r="B129" s="36" t="s">
        <v>153</v>
      </c>
      <c r="C129" s="37">
        <v>15.340000152587891</v>
      </c>
      <c r="D129" s="37">
        <v>0.52999997138977051</v>
      </c>
      <c r="E129" s="37">
        <v>9.6599998474121094</v>
      </c>
      <c r="F129" s="37">
        <v>1.2100000381469727</v>
      </c>
      <c r="G129" s="37">
        <v>2.3599998950958252</v>
      </c>
      <c r="H129" s="37">
        <v>5.4800000190734863</v>
      </c>
      <c r="I129" s="37">
        <v>6.119999885559082</v>
      </c>
      <c r="J129" s="37">
        <v>6.9499998092651367</v>
      </c>
      <c r="K129" s="37">
        <v>25.030000686645508</v>
      </c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</row>
    <row r="130" spans="1:24" ht="14.25" customHeight="1">
      <c r="A130" s="36">
        <v>30502</v>
      </c>
      <c r="B130" s="36" t="s">
        <v>154</v>
      </c>
      <c r="C130" s="37">
        <v>26.950000762939453</v>
      </c>
      <c r="D130" s="37">
        <v>0.10000000149011612</v>
      </c>
      <c r="E130" s="37">
        <v>15.819999694824219</v>
      </c>
      <c r="F130" s="37">
        <v>3.4100000858306885</v>
      </c>
      <c r="G130" s="37">
        <v>4.309999942779541</v>
      </c>
      <c r="H130" s="37">
        <v>8.1499996185302734</v>
      </c>
      <c r="I130" s="37">
        <v>12.010000228881836</v>
      </c>
      <c r="J130" s="37">
        <v>19.469999313354492</v>
      </c>
      <c r="K130" s="37">
        <v>50.720001220703125</v>
      </c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</row>
    <row r="131" spans="1:24" ht="14.25" customHeight="1">
      <c r="A131" s="36">
        <v>30601</v>
      </c>
      <c r="B131" s="36" t="s">
        <v>155</v>
      </c>
      <c r="C131" s="37">
        <v>32.669998168945313</v>
      </c>
      <c r="D131" s="37">
        <v>0.17000000178813934</v>
      </c>
      <c r="E131" s="37">
        <v>22.379999160766602</v>
      </c>
      <c r="F131" s="37">
        <v>14.569999694824219</v>
      </c>
      <c r="G131" s="37">
        <v>5.6500000953674316</v>
      </c>
      <c r="H131" s="37">
        <v>14.029999732971191</v>
      </c>
      <c r="I131" s="37">
        <v>29.059999465942383</v>
      </c>
      <c r="J131" s="37">
        <v>31.450000762939453</v>
      </c>
      <c r="K131" s="37">
        <v>71.889999389648438</v>
      </c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</row>
    <row r="132" spans="1:24" ht="14.25" customHeight="1">
      <c r="A132" s="36">
        <v>30602</v>
      </c>
      <c r="B132" s="36" t="s">
        <v>156</v>
      </c>
      <c r="C132" s="37">
        <v>29.540000915527344</v>
      </c>
      <c r="D132" s="37">
        <v>7.9999998211860657E-2</v>
      </c>
      <c r="E132" s="37">
        <v>18.110000610351563</v>
      </c>
      <c r="F132" s="37">
        <v>7.0799999237060547</v>
      </c>
      <c r="G132" s="37">
        <v>3.880000114440918</v>
      </c>
      <c r="H132" s="37">
        <v>10.840000152587891</v>
      </c>
      <c r="I132" s="37">
        <v>13.329999923706055</v>
      </c>
      <c r="J132" s="37">
        <v>28.530000686645508</v>
      </c>
      <c r="K132" s="37">
        <v>50.450000762939453</v>
      </c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</row>
    <row r="133" spans="1:24" ht="14.25" customHeight="1">
      <c r="A133" s="36">
        <v>30701</v>
      </c>
      <c r="B133" s="36" t="s">
        <v>157</v>
      </c>
      <c r="C133" s="37">
        <v>15.390000343322754</v>
      </c>
      <c r="D133" s="37">
        <v>0.51999998092651367</v>
      </c>
      <c r="E133" s="37">
        <v>8.1499996185302734</v>
      </c>
      <c r="F133" s="37">
        <v>2.8900001049041748</v>
      </c>
      <c r="G133" s="37">
        <v>4.6399998664855957</v>
      </c>
      <c r="H133" s="37">
        <v>7.0799999237060547</v>
      </c>
      <c r="I133" s="37">
        <v>12.970000267028809</v>
      </c>
      <c r="J133" s="37">
        <v>13.380000114440918</v>
      </c>
      <c r="K133" s="37">
        <v>35.209999084472656</v>
      </c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</row>
    <row r="134" spans="1:24" ht="14.25" customHeight="1">
      <c r="A134" s="36">
        <v>30702</v>
      </c>
      <c r="B134" s="36" t="s">
        <v>158</v>
      </c>
      <c r="C134" s="37">
        <v>11.949999809265137</v>
      </c>
      <c r="D134" s="37">
        <v>0.2199999988079071</v>
      </c>
      <c r="E134" s="37">
        <v>8.2799997329711914</v>
      </c>
      <c r="F134" s="37">
        <v>1.0499999523162842</v>
      </c>
      <c r="G134" s="37">
        <v>4.5500001907348633</v>
      </c>
      <c r="H134" s="37">
        <v>7.2300000190734863</v>
      </c>
      <c r="I134" s="37">
        <v>8.1999998092651367</v>
      </c>
      <c r="J134" s="37">
        <v>11.369999885559082</v>
      </c>
      <c r="K134" s="37">
        <v>25.299999237060547</v>
      </c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</row>
    <row r="135" spans="1:24" ht="14.25" customHeight="1">
      <c r="A135" s="36">
        <v>30703</v>
      </c>
      <c r="B135" s="36" t="s">
        <v>159</v>
      </c>
      <c r="C135" s="37">
        <v>21.879999160766602</v>
      </c>
      <c r="D135" s="37">
        <v>0.52999997138977051</v>
      </c>
      <c r="E135" s="37">
        <v>11.220000267028809</v>
      </c>
      <c r="F135" s="37">
        <v>5.0999999046325684</v>
      </c>
      <c r="G135" s="37">
        <v>5.8299999237060547</v>
      </c>
      <c r="H135" s="37">
        <v>13.170000076293945</v>
      </c>
      <c r="I135" s="37">
        <v>9.3500003814697266</v>
      </c>
      <c r="J135" s="37">
        <v>16.170000076293945</v>
      </c>
      <c r="K135" s="37">
        <v>42.270000457763672</v>
      </c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</row>
    <row r="136" spans="1:24" ht="14.25" customHeight="1">
      <c r="A136" s="36">
        <v>30801</v>
      </c>
      <c r="B136" s="36" t="s">
        <v>160</v>
      </c>
      <c r="C136" s="37">
        <v>11.069999694824219</v>
      </c>
      <c r="D136" s="37">
        <v>1.0399999618530273</v>
      </c>
      <c r="E136" s="37">
        <v>5.75</v>
      </c>
      <c r="F136" s="37">
        <v>0.75999999046325684</v>
      </c>
      <c r="G136" s="37">
        <v>3.0499999523162842</v>
      </c>
      <c r="H136" s="37">
        <v>6.3000001907348633</v>
      </c>
      <c r="I136" s="37">
        <v>1.440000057220459</v>
      </c>
      <c r="J136" s="37">
        <v>1.6200000047683716</v>
      </c>
      <c r="K136" s="37">
        <v>15.460000038146973</v>
      </c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</row>
    <row r="137" spans="1:24" ht="14.25" customHeight="1">
      <c r="A137" s="36">
        <v>30802</v>
      </c>
      <c r="B137" s="36" t="s">
        <v>161</v>
      </c>
      <c r="C137" s="37">
        <v>17.5</v>
      </c>
      <c r="D137" s="37">
        <v>0.89999997615814209</v>
      </c>
      <c r="E137" s="37">
        <v>11.430000305175781</v>
      </c>
      <c r="F137" s="37">
        <v>1.2699999809265137</v>
      </c>
      <c r="G137" s="37">
        <v>3.7599999904632568</v>
      </c>
      <c r="H137" s="37">
        <v>8.25</v>
      </c>
      <c r="I137" s="37">
        <v>5.690000057220459</v>
      </c>
      <c r="J137" s="37">
        <v>9.8000001907348633</v>
      </c>
      <c r="K137" s="37">
        <v>28.649999618530273</v>
      </c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</row>
    <row r="138" spans="1:24" ht="14.25" customHeight="1">
      <c r="A138" s="36">
        <v>30803</v>
      </c>
      <c r="B138" s="36" t="s">
        <v>162</v>
      </c>
      <c r="C138" s="37">
        <v>10.380000114440918</v>
      </c>
      <c r="D138" s="37">
        <v>1.059999942779541</v>
      </c>
      <c r="E138" s="37">
        <v>4.1700000762939453</v>
      </c>
      <c r="F138" s="37">
        <v>1.6399999856948853</v>
      </c>
      <c r="G138" s="37">
        <v>3.2899999618530273</v>
      </c>
      <c r="H138" s="37">
        <v>6.4699997901916504</v>
      </c>
      <c r="I138" s="37">
        <v>24.040000915527344</v>
      </c>
      <c r="J138" s="37">
        <v>17.889999389648438</v>
      </c>
      <c r="K138" s="37">
        <v>31.889999389648438</v>
      </c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</row>
    <row r="139" spans="1:24" ht="14.25" customHeight="1">
      <c r="A139" s="36">
        <v>30901</v>
      </c>
      <c r="B139" s="36" t="s">
        <v>163</v>
      </c>
      <c r="C139" s="37">
        <v>7.570000171661377</v>
      </c>
      <c r="D139" s="37">
        <v>0.56999999284744263</v>
      </c>
      <c r="E139" s="37">
        <v>3.0099999904632568</v>
      </c>
      <c r="F139" s="37">
        <v>0.99000000953674316</v>
      </c>
      <c r="G139" s="37">
        <v>2.880000114440918</v>
      </c>
      <c r="H139" s="37">
        <v>5.0999999046325684</v>
      </c>
      <c r="I139" s="37">
        <v>17.819999694824219</v>
      </c>
      <c r="J139" s="37">
        <v>1.5099999904632568</v>
      </c>
      <c r="K139" s="37">
        <v>32.819999694824219</v>
      </c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</row>
    <row r="140" spans="1:24" ht="14.25" customHeight="1">
      <c r="A140" s="36">
        <v>30902</v>
      </c>
      <c r="B140" s="36" t="s">
        <v>164</v>
      </c>
      <c r="C140" s="37">
        <v>13.520000457763672</v>
      </c>
      <c r="D140" s="37">
        <v>0.41999998688697815</v>
      </c>
      <c r="E140" s="37">
        <v>4.8400001525878906</v>
      </c>
      <c r="F140" s="37">
        <v>2.3900001049041748</v>
      </c>
      <c r="G140" s="37">
        <v>4.5900001525878906</v>
      </c>
      <c r="H140" s="37">
        <v>7.5999999046325684</v>
      </c>
      <c r="I140" s="37">
        <v>13.529999732971191</v>
      </c>
      <c r="J140" s="37">
        <v>4.119999885559082</v>
      </c>
      <c r="K140" s="37">
        <v>62.770000457763672</v>
      </c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</row>
    <row r="141" spans="1:24" ht="14.25" customHeight="1">
      <c r="A141" s="36">
        <v>30903</v>
      </c>
      <c r="B141" s="36" t="s">
        <v>165</v>
      </c>
      <c r="C141" s="37">
        <v>6.1500000953674316</v>
      </c>
      <c r="D141" s="37">
        <v>1.1499999761581421</v>
      </c>
      <c r="E141" s="37">
        <v>2.9300000667572021</v>
      </c>
      <c r="F141" s="37">
        <v>1.3300000429153442</v>
      </c>
      <c r="G141" s="37">
        <v>2.5999999046325684</v>
      </c>
      <c r="H141" s="37">
        <v>5.3000001907348633</v>
      </c>
      <c r="I141" s="37">
        <v>17.319999694824219</v>
      </c>
      <c r="J141" s="37">
        <v>1.9600000381469727</v>
      </c>
      <c r="K141" s="37">
        <v>33.319999694824219</v>
      </c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</row>
    <row r="142" spans="1:24" ht="14.25" customHeight="1">
      <c r="A142" s="36">
        <v>30904</v>
      </c>
      <c r="B142" s="36" t="s">
        <v>166</v>
      </c>
      <c r="C142" s="37">
        <v>9.1400003433227539</v>
      </c>
      <c r="D142" s="37">
        <v>0.38999998569488525</v>
      </c>
      <c r="E142" s="37">
        <v>3.6400001049041748</v>
      </c>
      <c r="F142" s="37">
        <v>1.3300000429153442</v>
      </c>
      <c r="G142" s="37">
        <v>3.4500000476837158</v>
      </c>
      <c r="H142" s="37">
        <v>5.7300000190734863</v>
      </c>
      <c r="I142" s="37">
        <v>16.329999923706055</v>
      </c>
      <c r="J142" s="37">
        <v>1.9099999666213989</v>
      </c>
      <c r="K142" s="37">
        <v>58.659999847412109</v>
      </c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</row>
    <row r="143" spans="1:24" ht="14.25" customHeight="1">
      <c r="A143" s="36">
        <v>30905</v>
      </c>
      <c r="B143" s="36" t="s">
        <v>167</v>
      </c>
      <c r="C143" s="37">
        <v>5.1100001335144043</v>
      </c>
      <c r="D143" s="37">
        <v>0.62999999523162842</v>
      </c>
      <c r="E143" s="37">
        <v>2.0299999713897705</v>
      </c>
      <c r="F143" s="37">
        <v>0.36000001430511475</v>
      </c>
      <c r="G143" s="37">
        <v>2.0699999332427979</v>
      </c>
      <c r="H143" s="37">
        <v>4.1700000762939453</v>
      </c>
      <c r="I143" s="37">
        <v>15.760000228881836</v>
      </c>
      <c r="J143" s="37">
        <v>0.34000000357627869</v>
      </c>
      <c r="K143" s="37">
        <v>17.979999542236328</v>
      </c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</row>
    <row r="144" spans="1:24" ht="14.25" customHeight="1">
      <c r="A144" s="36">
        <v>31001</v>
      </c>
      <c r="B144" s="36" t="s">
        <v>168</v>
      </c>
      <c r="C144" s="37">
        <v>8.0200004577636719</v>
      </c>
      <c r="D144" s="37">
        <v>0.75999999046325684</v>
      </c>
      <c r="E144" s="37">
        <v>3.3900001049041748</v>
      </c>
      <c r="F144" s="37">
        <v>0.79000002145767212</v>
      </c>
      <c r="G144" s="37">
        <v>2.8399999141693115</v>
      </c>
      <c r="H144" s="37">
        <v>5.0799999237060547</v>
      </c>
      <c r="I144" s="37">
        <v>24.870000839233398</v>
      </c>
      <c r="J144" s="37">
        <v>4.2699999809265137</v>
      </c>
      <c r="K144" s="37">
        <v>27.670000076293945</v>
      </c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</row>
    <row r="145" spans="1:24" ht="14.25" customHeight="1">
      <c r="A145" s="36">
        <v>31002</v>
      </c>
      <c r="B145" s="36" t="s">
        <v>169</v>
      </c>
      <c r="C145" s="37">
        <v>13.420000076293945</v>
      </c>
      <c r="D145" s="37">
        <v>0.34000000357627869</v>
      </c>
      <c r="E145" s="37">
        <v>11.119999885559082</v>
      </c>
      <c r="F145" s="37">
        <v>3.0199999809265137</v>
      </c>
      <c r="G145" s="37">
        <v>5.869999885559082</v>
      </c>
      <c r="H145" s="37">
        <v>9.9099998474121094</v>
      </c>
      <c r="I145" s="37">
        <v>16.870000839233398</v>
      </c>
      <c r="J145" s="37">
        <v>19.059999465942383</v>
      </c>
      <c r="K145" s="37">
        <v>24.829999923706055</v>
      </c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</row>
    <row r="146" spans="1:24" ht="14.25" customHeight="1">
      <c r="A146" s="36">
        <v>31003</v>
      </c>
      <c r="B146" s="36" t="s">
        <v>170</v>
      </c>
      <c r="C146" s="37">
        <v>9.3900003433227539</v>
      </c>
      <c r="D146" s="37">
        <v>0.33000001311302185</v>
      </c>
      <c r="E146" s="37">
        <v>11.060000419616699</v>
      </c>
      <c r="F146" s="37">
        <v>4.070000171661377</v>
      </c>
      <c r="G146" s="37">
        <v>4.940000057220459</v>
      </c>
      <c r="H146" s="37">
        <v>9.4300003051757813</v>
      </c>
      <c r="I146" s="37">
        <v>32.659999847412109</v>
      </c>
      <c r="J146" s="37">
        <v>25.639999389648438</v>
      </c>
      <c r="K146" s="37">
        <v>31.219999313354492</v>
      </c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</row>
    <row r="147" spans="1:24" ht="14.25" customHeight="1">
      <c r="A147" s="36">
        <v>31101</v>
      </c>
      <c r="B147" s="36" t="s">
        <v>171</v>
      </c>
      <c r="C147" s="37">
        <v>26.120000839233398</v>
      </c>
      <c r="D147" s="37">
        <v>5.9999998658895493E-2</v>
      </c>
      <c r="E147" s="37">
        <v>18.700000762939453</v>
      </c>
      <c r="F147" s="37">
        <v>11.539999961853027</v>
      </c>
      <c r="G147" s="37">
        <v>4.7899999618530273</v>
      </c>
      <c r="H147" s="37">
        <v>11.109999656677246</v>
      </c>
      <c r="I147" s="37">
        <v>27.139999389648438</v>
      </c>
      <c r="J147" s="37">
        <v>37.860000610351563</v>
      </c>
      <c r="K147" s="37">
        <v>78.779998779296875</v>
      </c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</row>
    <row r="148" spans="1:24" ht="14.25" customHeight="1">
      <c r="A148" s="36">
        <v>31201</v>
      </c>
      <c r="B148" s="36" t="s">
        <v>172</v>
      </c>
      <c r="C148" s="37">
        <v>17.549999237060547</v>
      </c>
      <c r="D148" s="37">
        <v>0.12999999523162842</v>
      </c>
      <c r="E148" s="37">
        <v>13.489999771118164</v>
      </c>
      <c r="F148" s="37">
        <v>5.3299999237060547</v>
      </c>
      <c r="G148" s="37">
        <v>8.9700002670288086</v>
      </c>
      <c r="H148" s="37">
        <v>17.040000915527344</v>
      </c>
      <c r="I148" s="37">
        <v>27.290000915527344</v>
      </c>
      <c r="J148" s="37">
        <v>22.979999542236328</v>
      </c>
      <c r="K148" s="37">
        <v>65.239997863769531</v>
      </c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</row>
    <row r="149" spans="1:24" ht="14.25" customHeight="1">
      <c r="A149" s="36">
        <v>31202</v>
      </c>
      <c r="B149" s="36" t="s">
        <v>173</v>
      </c>
      <c r="C149" s="37">
        <v>15.409999847412109</v>
      </c>
      <c r="D149" s="37">
        <v>0.68000000715255737</v>
      </c>
      <c r="E149" s="37">
        <v>13.350000381469727</v>
      </c>
      <c r="F149" s="37">
        <v>3.9800000190734863</v>
      </c>
      <c r="G149" s="37">
        <v>6.929999828338623</v>
      </c>
      <c r="H149" s="37">
        <v>17.530000686645508</v>
      </c>
      <c r="I149" s="37">
        <v>32.130001068115234</v>
      </c>
      <c r="J149" s="37">
        <v>29.760000228881836</v>
      </c>
      <c r="K149" s="37">
        <v>55.810001373291016</v>
      </c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</row>
    <row r="150" spans="1:24" ht="14.25" customHeight="1">
      <c r="A150" s="36">
        <v>31203</v>
      </c>
      <c r="B150" s="36" t="s">
        <v>174</v>
      </c>
      <c r="C150" s="37">
        <v>15.289999961853027</v>
      </c>
      <c r="D150" s="37">
        <v>0.34000000357627869</v>
      </c>
      <c r="E150" s="37">
        <v>9.9799995422363281</v>
      </c>
      <c r="F150" s="37">
        <v>2.119999885559082</v>
      </c>
      <c r="G150" s="37">
        <v>4.630000114440918</v>
      </c>
      <c r="H150" s="37">
        <v>10.560000419616699</v>
      </c>
      <c r="I150" s="37">
        <v>15.699999809265137</v>
      </c>
      <c r="J150" s="37">
        <v>16.430000305175781</v>
      </c>
      <c r="K150" s="37">
        <v>47.209999084472656</v>
      </c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</row>
    <row r="151" spans="1:24" ht="14.25" customHeight="1">
      <c r="A151" s="36">
        <v>31204</v>
      </c>
      <c r="B151" s="36" t="s">
        <v>175</v>
      </c>
      <c r="C151" s="37">
        <v>8.7200002670288086</v>
      </c>
      <c r="D151" s="37">
        <v>0.36000001430511475</v>
      </c>
      <c r="E151" s="37">
        <v>8.380000114440918</v>
      </c>
      <c r="F151" s="37">
        <v>4.2100000381469727</v>
      </c>
      <c r="G151" s="37">
        <v>5.7800002098083496</v>
      </c>
      <c r="H151" s="37">
        <v>10.5</v>
      </c>
      <c r="I151" s="37">
        <v>21.639999389648438</v>
      </c>
      <c r="J151" s="37">
        <v>21.709999084472656</v>
      </c>
      <c r="K151" s="37">
        <v>41.240001678466797</v>
      </c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</row>
    <row r="152" spans="1:24" ht="14.25" customHeight="1">
      <c r="A152" s="36">
        <v>31205</v>
      </c>
      <c r="B152" s="36" t="s">
        <v>176</v>
      </c>
      <c r="C152" s="37">
        <v>10.649999618530273</v>
      </c>
      <c r="D152" s="37">
        <v>0.37000000476837158</v>
      </c>
      <c r="E152" s="37">
        <v>8.119999885559082</v>
      </c>
      <c r="F152" s="37">
        <v>1.9500000476837158</v>
      </c>
      <c r="G152" s="37">
        <v>5.9200000762939453</v>
      </c>
      <c r="H152" s="37">
        <v>10.710000038146973</v>
      </c>
      <c r="I152" s="37">
        <v>18.889999389648438</v>
      </c>
      <c r="J152" s="37">
        <v>18.229999542236328</v>
      </c>
      <c r="K152" s="37">
        <v>40.220001220703125</v>
      </c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</row>
    <row r="153" spans="1:24" ht="14.25" customHeight="1">
      <c r="A153" s="36">
        <v>31206</v>
      </c>
      <c r="B153" s="36" t="s">
        <v>177</v>
      </c>
      <c r="C153" s="37">
        <v>9.7799997329711914</v>
      </c>
      <c r="D153" s="37">
        <v>0.55000001192092896</v>
      </c>
      <c r="E153" s="37">
        <v>7.25</v>
      </c>
      <c r="F153" s="37">
        <v>1.3700000047683716</v>
      </c>
      <c r="G153" s="37">
        <v>5.1500000953674316</v>
      </c>
      <c r="H153" s="37">
        <v>11.039999961853027</v>
      </c>
      <c r="I153" s="37">
        <v>14.710000038146973</v>
      </c>
      <c r="J153" s="37">
        <v>18.579999923706055</v>
      </c>
      <c r="K153" s="37">
        <v>55.529998779296875</v>
      </c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</row>
    <row r="154" spans="1:24" ht="14.25" customHeight="1">
      <c r="A154" s="36">
        <v>31301</v>
      </c>
      <c r="B154" s="36" t="s">
        <v>178</v>
      </c>
      <c r="C154" s="37">
        <v>20.520000457763672</v>
      </c>
      <c r="D154" s="37">
        <v>0.38999998569488525</v>
      </c>
      <c r="E154" s="37">
        <v>10.130000114440918</v>
      </c>
      <c r="F154" s="37">
        <v>3.1600000858306885</v>
      </c>
      <c r="G154" s="37">
        <v>5.7800002098083496</v>
      </c>
      <c r="H154" s="37">
        <v>11.380000114440918</v>
      </c>
      <c r="I154" s="37">
        <v>13.979999542236328</v>
      </c>
      <c r="J154" s="37">
        <v>15.630000114440918</v>
      </c>
      <c r="K154" s="37">
        <v>50.819999694824219</v>
      </c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</row>
    <row r="155" spans="1:24" ht="14.25" customHeight="1">
      <c r="A155" s="36">
        <v>31302</v>
      </c>
      <c r="B155" s="36" t="s">
        <v>179</v>
      </c>
      <c r="C155" s="37">
        <v>28.290000915527344</v>
      </c>
      <c r="D155" s="37">
        <v>0.5899999737739563</v>
      </c>
      <c r="E155" s="37">
        <v>23.25</v>
      </c>
      <c r="F155" s="37">
        <v>7.559999942779541</v>
      </c>
      <c r="G155" s="37">
        <v>8.8900003433227539</v>
      </c>
      <c r="H155" s="37">
        <v>18.239999771118164</v>
      </c>
      <c r="I155" s="37">
        <v>42.029998779296875</v>
      </c>
      <c r="J155" s="37">
        <v>44.040000915527344</v>
      </c>
      <c r="K155" s="37">
        <v>73.889999389648438</v>
      </c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</row>
    <row r="156" spans="1:24" ht="14.25" customHeight="1">
      <c r="A156" s="36">
        <v>31303</v>
      </c>
      <c r="B156" s="36" t="s">
        <v>180</v>
      </c>
      <c r="C156" s="37">
        <v>23.090000152587891</v>
      </c>
      <c r="D156" s="37">
        <v>0.72000002861022949</v>
      </c>
      <c r="E156" s="37">
        <v>21.209999084472656</v>
      </c>
      <c r="F156" s="37">
        <v>6.4200000762939453</v>
      </c>
      <c r="G156" s="37">
        <v>5.7199997901916504</v>
      </c>
      <c r="H156" s="37">
        <v>17.399999618530273</v>
      </c>
      <c r="I156" s="37">
        <v>27.520000457763672</v>
      </c>
      <c r="J156" s="37">
        <v>43.639999389648438</v>
      </c>
      <c r="K156" s="37">
        <v>77.720001220703125</v>
      </c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</row>
    <row r="157" spans="1:24" ht="14.25" customHeight="1">
      <c r="A157" s="36">
        <v>31304</v>
      </c>
      <c r="B157" s="36" t="s">
        <v>181</v>
      </c>
      <c r="C157" s="37">
        <v>42.25</v>
      </c>
      <c r="D157" s="37">
        <v>0.92000001668930054</v>
      </c>
      <c r="E157" s="37">
        <v>29.75</v>
      </c>
      <c r="F157" s="37">
        <v>15.789999961853027</v>
      </c>
      <c r="G157" s="37">
        <v>6.309999942779541</v>
      </c>
      <c r="H157" s="37">
        <v>22.870000839233398</v>
      </c>
      <c r="I157" s="37">
        <v>51.229999542236328</v>
      </c>
      <c r="J157" s="37">
        <v>58.659999847412109</v>
      </c>
      <c r="K157" s="37">
        <v>88.660003662109375</v>
      </c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</row>
    <row r="158" spans="1:24" ht="14.25" customHeight="1">
      <c r="A158" s="36">
        <v>31401</v>
      </c>
      <c r="B158" s="36" t="s">
        <v>182</v>
      </c>
      <c r="C158" s="37">
        <v>12.470000267028809</v>
      </c>
      <c r="D158" s="37">
        <v>0.89999997615814209</v>
      </c>
      <c r="E158" s="37">
        <v>4.9200000762939453</v>
      </c>
      <c r="F158" s="37">
        <v>0.87999999523162842</v>
      </c>
      <c r="G158" s="37">
        <v>2.7999999523162842</v>
      </c>
      <c r="H158" s="37">
        <v>5.3600001335144043</v>
      </c>
      <c r="I158" s="37">
        <v>16.889999389648438</v>
      </c>
      <c r="J158" s="37">
        <v>1.9800000190734863</v>
      </c>
      <c r="K158" s="37">
        <v>29.739999771118164</v>
      </c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</row>
    <row r="159" spans="1:24" ht="14.25" customHeight="1">
      <c r="A159" s="36">
        <v>31402</v>
      </c>
      <c r="B159" s="36" t="s">
        <v>183</v>
      </c>
      <c r="C159" s="37">
        <v>13.529999732971191</v>
      </c>
      <c r="D159" s="37">
        <v>0.68999999761581421</v>
      </c>
      <c r="E159" s="37">
        <v>10.470000267028809</v>
      </c>
      <c r="F159" s="37">
        <v>1.4199999570846558</v>
      </c>
      <c r="G159" s="37">
        <v>3.5799999237060547</v>
      </c>
      <c r="H159" s="37">
        <v>7.5</v>
      </c>
      <c r="I159" s="37">
        <v>5.7600002288818359</v>
      </c>
      <c r="J159" s="37">
        <v>7.8000001907348633</v>
      </c>
      <c r="K159" s="37">
        <v>43.639999389648438</v>
      </c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</row>
    <row r="160" spans="1:24" ht="14.25" customHeight="1">
      <c r="A160" s="36">
        <v>31403</v>
      </c>
      <c r="B160" s="36" t="s">
        <v>184</v>
      </c>
      <c r="C160" s="37">
        <v>11.710000038146973</v>
      </c>
      <c r="D160" s="37">
        <v>0.68000000715255737</v>
      </c>
      <c r="E160" s="37">
        <v>5.059999942779541</v>
      </c>
      <c r="F160" s="37">
        <v>1.1699999570846558</v>
      </c>
      <c r="G160" s="37">
        <v>3.2899999618530273</v>
      </c>
      <c r="H160" s="37">
        <v>5.8299999237060547</v>
      </c>
      <c r="I160" s="37">
        <v>9.6000003814697266</v>
      </c>
      <c r="J160" s="37">
        <v>2.9800000190734863</v>
      </c>
      <c r="K160" s="37">
        <v>38.599998474121094</v>
      </c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</row>
    <row r="161" spans="1:24" ht="14.25" customHeight="1">
      <c r="A161" s="36">
        <v>31404</v>
      </c>
      <c r="B161" s="36" t="s">
        <v>185</v>
      </c>
      <c r="C161" s="37">
        <v>7.7300000190734863</v>
      </c>
      <c r="D161" s="37">
        <v>0.15999999642372131</v>
      </c>
      <c r="E161" s="37">
        <v>12.069999694824219</v>
      </c>
      <c r="F161" s="37">
        <v>2.3499999046325684</v>
      </c>
      <c r="G161" s="37">
        <v>2.3399999141693115</v>
      </c>
      <c r="H161" s="37">
        <v>8.1899995803833008</v>
      </c>
      <c r="I161" s="37">
        <v>4.9899997711181641</v>
      </c>
      <c r="J161" s="37">
        <v>5.3000001907348633</v>
      </c>
      <c r="K161" s="37">
        <v>32.840000152587891</v>
      </c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</row>
    <row r="162" spans="1:24" ht="14.25" customHeight="1">
      <c r="A162" s="36">
        <v>31405</v>
      </c>
      <c r="B162" s="36" t="s">
        <v>186</v>
      </c>
      <c r="C162" s="37">
        <v>12.470000267028809</v>
      </c>
      <c r="D162" s="37">
        <v>0.81000000238418579</v>
      </c>
      <c r="E162" s="37">
        <v>24.370000839233398</v>
      </c>
      <c r="F162" s="37">
        <v>1.5</v>
      </c>
      <c r="G162" s="37">
        <v>1.7599999904632568</v>
      </c>
      <c r="H162" s="37">
        <v>7.679999828338623</v>
      </c>
      <c r="I162" s="37">
        <v>10.600000381469727</v>
      </c>
      <c r="J162" s="37">
        <v>21.950000762939453</v>
      </c>
      <c r="K162" s="37">
        <v>39.919998168945313</v>
      </c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</row>
    <row r="163" spans="1:24" ht="14.25" customHeight="1">
      <c r="A163" s="36">
        <v>31501</v>
      </c>
      <c r="B163" s="36" t="s">
        <v>187</v>
      </c>
      <c r="C163" s="37">
        <v>22.020000457763672</v>
      </c>
      <c r="D163" s="37">
        <v>0.15999999642372131</v>
      </c>
      <c r="E163" s="37">
        <v>18.239999771118164</v>
      </c>
      <c r="F163" s="37">
        <v>12.460000038146973</v>
      </c>
      <c r="G163" s="37">
        <v>3.6400001049041748</v>
      </c>
      <c r="H163" s="37">
        <v>9.4499998092651367</v>
      </c>
      <c r="I163" s="37">
        <v>15.270000457763672</v>
      </c>
      <c r="J163" s="37">
        <v>28.149999618530273</v>
      </c>
      <c r="K163" s="37">
        <v>85.029998779296875</v>
      </c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</row>
    <row r="164" spans="1:24" ht="14.25" customHeight="1">
      <c r="A164" s="36">
        <v>31601</v>
      </c>
      <c r="B164" s="36" t="s">
        <v>188</v>
      </c>
      <c r="C164" s="37">
        <v>16.520000457763672</v>
      </c>
      <c r="D164" s="37">
        <v>0.34999999403953552</v>
      </c>
      <c r="E164" s="37">
        <v>14.409999847412109</v>
      </c>
      <c r="F164" s="37">
        <v>2.2599999904632568</v>
      </c>
      <c r="G164" s="37">
        <v>4.3600001335144043</v>
      </c>
      <c r="H164" s="37">
        <v>12.109999656677246</v>
      </c>
      <c r="I164" s="37">
        <v>11.869999885559082</v>
      </c>
      <c r="J164" s="37">
        <v>12.760000228881836</v>
      </c>
      <c r="K164" s="37">
        <v>30.530000686645508</v>
      </c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</row>
    <row r="165" spans="1:24" ht="14.25" customHeight="1">
      <c r="A165" s="36">
        <v>31602</v>
      </c>
      <c r="B165" s="36" t="s">
        <v>189</v>
      </c>
      <c r="C165" s="37">
        <v>10.560000419616699</v>
      </c>
      <c r="D165" s="37">
        <v>0.47999998927116394</v>
      </c>
      <c r="E165" s="37">
        <v>8.75</v>
      </c>
      <c r="F165" s="37">
        <v>1.6599999666213989</v>
      </c>
      <c r="G165" s="37">
        <v>5.0100002288818359</v>
      </c>
      <c r="H165" s="37">
        <v>9.880000114440918</v>
      </c>
      <c r="I165" s="37">
        <v>13.649999618530273</v>
      </c>
      <c r="J165" s="37">
        <v>20.5</v>
      </c>
      <c r="K165" s="37">
        <v>25.170000076293945</v>
      </c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</row>
    <row r="166" spans="1:24" ht="14.25" customHeight="1">
      <c r="A166" s="36">
        <v>40101</v>
      </c>
      <c r="B166" s="36" t="s">
        <v>18</v>
      </c>
      <c r="C166" s="37">
        <v>4.6399998664855957</v>
      </c>
      <c r="D166" s="37">
        <v>0.2800000011920929</v>
      </c>
      <c r="E166" s="37">
        <v>2.5299999713897705</v>
      </c>
      <c r="F166" s="37">
        <v>1.6599999666213989</v>
      </c>
      <c r="G166" s="37">
        <v>2.3499999046325684</v>
      </c>
      <c r="H166" s="37">
        <v>3.2200000286102295</v>
      </c>
      <c r="I166" s="37">
        <v>2.7699999809265137</v>
      </c>
      <c r="J166" s="37">
        <v>1.4600000381469727</v>
      </c>
      <c r="K166" s="37">
        <v>22</v>
      </c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</row>
    <row r="167" spans="1:24" ht="14.25" customHeight="1">
      <c r="A167" s="36">
        <v>40102</v>
      </c>
      <c r="B167" s="36" t="s">
        <v>190</v>
      </c>
      <c r="C167" s="37">
        <v>6.7800002098083496</v>
      </c>
      <c r="D167" s="37">
        <v>0.11999999731779099</v>
      </c>
      <c r="E167" s="37">
        <v>8.380000114440918</v>
      </c>
      <c r="F167" s="37">
        <v>3.5099999904632568</v>
      </c>
      <c r="G167" s="37">
        <v>3.3900001049041748</v>
      </c>
      <c r="H167" s="37">
        <v>5.7800002098083496</v>
      </c>
      <c r="I167" s="37">
        <v>27.690000534057617</v>
      </c>
      <c r="J167" s="37">
        <v>11.909999847412109</v>
      </c>
      <c r="K167" s="37">
        <v>55</v>
      </c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</row>
    <row r="168" spans="1:24" ht="14.25" customHeight="1">
      <c r="A168" s="36">
        <v>40103</v>
      </c>
      <c r="B168" s="36" t="s">
        <v>191</v>
      </c>
      <c r="C168" s="37">
        <v>6.559999942779541</v>
      </c>
      <c r="D168" s="37">
        <v>1.5099999904632568</v>
      </c>
      <c r="E168" s="37">
        <v>21.360000610351563</v>
      </c>
      <c r="F168" s="37">
        <v>1.7400000095367432</v>
      </c>
      <c r="G168" s="37">
        <v>1.4299999475479126</v>
      </c>
      <c r="H168" s="37">
        <v>9.0699996948242188</v>
      </c>
      <c r="I168" s="37">
        <v>51.860000610351563</v>
      </c>
      <c r="J168" s="37">
        <v>67.669998168945313</v>
      </c>
      <c r="K168" s="37">
        <v>90.699996948242188</v>
      </c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</row>
    <row r="169" spans="1:24" ht="14.25" customHeight="1">
      <c r="A169" s="36">
        <v>40104</v>
      </c>
      <c r="B169" s="36" t="s">
        <v>192</v>
      </c>
      <c r="C169" s="37">
        <v>10.239999771118164</v>
      </c>
      <c r="D169" s="37">
        <v>0.10999999940395355</v>
      </c>
      <c r="E169" s="37">
        <v>9.9099998474121094</v>
      </c>
      <c r="F169" s="37">
        <v>5.0500001907348633</v>
      </c>
      <c r="G169" s="37">
        <v>3.0399999618530273</v>
      </c>
      <c r="H169" s="37">
        <v>7.0799999237060547</v>
      </c>
      <c r="I169" s="37">
        <v>13.449999809265137</v>
      </c>
      <c r="J169" s="37">
        <v>10.670000076293945</v>
      </c>
      <c r="K169" s="37">
        <v>67.669998168945313</v>
      </c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</row>
    <row r="170" spans="1:24" ht="14.25" customHeight="1">
      <c r="A170" s="36">
        <v>40201</v>
      </c>
      <c r="B170" s="36" t="s">
        <v>193</v>
      </c>
      <c r="C170" s="37">
        <v>11.930000305175781</v>
      </c>
      <c r="D170" s="37">
        <v>0.38999998569488525</v>
      </c>
      <c r="E170" s="37">
        <v>11.920000076293945</v>
      </c>
      <c r="F170" s="37">
        <v>6.6500000953674316</v>
      </c>
      <c r="G170" s="37">
        <v>3.4100000858306885</v>
      </c>
      <c r="H170" s="37">
        <v>7.3400001525878906</v>
      </c>
      <c r="I170" s="37">
        <v>17.680000305175781</v>
      </c>
      <c r="J170" s="37">
        <v>16.959999084472656</v>
      </c>
      <c r="K170" s="37">
        <v>59.099998474121094</v>
      </c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</row>
    <row r="171" spans="1:24" ht="14.25" customHeight="1">
      <c r="A171" s="36">
        <v>40202</v>
      </c>
      <c r="B171" s="36" t="s">
        <v>194</v>
      </c>
      <c r="C171" s="37">
        <v>4.570000171661377</v>
      </c>
      <c r="D171" s="37">
        <v>0.55000001192092896</v>
      </c>
      <c r="E171" s="37">
        <v>10.489999771118164</v>
      </c>
      <c r="F171" s="37">
        <v>2.0299999713897705</v>
      </c>
      <c r="G171" s="37">
        <v>1</v>
      </c>
      <c r="H171" s="37">
        <v>4.6700000762939453</v>
      </c>
      <c r="I171" s="37">
        <v>26.139999389648438</v>
      </c>
      <c r="J171" s="37">
        <v>28.260000228881836</v>
      </c>
      <c r="K171" s="37">
        <v>64.889999389648438</v>
      </c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</row>
    <row r="172" spans="1:24" ht="14.25" customHeight="1">
      <c r="A172" s="36">
        <v>40301</v>
      </c>
      <c r="B172" s="36" t="s">
        <v>195</v>
      </c>
      <c r="C172" s="37">
        <v>7.869999885559082</v>
      </c>
      <c r="D172" s="37">
        <v>2.1700000762939453</v>
      </c>
      <c r="E172" s="37">
        <v>14.479999542236328</v>
      </c>
      <c r="F172" s="37">
        <v>3.7400000095367432</v>
      </c>
      <c r="G172" s="37">
        <v>3.440000057220459</v>
      </c>
      <c r="H172" s="37">
        <v>8.3199996948242188</v>
      </c>
      <c r="I172" s="37">
        <v>41.299999237060547</v>
      </c>
      <c r="J172" s="37">
        <v>32.340000152587891</v>
      </c>
      <c r="K172" s="37">
        <v>86.870002746582031</v>
      </c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</row>
    <row r="173" spans="1:24" ht="14.25" customHeight="1">
      <c r="A173" s="36">
        <v>40302</v>
      </c>
      <c r="B173" s="36" t="s">
        <v>196</v>
      </c>
      <c r="C173" s="37">
        <v>6.1700000762939453</v>
      </c>
      <c r="D173" s="37">
        <v>0.36000001430511475</v>
      </c>
      <c r="E173" s="37">
        <v>8.5600004196166992</v>
      </c>
      <c r="F173" s="37">
        <v>2.0499999523162842</v>
      </c>
      <c r="G173" s="37">
        <v>3.6500000953674316</v>
      </c>
      <c r="H173" s="37">
        <v>6.2399997711181641</v>
      </c>
      <c r="I173" s="37">
        <v>57.099998474121094</v>
      </c>
      <c r="J173" s="37">
        <v>27.409999847412109</v>
      </c>
      <c r="K173" s="37">
        <v>66.470001220703125</v>
      </c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</row>
    <row r="174" spans="1:24" ht="14.25" customHeight="1">
      <c r="A174" s="36">
        <v>40401</v>
      </c>
      <c r="B174" s="36" t="s">
        <v>197</v>
      </c>
      <c r="C174" s="37">
        <v>11.199999809265137</v>
      </c>
      <c r="D174" s="37">
        <v>1.8700000047683716</v>
      </c>
      <c r="E174" s="37">
        <v>11.819999694824219</v>
      </c>
      <c r="F174" s="37">
        <v>6.5199999809265137</v>
      </c>
      <c r="G174" s="37">
        <v>2.690000057220459</v>
      </c>
      <c r="H174" s="37">
        <v>6.7399997711181641</v>
      </c>
      <c r="I174" s="37">
        <v>31.409999847412109</v>
      </c>
      <c r="J174" s="37">
        <v>18.420000076293945</v>
      </c>
      <c r="K174" s="37">
        <v>54.630001068115234</v>
      </c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</row>
    <row r="175" spans="1:24" ht="14.25" customHeight="1">
      <c r="A175" s="36">
        <v>40402</v>
      </c>
      <c r="B175" s="36" t="s">
        <v>198</v>
      </c>
      <c r="C175" s="37">
        <v>7.1500000953674316</v>
      </c>
      <c r="D175" s="37">
        <v>1.2899999618530273</v>
      </c>
      <c r="E175" s="37">
        <v>15.560000419616699</v>
      </c>
      <c r="F175" s="37">
        <v>3.2200000286102295</v>
      </c>
      <c r="G175" s="37">
        <v>1.8300000429153442</v>
      </c>
      <c r="H175" s="37">
        <v>7.7899999618530273</v>
      </c>
      <c r="I175" s="37">
        <v>40.590000152587891</v>
      </c>
      <c r="J175" s="37">
        <v>45.080001831054688</v>
      </c>
      <c r="K175" s="37">
        <v>60.840000152587891</v>
      </c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</row>
    <row r="176" spans="1:24" ht="14.25" customHeight="1">
      <c r="A176" s="36">
        <v>40501</v>
      </c>
      <c r="B176" s="36" t="s">
        <v>199</v>
      </c>
      <c r="C176" s="37">
        <v>6.0799999237060547</v>
      </c>
      <c r="D176" s="37">
        <v>3.6500000953674316</v>
      </c>
      <c r="E176" s="37">
        <v>8.2200002670288086</v>
      </c>
      <c r="F176" s="37">
        <v>3.2599999904632568</v>
      </c>
      <c r="G176" s="37">
        <v>1.3500000238418579</v>
      </c>
      <c r="H176" s="37">
        <v>7.0500001907348633</v>
      </c>
      <c r="I176" s="37">
        <v>3.2200000286102295</v>
      </c>
      <c r="J176" s="37">
        <v>2.9000000953674316</v>
      </c>
      <c r="K176" s="37">
        <v>27.040000915527344</v>
      </c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</row>
    <row r="177" spans="1:24" ht="14.25" customHeight="1">
      <c r="A177" s="36">
        <v>40502</v>
      </c>
      <c r="B177" s="36" t="s">
        <v>200</v>
      </c>
      <c r="C177" s="37">
        <v>2.8900001049041748</v>
      </c>
      <c r="D177" s="37">
        <v>0.62999999523162842</v>
      </c>
      <c r="E177" s="37">
        <v>13.010000228881836</v>
      </c>
      <c r="F177" s="37">
        <v>4.5399999618530273</v>
      </c>
      <c r="G177" s="37">
        <v>1.6599999666213989</v>
      </c>
      <c r="H177" s="37">
        <v>6.5999999046325684</v>
      </c>
      <c r="I177" s="37">
        <v>20.680000305175781</v>
      </c>
      <c r="J177" s="37">
        <v>19.219999313354492</v>
      </c>
      <c r="K177" s="37">
        <v>53.700000762939453</v>
      </c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</row>
    <row r="178" spans="1:24" ht="14.25" customHeight="1">
      <c r="A178" s="36">
        <v>40503</v>
      </c>
      <c r="B178" s="36" t="s">
        <v>201</v>
      </c>
      <c r="C178" s="37">
        <v>2.8900001049041748</v>
      </c>
      <c r="D178" s="37">
        <v>9.9200000762939453</v>
      </c>
      <c r="E178" s="37">
        <v>14.390000343322754</v>
      </c>
      <c r="F178" s="37">
        <v>6.9200000762939453</v>
      </c>
      <c r="G178" s="37">
        <v>3.0899999141693115</v>
      </c>
      <c r="H178" s="37">
        <v>12.989999771118164</v>
      </c>
      <c r="I178" s="37">
        <v>12.260000228881836</v>
      </c>
      <c r="J178" s="37">
        <v>5.8299999237060547</v>
      </c>
      <c r="K178" s="37">
        <v>34.090000152587891</v>
      </c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</row>
    <row r="179" spans="1:24" ht="14.25" customHeight="1">
      <c r="A179" s="36">
        <v>40504</v>
      </c>
      <c r="B179" s="36" t="s">
        <v>202</v>
      </c>
      <c r="C179" s="37">
        <v>6.4000000953674316</v>
      </c>
      <c r="D179" s="37">
        <v>11.659999847412109</v>
      </c>
      <c r="E179" s="37">
        <v>4.6500000953674316</v>
      </c>
      <c r="F179" s="37">
        <v>6.059999942779541</v>
      </c>
      <c r="G179" s="37">
        <v>2.1700000762939453</v>
      </c>
      <c r="H179" s="37">
        <v>14.630000114440918</v>
      </c>
      <c r="I179" s="37">
        <v>1.6000000238418579</v>
      </c>
      <c r="J179" s="37">
        <v>6.2899999618530273</v>
      </c>
      <c r="K179" s="37">
        <v>5.369999885559082</v>
      </c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</row>
    <row r="180" spans="1:24" ht="14.25" customHeight="1">
      <c r="A180" s="36">
        <v>40505</v>
      </c>
      <c r="B180" s="36" t="s">
        <v>203</v>
      </c>
      <c r="C180" s="37">
        <v>5.4099998474121094</v>
      </c>
      <c r="D180" s="37">
        <v>6.6700000762939453</v>
      </c>
      <c r="E180" s="37">
        <v>17.680000305175781</v>
      </c>
      <c r="F180" s="37">
        <v>10.130000114440918</v>
      </c>
      <c r="G180" s="37">
        <v>1.5800000429153442</v>
      </c>
      <c r="H180" s="37">
        <v>13.770000457763672</v>
      </c>
      <c r="I180" s="37">
        <v>6.25</v>
      </c>
      <c r="J180" s="37">
        <v>6.5100002288818359</v>
      </c>
      <c r="K180" s="37">
        <v>36.490001678466797</v>
      </c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</row>
    <row r="181" spans="1:24" ht="14.25" customHeight="1">
      <c r="A181" s="36">
        <v>40601</v>
      </c>
      <c r="B181" s="36" t="s">
        <v>204</v>
      </c>
      <c r="C181" s="37">
        <v>7.7100000381469727</v>
      </c>
      <c r="D181" s="37">
        <v>1.2400000095367432</v>
      </c>
      <c r="E181" s="37">
        <v>8.369999885559082</v>
      </c>
      <c r="F181" s="37">
        <v>1.1699999570846558</v>
      </c>
      <c r="G181" s="37">
        <v>2.2200000286102295</v>
      </c>
      <c r="H181" s="37">
        <v>2.8399999141693115</v>
      </c>
      <c r="I181" s="37">
        <v>12.090000152587891</v>
      </c>
      <c r="J181" s="37">
        <v>16.049999237060547</v>
      </c>
      <c r="K181" s="37">
        <v>46.430000305175781</v>
      </c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</row>
    <row r="182" spans="1:24" ht="14.25" customHeight="1">
      <c r="A182" s="36">
        <v>40602</v>
      </c>
      <c r="B182" s="36" t="s">
        <v>205</v>
      </c>
      <c r="C182" s="37">
        <v>11.619999885559082</v>
      </c>
      <c r="D182" s="37">
        <v>0.37999999523162842</v>
      </c>
      <c r="E182" s="37">
        <v>9.8999996185302734</v>
      </c>
      <c r="F182" s="37">
        <v>4.0500001907348633</v>
      </c>
      <c r="G182" s="37">
        <v>2.3499999046325684</v>
      </c>
      <c r="H182" s="37">
        <v>4.190000057220459</v>
      </c>
      <c r="I182" s="37">
        <v>20.5</v>
      </c>
      <c r="J182" s="37">
        <v>10.229999542236328</v>
      </c>
      <c r="K182" s="37">
        <v>64.599998474121094</v>
      </c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</row>
    <row r="183" spans="1:24" ht="14.25" customHeight="1">
      <c r="A183" s="36">
        <v>40603</v>
      </c>
      <c r="B183" s="36" t="s">
        <v>206</v>
      </c>
      <c r="C183" s="37">
        <v>6.119999885559082</v>
      </c>
      <c r="D183" s="37">
        <v>5.9999998658895493E-2</v>
      </c>
      <c r="E183" s="37">
        <v>6.9800000190734863</v>
      </c>
      <c r="F183" s="37">
        <v>1.6299999952316284</v>
      </c>
      <c r="G183" s="37">
        <v>2.9200000762939453</v>
      </c>
      <c r="H183" s="37">
        <v>3.369999885559082</v>
      </c>
      <c r="I183" s="37">
        <v>12.210000038146973</v>
      </c>
      <c r="J183" s="37">
        <v>7.75</v>
      </c>
      <c r="K183" s="37">
        <v>54.950000762939453</v>
      </c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</row>
    <row r="184" spans="1:24" ht="14.25" customHeight="1">
      <c r="A184" s="36">
        <v>40701</v>
      </c>
      <c r="B184" s="36" t="s">
        <v>207</v>
      </c>
      <c r="C184" s="37">
        <v>6.4099998474121094</v>
      </c>
      <c r="D184" s="37">
        <v>0.12999999523162842</v>
      </c>
      <c r="E184" s="37">
        <v>4.820000171661377</v>
      </c>
      <c r="F184" s="37">
        <v>1.2799999713897705</v>
      </c>
      <c r="G184" s="37">
        <v>3.2699999809265137</v>
      </c>
      <c r="H184" s="37">
        <v>2.9300000667572021</v>
      </c>
      <c r="I184" s="37">
        <v>4.940000057220459</v>
      </c>
      <c r="J184" s="37">
        <v>1.9600000381469727</v>
      </c>
      <c r="K184" s="37">
        <v>30.430000305175781</v>
      </c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</row>
    <row r="185" spans="1:24" ht="14.25" customHeight="1">
      <c r="A185" s="36">
        <v>40702</v>
      </c>
      <c r="B185" s="36" t="s">
        <v>208</v>
      </c>
      <c r="C185" s="37">
        <v>7.4099998474121094</v>
      </c>
      <c r="D185" s="37">
        <v>0.18000000715255737</v>
      </c>
      <c r="E185" s="37">
        <v>4.9899997711181641</v>
      </c>
      <c r="F185" s="37">
        <v>2.6500000953674316</v>
      </c>
      <c r="G185" s="37">
        <v>4.070000171661377</v>
      </c>
      <c r="H185" s="37">
        <v>5.4800000190734863</v>
      </c>
      <c r="I185" s="37">
        <v>9.8900003433227539</v>
      </c>
      <c r="J185" s="37">
        <v>4.2300000190734863</v>
      </c>
      <c r="K185" s="37">
        <v>38.880001068115234</v>
      </c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</row>
    <row r="186" spans="1:24" ht="14.25" customHeight="1">
      <c r="A186" s="36">
        <v>40801</v>
      </c>
      <c r="B186" s="36" t="s">
        <v>209</v>
      </c>
      <c r="C186" s="37">
        <v>4.070000171661377</v>
      </c>
      <c r="D186" s="37">
        <v>0.40999999642372131</v>
      </c>
      <c r="E186" s="37">
        <v>9.5399999618530273</v>
      </c>
      <c r="F186" s="37">
        <v>3.3199999332427979</v>
      </c>
      <c r="G186" s="37">
        <v>2.8199999332427979</v>
      </c>
      <c r="H186" s="37">
        <v>5.8600001335144043</v>
      </c>
      <c r="I186" s="37">
        <v>18.739999771118164</v>
      </c>
      <c r="J186" s="37">
        <v>20.260000228881836</v>
      </c>
      <c r="K186" s="37">
        <v>61.5</v>
      </c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</row>
    <row r="187" spans="1:24" ht="14.25" customHeight="1">
      <c r="A187" s="36">
        <v>40802</v>
      </c>
      <c r="B187" s="36" t="s">
        <v>210</v>
      </c>
      <c r="C187" s="37">
        <v>9.9899997711181641</v>
      </c>
      <c r="D187" s="37">
        <v>0</v>
      </c>
      <c r="E187" s="37">
        <v>8.619999885559082</v>
      </c>
      <c r="F187" s="37">
        <v>6.7199997901916504</v>
      </c>
      <c r="G187" s="37">
        <v>2.9200000762939453</v>
      </c>
      <c r="H187" s="37">
        <v>5.7300000190734863</v>
      </c>
      <c r="I187" s="37">
        <v>29.510000228881836</v>
      </c>
      <c r="J187" s="37">
        <v>21.209999084472656</v>
      </c>
      <c r="K187" s="37">
        <v>58.240001678466797</v>
      </c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</row>
    <row r="188" spans="1:24" ht="14.25" customHeight="1">
      <c r="A188" s="36">
        <v>40901</v>
      </c>
      <c r="B188" s="36" t="s">
        <v>211</v>
      </c>
      <c r="C188" s="37">
        <v>3.0399999618530273</v>
      </c>
      <c r="D188" s="37">
        <v>2.9200000762939453</v>
      </c>
      <c r="E188" s="37">
        <v>10.970000267028809</v>
      </c>
      <c r="F188" s="37">
        <v>7.8299999237060547</v>
      </c>
      <c r="G188" s="37">
        <v>2.5499999523162842</v>
      </c>
      <c r="H188" s="37">
        <v>11.109999656677246</v>
      </c>
      <c r="I188" s="37">
        <v>13.399999618530273</v>
      </c>
      <c r="J188" s="37">
        <v>7.0999999046325684</v>
      </c>
      <c r="K188" s="37">
        <v>54.430000305175781</v>
      </c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</row>
    <row r="189" spans="1:24" ht="14.25" customHeight="1">
      <c r="A189" s="36">
        <v>40902</v>
      </c>
      <c r="B189" s="36" t="s">
        <v>212</v>
      </c>
      <c r="C189" s="37">
        <v>0.57999998331069946</v>
      </c>
      <c r="D189" s="37">
        <v>2.6800000667572021</v>
      </c>
      <c r="E189" s="37">
        <v>9.2399997711181641</v>
      </c>
      <c r="F189" s="37">
        <v>3.4900000095367432</v>
      </c>
      <c r="G189" s="37">
        <v>5.5199999809265137</v>
      </c>
      <c r="H189" s="37">
        <v>7.5399999618530273</v>
      </c>
      <c r="I189" s="37">
        <v>10.590000152587891</v>
      </c>
      <c r="J189" s="37">
        <v>14.359999656677246</v>
      </c>
      <c r="K189" s="37">
        <v>55.470001220703125</v>
      </c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</row>
    <row r="190" spans="1:24" ht="14.25" customHeight="1">
      <c r="A190" s="36">
        <v>40903</v>
      </c>
      <c r="B190" s="36" t="s">
        <v>213</v>
      </c>
      <c r="C190" s="37">
        <v>1.8899999856948853</v>
      </c>
      <c r="D190" s="37">
        <v>4.1100001335144043</v>
      </c>
      <c r="E190" s="37">
        <v>19.829999923706055</v>
      </c>
      <c r="F190" s="37">
        <v>7.3499999046325684</v>
      </c>
      <c r="G190" s="37">
        <v>2.6700000762939453</v>
      </c>
      <c r="H190" s="37">
        <v>11.029999732971191</v>
      </c>
      <c r="I190" s="37">
        <v>43.080001831054688</v>
      </c>
      <c r="J190" s="37">
        <v>47.310001373291016</v>
      </c>
      <c r="K190" s="37">
        <v>58.330001831054688</v>
      </c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</row>
    <row r="191" spans="1:24" ht="14.25" customHeight="1">
      <c r="A191" s="36">
        <v>41001</v>
      </c>
      <c r="B191" s="36" t="s">
        <v>214</v>
      </c>
      <c r="C191" s="37">
        <v>6.3499999046325684</v>
      </c>
      <c r="D191" s="37">
        <v>0.36000001430511475</v>
      </c>
      <c r="E191" s="37">
        <v>16.110000610351563</v>
      </c>
      <c r="F191" s="37">
        <v>2</v>
      </c>
      <c r="G191" s="37">
        <v>1.7799999713897705</v>
      </c>
      <c r="H191" s="37">
        <v>4.8600001335144043</v>
      </c>
      <c r="I191" s="37">
        <v>37.330001831054688</v>
      </c>
      <c r="J191" s="37">
        <v>42.759998321533203</v>
      </c>
      <c r="K191" s="37">
        <v>82.779998779296875</v>
      </c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</row>
    <row r="192" spans="1:24" ht="14.25" customHeight="1">
      <c r="A192" s="36">
        <v>41101</v>
      </c>
      <c r="B192" s="36" t="s">
        <v>215</v>
      </c>
      <c r="C192" s="37">
        <v>10.229999542236328</v>
      </c>
      <c r="D192" s="37">
        <v>0.37999999523162842</v>
      </c>
      <c r="E192" s="37">
        <v>10.479999542236328</v>
      </c>
      <c r="F192" s="37">
        <v>4.0399999618530273</v>
      </c>
      <c r="G192" s="37">
        <v>2.440000057220459</v>
      </c>
      <c r="H192" s="37">
        <v>5.5799999237060547</v>
      </c>
      <c r="I192" s="37">
        <v>19.569999694824219</v>
      </c>
      <c r="J192" s="37">
        <v>9.5799999237060547</v>
      </c>
      <c r="K192" s="37">
        <v>60.639999389648438</v>
      </c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</row>
    <row r="193" spans="1:24" ht="14.25" customHeight="1">
      <c r="A193" s="36">
        <v>41201</v>
      </c>
      <c r="B193" s="36" t="s">
        <v>216</v>
      </c>
      <c r="C193" s="37">
        <v>8.2200002670288086</v>
      </c>
      <c r="D193" s="37">
        <v>0.44999998807907104</v>
      </c>
      <c r="E193" s="37">
        <v>16.350000381469727</v>
      </c>
      <c r="F193" s="37">
        <v>2.9900000095367432</v>
      </c>
      <c r="G193" s="37">
        <v>2.0999999046325684</v>
      </c>
      <c r="H193" s="37">
        <v>5.809999942779541</v>
      </c>
      <c r="I193" s="37">
        <v>33.909999847412109</v>
      </c>
      <c r="J193" s="37">
        <v>37.259998321533203</v>
      </c>
      <c r="K193" s="37">
        <v>73.910003662109375</v>
      </c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</row>
    <row r="194" spans="1:24" ht="14.25" customHeight="1">
      <c r="A194" s="36">
        <v>41202</v>
      </c>
      <c r="B194" s="36" t="s">
        <v>217</v>
      </c>
      <c r="C194" s="37">
        <v>5.309999942779541</v>
      </c>
      <c r="D194" s="37">
        <v>0.56000000238418579</v>
      </c>
      <c r="E194" s="37">
        <v>10.989999771118164</v>
      </c>
      <c r="F194" s="37">
        <v>2.9800000190734863</v>
      </c>
      <c r="G194" s="37">
        <v>1.5399999618530273</v>
      </c>
      <c r="H194" s="37">
        <v>5.9000000953674316</v>
      </c>
      <c r="I194" s="37">
        <v>21.149999618530273</v>
      </c>
      <c r="J194" s="37">
        <v>32.259998321533203</v>
      </c>
      <c r="K194" s="37">
        <v>59.25</v>
      </c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</row>
    <row r="195" spans="1:24" ht="14.25" customHeight="1">
      <c r="A195" s="36">
        <v>41301</v>
      </c>
      <c r="B195" s="36" t="s">
        <v>172</v>
      </c>
      <c r="C195" s="37">
        <v>7.429999828338623</v>
      </c>
      <c r="D195" s="37">
        <v>1.3300000429153442</v>
      </c>
      <c r="E195" s="37">
        <v>13.680000305175781</v>
      </c>
      <c r="F195" s="37">
        <v>4.809999942779541</v>
      </c>
      <c r="G195" s="37">
        <v>2.2100000381469727</v>
      </c>
      <c r="H195" s="37">
        <v>7.0199999809265137</v>
      </c>
      <c r="I195" s="37">
        <v>41.049999237060547</v>
      </c>
      <c r="J195" s="37">
        <v>51.240001678466797</v>
      </c>
      <c r="K195" s="37">
        <v>70.050003051757813</v>
      </c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</row>
    <row r="196" spans="1:24" ht="14.25" customHeight="1">
      <c r="A196" s="36">
        <v>41401</v>
      </c>
      <c r="B196" s="36" t="s">
        <v>218</v>
      </c>
      <c r="C196" s="37">
        <v>11.600000381469727</v>
      </c>
      <c r="D196" s="37">
        <v>0.18000000715255737</v>
      </c>
      <c r="E196" s="37">
        <v>12.949999809265137</v>
      </c>
      <c r="F196" s="37">
        <v>4.559999942779541</v>
      </c>
      <c r="G196" s="37">
        <v>2.0999999046325684</v>
      </c>
      <c r="H196" s="37">
        <v>7.5</v>
      </c>
      <c r="I196" s="37">
        <v>18.370000839233398</v>
      </c>
      <c r="J196" s="37">
        <v>19.020000457763672</v>
      </c>
      <c r="K196" s="37">
        <v>60.110000610351563</v>
      </c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</row>
    <row r="197" spans="1:24" ht="14.25" customHeight="1">
      <c r="A197" s="36">
        <v>41501</v>
      </c>
      <c r="B197" s="36" t="s">
        <v>219</v>
      </c>
      <c r="C197" s="37">
        <v>4.2899999618530273</v>
      </c>
      <c r="D197" s="37">
        <v>17.790000915527344</v>
      </c>
      <c r="E197" s="37">
        <v>16.569999694824219</v>
      </c>
      <c r="F197" s="37">
        <v>9.6099996566772461</v>
      </c>
      <c r="G197" s="37">
        <v>5.320000171661377</v>
      </c>
      <c r="H197" s="37">
        <v>10.479999542236328</v>
      </c>
      <c r="I197" s="37">
        <v>32.409999847412109</v>
      </c>
      <c r="J197" s="37">
        <v>22.079999923706055</v>
      </c>
      <c r="K197" s="37">
        <v>55.040000915527344</v>
      </c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</row>
    <row r="198" spans="1:24" ht="14.25" customHeight="1">
      <c r="A198" s="36">
        <v>41502</v>
      </c>
      <c r="B198" s="36" t="s">
        <v>220</v>
      </c>
      <c r="C198" s="37">
        <v>1.6699999570846558</v>
      </c>
      <c r="D198" s="37">
        <v>0.64999997615814209</v>
      </c>
      <c r="E198" s="37">
        <v>10.779999732971191</v>
      </c>
      <c r="F198" s="37">
        <v>9.4899997711181641</v>
      </c>
      <c r="G198" s="37">
        <v>2.3199999332427979</v>
      </c>
      <c r="H198" s="37">
        <v>7.1599998474121094</v>
      </c>
      <c r="I198" s="37">
        <v>25.530000686645508</v>
      </c>
      <c r="J198" s="37">
        <v>14.479999542236328</v>
      </c>
      <c r="K198" s="37">
        <v>30.829999923706055</v>
      </c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</row>
    <row r="199" spans="1:24" ht="14.25" customHeight="1">
      <c r="A199" s="36">
        <v>41503</v>
      </c>
      <c r="B199" s="36" t="s">
        <v>221</v>
      </c>
      <c r="C199" s="37">
        <v>3.9300000667572021</v>
      </c>
      <c r="D199" s="37">
        <v>8.6700000762939453</v>
      </c>
      <c r="E199" s="37">
        <v>13.079999923706055</v>
      </c>
      <c r="F199" s="37">
        <v>5.2699999809265137</v>
      </c>
      <c r="G199" s="37">
        <v>3.9300000667572021</v>
      </c>
      <c r="H199" s="37">
        <v>12.060000419616699</v>
      </c>
      <c r="I199" s="37">
        <v>16.090000152587891</v>
      </c>
      <c r="J199" s="37">
        <v>17.25</v>
      </c>
      <c r="K199" s="37">
        <v>60.049999237060547</v>
      </c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</row>
    <row r="200" spans="1:24" ht="14.25" customHeight="1">
      <c r="A200" s="36">
        <v>41601</v>
      </c>
      <c r="B200" s="36" t="s">
        <v>222</v>
      </c>
      <c r="C200" s="37">
        <v>7.9899997711181641</v>
      </c>
      <c r="D200" s="37">
        <v>5.000000074505806E-2</v>
      </c>
      <c r="E200" s="37">
        <v>16.819999694824219</v>
      </c>
      <c r="F200" s="37">
        <v>2.6500000953674316</v>
      </c>
      <c r="G200" s="37">
        <v>1.9900000095367432</v>
      </c>
      <c r="H200" s="37">
        <v>4.7800002098083496</v>
      </c>
      <c r="I200" s="37">
        <v>31.860000610351563</v>
      </c>
      <c r="J200" s="37">
        <v>40.040000915527344</v>
      </c>
      <c r="K200" s="37">
        <v>70.379997253417969</v>
      </c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</row>
    <row r="201" spans="1:24" ht="14.25" customHeight="1">
      <c r="A201" s="36">
        <v>50101</v>
      </c>
      <c r="B201" s="36" t="s">
        <v>20</v>
      </c>
      <c r="C201" s="37">
        <v>7.5500001907348633</v>
      </c>
      <c r="D201" s="37">
        <v>0.62999999523162842</v>
      </c>
      <c r="E201" s="37">
        <v>3.1600000858306885</v>
      </c>
      <c r="F201" s="37">
        <v>1.4500000476837158</v>
      </c>
      <c r="G201" s="37">
        <v>3.4100000858306885</v>
      </c>
      <c r="H201" s="37">
        <v>4.0799999237060547</v>
      </c>
      <c r="I201" s="37">
        <v>4.5799999237060547</v>
      </c>
      <c r="J201" s="37">
        <v>3.4100000858306885</v>
      </c>
      <c r="K201" s="37">
        <v>14.010000228881836</v>
      </c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</row>
    <row r="202" spans="1:24" ht="14.25" customHeight="1">
      <c r="A202" s="36">
        <v>50102</v>
      </c>
      <c r="B202" s="36" t="s">
        <v>223</v>
      </c>
      <c r="C202" s="37">
        <v>31.069999694824219</v>
      </c>
      <c r="D202" s="37">
        <v>0.25999999046325684</v>
      </c>
      <c r="E202" s="37">
        <v>16.75</v>
      </c>
      <c r="F202" s="37">
        <v>10.529999732971191</v>
      </c>
      <c r="G202" s="37">
        <v>5.5500001907348633</v>
      </c>
      <c r="H202" s="37">
        <v>13.630000114440918</v>
      </c>
      <c r="I202" s="37">
        <v>26.350000381469727</v>
      </c>
      <c r="J202" s="37">
        <v>20.950000762939453</v>
      </c>
      <c r="K202" s="37">
        <v>88.400001525878906</v>
      </c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</row>
    <row r="203" spans="1:24" ht="14.25" customHeight="1">
      <c r="A203" s="36">
        <v>50103</v>
      </c>
      <c r="B203" s="36" t="s">
        <v>224</v>
      </c>
      <c r="C203" s="37">
        <v>14.779999732971191</v>
      </c>
      <c r="D203" s="37">
        <v>1.7000000476837158</v>
      </c>
      <c r="E203" s="37">
        <v>9.1700000762939453</v>
      </c>
      <c r="F203" s="37">
        <v>1.2400000095367432</v>
      </c>
      <c r="G203" s="37">
        <v>2.2899999618530273</v>
      </c>
      <c r="H203" s="37">
        <v>4.6500000953674316</v>
      </c>
      <c r="I203" s="37">
        <v>10.340000152587891</v>
      </c>
      <c r="J203" s="37">
        <v>10.350000381469727</v>
      </c>
      <c r="K203" s="37">
        <v>54.130001068115234</v>
      </c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</row>
    <row r="204" spans="1:24" ht="14.25" customHeight="1">
      <c r="A204" s="36">
        <v>50104</v>
      </c>
      <c r="B204" s="36" t="s">
        <v>225</v>
      </c>
      <c r="C204" s="37">
        <v>10.399999618530273</v>
      </c>
      <c r="D204" s="37">
        <v>0.2199999988079071</v>
      </c>
      <c r="E204" s="37">
        <v>14.300000190734863</v>
      </c>
      <c r="F204" s="37">
        <v>2.4200000762939453</v>
      </c>
      <c r="G204" s="37">
        <v>3.7300000190734863</v>
      </c>
      <c r="H204" s="37">
        <v>5.070000171661377</v>
      </c>
      <c r="I204" s="37">
        <v>34.419998168945313</v>
      </c>
      <c r="J204" s="37">
        <v>52.970001220703125</v>
      </c>
      <c r="K204" s="37">
        <v>79.339996337890625</v>
      </c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</row>
    <row r="205" spans="1:24" ht="14.25" customHeight="1">
      <c r="A205" s="36">
        <v>50201</v>
      </c>
      <c r="B205" s="36" t="s">
        <v>226</v>
      </c>
      <c r="C205" s="37">
        <v>18.549999237060547</v>
      </c>
      <c r="D205" s="37">
        <v>0.2199999988079071</v>
      </c>
      <c r="E205" s="37">
        <v>13.659999847412109</v>
      </c>
      <c r="F205" s="37">
        <v>5.369999885559082</v>
      </c>
      <c r="G205" s="37">
        <v>3.309999942779541</v>
      </c>
      <c r="H205" s="37">
        <v>5.6599998474121094</v>
      </c>
      <c r="I205" s="37">
        <v>11.760000228881836</v>
      </c>
      <c r="J205" s="37">
        <v>16.379999160766602</v>
      </c>
      <c r="K205" s="37">
        <v>55.130001068115234</v>
      </c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</row>
    <row r="206" spans="1:24" ht="14.25" customHeight="1">
      <c r="A206" s="36">
        <v>50202</v>
      </c>
      <c r="B206" s="36" t="s">
        <v>227</v>
      </c>
      <c r="C206" s="37">
        <v>22.799999237060547</v>
      </c>
      <c r="D206" s="37">
        <v>0.10000000149011612</v>
      </c>
      <c r="E206" s="37">
        <v>14.189999580383301</v>
      </c>
      <c r="F206" s="37">
        <v>6.929999828338623</v>
      </c>
      <c r="G206" s="37">
        <v>5.2300000190734863</v>
      </c>
      <c r="H206" s="37">
        <v>9.75</v>
      </c>
      <c r="I206" s="37">
        <v>4.8400001525878906</v>
      </c>
      <c r="J206" s="37">
        <v>9.8999996185302734</v>
      </c>
      <c r="K206" s="37">
        <v>61.209999084472656</v>
      </c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</row>
    <row r="207" spans="1:24" ht="14.25" customHeight="1">
      <c r="A207" s="36">
        <v>50203</v>
      </c>
      <c r="B207" s="36" t="s">
        <v>228</v>
      </c>
      <c r="C207" s="37">
        <v>11.310000419616699</v>
      </c>
      <c r="D207" s="37">
        <v>0.23000000417232513</v>
      </c>
      <c r="E207" s="37">
        <v>6.5300002098083496</v>
      </c>
      <c r="F207" s="37">
        <v>3.6700000762939453</v>
      </c>
      <c r="G207" s="37">
        <v>4.0199999809265137</v>
      </c>
      <c r="H207" s="37">
        <v>3.9500000476837158</v>
      </c>
      <c r="I207" s="37">
        <v>4.7899999618530273</v>
      </c>
      <c r="J207" s="37">
        <v>6.6700000762939453</v>
      </c>
      <c r="K207" s="37">
        <v>33.709999084472656</v>
      </c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</row>
    <row r="208" spans="1:24" ht="14.25" customHeight="1">
      <c r="A208" s="36">
        <v>50204</v>
      </c>
      <c r="B208" s="36" t="s">
        <v>229</v>
      </c>
      <c r="C208" s="37">
        <v>22.420000076293945</v>
      </c>
      <c r="D208" s="37">
        <v>0.12999999523162842</v>
      </c>
      <c r="E208" s="37">
        <v>21.079999923706055</v>
      </c>
      <c r="F208" s="37">
        <v>11.989999771118164</v>
      </c>
      <c r="G208" s="37">
        <v>4.6100001335144043</v>
      </c>
      <c r="H208" s="37">
        <v>9</v>
      </c>
      <c r="I208" s="37">
        <v>15.229999542236328</v>
      </c>
      <c r="J208" s="37">
        <v>13.470000267028809</v>
      </c>
      <c r="K208" s="37">
        <v>85.150001525878906</v>
      </c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</row>
    <row r="209" spans="1:24" ht="14.25" customHeight="1">
      <c r="A209" s="36">
        <v>50301</v>
      </c>
      <c r="B209" s="36" t="s">
        <v>230</v>
      </c>
      <c r="C209" s="37">
        <v>24.729999542236328</v>
      </c>
      <c r="D209" s="37">
        <v>0.74000000953674316</v>
      </c>
      <c r="E209" s="37">
        <v>11.369999885559082</v>
      </c>
      <c r="F209" s="37">
        <v>4.5</v>
      </c>
      <c r="G209" s="37">
        <v>5.6500000953674316</v>
      </c>
      <c r="H209" s="37">
        <v>11.369999885559082</v>
      </c>
      <c r="I209" s="37">
        <v>20.639999389648438</v>
      </c>
      <c r="J209" s="37">
        <v>16</v>
      </c>
      <c r="K209" s="37">
        <v>55.389999389648438</v>
      </c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</row>
    <row r="210" spans="1:24" ht="14.25" customHeight="1">
      <c r="A210" s="36">
        <v>50302</v>
      </c>
      <c r="B210" s="36" t="s">
        <v>231</v>
      </c>
      <c r="C210" s="37">
        <v>25.700000762939453</v>
      </c>
      <c r="D210" s="37">
        <v>0.98000001907348633</v>
      </c>
      <c r="E210" s="37">
        <v>11.510000228881836</v>
      </c>
      <c r="F210" s="37">
        <v>3.0699999332427979</v>
      </c>
      <c r="G210" s="37">
        <v>4.809999942779541</v>
      </c>
      <c r="H210" s="37">
        <v>8.5100002288818359</v>
      </c>
      <c r="I210" s="37">
        <v>18.239999771118164</v>
      </c>
      <c r="J210" s="37">
        <v>15.350000381469727</v>
      </c>
      <c r="K210" s="37">
        <v>56.080001831054688</v>
      </c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</row>
    <row r="211" spans="1:24" ht="14.25" customHeight="1">
      <c r="A211" s="36">
        <v>50303</v>
      </c>
      <c r="B211" s="36" t="s">
        <v>232</v>
      </c>
      <c r="C211" s="37">
        <v>32.729999542236328</v>
      </c>
      <c r="D211" s="37">
        <v>0.49000000953674316</v>
      </c>
      <c r="E211" s="37">
        <v>17.670000076293945</v>
      </c>
      <c r="F211" s="37">
        <v>7.9800000190734863</v>
      </c>
      <c r="G211" s="37">
        <v>5.0799999237060547</v>
      </c>
      <c r="H211" s="37">
        <v>10.949999809265137</v>
      </c>
      <c r="I211" s="37">
        <v>36.130001068115234</v>
      </c>
      <c r="J211" s="37">
        <v>35.049999237060547</v>
      </c>
      <c r="K211" s="37">
        <v>93.930000305175781</v>
      </c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</row>
    <row r="212" spans="1:24" ht="14.25" customHeight="1">
      <c r="A212" s="36">
        <v>50401</v>
      </c>
      <c r="B212" s="36" t="s">
        <v>233</v>
      </c>
      <c r="C212" s="37">
        <v>30.75</v>
      </c>
      <c r="D212" s="37">
        <v>0.47999998927116394</v>
      </c>
      <c r="E212" s="37">
        <v>17.739999771118164</v>
      </c>
      <c r="F212" s="37">
        <v>8.5200004577636719</v>
      </c>
      <c r="G212" s="37">
        <v>4.2399997711181641</v>
      </c>
      <c r="H212" s="37">
        <v>13.039999961853027</v>
      </c>
      <c r="I212" s="37">
        <v>24.379999160766602</v>
      </c>
      <c r="J212" s="37">
        <v>27.350000381469727</v>
      </c>
      <c r="K212" s="37">
        <v>67.25</v>
      </c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</row>
    <row r="213" spans="1:24" ht="14.25" customHeight="1">
      <c r="A213" s="36">
        <v>50402</v>
      </c>
      <c r="B213" s="36" t="s">
        <v>234</v>
      </c>
      <c r="C213" s="37">
        <v>43.459999084472656</v>
      </c>
      <c r="D213" s="37">
        <v>0.62000000476837158</v>
      </c>
      <c r="E213" s="37">
        <v>20.549999237060547</v>
      </c>
      <c r="F213" s="37">
        <v>5.0100002288818359</v>
      </c>
      <c r="G213" s="37">
        <v>5.0799999237060547</v>
      </c>
      <c r="H213" s="37">
        <v>12.899999618530273</v>
      </c>
      <c r="I213" s="37">
        <v>21.229999542236328</v>
      </c>
      <c r="J213" s="37">
        <v>32.840000152587891</v>
      </c>
      <c r="K213" s="37">
        <v>72</v>
      </c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</row>
    <row r="214" spans="1:24" ht="14.25" customHeight="1">
      <c r="A214" s="36">
        <v>50403</v>
      </c>
      <c r="B214" s="36" t="s">
        <v>235</v>
      </c>
      <c r="C214" s="37">
        <v>20.190000534057617</v>
      </c>
      <c r="D214" s="37">
        <v>0.37000000476837158</v>
      </c>
      <c r="E214" s="37">
        <v>19.860000610351563</v>
      </c>
      <c r="F214" s="37">
        <v>9.8999996185302734</v>
      </c>
      <c r="G214" s="37">
        <v>5.1700000762939453</v>
      </c>
      <c r="H214" s="37">
        <v>11.310000419616699</v>
      </c>
      <c r="I214" s="37">
        <v>19.139999389648438</v>
      </c>
      <c r="J214" s="37">
        <v>25.219999313354492</v>
      </c>
      <c r="K214" s="37">
        <v>80.160003662109375</v>
      </c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</row>
    <row r="215" spans="1:24" ht="14.25" customHeight="1">
      <c r="A215" s="36">
        <v>50404</v>
      </c>
      <c r="B215" s="36" t="s">
        <v>236</v>
      </c>
      <c r="C215" s="37">
        <v>37.700000762939453</v>
      </c>
      <c r="D215" s="37">
        <v>0.25999999046325684</v>
      </c>
      <c r="E215" s="37">
        <v>16.850000381469727</v>
      </c>
      <c r="F215" s="37">
        <v>7.1999998092651367</v>
      </c>
      <c r="G215" s="37">
        <v>3.6700000762939453</v>
      </c>
      <c r="H215" s="37">
        <v>11.689999580383301</v>
      </c>
      <c r="I215" s="37">
        <v>28.780000686645508</v>
      </c>
      <c r="J215" s="37">
        <v>35.009998321533203</v>
      </c>
      <c r="K215" s="37">
        <v>80.459999084472656</v>
      </c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</row>
    <row r="216" spans="1:24" ht="14.25" customHeight="1">
      <c r="A216" s="36">
        <v>50405</v>
      </c>
      <c r="B216" s="36" t="s">
        <v>237</v>
      </c>
      <c r="C216" s="37">
        <v>28.309999465942383</v>
      </c>
      <c r="D216" s="37">
        <v>0.75</v>
      </c>
      <c r="E216" s="37">
        <v>16.020000457763672</v>
      </c>
      <c r="F216" s="37">
        <v>12.079999923706055</v>
      </c>
      <c r="G216" s="37">
        <v>4.369999885559082</v>
      </c>
      <c r="H216" s="37">
        <v>12.279999732971191</v>
      </c>
      <c r="I216" s="37">
        <v>22.579999923706055</v>
      </c>
      <c r="J216" s="37">
        <v>26.350000381469727</v>
      </c>
      <c r="K216" s="37">
        <v>78.989997863769531</v>
      </c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</row>
    <row r="217" spans="1:24" ht="14.25" customHeight="1">
      <c r="A217" s="36">
        <v>50501</v>
      </c>
      <c r="B217" s="36" t="s">
        <v>238</v>
      </c>
      <c r="C217" s="37">
        <v>28.260000228881836</v>
      </c>
      <c r="D217" s="37">
        <v>0.40000000596046448</v>
      </c>
      <c r="E217" s="37">
        <v>25.200000762939453</v>
      </c>
      <c r="F217" s="37">
        <v>15.380000114440918</v>
      </c>
      <c r="G217" s="37">
        <v>6.1100001335144043</v>
      </c>
      <c r="H217" s="37">
        <v>13.890000343322754</v>
      </c>
      <c r="I217" s="37">
        <v>32.259998321533203</v>
      </c>
      <c r="J217" s="37">
        <v>54.049999237060547</v>
      </c>
      <c r="K217" s="37">
        <v>86.660003662109375</v>
      </c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</row>
    <row r="218" spans="1:24" ht="14.25" customHeight="1">
      <c r="A218" s="36">
        <v>50502</v>
      </c>
      <c r="B218" s="36" t="s">
        <v>239</v>
      </c>
      <c r="C218" s="37">
        <v>25.989999771118164</v>
      </c>
      <c r="D218" s="37">
        <v>0.34999999403953552</v>
      </c>
      <c r="E218" s="37">
        <v>19.469999313354492</v>
      </c>
      <c r="F218" s="37">
        <v>12.789999961853027</v>
      </c>
      <c r="G218" s="37">
        <v>6.8299999237060547</v>
      </c>
      <c r="H218" s="37">
        <v>12.760000228881836</v>
      </c>
      <c r="I218" s="37">
        <v>23.079999923706055</v>
      </c>
      <c r="J218" s="37">
        <v>46.090000152587891</v>
      </c>
      <c r="K218" s="37">
        <v>70.949996948242188</v>
      </c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</row>
    <row r="219" spans="1:24" ht="14.25" customHeight="1">
      <c r="A219" s="36">
        <v>50601</v>
      </c>
      <c r="B219" s="36" t="s">
        <v>240</v>
      </c>
      <c r="C219" s="37">
        <v>16.649999618530273</v>
      </c>
      <c r="D219" s="37">
        <v>3.2699999809265137</v>
      </c>
      <c r="E219" s="37">
        <v>14.270000457763672</v>
      </c>
      <c r="F219" s="37">
        <v>2.6700000762939453</v>
      </c>
      <c r="G219" s="37">
        <v>3.2400000095367432</v>
      </c>
      <c r="H219" s="37">
        <v>8.4300003051757813</v>
      </c>
      <c r="I219" s="37">
        <v>24.309999465942383</v>
      </c>
      <c r="J219" s="37">
        <v>18.620000839233398</v>
      </c>
      <c r="K219" s="37">
        <v>50.080001831054688</v>
      </c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</row>
    <row r="220" spans="1:24" ht="14.25" customHeight="1">
      <c r="A220" s="36">
        <v>50602</v>
      </c>
      <c r="B220" s="36" t="s">
        <v>241</v>
      </c>
      <c r="C220" s="37">
        <v>17.979999542236328</v>
      </c>
      <c r="D220" s="37">
        <v>3.7100000381469727</v>
      </c>
      <c r="E220" s="37">
        <v>10.840000152587891</v>
      </c>
      <c r="F220" s="37">
        <v>3.7100000381469727</v>
      </c>
      <c r="G220" s="37">
        <v>4.1500000953674316</v>
      </c>
      <c r="H220" s="37">
        <v>10.520000457763672</v>
      </c>
      <c r="I220" s="37">
        <v>15.100000381469727</v>
      </c>
      <c r="J220" s="37">
        <v>15.039999961853027</v>
      </c>
      <c r="K220" s="37">
        <v>45.119998931884766</v>
      </c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</row>
    <row r="221" spans="1:24" ht="14.25" customHeight="1">
      <c r="A221" s="36">
        <v>50701</v>
      </c>
      <c r="B221" s="36" t="s">
        <v>242</v>
      </c>
      <c r="C221" s="37">
        <v>23.950000762939453</v>
      </c>
      <c r="D221" s="37">
        <v>0.12999999523162842</v>
      </c>
      <c r="E221" s="37">
        <v>19.809999465942383</v>
      </c>
      <c r="F221" s="37">
        <v>12.689999580383301</v>
      </c>
      <c r="G221" s="37">
        <v>5.070000171661377</v>
      </c>
      <c r="H221" s="37">
        <v>11.890000343322754</v>
      </c>
      <c r="I221" s="37">
        <v>11.020000457763672</v>
      </c>
      <c r="J221" s="37">
        <v>19.159999847412109</v>
      </c>
      <c r="K221" s="37">
        <v>76.569999694824219</v>
      </c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</row>
    <row r="222" spans="1:24" ht="14.25" customHeight="1">
      <c r="A222" s="36">
        <v>50702</v>
      </c>
      <c r="B222" s="36" t="s">
        <v>243</v>
      </c>
      <c r="C222" s="37">
        <v>18.370000839233398</v>
      </c>
      <c r="D222" s="37">
        <v>7.0000000298023224E-2</v>
      </c>
      <c r="E222" s="37">
        <v>16.709999084472656</v>
      </c>
      <c r="F222" s="37">
        <v>10.5</v>
      </c>
      <c r="G222" s="37">
        <v>5.8499999046325684</v>
      </c>
      <c r="H222" s="37">
        <v>10.050000190734863</v>
      </c>
      <c r="I222" s="37">
        <v>9.880000114440918</v>
      </c>
      <c r="J222" s="37">
        <v>23.899999618530273</v>
      </c>
      <c r="K222" s="37">
        <v>85.370002746582031</v>
      </c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</row>
    <row r="223" spans="1:24" ht="14.25" customHeight="1">
      <c r="A223" s="36">
        <v>50801</v>
      </c>
      <c r="B223" s="36" t="s">
        <v>244</v>
      </c>
      <c r="C223" s="37">
        <v>11.510000228881836</v>
      </c>
      <c r="D223" s="37">
        <v>1.9099999666213989</v>
      </c>
      <c r="E223" s="37">
        <v>5.1700000762939453</v>
      </c>
      <c r="F223" s="37">
        <v>1.9199999570846558</v>
      </c>
      <c r="G223" s="37">
        <v>3.7999999523162842</v>
      </c>
      <c r="H223" s="37">
        <v>5.5999999046325684</v>
      </c>
      <c r="I223" s="37">
        <v>9.4099998474121094</v>
      </c>
      <c r="J223" s="37">
        <v>6.2300000190734863</v>
      </c>
      <c r="K223" s="37">
        <v>19.729999542236328</v>
      </c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</row>
    <row r="224" spans="1:24" ht="14.25" customHeight="1">
      <c r="A224" s="36">
        <v>50802</v>
      </c>
      <c r="B224" s="36" t="s">
        <v>245</v>
      </c>
      <c r="C224" s="37">
        <v>5</v>
      </c>
      <c r="D224" s="37">
        <v>0.28999999165534973</v>
      </c>
      <c r="E224" s="37">
        <v>3.4200000762939453</v>
      </c>
      <c r="F224" s="37">
        <v>1.8300000429153442</v>
      </c>
      <c r="G224" s="37">
        <v>3.7000000476837158</v>
      </c>
      <c r="H224" s="37">
        <v>3.6800000667572021</v>
      </c>
      <c r="I224" s="37">
        <v>6</v>
      </c>
      <c r="J224" s="37">
        <v>3.5699999332427979</v>
      </c>
      <c r="K224" s="37">
        <v>61.290000915527344</v>
      </c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</row>
    <row r="225" spans="1:24" ht="14.25" customHeight="1">
      <c r="A225" s="36">
        <v>50901</v>
      </c>
      <c r="B225" s="36" t="s">
        <v>246</v>
      </c>
      <c r="C225" s="37">
        <v>5.4000000953674316</v>
      </c>
      <c r="D225" s="37">
        <v>0.77999997138977051</v>
      </c>
      <c r="E225" s="37">
        <v>4.3499999046325684</v>
      </c>
      <c r="F225" s="37">
        <v>4.0100002288818359</v>
      </c>
      <c r="G225" s="37">
        <v>3.8499999046325684</v>
      </c>
      <c r="H225" s="37">
        <v>5.7899999618530273</v>
      </c>
      <c r="I225" s="37">
        <v>8.9499998092651367</v>
      </c>
      <c r="J225" s="37">
        <v>8.0500001907348633</v>
      </c>
      <c r="K225" s="37">
        <v>24.329999923706055</v>
      </c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</row>
    <row r="226" spans="1:24" ht="14.25" customHeight="1">
      <c r="A226" s="36">
        <v>50902</v>
      </c>
      <c r="B226" s="36" t="s">
        <v>247</v>
      </c>
      <c r="C226" s="37">
        <v>3.1099998950958252</v>
      </c>
      <c r="D226" s="37">
        <v>2.5099999904632568</v>
      </c>
      <c r="E226" s="37">
        <v>13.020000457763672</v>
      </c>
      <c r="F226" s="37">
        <v>2.2000000476837158</v>
      </c>
      <c r="G226" s="37">
        <v>3.380000114440918</v>
      </c>
      <c r="H226" s="37">
        <v>5.2899999618530273</v>
      </c>
      <c r="I226" s="37">
        <v>9.3900003433227539</v>
      </c>
      <c r="J226" s="37">
        <v>12.890000343322754</v>
      </c>
      <c r="K226" s="37">
        <v>26.170000076293945</v>
      </c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</row>
    <row r="227" spans="1:24" ht="14.25" customHeight="1">
      <c r="A227" s="36">
        <v>51001</v>
      </c>
      <c r="B227" s="36" t="s">
        <v>248</v>
      </c>
      <c r="C227" s="37">
        <v>7.929999828338623</v>
      </c>
      <c r="D227" s="37">
        <v>0.82999998331069946</v>
      </c>
      <c r="E227" s="37">
        <v>9.1000003814697266</v>
      </c>
      <c r="F227" s="37">
        <v>6.130000114440918</v>
      </c>
      <c r="G227" s="37">
        <v>5.0300002098083496</v>
      </c>
      <c r="H227" s="37">
        <v>9.2399997711181641</v>
      </c>
      <c r="I227" s="37">
        <v>23.959999084472656</v>
      </c>
      <c r="J227" s="37">
        <v>28.149999618530273</v>
      </c>
      <c r="K227" s="37">
        <v>45.680000305175781</v>
      </c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</row>
    <row r="228" spans="1:24" ht="14.25" customHeight="1">
      <c r="A228" s="36">
        <v>51002</v>
      </c>
      <c r="B228" s="36" t="s">
        <v>249</v>
      </c>
      <c r="C228" s="37">
        <v>7.8899998664855957</v>
      </c>
      <c r="D228" s="37">
        <v>17.100000381469727</v>
      </c>
      <c r="E228" s="37">
        <v>12.010000228881836</v>
      </c>
      <c r="F228" s="37">
        <v>5.4099998474121094</v>
      </c>
      <c r="G228" s="37">
        <v>2.1800000667572021</v>
      </c>
      <c r="H228" s="37">
        <v>8.8100004196166992</v>
      </c>
      <c r="I228" s="37">
        <v>32.540000915527344</v>
      </c>
      <c r="J228" s="37">
        <v>63.520000457763672</v>
      </c>
      <c r="K228" s="37">
        <v>35.340000152587891</v>
      </c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</row>
    <row r="229" spans="1:24" ht="14.25" customHeight="1">
      <c r="A229" s="36">
        <v>51003</v>
      </c>
      <c r="B229" s="36" t="s">
        <v>250</v>
      </c>
      <c r="C229" s="37">
        <v>11.069999694824219</v>
      </c>
      <c r="D229" s="37">
        <v>6.4499998092651367</v>
      </c>
      <c r="E229" s="37">
        <v>25.760000228881836</v>
      </c>
      <c r="F229" s="37">
        <v>11.420000076293945</v>
      </c>
      <c r="G229" s="37">
        <v>5.070000171661377</v>
      </c>
      <c r="H229" s="37">
        <v>9.3299999237060547</v>
      </c>
      <c r="I229" s="37">
        <v>11.189999580383301</v>
      </c>
      <c r="J229" s="37">
        <v>54.049999237060547</v>
      </c>
      <c r="K229" s="37">
        <v>32.680000305175781</v>
      </c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</row>
    <row r="230" spans="1:24" ht="14.25" customHeight="1">
      <c r="A230" s="36">
        <v>51101</v>
      </c>
      <c r="B230" s="36" t="s">
        <v>251</v>
      </c>
      <c r="C230" s="37">
        <v>22.389999389648438</v>
      </c>
      <c r="D230" s="37">
        <v>2.0499999523162842</v>
      </c>
      <c r="E230" s="37">
        <v>10.430000305175781</v>
      </c>
      <c r="F230" s="37">
        <v>3.0699999332427979</v>
      </c>
      <c r="G230" s="37">
        <v>4.1999998092651367</v>
      </c>
      <c r="H230" s="37">
        <v>7.7399997711181641</v>
      </c>
      <c r="I230" s="37">
        <v>17.280000686645508</v>
      </c>
      <c r="J230" s="37">
        <v>13.359999656677246</v>
      </c>
      <c r="K230" s="37">
        <v>45.130001068115234</v>
      </c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</row>
    <row r="231" spans="1:24" ht="14.25" customHeight="1">
      <c r="A231" s="36">
        <v>51102</v>
      </c>
      <c r="B231" s="36" t="s">
        <v>252</v>
      </c>
      <c r="C231" s="37">
        <v>13.779999732971191</v>
      </c>
      <c r="D231" s="37">
        <v>2</v>
      </c>
      <c r="E231" s="37">
        <v>9.5900001525878906</v>
      </c>
      <c r="F231" s="37">
        <v>3.2699999809265137</v>
      </c>
      <c r="G231" s="37">
        <v>4.8899998664855957</v>
      </c>
      <c r="H231" s="37">
        <v>6.869999885559082</v>
      </c>
      <c r="I231" s="37">
        <v>17.989999771118164</v>
      </c>
      <c r="J231" s="37">
        <v>15.590000152587891</v>
      </c>
      <c r="K231" s="37">
        <v>42.939998626708984</v>
      </c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</row>
    <row r="232" spans="1:24" ht="14.25" customHeight="1">
      <c r="A232" s="36">
        <v>51103</v>
      </c>
      <c r="B232" s="36" t="s">
        <v>253</v>
      </c>
      <c r="C232" s="37">
        <v>33.060001373291016</v>
      </c>
      <c r="D232" s="37">
        <v>1.1200000047683716</v>
      </c>
      <c r="E232" s="37">
        <v>11.550000190734863</v>
      </c>
      <c r="F232" s="37">
        <v>11.800000190734863</v>
      </c>
      <c r="G232" s="37">
        <v>9.5500001907348633</v>
      </c>
      <c r="H232" s="37">
        <v>21.809999465942383</v>
      </c>
      <c r="I232" s="37">
        <v>42.330001831054688</v>
      </c>
      <c r="J232" s="37">
        <v>25.219999313354492</v>
      </c>
      <c r="K232" s="37">
        <v>83.230003356933594</v>
      </c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</row>
    <row r="233" spans="1:24" ht="14.25" customHeight="1">
      <c r="A233" s="36">
        <v>51201</v>
      </c>
      <c r="B233" s="36" t="s">
        <v>254</v>
      </c>
      <c r="C233" s="37">
        <v>4.869999885559082</v>
      </c>
      <c r="D233" s="37">
        <v>0.37999999523162842</v>
      </c>
      <c r="E233" s="37">
        <v>4.25</v>
      </c>
      <c r="F233" s="37">
        <v>3.2899999618530273</v>
      </c>
      <c r="G233" s="37">
        <v>3.2699999809265137</v>
      </c>
      <c r="H233" s="37">
        <v>4.9499998092651367</v>
      </c>
      <c r="I233" s="37">
        <v>11.630000114440918</v>
      </c>
      <c r="J233" s="37">
        <v>6.1100001335144043</v>
      </c>
      <c r="K233" s="37">
        <v>79.040000915527344</v>
      </c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</row>
    <row r="234" spans="1:24" ht="14.25" customHeight="1">
      <c r="A234" s="36">
        <v>51202</v>
      </c>
      <c r="B234" s="36" t="s">
        <v>255</v>
      </c>
      <c r="C234" s="37">
        <v>11.579999923706055</v>
      </c>
      <c r="D234" s="37">
        <v>0.25999999046325684</v>
      </c>
      <c r="E234" s="37">
        <v>12.680000305175781</v>
      </c>
      <c r="F234" s="37">
        <v>2.9800000190734863</v>
      </c>
      <c r="G234" s="37">
        <v>2.7799999713897705</v>
      </c>
      <c r="H234" s="37">
        <v>5.3000001907348633</v>
      </c>
      <c r="I234" s="37">
        <v>31.450000762939453</v>
      </c>
      <c r="J234" s="37">
        <v>19.579999923706055</v>
      </c>
      <c r="K234" s="37">
        <v>71.550003051757813</v>
      </c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</row>
    <row r="235" spans="1:24" ht="14.25" customHeight="1">
      <c r="A235" s="36">
        <v>51203</v>
      </c>
      <c r="B235" s="36" t="s">
        <v>256</v>
      </c>
      <c r="C235" s="37">
        <v>5.5399999618530273</v>
      </c>
      <c r="D235" s="37">
        <v>0.34999999403953552</v>
      </c>
      <c r="E235" s="37">
        <v>7.0100002288818359</v>
      </c>
      <c r="F235" s="37">
        <v>2.5399999618530273</v>
      </c>
      <c r="G235" s="37">
        <v>5.130000114440918</v>
      </c>
      <c r="H235" s="37">
        <v>6.3600001335144043</v>
      </c>
      <c r="I235" s="37">
        <v>11.979999542236328</v>
      </c>
      <c r="J235" s="37">
        <v>4.2699999809265137</v>
      </c>
      <c r="K235" s="37">
        <v>22.100000381469727</v>
      </c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</row>
    <row r="236" spans="1:24" ht="14.25" customHeight="1">
      <c r="A236" s="36">
        <v>51204</v>
      </c>
      <c r="B236" s="36" t="s">
        <v>257</v>
      </c>
      <c r="C236" s="37">
        <v>16.540000915527344</v>
      </c>
      <c r="D236" s="37">
        <v>0.89999997615814209</v>
      </c>
      <c r="E236" s="37">
        <v>12.159999847412109</v>
      </c>
      <c r="F236" s="37">
        <v>3.369999885559082</v>
      </c>
      <c r="G236" s="37">
        <v>4.9699997901916504</v>
      </c>
      <c r="H236" s="37">
        <v>6.4200000762939453</v>
      </c>
      <c r="I236" s="37">
        <v>27.520000457763672</v>
      </c>
      <c r="J236" s="37">
        <v>18.219999313354492</v>
      </c>
      <c r="K236" s="37">
        <v>65.44000244140625</v>
      </c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</row>
    <row r="237" spans="1:24" ht="14.25" customHeight="1">
      <c r="A237" s="36">
        <v>51301</v>
      </c>
      <c r="B237" s="36" t="s">
        <v>258</v>
      </c>
      <c r="C237" s="37">
        <v>19.040000915527344</v>
      </c>
      <c r="D237" s="37">
        <v>0.37999999523162842</v>
      </c>
      <c r="E237" s="37">
        <v>27.120000839233398</v>
      </c>
      <c r="F237" s="37">
        <v>8.5399999618530273</v>
      </c>
      <c r="G237" s="37">
        <v>5.9600000381469727</v>
      </c>
      <c r="H237" s="37">
        <v>18.139999389648438</v>
      </c>
      <c r="I237" s="37">
        <v>12.310000419616699</v>
      </c>
      <c r="J237" s="37">
        <v>23.149999618530273</v>
      </c>
      <c r="K237" s="37">
        <v>66.5</v>
      </c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</row>
    <row r="238" spans="1:24" ht="14.25" customHeight="1">
      <c r="A238" s="36">
        <v>51302</v>
      </c>
      <c r="B238" s="36" t="s">
        <v>259</v>
      </c>
      <c r="C238" s="37">
        <v>22.399999618530273</v>
      </c>
      <c r="D238" s="37">
        <v>0.43000000715255737</v>
      </c>
      <c r="E238" s="37">
        <v>19.559999465942383</v>
      </c>
      <c r="F238" s="37">
        <v>7.3600001335144043</v>
      </c>
      <c r="G238" s="37">
        <v>5.0999999046325684</v>
      </c>
      <c r="H238" s="37">
        <v>11.119999885559082</v>
      </c>
      <c r="I238" s="37">
        <v>10.800000190734863</v>
      </c>
      <c r="J238" s="37">
        <v>22.379999160766602</v>
      </c>
      <c r="K238" s="37">
        <v>73.349998474121094</v>
      </c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</row>
    <row r="239" spans="1:24" ht="14.25" customHeight="1">
      <c r="A239" s="36">
        <v>51401</v>
      </c>
      <c r="B239" s="36" t="s">
        <v>260</v>
      </c>
      <c r="C239" s="37">
        <v>2.9200000762939453</v>
      </c>
      <c r="D239" s="37">
        <v>3.0399999618530273</v>
      </c>
      <c r="E239" s="37">
        <v>5.5300002098083496</v>
      </c>
      <c r="F239" s="37">
        <v>3.5899999141693115</v>
      </c>
      <c r="G239" s="37">
        <v>3.7999999523162842</v>
      </c>
      <c r="H239" s="37">
        <v>4.6500000953674316</v>
      </c>
      <c r="I239" s="37">
        <v>6.9200000762939453</v>
      </c>
      <c r="J239" s="37">
        <v>6.4499998092651367</v>
      </c>
      <c r="K239" s="37">
        <v>44.380001068115234</v>
      </c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</row>
    <row r="240" spans="1:24" ht="14.25" customHeight="1">
      <c r="A240" s="36">
        <v>51402</v>
      </c>
      <c r="B240" s="36" t="s">
        <v>261</v>
      </c>
      <c r="C240" s="37">
        <v>1.7599999904632568</v>
      </c>
      <c r="D240" s="37">
        <v>2.4000000953674316</v>
      </c>
      <c r="E240" s="37">
        <v>11.449999809265137</v>
      </c>
      <c r="F240" s="37">
        <v>5.4099998474121094</v>
      </c>
      <c r="G240" s="37">
        <v>2.619999885559082</v>
      </c>
      <c r="H240" s="37">
        <v>6.880000114440918</v>
      </c>
      <c r="I240" s="37">
        <v>16.090000152587891</v>
      </c>
      <c r="J240" s="37">
        <v>20.569999694824219</v>
      </c>
      <c r="K240" s="37">
        <v>60.479999542236328</v>
      </c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</row>
    <row r="241" spans="1:24" ht="14.25" customHeight="1">
      <c r="A241" s="36">
        <v>51501</v>
      </c>
      <c r="B241" s="36" t="s">
        <v>262</v>
      </c>
      <c r="C241" s="37">
        <v>13.619999885559082</v>
      </c>
      <c r="D241" s="37">
        <v>6.369999885559082</v>
      </c>
      <c r="E241" s="37">
        <v>5.869999885559082</v>
      </c>
      <c r="F241" s="37">
        <v>1.7000000476837158</v>
      </c>
      <c r="G241" s="37">
        <v>3.440000057220459</v>
      </c>
      <c r="H241" s="37">
        <v>7.440000057220459</v>
      </c>
      <c r="I241" s="37">
        <v>8.9600000381469727</v>
      </c>
      <c r="J241" s="37">
        <v>4.25</v>
      </c>
      <c r="K241" s="37">
        <v>13.520000457763672</v>
      </c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</row>
    <row r="242" spans="1:24" ht="14.25" customHeight="1">
      <c r="A242" s="36">
        <v>51601</v>
      </c>
      <c r="B242" s="36" t="s">
        <v>263</v>
      </c>
      <c r="C242" s="37">
        <v>7.0300002098083496</v>
      </c>
      <c r="D242" s="37">
        <v>3.6600000858306885</v>
      </c>
      <c r="E242" s="37">
        <v>6.2899999618530273</v>
      </c>
      <c r="F242" s="37">
        <v>7.1999998092651367</v>
      </c>
      <c r="G242" s="37">
        <v>4.6399998664855957</v>
      </c>
      <c r="H242" s="37">
        <v>7.6599998474121094</v>
      </c>
      <c r="I242" s="37">
        <v>9.7600002288818359</v>
      </c>
      <c r="J242" s="37">
        <v>5.8600001335144043</v>
      </c>
      <c r="K242" s="37">
        <v>27.920000076293945</v>
      </c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</row>
    <row r="243" spans="1:24" ht="14.25" customHeight="1">
      <c r="A243" s="36">
        <v>60101</v>
      </c>
      <c r="B243" s="36" t="s">
        <v>22</v>
      </c>
      <c r="C243" s="37">
        <v>8.7700004577636719</v>
      </c>
      <c r="D243" s="37">
        <v>1.0700000524520874</v>
      </c>
      <c r="E243" s="37">
        <v>3.6800000667572021</v>
      </c>
      <c r="F243" s="37">
        <v>0.52999997138977051</v>
      </c>
      <c r="G243" s="37">
        <v>2.2699999809265137</v>
      </c>
      <c r="H243" s="37">
        <v>4.2300000190734863</v>
      </c>
      <c r="I243" s="37">
        <v>6.820000171661377</v>
      </c>
      <c r="J243" s="37">
        <v>1.4299999475479126</v>
      </c>
      <c r="K243" s="37">
        <v>23.120000839233398</v>
      </c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</row>
    <row r="244" spans="1:24" ht="14.25" customHeight="1">
      <c r="A244" s="36">
        <v>60201</v>
      </c>
      <c r="B244" s="36" t="s">
        <v>264</v>
      </c>
      <c r="C244" s="37">
        <v>20.200000762939453</v>
      </c>
      <c r="D244" s="37">
        <v>1.809999942779541</v>
      </c>
      <c r="E244" s="37">
        <v>7.809999942779541</v>
      </c>
      <c r="F244" s="37">
        <v>1.4800000190734863</v>
      </c>
      <c r="G244" s="37">
        <v>4.0100002288818359</v>
      </c>
      <c r="H244" s="37">
        <v>10.090000152587891</v>
      </c>
      <c r="I244" s="37">
        <v>12.140000343322754</v>
      </c>
      <c r="J244" s="37">
        <v>9.8000001907348633</v>
      </c>
      <c r="K244" s="37">
        <v>26.940000534057617</v>
      </c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</row>
    <row r="245" spans="1:24" ht="14.25" customHeight="1">
      <c r="A245" s="36">
        <v>60202</v>
      </c>
      <c r="B245" s="36" t="s">
        <v>265</v>
      </c>
      <c r="C245" s="37">
        <v>13.060000419616699</v>
      </c>
      <c r="D245" s="37">
        <v>2.8499999046325684</v>
      </c>
      <c r="E245" s="37">
        <v>4.440000057220459</v>
      </c>
      <c r="F245" s="37">
        <v>0.5899999737739563</v>
      </c>
      <c r="G245" s="37">
        <v>3.1400001049041748</v>
      </c>
      <c r="H245" s="37">
        <v>6.309999942779541</v>
      </c>
      <c r="I245" s="37">
        <v>7.309999942779541</v>
      </c>
      <c r="J245" s="37">
        <v>1.3500000238418579</v>
      </c>
      <c r="K245" s="37">
        <v>12.739999771118164</v>
      </c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</row>
    <row r="246" spans="1:24" ht="14.25" customHeight="1">
      <c r="A246" s="36">
        <v>60301</v>
      </c>
      <c r="B246" s="36" t="s">
        <v>266</v>
      </c>
      <c r="C246" s="37">
        <v>12.720000267028809</v>
      </c>
      <c r="D246" s="37">
        <v>2.2999999523162842</v>
      </c>
      <c r="E246" s="37">
        <v>8.7299995422363281</v>
      </c>
      <c r="F246" s="37">
        <v>1.5700000524520874</v>
      </c>
      <c r="G246" s="37">
        <v>3.5099999904632568</v>
      </c>
      <c r="H246" s="37">
        <v>9.380000114440918</v>
      </c>
      <c r="I246" s="37">
        <v>5.7300000190734863</v>
      </c>
      <c r="J246" s="37">
        <v>1.8300000429153442</v>
      </c>
      <c r="K246" s="37">
        <v>18.319999694824219</v>
      </c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</row>
    <row r="247" spans="1:24" ht="14.25" customHeight="1">
      <c r="A247" s="36">
        <v>60302</v>
      </c>
      <c r="B247" s="36" t="s">
        <v>267</v>
      </c>
      <c r="C247" s="37">
        <v>14.539999961853027</v>
      </c>
      <c r="D247" s="37">
        <v>0.95999997854232788</v>
      </c>
      <c r="E247" s="37">
        <v>6.9800000190734863</v>
      </c>
      <c r="F247" s="37">
        <v>1.4900000095367432</v>
      </c>
      <c r="G247" s="37">
        <v>3.8399999141693115</v>
      </c>
      <c r="H247" s="37">
        <v>7.679999828338623</v>
      </c>
      <c r="I247" s="37">
        <v>9.4700002670288086</v>
      </c>
      <c r="J247" s="37">
        <v>5.1700000762939453</v>
      </c>
      <c r="K247" s="37">
        <v>15.899999618530273</v>
      </c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</row>
    <row r="248" spans="1:24" ht="14.25" customHeight="1">
      <c r="A248" s="36">
        <v>60303</v>
      </c>
      <c r="B248" s="36" t="s">
        <v>268</v>
      </c>
      <c r="C248" s="37">
        <v>9.0799999237060547</v>
      </c>
      <c r="D248" s="37">
        <v>0.75999999046325684</v>
      </c>
      <c r="E248" s="37">
        <v>11.390000343322754</v>
      </c>
      <c r="F248" s="37">
        <v>0.94999998807907104</v>
      </c>
      <c r="G248" s="37">
        <v>4.119999885559082</v>
      </c>
      <c r="H248" s="37">
        <v>7.9000000953674316</v>
      </c>
      <c r="I248" s="37">
        <v>6.8299999237060547</v>
      </c>
      <c r="J248" s="37">
        <v>5.1399998664855957</v>
      </c>
      <c r="K248" s="37">
        <v>34.630001068115234</v>
      </c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</row>
    <row r="249" spans="1:24" ht="14.25" customHeight="1">
      <c r="A249" s="36">
        <v>60401</v>
      </c>
      <c r="B249" s="36" t="s">
        <v>269</v>
      </c>
      <c r="C249" s="37">
        <v>17.760000228881836</v>
      </c>
      <c r="D249" s="37">
        <v>1.2400000095367432</v>
      </c>
      <c r="E249" s="37">
        <v>7.4000000953674316</v>
      </c>
      <c r="F249" s="37">
        <v>0.87999999523162842</v>
      </c>
      <c r="G249" s="37">
        <v>3.6800000667572021</v>
      </c>
      <c r="H249" s="37">
        <v>10.510000228881836</v>
      </c>
      <c r="I249" s="37">
        <v>8.6099996566772461</v>
      </c>
      <c r="J249" s="37">
        <v>6.2600002288818359</v>
      </c>
      <c r="K249" s="37">
        <v>22.930000305175781</v>
      </c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</row>
    <row r="250" spans="1:24" ht="14.25" customHeight="1">
      <c r="A250" s="36">
        <v>60402</v>
      </c>
      <c r="B250" s="36" t="s">
        <v>270</v>
      </c>
      <c r="C250" s="37">
        <v>28.040000915527344</v>
      </c>
      <c r="D250" s="37">
        <v>1.6299999952316284</v>
      </c>
      <c r="E250" s="37">
        <v>9.6499996185302734</v>
      </c>
      <c r="F250" s="37">
        <v>6.7300000190734863</v>
      </c>
      <c r="G250" s="37">
        <v>6.0799999237060547</v>
      </c>
      <c r="H250" s="37">
        <v>16.040000915527344</v>
      </c>
      <c r="I250" s="37">
        <v>12.869999885559082</v>
      </c>
      <c r="J250" s="37">
        <v>6.6399998664855957</v>
      </c>
      <c r="K250" s="37">
        <v>21.069999694824219</v>
      </c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</row>
    <row r="251" spans="1:24" ht="14.25" customHeight="1">
      <c r="A251" s="36">
        <v>60501</v>
      </c>
      <c r="B251" s="36" t="s">
        <v>271</v>
      </c>
      <c r="C251" s="37">
        <v>20.069999694824219</v>
      </c>
      <c r="D251" s="37">
        <v>1.4299999475479126</v>
      </c>
      <c r="E251" s="37">
        <v>7.059999942779541</v>
      </c>
      <c r="F251" s="37">
        <v>1.4199999570846558</v>
      </c>
      <c r="G251" s="37">
        <v>3.2300000190734863</v>
      </c>
      <c r="H251" s="37">
        <v>7.9899997711181641</v>
      </c>
      <c r="I251" s="37">
        <v>10.810000419616699</v>
      </c>
      <c r="J251" s="37">
        <v>9.3100004196166992</v>
      </c>
      <c r="K251" s="37">
        <v>22.530000686645508</v>
      </c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</row>
    <row r="252" spans="1:24" ht="14.25" customHeight="1">
      <c r="A252" s="36">
        <v>60502</v>
      </c>
      <c r="B252" s="36" t="s">
        <v>272</v>
      </c>
      <c r="C252" s="37">
        <v>25.409999847412109</v>
      </c>
      <c r="D252" s="37">
        <v>0.34000000357627869</v>
      </c>
      <c r="E252" s="37">
        <v>9.0399999618530273</v>
      </c>
      <c r="F252" s="37">
        <v>2.5999999046325684</v>
      </c>
      <c r="G252" s="37">
        <v>3.9000000953674316</v>
      </c>
      <c r="H252" s="37">
        <v>11.609999656677246</v>
      </c>
      <c r="I252" s="37">
        <v>10.300000190734863</v>
      </c>
      <c r="J252" s="37">
        <v>4.179999828338623</v>
      </c>
      <c r="K252" s="37">
        <v>13.630000114440918</v>
      </c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</row>
    <row r="253" spans="1:24" ht="14.25" customHeight="1">
      <c r="A253" s="36">
        <v>60601</v>
      </c>
      <c r="B253" s="36" t="s">
        <v>177</v>
      </c>
      <c r="C253" s="37">
        <v>20.440000534057617</v>
      </c>
      <c r="D253" s="37">
        <v>0.74000000953674316</v>
      </c>
      <c r="E253" s="37">
        <v>10.449999809265137</v>
      </c>
      <c r="F253" s="37">
        <v>2.7899999618530273</v>
      </c>
      <c r="G253" s="37">
        <v>4.2300000190734863</v>
      </c>
      <c r="H253" s="37">
        <v>9.3000001907348633</v>
      </c>
      <c r="I253" s="37">
        <v>10.520000457763672</v>
      </c>
      <c r="J253" s="37">
        <v>8.8100004196166992</v>
      </c>
      <c r="K253" s="37">
        <v>32.439998626708984</v>
      </c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</row>
    <row r="254" spans="1:24" ht="14.25" customHeight="1">
      <c r="A254" s="36">
        <v>70101</v>
      </c>
      <c r="B254" s="36" t="s">
        <v>273</v>
      </c>
      <c r="C254" s="37">
        <v>4.1999998092651367</v>
      </c>
      <c r="D254" s="37">
        <v>1.2699999809265137</v>
      </c>
      <c r="E254" s="37">
        <v>3.5</v>
      </c>
      <c r="F254" s="37">
        <v>0.43000000715255737</v>
      </c>
      <c r="G254" s="37">
        <v>3.2999999523162842</v>
      </c>
      <c r="H254" s="37">
        <v>6.9899997711181641</v>
      </c>
      <c r="I254" s="37">
        <v>0.98000001907348633</v>
      </c>
      <c r="J254" s="37">
        <v>0.34000000357627869</v>
      </c>
      <c r="K254" s="37">
        <v>31.190000534057617</v>
      </c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</row>
    <row r="255" spans="1:24" ht="14.25" customHeight="1">
      <c r="A255" s="36">
        <v>70102</v>
      </c>
      <c r="B255" s="36" t="s">
        <v>274</v>
      </c>
      <c r="C255" s="37">
        <v>6.5999999046325684</v>
      </c>
      <c r="D255" s="37">
        <v>1.5199999809265137</v>
      </c>
      <c r="E255" s="37">
        <v>5.7199997901916504</v>
      </c>
      <c r="F255" s="37">
        <v>0.88999998569488525</v>
      </c>
      <c r="G255" s="37">
        <v>5.630000114440918</v>
      </c>
      <c r="H255" s="37">
        <v>11.840000152587891</v>
      </c>
      <c r="I255" s="37">
        <v>6.2600002288818359</v>
      </c>
      <c r="J255" s="37">
        <v>1.8700000047683716</v>
      </c>
      <c r="K255" s="37">
        <v>71.550003051757813</v>
      </c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</row>
    <row r="256" spans="1:24" ht="14.25" customHeight="1">
      <c r="A256" s="36">
        <v>70103</v>
      </c>
      <c r="B256" s="36" t="s">
        <v>275</v>
      </c>
      <c r="C256" s="37">
        <v>5.6500000953674316</v>
      </c>
      <c r="D256" s="37">
        <v>2.0699999332427979</v>
      </c>
      <c r="E256" s="37">
        <v>4.7699999809265137</v>
      </c>
      <c r="F256" s="37">
        <v>0.55000001192092896</v>
      </c>
      <c r="G256" s="37">
        <v>3.5499999523162842</v>
      </c>
      <c r="H256" s="37">
        <v>6.7699999809265137</v>
      </c>
      <c r="I256" s="37">
        <v>5.690000057220459</v>
      </c>
      <c r="J256" s="37">
        <v>3.5899999141693115</v>
      </c>
      <c r="K256" s="37">
        <v>26.959999084472656</v>
      </c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</row>
    <row r="257" spans="1:24" ht="14.25" customHeight="1">
      <c r="A257" s="36">
        <v>70104</v>
      </c>
      <c r="B257" s="36" t="s">
        <v>276</v>
      </c>
      <c r="C257" s="37">
        <v>7.3499999046325684</v>
      </c>
      <c r="D257" s="37">
        <v>0.9100000262260437</v>
      </c>
      <c r="E257" s="37">
        <v>3.4500000476837158</v>
      </c>
      <c r="F257" s="37">
        <v>0.51999998092651367</v>
      </c>
      <c r="G257" s="37">
        <v>3.9700000286102295</v>
      </c>
      <c r="H257" s="37">
        <v>8.0600004196166992</v>
      </c>
      <c r="I257" s="37">
        <v>1.7699999809265137</v>
      </c>
      <c r="J257" s="37">
        <v>0.68999999761581421</v>
      </c>
      <c r="K257" s="37">
        <v>82.860000610351563</v>
      </c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</row>
    <row r="258" spans="1:24" ht="14.25" customHeight="1">
      <c r="A258" s="36">
        <v>70105</v>
      </c>
      <c r="B258" s="36" t="s">
        <v>277</v>
      </c>
      <c r="C258" s="37">
        <v>13.029999732971191</v>
      </c>
      <c r="D258" s="37">
        <v>0.77999997138977051</v>
      </c>
      <c r="E258" s="37">
        <v>6.0399999618530273</v>
      </c>
      <c r="F258" s="37">
        <v>0.69999998807907104</v>
      </c>
      <c r="G258" s="37">
        <v>4.0999999046325684</v>
      </c>
      <c r="H258" s="37">
        <v>9.4700002670288086</v>
      </c>
      <c r="I258" s="37">
        <v>2.630000114440918</v>
      </c>
      <c r="J258" s="37">
        <v>2.75</v>
      </c>
      <c r="K258" s="37">
        <v>56.159999847412109</v>
      </c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</row>
    <row r="259" spans="1:24" ht="14.25" customHeight="1">
      <c r="A259" s="36">
        <v>70201</v>
      </c>
      <c r="B259" s="36" t="s">
        <v>278</v>
      </c>
      <c r="C259" s="37">
        <v>7.25</v>
      </c>
      <c r="D259" s="37">
        <v>1.3300000429153442</v>
      </c>
      <c r="E259" s="37">
        <v>6.0199999809265137</v>
      </c>
      <c r="F259" s="37">
        <v>0.86000001430511475</v>
      </c>
      <c r="G259" s="37">
        <v>5.429999828338623</v>
      </c>
      <c r="H259" s="37">
        <v>10.680000305175781</v>
      </c>
      <c r="I259" s="37">
        <v>2.440000057220459</v>
      </c>
      <c r="J259" s="37">
        <v>1.2799999713897705</v>
      </c>
      <c r="K259" s="37">
        <v>69.209999084472656</v>
      </c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</row>
    <row r="260" spans="1:24" ht="14.25" customHeight="1">
      <c r="A260" s="36">
        <v>70202</v>
      </c>
      <c r="B260" s="36" t="s">
        <v>279</v>
      </c>
      <c r="C260" s="37">
        <v>8.5100002288818359</v>
      </c>
      <c r="D260" s="37">
        <v>2.4600000381469727</v>
      </c>
      <c r="E260" s="37">
        <v>7.2899999618530273</v>
      </c>
      <c r="F260" s="37">
        <v>0.57999998331069946</v>
      </c>
      <c r="G260" s="37">
        <v>5.2399997711181641</v>
      </c>
      <c r="H260" s="37">
        <v>9.9099998474121094</v>
      </c>
      <c r="I260" s="37">
        <v>1.4700000286102295</v>
      </c>
      <c r="J260" s="37">
        <v>2.1800000667572021</v>
      </c>
      <c r="K260" s="37">
        <v>37.139999389648438</v>
      </c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</row>
    <row r="261" spans="1:24" ht="14.25" customHeight="1">
      <c r="A261" s="36">
        <v>70301</v>
      </c>
      <c r="B261" s="36" t="s">
        <v>280</v>
      </c>
      <c r="C261" s="37">
        <v>9.0900001525878906</v>
      </c>
      <c r="D261" s="37">
        <v>2.0399999618530273</v>
      </c>
      <c r="E261" s="37">
        <v>20.079999923706055</v>
      </c>
      <c r="F261" s="37">
        <v>4.2300000190734863</v>
      </c>
      <c r="G261" s="37">
        <v>7.3499999046325684</v>
      </c>
      <c r="H261" s="37">
        <v>18.200000762939453</v>
      </c>
      <c r="I261" s="37">
        <v>9.3999996185302734</v>
      </c>
      <c r="J261" s="37">
        <v>14.060000419616699</v>
      </c>
      <c r="K261" s="37">
        <v>41.029998779296875</v>
      </c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</row>
    <row r="262" spans="1:24" ht="14.25" customHeight="1">
      <c r="A262" s="36">
        <v>70302</v>
      </c>
      <c r="B262" s="36" t="s">
        <v>281</v>
      </c>
      <c r="C262" s="37">
        <v>8.6099996566772461</v>
      </c>
      <c r="D262" s="37">
        <v>1.9299999475479126</v>
      </c>
      <c r="E262" s="37">
        <v>30.690000534057617</v>
      </c>
      <c r="F262" s="37">
        <v>1.7400000095367432</v>
      </c>
      <c r="G262" s="37">
        <v>5.6599998474121094</v>
      </c>
      <c r="H262" s="37">
        <v>17.170000076293945</v>
      </c>
      <c r="I262" s="37">
        <v>11.270000457763672</v>
      </c>
      <c r="J262" s="37">
        <v>25.680000305175781</v>
      </c>
      <c r="K262" s="37">
        <v>35.159999847412109</v>
      </c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</row>
    <row r="263" spans="1:24" ht="14.25" customHeight="1">
      <c r="A263" s="36">
        <v>70303</v>
      </c>
      <c r="B263" s="36" t="s">
        <v>282</v>
      </c>
      <c r="C263" s="37">
        <v>5.5100002288818359</v>
      </c>
      <c r="D263" s="37">
        <v>4.5</v>
      </c>
      <c r="E263" s="37">
        <v>29.989999771118164</v>
      </c>
      <c r="F263" s="37">
        <v>2.5399999618530273</v>
      </c>
      <c r="G263" s="37">
        <v>6.0500001907348633</v>
      </c>
      <c r="H263" s="37">
        <v>14.409999847412109</v>
      </c>
      <c r="I263" s="37">
        <v>8.119999885559082</v>
      </c>
      <c r="J263" s="37">
        <v>27.899999618530273</v>
      </c>
      <c r="K263" s="37">
        <v>33.080001831054688</v>
      </c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</row>
    <row r="264" spans="1:24" ht="14.25" customHeight="1">
      <c r="A264" s="36">
        <v>70401</v>
      </c>
      <c r="B264" s="36" t="s">
        <v>283</v>
      </c>
      <c r="C264" s="37">
        <v>13.399999618530273</v>
      </c>
      <c r="D264" s="37">
        <v>0.95999997854232788</v>
      </c>
      <c r="E264" s="37">
        <v>7.4699997901916504</v>
      </c>
      <c r="F264" s="37">
        <v>0.82999998331069946</v>
      </c>
      <c r="G264" s="37">
        <v>6.130000114440918</v>
      </c>
      <c r="H264" s="37">
        <v>10.470000267028809</v>
      </c>
      <c r="I264" s="37">
        <v>5.1599998474121094</v>
      </c>
      <c r="J264" s="37">
        <v>4.940000057220459</v>
      </c>
      <c r="K264" s="37">
        <v>27.5</v>
      </c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</row>
    <row r="265" spans="1:24" ht="14.25" customHeight="1">
      <c r="A265" s="36">
        <v>70402</v>
      </c>
      <c r="B265" s="36" t="s">
        <v>284</v>
      </c>
      <c r="C265" s="37">
        <v>12.470000267028809</v>
      </c>
      <c r="D265" s="37">
        <v>1.0900000333786011</v>
      </c>
      <c r="E265" s="37">
        <v>8.2200002670288086</v>
      </c>
      <c r="F265" s="37">
        <v>0.75</v>
      </c>
      <c r="G265" s="37">
        <v>5.5199999809265137</v>
      </c>
      <c r="H265" s="37">
        <v>9.8199996948242188</v>
      </c>
      <c r="I265" s="37">
        <v>4.7800002098083496</v>
      </c>
      <c r="J265" s="37">
        <v>6.0300002098083496</v>
      </c>
      <c r="K265" s="37">
        <v>45.939998626708984</v>
      </c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</row>
    <row r="266" spans="1:24" ht="14.25" customHeight="1">
      <c r="A266" s="36">
        <v>70403</v>
      </c>
      <c r="B266" s="36" t="s">
        <v>285</v>
      </c>
      <c r="C266" s="37">
        <v>10.880000114440918</v>
      </c>
      <c r="D266" s="37">
        <v>0.8399999737739563</v>
      </c>
      <c r="E266" s="37">
        <v>9.4099998474121094</v>
      </c>
      <c r="F266" s="37">
        <v>1.0299999713897705</v>
      </c>
      <c r="G266" s="37">
        <v>4.630000114440918</v>
      </c>
      <c r="H266" s="37">
        <v>8.9499998092651367</v>
      </c>
      <c r="I266" s="37">
        <v>13.770000457763672</v>
      </c>
      <c r="J266" s="37">
        <v>15.359999656677246</v>
      </c>
      <c r="K266" s="37">
        <v>51.299999237060547</v>
      </c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</row>
    <row r="267" spans="1:24" ht="14.25" customHeight="1">
      <c r="A267" s="36">
        <v>70404</v>
      </c>
      <c r="B267" s="36" t="s">
        <v>286</v>
      </c>
      <c r="C267" s="37">
        <v>7.7100000381469727</v>
      </c>
      <c r="D267" s="37">
        <v>1.0900000333786011</v>
      </c>
      <c r="E267" s="37">
        <v>8.6800003051757813</v>
      </c>
      <c r="F267" s="37">
        <v>0.44999998807907104</v>
      </c>
      <c r="G267" s="37">
        <v>5.3299999237060547</v>
      </c>
      <c r="H267" s="37">
        <v>9.6800003051757813</v>
      </c>
      <c r="I267" s="37">
        <v>10.850000381469727</v>
      </c>
      <c r="J267" s="37">
        <v>8.8199996948242188</v>
      </c>
      <c r="K267" s="37">
        <v>33.009998321533203</v>
      </c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</row>
    <row r="268" spans="1:24" ht="14.25" customHeight="1">
      <c r="A268" s="36">
        <v>70501</v>
      </c>
      <c r="B268" s="36" t="s">
        <v>287</v>
      </c>
      <c r="C268" s="37">
        <v>3.6400001049041748</v>
      </c>
      <c r="D268" s="37">
        <v>3.0099999904632568</v>
      </c>
      <c r="E268" s="37">
        <v>46.909999847412109</v>
      </c>
      <c r="F268" s="37">
        <v>6.869999885559082</v>
      </c>
      <c r="G268" s="37">
        <v>3.5999999046325684</v>
      </c>
      <c r="H268" s="37">
        <v>27.799999237060547</v>
      </c>
      <c r="I268" s="37">
        <v>5.9699997901916504</v>
      </c>
      <c r="J268" s="37">
        <v>20.790000915527344</v>
      </c>
      <c r="K268" s="37">
        <v>24.040000915527344</v>
      </c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</row>
    <row r="269" spans="1:24" ht="14.25" customHeight="1">
      <c r="A269" s="36">
        <v>70502</v>
      </c>
      <c r="B269" s="36" t="s">
        <v>288</v>
      </c>
      <c r="C269" s="37">
        <v>4.440000057220459</v>
      </c>
      <c r="D269" s="37">
        <v>2.7799999713897705</v>
      </c>
      <c r="E269" s="37">
        <v>41.290000915527344</v>
      </c>
      <c r="F269" s="37">
        <v>5.7699999809265137</v>
      </c>
      <c r="G269" s="37">
        <v>4.3499999046325684</v>
      </c>
      <c r="H269" s="37">
        <v>28.170000076293945</v>
      </c>
      <c r="I269" s="37">
        <v>5.7100000381469727</v>
      </c>
      <c r="J269" s="37">
        <v>9.0100002288818359</v>
      </c>
      <c r="K269" s="37">
        <v>34.450000762939453</v>
      </c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</row>
    <row r="270" spans="1:24" ht="14.25" customHeight="1">
      <c r="A270" s="36">
        <v>70503</v>
      </c>
      <c r="B270" s="36" t="s">
        <v>289</v>
      </c>
      <c r="C270" s="37">
        <v>3.9800000190734863</v>
      </c>
      <c r="D270" s="37">
        <v>1.8600000143051147</v>
      </c>
      <c r="E270" s="37">
        <v>13.409999847412109</v>
      </c>
      <c r="F270" s="37">
        <v>1.2400000095367432</v>
      </c>
      <c r="G270" s="37">
        <v>4.6100001335144043</v>
      </c>
      <c r="H270" s="37">
        <v>10.390000343322754</v>
      </c>
      <c r="I270" s="37">
        <v>4.8299999237060547</v>
      </c>
      <c r="J270" s="37">
        <v>5.6999998092651367</v>
      </c>
      <c r="K270" s="37">
        <v>35.430000305175781</v>
      </c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</row>
    <row r="271" spans="1:24" ht="14.25" customHeight="1">
      <c r="A271" s="36">
        <v>70601</v>
      </c>
      <c r="B271" s="36" t="s">
        <v>290</v>
      </c>
      <c r="C271" s="37">
        <v>8.119999885559082</v>
      </c>
      <c r="D271" s="37">
        <v>1.6799999475479126</v>
      </c>
      <c r="E271" s="37">
        <v>6.7699999809265137</v>
      </c>
      <c r="F271" s="37">
        <v>0.28999999165534973</v>
      </c>
      <c r="G271" s="37">
        <v>6.4800000190734863</v>
      </c>
      <c r="H271" s="37">
        <v>8.3999996185302734</v>
      </c>
      <c r="I271" s="37">
        <v>4.2800002098083496</v>
      </c>
      <c r="J271" s="37">
        <v>1.1599999666213989</v>
      </c>
      <c r="K271" s="37">
        <v>20.299999237060547</v>
      </c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</row>
    <row r="272" spans="1:24" ht="14.25" customHeight="1">
      <c r="A272" s="36">
        <v>70602</v>
      </c>
      <c r="B272" s="36" t="s">
        <v>291</v>
      </c>
      <c r="C272" s="37">
        <v>12.520000457763672</v>
      </c>
      <c r="D272" s="37">
        <v>1.190000057220459</v>
      </c>
      <c r="E272" s="37">
        <v>8.8299999237060547</v>
      </c>
      <c r="F272" s="37">
        <v>1.3700000047683716</v>
      </c>
      <c r="G272" s="37">
        <v>5.9800000190734863</v>
      </c>
      <c r="H272" s="37">
        <v>10.220000267028809</v>
      </c>
      <c r="I272" s="37">
        <v>7.4200000762939453</v>
      </c>
      <c r="J272" s="37">
        <v>13.409999847412109</v>
      </c>
      <c r="K272" s="37">
        <v>36.200000762939453</v>
      </c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</row>
    <row r="273" spans="1:24" ht="14.25" customHeight="1">
      <c r="A273" s="36">
        <v>70603</v>
      </c>
      <c r="B273" s="36" t="s">
        <v>292</v>
      </c>
      <c r="C273" s="37">
        <v>6.7699999809265137</v>
      </c>
      <c r="D273" s="37">
        <v>1.9299999475479126</v>
      </c>
      <c r="E273" s="37">
        <v>7.320000171661377</v>
      </c>
      <c r="F273" s="37">
        <v>0.67000001668930054</v>
      </c>
      <c r="G273" s="37">
        <v>7.820000171661377</v>
      </c>
      <c r="H273" s="37">
        <v>11.609999656677246</v>
      </c>
      <c r="I273" s="37">
        <v>4.7600002288818359</v>
      </c>
      <c r="J273" s="37">
        <v>2</v>
      </c>
      <c r="K273" s="37">
        <v>72.389999389648438</v>
      </c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</row>
    <row r="274" spans="1:24" ht="14.25" customHeight="1">
      <c r="A274" s="36">
        <v>70701</v>
      </c>
      <c r="B274" s="36" t="s">
        <v>293</v>
      </c>
      <c r="C274" s="37">
        <v>13.020000457763672</v>
      </c>
      <c r="D274" s="37">
        <v>0.93999999761581421</v>
      </c>
      <c r="E274" s="37">
        <v>13.270000457763672</v>
      </c>
      <c r="F274" s="37">
        <v>3.5499999523162842</v>
      </c>
      <c r="G274" s="37">
        <v>6.2600002288818359</v>
      </c>
      <c r="H274" s="37">
        <v>12.800000190734863</v>
      </c>
      <c r="I274" s="37">
        <v>10.909999847412109</v>
      </c>
      <c r="J274" s="37">
        <v>5.25</v>
      </c>
      <c r="K274" s="37">
        <v>14.069999694824219</v>
      </c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</row>
    <row r="275" spans="1:24" ht="14.25" customHeight="1">
      <c r="A275" s="36">
        <v>70702</v>
      </c>
      <c r="B275" s="36" t="s">
        <v>294</v>
      </c>
      <c r="C275" s="37">
        <v>7.3299999237060547</v>
      </c>
      <c r="D275" s="37">
        <v>4.820000171661377</v>
      </c>
      <c r="E275" s="37">
        <v>34.580001831054688</v>
      </c>
      <c r="F275" s="37">
        <v>3.7999999523162842</v>
      </c>
      <c r="G275" s="37">
        <v>5.2300000190734863</v>
      </c>
      <c r="H275" s="37">
        <v>24.879999160766602</v>
      </c>
      <c r="I275" s="37">
        <v>5.0999999046325684</v>
      </c>
      <c r="J275" s="37">
        <v>14.970000267028809</v>
      </c>
      <c r="K275" s="37">
        <v>26.940000534057617</v>
      </c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</row>
    <row r="276" spans="1:24" ht="14.25" customHeight="1">
      <c r="A276" s="36">
        <v>70703</v>
      </c>
      <c r="B276" s="36" t="s">
        <v>295</v>
      </c>
      <c r="C276" s="37">
        <v>8.25</v>
      </c>
      <c r="D276" s="37">
        <v>2.869999885559082</v>
      </c>
      <c r="E276" s="37">
        <v>36.599998474121094</v>
      </c>
      <c r="F276" s="37">
        <v>2.380000114440918</v>
      </c>
      <c r="G276" s="37">
        <v>5.4099998474121094</v>
      </c>
      <c r="H276" s="37">
        <v>24.979999542236328</v>
      </c>
      <c r="I276" s="37">
        <v>5.4000000953674316</v>
      </c>
      <c r="J276" s="37">
        <v>11.060000419616699</v>
      </c>
      <c r="K276" s="37">
        <v>33.150001525878906</v>
      </c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</row>
    <row r="277" spans="1:24" ht="14.25" customHeight="1">
      <c r="A277" s="36">
        <v>70704</v>
      </c>
      <c r="B277" s="36" t="s">
        <v>296</v>
      </c>
      <c r="C277" s="37">
        <v>10.430000305175781</v>
      </c>
      <c r="D277" s="37">
        <v>0.34000000357627869</v>
      </c>
      <c r="E277" s="37">
        <v>16.489999771118164</v>
      </c>
      <c r="F277" s="37">
        <v>2.2999999523162842</v>
      </c>
      <c r="G277" s="37">
        <v>4.2100000381469727</v>
      </c>
      <c r="H277" s="37">
        <v>8.1700000762939453</v>
      </c>
      <c r="I277" s="37">
        <v>3.690000057220459</v>
      </c>
      <c r="J277" s="37">
        <v>5.0199999809265137</v>
      </c>
      <c r="K277" s="37">
        <v>29.409999847412109</v>
      </c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</row>
    <row r="278" spans="1:24" ht="14.25" customHeight="1">
      <c r="A278" s="36">
        <v>70705</v>
      </c>
      <c r="B278" s="36" t="s">
        <v>297</v>
      </c>
      <c r="C278" s="37">
        <v>10.270000457763672</v>
      </c>
      <c r="D278" s="37">
        <v>0.92000001668930054</v>
      </c>
      <c r="E278" s="37">
        <v>17.430000305175781</v>
      </c>
      <c r="F278" s="37">
        <v>6.0199999809265137</v>
      </c>
      <c r="G278" s="37">
        <v>8.1800003051757813</v>
      </c>
      <c r="H278" s="37">
        <v>16.120000839233398</v>
      </c>
      <c r="I278" s="37">
        <v>12.199999809265137</v>
      </c>
      <c r="J278" s="37">
        <v>9.8299999237060547</v>
      </c>
      <c r="K278" s="37">
        <v>22.100000381469727</v>
      </c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</row>
    <row r="279" spans="1:24" ht="14.25" customHeight="1">
      <c r="A279" s="36">
        <v>70706</v>
      </c>
      <c r="B279" s="36" t="s">
        <v>298</v>
      </c>
      <c r="C279" s="37">
        <v>7.5399999618530273</v>
      </c>
      <c r="D279" s="37">
        <v>0.62000000476837158</v>
      </c>
      <c r="E279" s="37">
        <v>6.0999999046325684</v>
      </c>
      <c r="F279" s="37">
        <v>0.74000000953674316</v>
      </c>
      <c r="G279" s="37">
        <v>4.2399997711181641</v>
      </c>
      <c r="H279" s="37">
        <v>5.570000171661377</v>
      </c>
      <c r="I279" s="37">
        <v>3.2000000476837158</v>
      </c>
      <c r="J279" s="37">
        <v>2.0299999713897705</v>
      </c>
      <c r="K279" s="37">
        <v>28.489999771118164</v>
      </c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</row>
    <row r="280" spans="1:24" ht="14.25" customHeight="1">
      <c r="A280" s="36">
        <v>70707</v>
      </c>
      <c r="B280" s="36" t="s">
        <v>299</v>
      </c>
      <c r="C280" s="37">
        <v>9.0200004577636719</v>
      </c>
      <c r="D280" s="37">
        <v>3.7000000476837158</v>
      </c>
      <c r="E280" s="37">
        <v>22.680000305175781</v>
      </c>
      <c r="F280" s="37">
        <v>5.630000114440918</v>
      </c>
      <c r="G280" s="37">
        <v>5.4699997901916504</v>
      </c>
      <c r="H280" s="37">
        <v>15.149999618530273</v>
      </c>
      <c r="I280" s="37">
        <v>3.190000057220459</v>
      </c>
      <c r="J280" s="37">
        <v>10.880000114440918</v>
      </c>
      <c r="K280" s="37">
        <v>24</v>
      </c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</row>
    <row r="281" spans="1:24" ht="14.25" customHeight="1">
      <c r="A281" s="36">
        <v>70801</v>
      </c>
      <c r="B281" s="36" t="s">
        <v>300</v>
      </c>
      <c r="C281" s="37">
        <v>10.329999923706055</v>
      </c>
      <c r="D281" s="37">
        <v>0.27000001072883606</v>
      </c>
      <c r="E281" s="37">
        <v>8.3299999237060547</v>
      </c>
      <c r="F281" s="37">
        <v>0.34999999403953552</v>
      </c>
      <c r="G281" s="37">
        <v>3.3599998950958252</v>
      </c>
      <c r="H281" s="37">
        <v>3.869999885559082</v>
      </c>
      <c r="I281" s="37">
        <v>5.1500000953674316</v>
      </c>
      <c r="J281" s="37">
        <v>3.8199999332427979</v>
      </c>
      <c r="K281" s="37">
        <v>25.690000534057617</v>
      </c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</row>
    <row r="282" spans="1:24" ht="14.25" customHeight="1">
      <c r="A282" s="36">
        <v>70802</v>
      </c>
      <c r="B282" s="36" t="s">
        <v>301</v>
      </c>
      <c r="C282" s="37">
        <v>5.440000057220459</v>
      </c>
      <c r="D282" s="37">
        <v>0.4699999988079071</v>
      </c>
      <c r="E282" s="37">
        <v>6.4800000190734863</v>
      </c>
      <c r="F282" s="37">
        <v>0.20999999344348907</v>
      </c>
      <c r="G282" s="37">
        <v>2</v>
      </c>
      <c r="H282" s="37">
        <v>4.3299999237060547</v>
      </c>
      <c r="I282" s="37">
        <v>4.119999885559082</v>
      </c>
      <c r="J282" s="37">
        <v>2.3299999237060547</v>
      </c>
      <c r="K282" s="37">
        <v>11.630000114440918</v>
      </c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</row>
    <row r="283" spans="1:24" ht="14.25" customHeight="1">
      <c r="A283" s="36">
        <v>70803</v>
      </c>
      <c r="B283" s="36" t="s">
        <v>302</v>
      </c>
      <c r="C283" s="37">
        <v>13.140000343322754</v>
      </c>
      <c r="D283" s="37">
        <v>0.28999999165534973</v>
      </c>
      <c r="E283" s="37">
        <v>11.220000267028809</v>
      </c>
      <c r="F283" s="37">
        <v>0.93999999761581421</v>
      </c>
      <c r="G283" s="37">
        <v>6.1700000762939453</v>
      </c>
      <c r="H283" s="37">
        <v>7.9099998474121094</v>
      </c>
      <c r="I283" s="37">
        <v>10.340000152587891</v>
      </c>
      <c r="J283" s="37">
        <v>6.2699999809265137</v>
      </c>
      <c r="K283" s="37">
        <v>31.049999237060547</v>
      </c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</row>
    <row r="284" spans="1:24" ht="14.25" customHeight="1">
      <c r="A284" s="36">
        <v>70804</v>
      </c>
      <c r="B284" s="36" t="s">
        <v>303</v>
      </c>
      <c r="C284" s="37">
        <v>14.5</v>
      </c>
      <c r="D284" s="37">
        <v>0.97000002861022949</v>
      </c>
      <c r="E284" s="37">
        <v>13.960000038146973</v>
      </c>
      <c r="F284" s="37">
        <v>2.1600000858306885</v>
      </c>
      <c r="G284" s="37">
        <v>5.0999999046325684</v>
      </c>
      <c r="H284" s="37">
        <v>7.929999828338623</v>
      </c>
      <c r="I284" s="37">
        <v>18.75</v>
      </c>
      <c r="J284" s="37">
        <v>9.2899999618530273</v>
      </c>
      <c r="K284" s="37">
        <v>31.100000381469727</v>
      </c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</row>
    <row r="285" spans="1:24" ht="14.25" customHeight="1">
      <c r="A285" s="36">
        <v>70805</v>
      </c>
      <c r="B285" s="36" t="s">
        <v>304</v>
      </c>
      <c r="C285" s="37">
        <v>10.119999885559082</v>
      </c>
      <c r="D285" s="37">
        <v>1</v>
      </c>
      <c r="E285" s="37">
        <v>11.489999771118164</v>
      </c>
      <c r="F285" s="37">
        <v>1.2000000476837158</v>
      </c>
      <c r="G285" s="37">
        <v>1.940000057220459</v>
      </c>
      <c r="H285" s="37">
        <v>4.679999828338623</v>
      </c>
      <c r="I285" s="37">
        <v>6.9200000762939453</v>
      </c>
      <c r="J285" s="37">
        <v>9.2600002288818359</v>
      </c>
      <c r="K285" s="37">
        <v>39.569999694824219</v>
      </c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</row>
    <row r="286" spans="1:24" ht="14.25" customHeight="1">
      <c r="A286" s="36">
        <v>70901</v>
      </c>
      <c r="B286" s="36" t="s">
        <v>305</v>
      </c>
      <c r="C286" s="37">
        <v>10.630000114440918</v>
      </c>
      <c r="D286" s="37">
        <v>1.5299999713897705</v>
      </c>
      <c r="E286" s="37">
        <v>8.3100004196166992</v>
      </c>
      <c r="F286" s="37">
        <v>2.130000114440918</v>
      </c>
      <c r="G286" s="37">
        <v>3.9100000858306885</v>
      </c>
      <c r="H286" s="37">
        <v>8.5600004196166992</v>
      </c>
      <c r="I286" s="37">
        <v>8.3299999237060547</v>
      </c>
      <c r="J286" s="37">
        <v>4.6500000953674316</v>
      </c>
      <c r="K286" s="37">
        <v>34.770000457763672</v>
      </c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</row>
    <row r="287" spans="1:24" ht="14.25" customHeight="1">
      <c r="A287" s="36">
        <v>70902</v>
      </c>
      <c r="B287" s="36" t="s">
        <v>306</v>
      </c>
      <c r="C287" s="37">
        <v>14.039999961853027</v>
      </c>
      <c r="D287" s="37">
        <v>0.73000001907348633</v>
      </c>
      <c r="E287" s="37">
        <v>6.0900001525878906</v>
      </c>
      <c r="F287" s="37">
        <v>3.7899999618530273</v>
      </c>
      <c r="G287" s="37">
        <v>5.7300000190734863</v>
      </c>
      <c r="H287" s="37">
        <v>9.5900001525878906</v>
      </c>
      <c r="I287" s="37">
        <v>3.8299999237060547</v>
      </c>
      <c r="J287" s="37">
        <v>8.880000114440918</v>
      </c>
      <c r="K287" s="37">
        <v>27.770000457763672</v>
      </c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</row>
    <row r="288" spans="1:24" ht="14.25" customHeight="1">
      <c r="A288" s="36">
        <v>70903</v>
      </c>
      <c r="B288" s="36" t="s">
        <v>307</v>
      </c>
      <c r="C288" s="37">
        <v>12.300000190734863</v>
      </c>
      <c r="D288" s="37">
        <v>0.4699999988079071</v>
      </c>
      <c r="E288" s="37">
        <v>9.2799997329711914</v>
      </c>
      <c r="F288" s="37">
        <v>1.6000000238418579</v>
      </c>
      <c r="G288" s="37">
        <v>5.4600000381469727</v>
      </c>
      <c r="H288" s="37">
        <v>10.010000228881836</v>
      </c>
      <c r="I288" s="37">
        <v>5.8400001525878906</v>
      </c>
      <c r="J288" s="37">
        <v>10.689999580383301</v>
      </c>
      <c r="K288" s="37">
        <v>52.259998321533203</v>
      </c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</row>
    <row r="289" spans="1:24" ht="14.25" customHeight="1">
      <c r="A289" s="36">
        <v>70904</v>
      </c>
      <c r="B289" s="36" t="s">
        <v>308</v>
      </c>
      <c r="C289" s="37">
        <v>11.050000190734863</v>
      </c>
      <c r="D289" s="37">
        <v>2.2200000286102295</v>
      </c>
      <c r="E289" s="37">
        <v>10.649999618530273</v>
      </c>
      <c r="F289" s="37">
        <v>0.94999998807907104</v>
      </c>
      <c r="G289" s="37">
        <v>3.7000000476837158</v>
      </c>
      <c r="H289" s="37">
        <v>9.5799999237060547</v>
      </c>
      <c r="I289" s="37">
        <v>6.9600000381469727</v>
      </c>
      <c r="J289" s="37">
        <v>8.1999998092651367</v>
      </c>
      <c r="K289" s="37">
        <v>23.760000228881836</v>
      </c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</row>
    <row r="290" spans="1:24" ht="14.25" customHeight="1">
      <c r="A290" s="36">
        <v>71001</v>
      </c>
      <c r="B290" s="36" t="s">
        <v>309</v>
      </c>
      <c r="C290" s="37">
        <v>7.7199997901916504</v>
      </c>
      <c r="D290" s="37">
        <v>0.99000000953674316</v>
      </c>
      <c r="E290" s="37">
        <v>4.7899999618530273</v>
      </c>
      <c r="F290" s="37">
        <v>0.54000002145767212</v>
      </c>
      <c r="G290" s="37">
        <v>4.679999828338623</v>
      </c>
      <c r="H290" s="37">
        <v>8.4799995422363281</v>
      </c>
      <c r="I290" s="37">
        <v>4.7699999809265137</v>
      </c>
      <c r="J290" s="37">
        <v>0.69999998807907104</v>
      </c>
      <c r="K290" s="37">
        <v>57.939998626708984</v>
      </c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</row>
    <row r="291" spans="1:24" ht="14.25" customHeight="1">
      <c r="A291" s="36">
        <v>71002</v>
      </c>
      <c r="B291" s="36" t="s">
        <v>310</v>
      </c>
      <c r="C291" s="37">
        <v>13.510000228881836</v>
      </c>
      <c r="D291" s="37">
        <v>1.4800000190734863</v>
      </c>
      <c r="E291" s="37">
        <v>10.449999809265137</v>
      </c>
      <c r="F291" s="37">
        <v>1.2100000381469727</v>
      </c>
      <c r="G291" s="37">
        <v>8.2100000381469727</v>
      </c>
      <c r="H291" s="37">
        <v>14.340000152587891</v>
      </c>
      <c r="I291" s="37">
        <v>3.7300000190734863</v>
      </c>
      <c r="J291" s="37">
        <v>4.2100000381469727</v>
      </c>
      <c r="K291" s="37">
        <v>48.310001373291016</v>
      </c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</row>
    <row r="292" spans="1:24" ht="14.25" customHeight="1">
      <c r="A292" s="36">
        <v>71003</v>
      </c>
      <c r="B292" s="36" t="s">
        <v>311</v>
      </c>
      <c r="C292" s="37">
        <v>10.25</v>
      </c>
      <c r="D292" s="37">
        <v>1.4700000286102295</v>
      </c>
      <c r="E292" s="37">
        <v>8.3999996185302734</v>
      </c>
      <c r="F292" s="37">
        <v>0.63999998569488525</v>
      </c>
      <c r="G292" s="37">
        <v>6.059999942779541</v>
      </c>
      <c r="H292" s="37">
        <v>11.590000152587891</v>
      </c>
      <c r="I292" s="37">
        <v>2.2999999523162842</v>
      </c>
      <c r="J292" s="37">
        <v>2.3399999141693115</v>
      </c>
      <c r="K292" s="37">
        <v>46.630001068115234</v>
      </c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</row>
    <row r="293" spans="1:24" ht="14.25" customHeight="1">
      <c r="A293" s="36">
        <v>71004</v>
      </c>
      <c r="B293" s="36" t="s">
        <v>312</v>
      </c>
      <c r="C293" s="37">
        <v>14.850000381469727</v>
      </c>
      <c r="D293" s="37">
        <v>1.1499999761581421</v>
      </c>
      <c r="E293" s="37">
        <v>6.4600000381469727</v>
      </c>
      <c r="F293" s="37">
        <v>0.79000002145767212</v>
      </c>
      <c r="G293" s="37">
        <v>5.570000171661377</v>
      </c>
      <c r="H293" s="37">
        <v>13.310000419616699</v>
      </c>
      <c r="I293" s="37">
        <v>3.559999942779541</v>
      </c>
      <c r="J293" s="37">
        <v>5.7800002098083496</v>
      </c>
      <c r="K293" s="37">
        <v>55.330001831054688</v>
      </c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</row>
    <row r="294" spans="1:24" ht="14.25" customHeight="1">
      <c r="A294" s="36">
        <v>71005</v>
      </c>
      <c r="B294" s="36" t="s">
        <v>238</v>
      </c>
      <c r="C294" s="37">
        <v>11.850000381469727</v>
      </c>
      <c r="D294" s="37">
        <v>1.6299999952316284</v>
      </c>
      <c r="E294" s="37">
        <v>6.2199997901916504</v>
      </c>
      <c r="F294" s="37">
        <v>0.60000002384185791</v>
      </c>
      <c r="G294" s="37">
        <v>5.2199997901916504</v>
      </c>
      <c r="H294" s="37">
        <v>10.75</v>
      </c>
      <c r="I294" s="37">
        <v>4.070000171661377</v>
      </c>
      <c r="J294" s="37">
        <v>4.25</v>
      </c>
      <c r="K294" s="37">
        <v>53.439998626708984</v>
      </c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</row>
    <row r="295" spans="1:24" ht="14.25" customHeight="1">
      <c r="A295" s="36">
        <v>71101</v>
      </c>
      <c r="B295" s="36" t="s">
        <v>313</v>
      </c>
      <c r="C295" s="37">
        <v>11.159999847412109</v>
      </c>
      <c r="D295" s="37">
        <v>1.8200000524520874</v>
      </c>
      <c r="E295" s="37">
        <v>15.350000381469727</v>
      </c>
      <c r="F295" s="37">
        <v>3.7200000286102295</v>
      </c>
      <c r="G295" s="37">
        <v>7.3400001525878906</v>
      </c>
      <c r="H295" s="37">
        <v>14.600000381469727</v>
      </c>
      <c r="I295" s="37">
        <v>20.090000152587891</v>
      </c>
      <c r="J295" s="37">
        <v>17.709999084472656</v>
      </c>
      <c r="K295" s="37">
        <v>48.869998931884766</v>
      </c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</row>
    <row r="296" spans="1:24" ht="14.25" customHeight="1">
      <c r="A296" s="36">
        <v>71102</v>
      </c>
      <c r="B296" s="36" t="s">
        <v>314</v>
      </c>
      <c r="C296" s="37">
        <v>12.430000305175781</v>
      </c>
      <c r="D296" s="37">
        <v>2.6600000858306885</v>
      </c>
      <c r="E296" s="37">
        <v>13.890000343322754</v>
      </c>
      <c r="F296" s="37">
        <v>2.7000000476837158</v>
      </c>
      <c r="G296" s="37">
        <v>6.6500000953674316</v>
      </c>
      <c r="H296" s="37">
        <v>13.510000228881836</v>
      </c>
      <c r="I296" s="37">
        <v>10.159999847412109</v>
      </c>
      <c r="J296" s="37">
        <v>5.9499998092651367</v>
      </c>
      <c r="K296" s="37">
        <v>55.430000305175781</v>
      </c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</row>
    <row r="297" spans="1:24" ht="14.25" customHeight="1">
      <c r="A297" s="36">
        <v>71103</v>
      </c>
      <c r="B297" s="36" t="s">
        <v>315</v>
      </c>
      <c r="C297" s="37">
        <v>9.6700000762939453</v>
      </c>
      <c r="D297" s="37">
        <v>1.9800000190734863</v>
      </c>
      <c r="E297" s="37">
        <v>12.329999923706055</v>
      </c>
      <c r="F297" s="37">
        <v>1.6100000143051147</v>
      </c>
      <c r="G297" s="37">
        <v>7.130000114440918</v>
      </c>
      <c r="H297" s="37">
        <v>12.569999694824219</v>
      </c>
      <c r="I297" s="37">
        <v>3.8599998950958252</v>
      </c>
      <c r="J297" s="37">
        <v>7.4899997711181641</v>
      </c>
      <c r="K297" s="37">
        <v>80.44000244140625</v>
      </c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</row>
    <row r="298" spans="1:24" ht="14.25" customHeight="1">
      <c r="A298" s="36">
        <v>71104</v>
      </c>
      <c r="B298" s="36" t="s">
        <v>316</v>
      </c>
      <c r="C298" s="37">
        <v>11.890000343322754</v>
      </c>
      <c r="D298" s="37">
        <v>1.1399999856948853</v>
      </c>
      <c r="E298" s="37">
        <v>9.1499996185302734</v>
      </c>
      <c r="F298" s="37">
        <v>0.94999998807907104</v>
      </c>
      <c r="G298" s="37">
        <v>4.929999828338623</v>
      </c>
      <c r="H298" s="37">
        <v>11.710000038146973</v>
      </c>
      <c r="I298" s="37">
        <v>3.3299999237060547</v>
      </c>
      <c r="J298" s="37">
        <v>6.9899997711181641</v>
      </c>
      <c r="K298" s="37">
        <v>55.939998626708984</v>
      </c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</row>
    <row r="299" spans="1:24" ht="14.25" customHeight="1">
      <c r="A299" s="36">
        <v>71105</v>
      </c>
      <c r="B299" s="36" t="s">
        <v>317</v>
      </c>
      <c r="C299" s="37">
        <v>15.329999923706055</v>
      </c>
      <c r="D299" s="37">
        <v>0.87000000476837158</v>
      </c>
      <c r="E299" s="37">
        <v>17.770000457763672</v>
      </c>
      <c r="F299" s="37">
        <v>6.7199997901916504</v>
      </c>
      <c r="G299" s="37">
        <v>9.6899995803833008</v>
      </c>
      <c r="H299" s="37">
        <v>15.300000190734863</v>
      </c>
      <c r="I299" s="37">
        <v>5.2600002288818359</v>
      </c>
      <c r="J299" s="37">
        <v>4.3299999237060547</v>
      </c>
      <c r="K299" s="37">
        <v>6.309999942779541</v>
      </c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</row>
    <row r="300" spans="1:24" ht="14.25" customHeight="1">
      <c r="A300" s="36">
        <v>71106</v>
      </c>
      <c r="B300" s="36" t="s">
        <v>318</v>
      </c>
      <c r="C300" s="37">
        <v>9.6400003433227539</v>
      </c>
      <c r="D300" s="37">
        <v>2.9000000953674316</v>
      </c>
      <c r="E300" s="37">
        <v>19.129999160766602</v>
      </c>
      <c r="F300" s="37">
        <v>2.5199999809265137</v>
      </c>
      <c r="G300" s="37">
        <v>4.6700000762939453</v>
      </c>
      <c r="H300" s="37">
        <v>21.020000457763672</v>
      </c>
      <c r="I300" s="37">
        <v>3.0699999332427979</v>
      </c>
      <c r="J300" s="37">
        <v>3.7599999904632568</v>
      </c>
      <c r="K300" s="37">
        <v>24.690000534057617</v>
      </c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</row>
    <row r="301" spans="1:24" ht="14.25" customHeight="1">
      <c r="A301" s="36">
        <v>71201</v>
      </c>
      <c r="B301" s="36" t="s">
        <v>319</v>
      </c>
      <c r="C301" s="37">
        <v>6.2800002098083496</v>
      </c>
      <c r="D301" s="37">
        <v>5.8299999237060547</v>
      </c>
      <c r="E301" s="37">
        <v>16.299999237060547</v>
      </c>
      <c r="F301" s="37">
        <v>3.6099998950958252</v>
      </c>
      <c r="G301" s="37">
        <v>7.5799999237060547</v>
      </c>
      <c r="H301" s="37">
        <v>14.479999542236328</v>
      </c>
      <c r="I301" s="37">
        <v>23.200000762939453</v>
      </c>
      <c r="J301" s="37">
        <v>7.2600002288818359</v>
      </c>
      <c r="K301" s="37">
        <v>50.209999084472656</v>
      </c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</row>
    <row r="302" spans="1:24" ht="14.25" customHeight="1">
      <c r="A302" s="36">
        <v>71301</v>
      </c>
      <c r="B302" s="36" t="s">
        <v>320</v>
      </c>
      <c r="C302" s="37">
        <v>12.689999580383301</v>
      </c>
      <c r="D302" s="37">
        <v>0.46000000834465027</v>
      </c>
      <c r="E302" s="37">
        <v>5.940000057220459</v>
      </c>
      <c r="F302" s="37">
        <v>1.2899999618530273</v>
      </c>
      <c r="G302" s="37">
        <v>5.4099998474121094</v>
      </c>
      <c r="H302" s="37">
        <v>8.0200004577636719</v>
      </c>
      <c r="I302" s="37">
        <v>20.940000534057617</v>
      </c>
      <c r="J302" s="37">
        <v>6.5</v>
      </c>
      <c r="K302" s="37">
        <v>27.639999389648438</v>
      </c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</row>
    <row r="303" spans="1:24" ht="14.25" customHeight="1">
      <c r="A303" s="36">
        <v>71302</v>
      </c>
      <c r="B303" s="36" t="s">
        <v>321</v>
      </c>
      <c r="C303" s="37">
        <v>12.239999771118164</v>
      </c>
      <c r="D303" s="37">
        <v>0.40000000596046448</v>
      </c>
      <c r="E303" s="37">
        <v>5.570000171661377</v>
      </c>
      <c r="F303" s="37">
        <v>1.1799999475479126</v>
      </c>
      <c r="G303" s="37">
        <v>3.8499999046325684</v>
      </c>
      <c r="H303" s="37">
        <v>11.770000457763672</v>
      </c>
      <c r="I303" s="37">
        <v>8.5600004196166992</v>
      </c>
      <c r="J303" s="37">
        <v>4.429999828338623</v>
      </c>
      <c r="K303" s="37">
        <v>45.599998474121094</v>
      </c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</row>
    <row r="304" spans="1:24" ht="14.25" customHeight="1">
      <c r="A304" s="36">
        <v>71401</v>
      </c>
      <c r="B304" s="36" t="s">
        <v>322</v>
      </c>
      <c r="C304" s="37">
        <v>4.1399998664855957</v>
      </c>
      <c r="D304" s="37">
        <v>1.4600000381469727</v>
      </c>
      <c r="E304" s="37">
        <v>10.359999656677246</v>
      </c>
      <c r="F304" s="37">
        <v>0.72000002861022949</v>
      </c>
      <c r="G304" s="37">
        <v>4.6599998474121094</v>
      </c>
      <c r="H304" s="37">
        <v>10.239999771118164</v>
      </c>
      <c r="I304" s="37">
        <v>3.7100000381469727</v>
      </c>
      <c r="J304" s="37">
        <v>4.880000114440918</v>
      </c>
      <c r="K304" s="37">
        <v>63.229999542236328</v>
      </c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</row>
    <row r="305" spans="1:24" ht="14.25" customHeight="1">
      <c r="A305" s="36">
        <v>71402</v>
      </c>
      <c r="B305" s="36" t="s">
        <v>323</v>
      </c>
      <c r="C305" s="37">
        <v>3.9300000667572021</v>
      </c>
      <c r="D305" s="37">
        <v>4.0999999046325684</v>
      </c>
      <c r="E305" s="37">
        <v>6.5900001525878906</v>
      </c>
      <c r="F305" s="37">
        <v>0.72000002861022949</v>
      </c>
      <c r="G305" s="37">
        <v>6.0799999237060547</v>
      </c>
      <c r="H305" s="37">
        <v>9.3199996948242188</v>
      </c>
      <c r="I305" s="37">
        <v>2.8299999237060547</v>
      </c>
      <c r="J305" s="37">
        <v>1.5700000524520874</v>
      </c>
      <c r="K305" s="37">
        <v>85.80999755859375</v>
      </c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</row>
    <row r="306" spans="1:24" ht="14.25" customHeight="1">
      <c r="A306" s="36">
        <v>71403</v>
      </c>
      <c r="B306" s="36" t="s">
        <v>324</v>
      </c>
      <c r="C306" s="37">
        <v>4.9000000953674316</v>
      </c>
      <c r="D306" s="37">
        <v>3.809999942779541</v>
      </c>
      <c r="E306" s="37">
        <v>28.700000762939453</v>
      </c>
      <c r="F306" s="37">
        <v>4.619999885559082</v>
      </c>
      <c r="G306" s="37">
        <v>5.3499999046325684</v>
      </c>
      <c r="H306" s="37">
        <v>17.680000305175781</v>
      </c>
      <c r="I306" s="37">
        <v>9.7600002288818359</v>
      </c>
      <c r="J306" s="37">
        <v>15.430000305175781</v>
      </c>
      <c r="K306" s="37">
        <v>22.579999923706055</v>
      </c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</row>
    <row r="307" spans="1:24" ht="14.25" customHeight="1">
      <c r="A307" s="36">
        <v>71501</v>
      </c>
      <c r="B307" s="36" t="s">
        <v>325</v>
      </c>
      <c r="C307" s="37">
        <v>8.7299995422363281</v>
      </c>
      <c r="D307" s="37">
        <v>1.8999999761581421</v>
      </c>
      <c r="E307" s="37">
        <v>14.359999656677246</v>
      </c>
      <c r="F307" s="37">
        <v>1.7100000381469727</v>
      </c>
      <c r="G307" s="37">
        <v>7.4499998092651367</v>
      </c>
      <c r="H307" s="37">
        <v>16.030000686645508</v>
      </c>
      <c r="I307" s="37">
        <v>25.239999771118164</v>
      </c>
      <c r="J307" s="37">
        <v>15.979999542236328</v>
      </c>
      <c r="K307" s="37">
        <v>70.680000305175781</v>
      </c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</row>
    <row r="308" spans="1:24" ht="14.25" customHeight="1">
      <c r="A308" s="36">
        <v>71502</v>
      </c>
      <c r="B308" s="36" t="s">
        <v>326</v>
      </c>
      <c r="C308" s="37">
        <v>7.070000171661377</v>
      </c>
      <c r="D308" s="37">
        <v>1.2400000095367432</v>
      </c>
      <c r="E308" s="37">
        <v>16.700000762939453</v>
      </c>
      <c r="F308" s="37">
        <v>2.2100000381469727</v>
      </c>
      <c r="G308" s="37">
        <v>7.4800000190734863</v>
      </c>
      <c r="H308" s="37">
        <v>16.040000915527344</v>
      </c>
      <c r="I308" s="37">
        <v>17.350000381469727</v>
      </c>
      <c r="J308" s="37">
        <v>12.180000305175781</v>
      </c>
      <c r="K308" s="37">
        <v>45.279998779296875</v>
      </c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</row>
    <row r="309" spans="1:24" ht="14.25" customHeight="1">
      <c r="A309" s="36">
        <v>71503</v>
      </c>
      <c r="B309" s="36" t="s">
        <v>272</v>
      </c>
      <c r="C309" s="37">
        <v>11.859999656677246</v>
      </c>
      <c r="D309" s="37">
        <v>1.6599999666213989</v>
      </c>
      <c r="E309" s="37">
        <v>17.620000839233398</v>
      </c>
      <c r="F309" s="37">
        <v>1.9299999475479126</v>
      </c>
      <c r="G309" s="37">
        <v>5.380000114440918</v>
      </c>
      <c r="H309" s="37">
        <v>14.039999961853027</v>
      </c>
      <c r="I309" s="37">
        <v>14.460000038146973</v>
      </c>
      <c r="J309" s="37">
        <v>25.409999847412109</v>
      </c>
      <c r="K309" s="37">
        <v>34.770000457763672</v>
      </c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</row>
    <row r="310" spans="1:24" ht="14.25" customHeight="1">
      <c r="A310" s="36">
        <v>80101</v>
      </c>
      <c r="B310" s="36" t="s">
        <v>327</v>
      </c>
      <c r="C310" s="37">
        <v>4.679999828338623</v>
      </c>
      <c r="D310" s="37">
        <v>0.62000000476837158</v>
      </c>
      <c r="E310" s="37">
        <v>5.7199997901916504</v>
      </c>
      <c r="F310" s="37">
        <v>1.0700000524520874</v>
      </c>
      <c r="G310" s="37">
        <v>6.2699999809265137</v>
      </c>
      <c r="H310" s="37">
        <v>7.0799999237060547</v>
      </c>
      <c r="I310" s="37">
        <v>41.25</v>
      </c>
      <c r="J310" s="37">
        <v>1.7400000095367432</v>
      </c>
      <c r="K310" s="37">
        <v>67.970001220703125</v>
      </c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</row>
    <row r="311" spans="1:24" ht="14.25" customHeight="1">
      <c r="A311" s="36">
        <v>80102</v>
      </c>
      <c r="B311" s="36" t="s">
        <v>314</v>
      </c>
      <c r="C311" s="37">
        <v>6.9800000190734863</v>
      </c>
      <c r="D311" s="37">
        <v>1.190000057220459</v>
      </c>
      <c r="E311" s="37">
        <v>43.139999389648438</v>
      </c>
      <c r="F311" s="37">
        <v>8.1800003051757813</v>
      </c>
      <c r="G311" s="37">
        <v>6.4800000190734863</v>
      </c>
      <c r="H311" s="37">
        <v>25.909999847412109</v>
      </c>
      <c r="I311" s="37">
        <v>21.229999542236328</v>
      </c>
      <c r="J311" s="37">
        <v>28.989999771118164</v>
      </c>
      <c r="K311" s="37">
        <v>14.199999809265137</v>
      </c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</row>
    <row r="312" spans="1:24" ht="14.25" customHeight="1">
      <c r="A312" s="36">
        <v>80201</v>
      </c>
      <c r="B312" s="36" t="s">
        <v>328</v>
      </c>
      <c r="C312" s="37">
        <v>5.8499999046325684</v>
      </c>
      <c r="D312" s="37">
        <v>0.74000000953674316</v>
      </c>
      <c r="E312" s="37">
        <v>10.779999732971191</v>
      </c>
      <c r="F312" s="37">
        <v>1.6100000143051147</v>
      </c>
      <c r="G312" s="37">
        <v>9.4099998474121094</v>
      </c>
      <c r="H312" s="37">
        <v>11.880000114440918</v>
      </c>
      <c r="I312" s="37">
        <v>75.180000305175781</v>
      </c>
      <c r="J312" s="37">
        <v>8.4399995803833008</v>
      </c>
      <c r="K312" s="37">
        <v>66.580001831054688</v>
      </c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</row>
    <row r="313" spans="1:24" ht="14.25" customHeight="1">
      <c r="A313" s="36">
        <v>80202</v>
      </c>
      <c r="B313" s="36" t="s">
        <v>329</v>
      </c>
      <c r="C313" s="37">
        <v>5.6500000953674316</v>
      </c>
      <c r="D313" s="37">
        <v>1.8799999952316284</v>
      </c>
      <c r="E313" s="37">
        <v>13.069999694824219</v>
      </c>
      <c r="F313" s="37">
        <v>0.93000000715255737</v>
      </c>
      <c r="G313" s="37">
        <v>7.7699999809265137</v>
      </c>
      <c r="H313" s="37">
        <v>9.9700002670288086</v>
      </c>
      <c r="I313" s="37">
        <v>17.120000839233398</v>
      </c>
      <c r="J313" s="37">
        <v>5.9099998474121094</v>
      </c>
      <c r="K313" s="37">
        <v>54.360000610351563</v>
      </c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</row>
    <row r="314" spans="1:24" ht="14.25" customHeight="1">
      <c r="A314" s="36">
        <v>80301</v>
      </c>
      <c r="B314" s="36" t="s">
        <v>330</v>
      </c>
      <c r="C314" s="37">
        <v>6.619999885559082</v>
      </c>
      <c r="D314" s="37">
        <v>0.85000002384185791</v>
      </c>
      <c r="E314" s="37">
        <v>13.689999580383301</v>
      </c>
      <c r="F314" s="37">
        <v>6.0300002098083496</v>
      </c>
      <c r="G314" s="37">
        <v>7.190000057220459</v>
      </c>
      <c r="H314" s="37">
        <v>11.869999885559082</v>
      </c>
      <c r="I314" s="37">
        <v>63.020000457763672</v>
      </c>
      <c r="J314" s="37">
        <v>17.639999389648438</v>
      </c>
      <c r="K314" s="37">
        <v>56.729999542236328</v>
      </c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</row>
    <row r="315" spans="1:24" ht="14.25" customHeight="1">
      <c r="A315" s="36">
        <v>80302</v>
      </c>
      <c r="B315" s="36" t="s">
        <v>331</v>
      </c>
      <c r="C315" s="37">
        <v>17.75</v>
      </c>
      <c r="D315" s="37">
        <v>2.6400001049041748</v>
      </c>
      <c r="E315" s="37">
        <v>26.479999542236328</v>
      </c>
      <c r="F315" s="37">
        <v>16.940000534057617</v>
      </c>
      <c r="G315" s="37">
        <v>7.619999885559082</v>
      </c>
      <c r="H315" s="37">
        <v>16.629999160766602</v>
      </c>
      <c r="I315" s="37">
        <v>39.279998779296875</v>
      </c>
      <c r="J315" s="37">
        <v>31.680000305175781</v>
      </c>
      <c r="K315" s="37">
        <v>61.799999237060547</v>
      </c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</row>
    <row r="316" spans="1:24" ht="14.25" customHeight="1">
      <c r="A316" s="36">
        <v>80303</v>
      </c>
      <c r="B316" s="36" t="s">
        <v>291</v>
      </c>
      <c r="C316" s="37">
        <v>8.130000114440918</v>
      </c>
      <c r="D316" s="37">
        <v>1.6499999761581421</v>
      </c>
      <c r="E316" s="37">
        <v>12.439999580383301</v>
      </c>
      <c r="F316" s="37">
        <v>5.9499998092651367</v>
      </c>
      <c r="G316" s="37">
        <v>9.9200000762939453</v>
      </c>
      <c r="H316" s="37">
        <v>13.229999542236328</v>
      </c>
      <c r="I316" s="37">
        <v>15.970000267028809</v>
      </c>
      <c r="J316" s="37">
        <v>14.449999809265137</v>
      </c>
      <c r="K316" s="37">
        <v>45.939998626708984</v>
      </c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</row>
    <row r="317" spans="1:24" ht="14.25" customHeight="1">
      <c r="A317" s="36">
        <v>80304</v>
      </c>
      <c r="B317" s="36" t="s">
        <v>332</v>
      </c>
      <c r="C317" s="37">
        <v>7.5199999809265137</v>
      </c>
      <c r="D317" s="37">
        <v>0.9100000262260437</v>
      </c>
      <c r="E317" s="37">
        <v>12.949999809265137</v>
      </c>
      <c r="F317" s="37">
        <v>6.070000171661377</v>
      </c>
      <c r="G317" s="37">
        <v>5.9000000953674316</v>
      </c>
      <c r="H317" s="37">
        <v>9.9399995803833008</v>
      </c>
      <c r="I317" s="37">
        <v>13.649999618530273</v>
      </c>
      <c r="J317" s="37">
        <v>15.869999885559082</v>
      </c>
      <c r="K317" s="37">
        <v>48.450000762939453</v>
      </c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</row>
    <row r="318" spans="1:24" ht="14.25" customHeight="1">
      <c r="A318" s="36">
        <v>80401</v>
      </c>
      <c r="B318" s="36" t="s">
        <v>333</v>
      </c>
      <c r="C318" s="37">
        <v>15.720000267028809</v>
      </c>
      <c r="D318" s="37">
        <v>4.9099998474121094</v>
      </c>
      <c r="E318" s="37">
        <v>17.010000228881836</v>
      </c>
      <c r="F318" s="37">
        <v>6.2199997901916504</v>
      </c>
      <c r="G318" s="37">
        <v>10.920000076293945</v>
      </c>
      <c r="H318" s="37">
        <v>19.260000228881836</v>
      </c>
      <c r="I318" s="37">
        <v>29.030000686645508</v>
      </c>
      <c r="J318" s="37">
        <v>12.729999542236328</v>
      </c>
      <c r="K318" s="37">
        <v>34.040000915527344</v>
      </c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</row>
    <row r="319" spans="1:24" ht="14.25" customHeight="1">
      <c r="A319" s="36">
        <v>80402</v>
      </c>
      <c r="B319" s="36" t="s">
        <v>334</v>
      </c>
      <c r="C319" s="37">
        <v>12.449999809265137</v>
      </c>
      <c r="D319" s="37">
        <v>3.6099998950958252</v>
      </c>
      <c r="E319" s="37">
        <v>22.110000610351563</v>
      </c>
      <c r="F319" s="37">
        <v>6.1599998474121094</v>
      </c>
      <c r="G319" s="37">
        <v>10.039999961853027</v>
      </c>
      <c r="H319" s="37">
        <v>28.290000915527344</v>
      </c>
      <c r="I319" s="37">
        <v>48.799999237060547</v>
      </c>
      <c r="J319" s="37">
        <v>16.530000686645508</v>
      </c>
      <c r="K319" s="37">
        <v>29.829999923706055</v>
      </c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</row>
    <row r="320" spans="1:24" ht="14.25" customHeight="1">
      <c r="A320" s="36">
        <v>80501</v>
      </c>
      <c r="B320" s="36" t="s">
        <v>280</v>
      </c>
      <c r="C320" s="37">
        <v>14.550000190734863</v>
      </c>
      <c r="D320" s="37">
        <v>0.92000001668930054</v>
      </c>
      <c r="E320" s="37">
        <v>15.850000381469727</v>
      </c>
      <c r="F320" s="37">
        <v>13.069999694824219</v>
      </c>
      <c r="G320" s="37">
        <v>9.9600000381469727</v>
      </c>
      <c r="H320" s="37">
        <v>12.970000267028809</v>
      </c>
      <c r="I320" s="37">
        <v>24.709999084472656</v>
      </c>
      <c r="J320" s="37">
        <v>15.539999961853027</v>
      </c>
      <c r="K320" s="37">
        <v>53.040000915527344</v>
      </c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</row>
    <row r="321" spans="1:24" ht="14.25" customHeight="1">
      <c r="A321" s="36">
        <v>80601</v>
      </c>
      <c r="B321" s="36" t="s">
        <v>335</v>
      </c>
      <c r="C321" s="37">
        <v>12.649999618530273</v>
      </c>
      <c r="D321" s="37">
        <v>1.1599999666213989</v>
      </c>
      <c r="E321" s="37">
        <v>20.229999542236328</v>
      </c>
      <c r="F321" s="37">
        <v>19.149999618530273</v>
      </c>
      <c r="G321" s="37">
        <v>11.189999580383301</v>
      </c>
      <c r="H321" s="37">
        <v>19.780000686645508</v>
      </c>
      <c r="I321" s="37">
        <v>39.659999847412109</v>
      </c>
      <c r="J321" s="37">
        <v>22.709999084472656</v>
      </c>
      <c r="K321" s="37">
        <v>11.720000267028809</v>
      </c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</row>
    <row r="322" spans="1:24" ht="14.25" customHeight="1">
      <c r="A322" s="36">
        <v>80602</v>
      </c>
      <c r="B322" s="36" t="s">
        <v>336</v>
      </c>
      <c r="C322" s="37">
        <v>8.2899999618530273</v>
      </c>
      <c r="D322" s="37">
        <v>0.80000001192092896</v>
      </c>
      <c r="E322" s="37">
        <v>18.860000610351563</v>
      </c>
      <c r="F322" s="37">
        <v>3.7000000476837158</v>
      </c>
      <c r="G322" s="37">
        <v>5.4699997901916504</v>
      </c>
      <c r="H322" s="37">
        <v>10.680000305175781</v>
      </c>
      <c r="I322" s="37">
        <v>15.989999771118164</v>
      </c>
      <c r="J322" s="37">
        <v>27.860000610351563</v>
      </c>
      <c r="K322" s="37">
        <v>35.020000457763672</v>
      </c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</row>
    <row r="323" spans="1:24" ht="14.25" customHeight="1">
      <c r="A323" s="36">
        <v>80701</v>
      </c>
      <c r="B323" s="36" t="s">
        <v>337</v>
      </c>
      <c r="C323" s="37">
        <v>6.2199997901916504</v>
      </c>
      <c r="D323" s="37">
        <v>2.7699999809265137</v>
      </c>
      <c r="E323" s="37">
        <v>18.389999389648438</v>
      </c>
      <c r="F323" s="37">
        <v>1.6599999666213989</v>
      </c>
      <c r="G323" s="37">
        <v>6.440000057220459</v>
      </c>
      <c r="H323" s="37">
        <v>14</v>
      </c>
      <c r="I323" s="37">
        <v>24.709999084472656</v>
      </c>
      <c r="J323" s="37">
        <v>9.7799997329711914</v>
      </c>
      <c r="K323" s="37">
        <v>60.799999237060547</v>
      </c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</row>
    <row r="324" spans="1:24" ht="14.25" customHeight="1">
      <c r="A324" s="36">
        <v>80702</v>
      </c>
      <c r="B324" s="36" t="s">
        <v>315</v>
      </c>
      <c r="C324" s="37">
        <v>9</v>
      </c>
      <c r="D324" s="37">
        <v>1.1100000143051147</v>
      </c>
      <c r="E324" s="37">
        <v>10.720000267028809</v>
      </c>
      <c r="F324" s="37">
        <v>1.7100000381469727</v>
      </c>
      <c r="G324" s="37">
        <v>8.3000001907348633</v>
      </c>
      <c r="H324" s="37">
        <v>15.619999885559082</v>
      </c>
      <c r="I324" s="37">
        <v>17.520000457763672</v>
      </c>
      <c r="J324" s="37">
        <v>9.4899997711181641</v>
      </c>
      <c r="K324" s="37">
        <v>65.410003662109375</v>
      </c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</row>
    <row r="325" spans="1:24" ht="14.25" customHeight="1">
      <c r="A325" s="36">
        <v>80703</v>
      </c>
      <c r="B325" s="36" t="s">
        <v>338</v>
      </c>
      <c r="C325" s="37">
        <v>5.119999885559082</v>
      </c>
      <c r="D325" s="37">
        <v>1.2100000381469727</v>
      </c>
      <c r="E325" s="37">
        <v>18.530000686645508</v>
      </c>
      <c r="F325" s="37">
        <v>4.4600000381469727</v>
      </c>
      <c r="G325" s="37">
        <v>11.5</v>
      </c>
      <c r="H325" s="37">
        <v>16.600000381469727</v>
      </c>
      <c r="I325" s="37">
        <v>29.379999160766602</v>
      </c>
      <c r="J325" s="37">
        <v>7.2300000190734863</v>
      </c>
      <c r="K325" s="37">
        <v>10.659999847412109</v>
      </c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</row>
    <row r="326" spans="1:24" ht="14.25" customHeight="1">
      <c r="A326" s="36">
        <v>80801</v>
      </c>
      <c r="B326" s="36" t="s">
        <v>339</v>
      </c>
      <c r="C326" s="37">
        <v>6.2300000190734863</v>
      </c>
      <c r="D326" s="37">
        <v>1.2400000095367432</v>
      </c>
      <c r="E326" s="37">
        <v>12.050000190734863</v>
      </c>
      <c r="F326" s="37">
        <v>2.0199999809265137</v>
      </c>
      <c r="G326" s="37">
        <v>7.0799999237060547</v>
      </c>
      <c r="H326" s="37">
        <v>12.340000152587891</v>
      </c>
      <c r="I326" s="37">
        <v>47.939998626708984</v>
      </c>
      <c r="J326" s="37">
        <v>4.559999942779541</v>
      </c>
      <c r="K326" s="37">
        <v>69.209999084472656</v>
      </c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</row>
    <row r="327" spans="1:24" ht="14.25" customHeight="1">
      <c r="A327" s="36">
        <v>80802</v>
      </c>
      <c r="B327" s="36" t="s">
        <v>340</v>
      </c>
      <c r="C327" s="37">
        <v>7.5300002098083496</v>
      </c>
      <c r="D327" s="37">
        <v>2.8900001049041748</v>
      </c>
      <c r="E327" s="37">
        <v>14.539999961853027</v>
      </c>
      <c r="F327" s="37">
        <v>1.7400000095367432</v>
      </c>
      <c r="G327" s="37">
        <v>6.7199997901916504</v>
      </c>
      <c r="H327" s="37">
        <v>11.180000305175781</v>
      </c>
      <c r="I327" s="37">
        <v>48.599998474121094</v>
      </c>
      <c r="J327" s="37">
        <v>14.630000114440918</v>
      </c>
      <c r="K327" s="37">
        <v>38.509998321533203</v>
      </c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</row>
    <row r="328" spans="1:24" ht="14.25" customHeight="1">
      <c r="A328" s="36">
        <v>80803</v>
      </c>
      <c r="B328" s="36" t="s">
        <v>341</v>
      </c>
      <c r="C328" s="37">
        <v>10.439999580383301</v>
      </c>
      <c r="D328" s="37">
        <v>2.2999999523162842</v>
      </c>
      <c r="E328" s="37">
        <v>10.199999809265137</v>
      </c>
      <c r="F328" s="37">
        <v>2.1400001049041748</v>
      </c>
      <c r="G328" s="37">
        <v>8.1899995803833008</v>
      </c>
      <c r="H328" s="37">
        <v>14.439999580383301</v>
      </c>
      <c r="I328" s="37">
        <v>40.580001831054688</v>
      </c>
      <c r="J328" s="37">
        <v>5.0500001907348633</v>
      </c>
      <c r="K328" s="37">
        <v>45.220001220703125</v>
      </c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</row>
    <row r="329" spans="1:24" ht="14.25" customHeight="1">
      <c r="A329" s="36">
        <v>80901</v>
      </c>
      <c r="B329" s="36" t="s">
        <v>342</v>
      </c>
      <c r="C329" s="37">
        <v>24.309999465942383</v>
      </c>
      <c r="D329" s="37">
        <v>3.4500000476837158</v>
      </c>
      <c r="E329" s="37">
        <v>31.270000457763672</v>
      </c>
      <c r="F329" s="37">
        <v>26.969999313354492</v>
      </c>
      <c r="G329" s="37">
        <v>10.5</v>
      </c>
      <c r="H329" s="37">
        <v>22.319999694824219</v>
      </c>
      <c r="I329" s="37">
        <v>46.590000152587891</v>
      </c>
      <c r="J329" s="37">
        <v>26.709999084472656</v>
      </c>
      <c r="K329" s="37">
        <v>24.75</v>
      </c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</row>
    <row r="330" spans="1:24" ht="14.25" customHeight="1">
      <c r="A330" s="36">
        <v>90101</v>
      </c>
      <c r="B330" s="36" t="s">
        <v>343</v>
      </c>
      <c r="C330" s="37">
        <v>3.119999885559082</v>
      </c>
      <c r="D330" s="37">
        <v>1.1299999952316284</v>
      </c>
      <c r="E330" s="37">
        <v>4.8499999046325684</v>
      </c>
      <c r="F330" s="37">
        <v>0.61000001430511475</v>
      </c>
      <c r="G330" s="37">
        <v>5.429999828338623</v>
      </c>
      <c r="H330" s="37">
        <v>5.1500000953674316</v>
      </c>
      <c r="I330" s="37">
        <v>19.75</v>
      </c>
      <c r="J330" s="37">
        <v>2.0699999332427979</v>
      </c>
      <c r="K330" s="37">
        <v>57.240001678466797</v>
      </c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</row>
    <row r="331" spans="1:24" ht="14.25" customHeight="1">
      <c r="A331" s="36">
        <v>90102</v>
      </c>
      <c r="B331" s="36" t="s">
        <v>344</v>
      </c>
      <c r="C331" s="37">
        <v>7.059999942779541</v>
      </c>
      <c r="D331" s="37">
        <v>1.7699999809265137</v>
      </c>
      <c r="E331" s="37">
        <v>14.770000457763672</v>
      </c>
      <c r="F331" s="37">
        <v>0.8399999737739563</v>
      </c>
      <c r="G331" s="37">
        <v>5.5</v>
      </c>
      <c r="H331" s="37">
        <v>8.869999885559082</v>
      </c>
      <c r="I331" s="37">
        <v>16.159999847412109</v>
      </c>
      <c r="J331" s="37">
        <v>7.619999885559082</v>
      </c>
      <c r="K331" s="37">
        <v>63.819999694824219</v>
      </c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</row>
    <row r="332" spans="1:24" ht="14.25" customHeight="1">
      <c r="A332" s="36">
        <v>90103</v>
      </c>
      <c r="B332" s="36" t="s">
        <v>345</v>
      </c>
      <c r="C332" s="37">
        <v>8.3400001525878906</v>
      </c>
      <c r="D332" s="37">
        <v>5.2899999618530273</v>
      </c>
      <c r="E332" s="37">
        <v>13.409999847412109</v>
      </c>
      <c r="F332" s="37">
        <v>1.3300000429153442</v>
      </c>
      <c r="G332" s="37">
        <v>6.2899999618530273</v>
      </c>
      <c r="H332" s="37">
        <v>8.25</v>
      </c>
      <c r="I332" s="37">
        <v>37.209999084472656</v>
      </c>
      <c r="J332" s="37">
        <v>28.360000610351563</v>
      </c>
      <c r="K332" s="37">
        <v>13.130000114440918</v>
      </c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</row>
    <row r="333" spans="1:24" ht="14.25" customHeight="1">
      <c r="A333" s="36">
        <v>90104</v>
      </c>
      <c r="B333" s="36" t="s">
        <v>346</v>
      </c>
      <c r="C333" s="37">
        <v>10.140000343322754</v>
      </c>
      <c r="D333" s="37">
        <v>8.119999885559082</v>
      </c>
      <c r="E333" s="37">
        <v>13.630000114440918</v>
      </c>
      <c r="F333" s="37">
        <v>2.0299999713897705</v>
      </c>
      <c r="G333" s="37">
        <v>7.2300000190734863</v>
      </c>
      <c r="H333" s="37">
        <v>11.930000305175781</v>
      </c>
      <c r="I333" s="37">
        <v>31.950000762939453</v>
      </c>
      <c r="J333" s="37">
        <v>21.950000762939453</v>
      </c>
      <c r="K333" s="37">
        <v>11.140000343322754</v>
      </c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</row>
    <row r="334" spans="1:24" ht="14.25" customHeight="1">
      <c r="A334" s="36">
        <v>90201</v>
      </c>
      <c r="B334" s="36" t="s">
        <v>347</v>
      </c>
      <c r="C334" s="37">
        <v>7.3899998664855957</v>
      </c>
      <c r="D334" s="37">
        <v>1.2200000286102295</v>
      </c>
      <c r="E334" s="37">
        <v>12</v>
      </c>
      <c r="F334" s="37">
        <v>3.2400000095367432</v>
      </c>
      <c r="G334" s="37">
        <v>12.350000381469727</v>
      </c>
      <c r="H334" s="37">
        <v>12.840000152587891</v>
      </c>
      <c r="I334" s="37">
        <v>30.790000915527344</v>
      </c>
      <c r="J334" s="37">
        <v>15.689999580383301</v>
      </c>
      <c r="K334" s="37">
        <v>44.720001220703125</v>
      </c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</row>
    <row r="335" spans="1:24" ht="14.25" customHeight="1">
      <c r="A335" s="36">
        <v>90202</v>
      </c>
      <c r="B335" s="36" t="s">
        <v>238</v>
      </c>
      <c r="C335" s="37">
        <v>8.0500001907348633</v>
      </c>
      <c r="D335" s="37">
        <v>2.2699999809265137</v>
      </c>
      <c r="E335" s="37">
        <v>36.150001525878906</v>
      </c>
      <c r="F335" s="37">
        <v>11.460000038146973</v>
      </c>
      <c r="G335" s="37">
        <v>11.859999656677246</v>
      </c>
      <c r="H335" s="37">
        <v>23.799999237060547</v>
      </c>
      <c r="I335" s="37">
        <v>78.480003356933594</v>
      </c>
      <c r="J335" s="37">
        <v>61.819999694824219</v>
      </c>
      <c r="K335" s="37">
        <v>5.6999998092651367</v>
      </c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</row>
    <row r="336" spans="1:24" ht="14.25" customHeight="1">
      <c r="A336" s="36">
        <v>90203</v>
      </c>
      <c r="B336" s="36" t="s">
        <v>348</v>
      </c>
      <c r="C336" s="37">
        <v>6.3899998664855957</v>
      </c>
      <c r="D336" s="37">
        <v>4.059999942779541</v>
      </c>
      <c r="E336" s="37">
        <v>11.710000038146973</v>
      </c>
      <c r="F336" s="37">
        <v>2.809999942779541</v>
      </c>
      <c r="G336" s="37">
        <v>10.060000419616699</v>
      </c>
      <c r="H336" s="37">
        <v>11.25</v>
      </c>
      <c r="I336" s="37">
        <v>42.060001373291016</v>
      </c>
      <c r="J336" s="37">
        <v>20.059999465942383</v>
      </c>
      <c r="K336" s="37">
        <v>8.6700000762939453</v>
      </c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</row>
    <row r="337" spans="1:24" ht="14.25" customHeight="1">
      <c r="A337" s="36">
        <v>90301</v>
      </c>
      <c r="B337" s="36" t="s">
        <v>349</v>
      </c>
      <c r="C337" s="37">
        <v>9.5500001907348633</v>
      </c>
      <c r="D337" s="37">
        <v>0.5</v>
      </c>
      <c r="E337" s="37">
        <v>24.590000152587891</v>
      </c>
      <c r="F337" s="37">
        <v>5.440000057220459</v>
      </c>
      <c r="G337" s="37">
        <v>6.309999942779541</v>
      </c>
      <c r="H337" s="37">
        <v>13.159999847412109</v>
      </c>
      <c r="I337" s="37">
        <v>58.840000152587891</v>
      </c>
      <c r="J337" s="37">
        <v>17.989999771118164</v>
      </c>
      <c r="K337" s="37">
        <v>29.420000076293945</v>
      </c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</row>
    <row r="338" spans="1:24" ht="14.25" customHeight="1">
      <c r="A338" s="36">
        <v>90302</v>
      </c>
      <c r="B338" s="36" t="s">
        <v>271</v>
      </c>
      <c r="C338" s="37">
        <v>6.9099998474121094</v>
      </c>
      <c r="D338" s="37">
        <v>0.40999999642372131</v>
      </c>
      <c r="E338" s="37">
        <v>16.290000915527344</v>
      </c>
      <c r="F338" s="37">
        <v>11.010000228881836</v>
      </c>
      <c r="G338" s="37">
        <v>10.800000190734863</v>
      </c>
      <c r="H338" s="37">
        <v>17.770000457763672</v>
      </c>
      <c r="I338" s="37">
        <v>62.650001525878906</v>
      </c>
      <c r="J338" s="37">
        <v>15.229999542236328</v>
      </c>
      <c r="K338" s="37">
        <v>5.25</v>
      </c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</row>
    <row r="339" spans="1:24" ht="14.25" customHeight="1">
      <c r="A339" s="36">
        <v>90303</v>
      </c>
      <c r="B339" s="36" t="s">
        <v>350</v>
      </c>
      <c r="C339" s="37">
        <v>5.1700000762939453</v>
      </c>
      <c r="D339" s="37">
        <v>0.88999998569488525</v>
      </c>
      <c r="E339" s="37">
        <v>17.079999923706055</v>
      </c>
      <c r="F339" s="37">
        <v>4.7600002288818359</v>
      </c>
      <c r="G339" s="37">
        <v>12.439999580383301</v>
      </c>
      <c r="H339" s="37">
        <v>16.579999923706055</v>
      </c>
      <c r="I339" s="37">
        <v>66.55999755859375</v>
      </c>
      <c r="J339" s="37">
        <v>32.939998626708984</v>
      </c>
      <c r="K339" s="37">
        <v>40.650001525878906</v>
      </c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</row>
    <row r="340" spans="1:24" ht="14.25" customHeight="1">
      <c r="A340" s="36">
        <v>90401</v>
      </c>
      <c r="B340" s="36" t="s">
        <v>291</v>
      </c>
      <c r="C340" s="37">
        <v>7.8000001907348633</v>
      </c>
      <c r="D340" s="37">
        <v>5.5399999618530273</v>
      </c>
      <c r="E340" s="37">
        <v>13.270000457763672</v>
      </c>
      <c r="F340" s="37">
        <v>1.4199999570846558</v>
      </c>
      <c r="G340" s="37">
        <v>7.8299999237060547</v>
      </c>
      <c r="H340" s="37">
        <v>12.739999771118164</v>
      </c>
      <c r="I340" s="37">
        <v>45.810001373291016</v>
      </c>
      <c r="J340" s="37">
        <v>13.369999885559082</v>
      </c>
      <c r="K340" s="37">
        <v>7.4600000381469727</v>
      </c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</row>
    <row r="341" spans="1:24" ht="14.25" customHeight="1">
      <c r="A341" s="36">
        <v>90402</v>
      </c>
      <c r="B341" s="36" t="s">
        <v>351</v>
      </c>
      <c r="C341" s="37">
        <v>6.6399998664855957</v>
      </c>
      <c r="D341" s="37">
        <v>3.0299999713897705</v>
      </c>
      <c r="E341" s="37">
        <v>16.739999771118164</v>
      </c>
      <c r="F341" s="37">
        <v>4.2899999618530273</v>
      </c>
      <c r="G341" s="37">
        <v>12.899999618530273</v>
      </c>
      <c r="H341" s="37">
        <v>21.530000686645508</v>
      </c>
      <c r="I341" s="37">
        <v>73.010002136230469</v>
      </c>
      <c r="J341" s="37">
        <v>33.790000915527344</v>
      </c>
      <c r="K341" s="37">
        <v>11.470000267028809</v>
      </c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</row>
    <row r="342" spans="1:24" ht="14.25" customHeight="1">
      <c r="A342" s="36">
        <v>90501</v>
      </c>
      <c r="B342" s="36" t="s">
        <v>352</v>
      </c>
      <c r="C342" s="37">
        <v>7.9200000762939453</v>
      </c>
      <c r="D342" s="37">
        <v>1.1499999761581421</v>
      </c>
      <c r="E342" s="37">
        <v>18.549999237060547</v>
      </c>
      <c r="F342" s="37">
        <v>3.5</v>
      </c>
      <c r="G342" s="37">
        <v>6.809999942779541</v>
      </c>
      <c r="H342" s="37">
        <v>9.1599998474121094</v>
      </c>
      <c r="I342" s="37">
        <v>74.680000305175781</v>
      </c>
      <c r="J342" s="37">
        <v>28.120000839233398</v>
      </c>
      <c r="K342" s="37">
        <v>5.4699997901916504</v>
      </c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</row>
    <row r="343" spans="1:24" ht="14.25" customHeight="1">
      <c r="A343" s="36">
        <v>90502</v>
      </c>
      <c r="B343" s="36" t="s">
        <v>353</v>
      </c>
      <c r="C343" s="37">
        <v>5.0399999618530273</v>
      </c>
      <c r="D343" s="37">
        <v>0.88999998569488525</v>
      </c>
      <c r="E343" s="37">
        <v>21.139999389648438</v>
      </c>
      <c r="F343" s="37">
        <v>6.429999828338623</v>
      </c>
      <c r="G343" s="37">
        <v>12.640000343322754</v>
      </c>
      <c r="H343" s="37">
        <v>14.329999923706055</v>
      </c>
      <c r="I343" s="37">
        <v>63.259998321533203</v>
      </c>
      <c r="J343" s="37">
        <v>28.090000152587891</v>
      </c>
      <c r="K343" s="37">
        <v>3.2599999904632568</v>
      </c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</row>
    <row r="344" spans="1:24" ht="14.25" customHeight="1">
      <c r="A344" s="36">
        <v>90503</v>
      </c>
      <c r="B344" s="36" t="s">
        <v>354</v>
      </c>
      <c r="C344" s="37">
        <v>7.4000000953674316</v>
      </c>
      <c r="D344" s="37">
        <v>1.7599999904632568</v>
      </c>
      <c r="E344" s="37">
        <v>22.440000534057617</v>
      </c>
      <c r="F344" s="37">
        <v>4.3499999046325684</v>
      </c>
      <c r="G344" s="37">
        <v>10.609999656677246</v>
      </c>
      <c r="H344" s="37">
        <v>15</v>
      </c>
      <c r="I344" s="37">
        <v>73.839996337890625</v>
      </c>
      <c r="J344" s="37">
        <v>29.969999313354492</v>
      </c>
      <c r="K344" s="37">
        <v>6.570000171661377</v>
      </c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</row>
    <row r="345" spans="1:24" ht="14.25" customHeight="1">
      <c r="A345" s="17"/>
      <c r="B345" s="17"/>
      <c r="C345" s="41"/>
      <c r="D345" s="41"/>
      <c r="E345" s="41"/>
      <c r="F345" s="41"/>
      <c r="G345" s="41"/>
      <c r="H345" s="41"/>
      <c r="I345" s="41"/>
      <c r="J345" s="41"/>
      <c r="K345" s="41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</row>
    <row r="346" spans="1:24" ht="14.25" customHeight="1">
      <c r="A346" s="17"/>
      <c r="B346" s="17"/>
      <c r="C346" s="41"/>
      <c r="D346" s="41"/>
      <c r="E346" s="41"/>
      <c r="F346" s="41"/>
      <c r="G346" s="41"/>
      <c r="H346" s="41"/>
      <c r="I346" s="41"/>
      <c r="J346" s="41"/>
      <c r="K346" s="41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</row>
    <row r="347" spans="1:24" ht="14.25" customHeight="1">
      <c r="A347" s="17"/>
      <c r="B347" s="17"/>
      <c r="C347" s="41"/>
      <c r="D347" s="41"/>
      <c r="E347" s="41"/>
      <c r="F347" s="41"/>
      <c r="G347" s="41"/>
      <c r="H347" s="41"/>
      <c r="I347" s="41"/>
      <c r="J347" s="41"/>
      <c r="K347" s="41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</row>
    <row r="348" spans="1:24" ht="14.25" customHeight="1">
      <c r="A348" s="17"/>
      <c r="B348" s="17"/>
      <c r="C348" s="41"/>
      <c r="D348" s="41"/>
      <c r="E348" s="41"/>
      <c r="F348" s="41"/>
      <c r="G348" s="41"/>
      <c r="H348" s="41"/>
      <c r="I348" s="41"/>
      <c r="J348" s="41"/>
      <c r="K348" s="41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</row>
    <row r="349" spans="1:24" ht="14.25" customHeight="1">
      <c r="A349" s="17"/>
      <c r="B349" s="17"/>
      <c r="C349" s="41"/>
      <c r="D349" s="41"/>
      <c r="E349" s="41"/>
      <c r="F349" s="41"/>
      <c r="G349" s="41"/>
      <c r="H349" s="41"/>
      <c r="I349" s="41"/>
      <c r="J349" s="41"/>
      <c r="K349" s="41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</row>
    <row r="350" spans="1:24" ht="14.25" customHeight="1">
      <c r="A350" s="17"/>
      <c r="B350" s="17"/>
      <c r="C350" s="41"/>
      <c r="D350" s="41"/>
      <c r="E350" s="41"/>
      <c r="F350" s="41"/>
      <c r="G350" s="41"/>
      <c r="H350" s="41"/>
      <c r="I350" s="41"/>
      <c r="J350" s="41"/>
      <c r="K350" s="41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</row>
    <row r="351" spans="1:24" ht="14.25" customHeight="1">
      <c r="A351" s="17"/>
      <c r="B351" s="17"/>
      <c r="C351" s="41"/>
      <c r="D351" s="41"/>
      <c r="E351" s="41"/>
      <c r="F351" s="41"/>
      <c r="G351" s="41"/>
      <c r="H351" s="41"/>
      <c r="I351" s="41"/>
      <c r="J351" s="41"/>
      <c r="K351" s="41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</row>
    <row r="352" spans="1:24" ht="14.25" customHeight="1">
      <c r="A352" s="17"/>
      <c r="B352" s="17"/>
      <c r="C352" s="41"/>
      <c r="D352" s="41"/>
      <c r="E352" s="41"/>
      <c r="F352" s="41"/>
      <c r="G352" s="41"/>
      <c r="H352" s="41"/>
      <c r="I352" s="41"/>
      <c r="J352" s="41"/>
      <c r="K352" s="41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</row>
    <row r="353" spans="1:24" ht="14.25" customHeight="1">
      <c r="A353" s="17"/>
      <c r="B353" s="17"/>
      <c r="C353" s="41"/>
      <c r="D353" s="41"/>
      <c r="E353" s="41"/>
      <c r="F353" s="41"/>
      <c r="G353" s="41"/>
      <c r="H353" s="41"/>
      <c r="I353" s="41"/>
      <c r="J353" s="41"/>
      <c r="K353" s="41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</row>
    <row r="354" spans="1:24" ht="14.25" customHeight="1">
      <c r="A354" s="17"/>
      <c r="B354" s="17"/>
      <c r="C354" s="41"/>
      <c r="D354" s="41"/>
      <c r="E354" s="41"/>
      <c r="F354" s="41"/>
      <c r="G354" s="41"/>
      <c r="H354" s="41"/>
      <c r="I354" s="41"/>
      <c r="J354" s="41"/>
      <c r="K354" s="41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</row>
    <row r="355" spans="1:24" ht="14.25" customHeight="1">
      <c r="A355" s="17"/>
      <c r="B355" s="17"/>
      <c r="C355" s="41"/>
      <c r="D355" s="41"/>
      <c r="E355" s="41"/>
      <c r="F355" s="41"/>
      <c r="G355" s="41"/>
      <c r="H355" s="41"/>
      <c r="I355" s="41"/>
      <c r="J355" s="41"/>
      <c r="K355" s="41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</row>
    <row r="356" spans="1:24" ht="14.25" customHeight="1">
      <c r="A356" s="17"/>
      <c r="B356" s="17"/>
      <c r="C356" s="41"/>
      <c r="D356" s="41"/>
      <c r="E356" s="41"/>
      <c r="F356" s="41"/>
      <c r="G356" s="41"/>
      <c r="H356" s="41"/>
      <c r="I356" s="41"/>
      <c r="J356" s="41"/>
      <c r="K356" s="41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</row>
    <row r="357" spans="1:24" ht="14.25" customHeight="1">
      <c r="A357" s="17"/>
      <c r="B357" s="17"/>
      <c r="C357" s="41"/>
      <c r="D357" s="41"/>
      <c r="E357" s="41"/>
      <c r="F357" s="41"/>
      <c r="G357" s="41"/>
      <c r="H357" s="41"/>
      <c r="I357" s="41"/>
      <c r="J357" s="41"/>
      <c r="K357" s="41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</row>
    <row r="358" spans="1:24" ht="14.25" customHeight="1">
      <c r="A358" s="17"/>
      <c r="B358" s="17"/>
      <c r="C358" s="41"/>
      <c r="D358" s="41"/>
      <c r="E358" s="41"/>
      <c r="F358" s="41"/>
      <c r="G358" s="41"/>
      <c r="H358" s="41"/>
      <c r="I358" s="41"/>
      <c r="J358" s="41"/>
      <c r="K358" s="41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</row>
    <row r="359" spans="1:24" ht="14.25" customHeight="1">
      <c r="A359" s="17"/>
      <c r="B359" s="17"/>
      <c r="C359" s="41"/>
      <c r="D359" s="41"/>
      <c r="E359" s="41"/>
      <c r="F359" s="41"/>
      <c r="G359" s="41"/>
      <c r="H359" s="41"/>
      <c r="I359" s="41"/>
      <c r="J359" s="41"/>
      <c r="K359" s="41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</row>
    <row r="360" spans="1:24" ht="14.25" customHeight="1">
      <c r="A360" s="17"/>
      <c r="B360" s="17"/>
      <c r="C360" s="41"/>
      <c r="D360" s="41"/>
      <c r="E360" s="41"/>
      <c r="F360" s="41"/>
      <c r="G360" s="41"/>
      <c r="H360" s="41"/>
      <c r="I360" s="41"/>
      <c r="J360" s="41"/>
      <c r="K360" s="41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</row>
    <row r="361" spans="1:24" ht="14.25" customHeight="1">
      <c r="A361" s="17"/>
      <c r="B361" s="17"/>
      <c r="C361" s="41"/>
      <c r="D361" s="41"/>
      <c r="E361" s="41"/>
      <c r="F361" s="41"/>
      <c r="G361" s="41"/>
      <c r="H361" s="41"/>
      <c r="I361" s="41"/>
      <c r="J361" s="41"/>
      <c r="K361" s="41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</row>
    <row r="362" spans="1:24" ht="14.25" customHeight="1">
      <c r="A362" s="17"/>
      <c r="B362" s="17"/>
      <c r="C362" s="41"/>
      <c r="D362" s="41"/>
      <c r="E362" s="41"/>
      <c r="F362" s="41"/>
      <c r="G362" s="41"/>
      <c r="H362" s="41"/>
      <c r="I362" s="41"/>
      <c r="J362" s="41"/>
      <c r="K362" s="41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</row>
    <row r="363" spans="1:24" ht="14.25" customHeight="1">
      <c r="A363" s="17"/>
      <c r="B363" s="17"/>
      <c r="C363" s="41"/>
      <c r="D363" s="41"/>
      <c r="E363" s="41"/>
      <c r="F363" s="41"/>
      <c r="G363" s="41"/>
      <c r="H363" s="41"/>
      <c r="I363" s="41"/>
      <c r="J363" s="41"/>
      <c r="K363" s="41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</row>
    <row r="364" spans="1:24" ht="14.25" customHeight="1">
      <c r="A364" s="17"/>
      <c r="B364" s="17"/>
      <c r="C364" s="41"/>
      <c r="D364" s="41"/>
      <c r="E364" s="41"/>
      <c r="F364" s="41"/>
      <c r="G364" s="41"/>
      <c r="H364" s="41"/>
      <c r="I364" s="41"/>
      <c r="J364" s="41"/>
      <c r="K364" s="41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</row>
    <row r="365" spans="1:24" ht="14.25" customHeight="1">
      <c r="A365" s="17"/>
      <c r="B365" s="17"/>
      <c r="C365" s="41"/>
      <c r="D365" s="41"/>
      <c r="E365" s="41"/>
      <c r="F365" s="41"/>
      <c r="G365" s="41"/>
      <c r="H365" s="41"/>
      <c r="I365" s="41"/>
      <c r="J365" s="41"/>
      <c r="K365" s="41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</row>
    <row r="366" spans="1:24" ht="14.25" customHeight="1">
      <c r="A366" s="17"/>
      <c r="B366" s="17"/>
      <c r="C366" s="41"/>
      <c r="D366" s="41"/>
      <c r="E366" s="41"/>
      <c r="F366" s="41"/>
      <c r="G366" s="41"/>
      <c r="H366" s="41"/>
      <c r="I366" s="41"/>
      <c r="J366" s="41"/>
      <c r="K366" s="41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</row>
    <row r="367" spans="1:24" ht="14.25" customHeight="1">
      <c r="A367" s="17"/>
      <c r="B367" s="17"/>
      <c r="C367" s="41"/>
      <c r="D367" s="41"/>
      <c r="E367" s="41"/>
      <c r="F367" s="41"/>
      <c r="G367" s="41"/>
      <c r="H367" s="41"/>
      <c r="I367" s="41"/>
      <c r="J367" s="41"/>
      <c r="K367" s="41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</row>
    <row r="368" spans="1:24" ht="14.25" customHeight="1">
      <c r="A368" s="17"/>
      <c r="B368" s="17"/>
      <c r="C368" s="41"/>
      <c r="D368" s="41"/>
      <c r="E368" s="41"/>
      <c r="F368" s="41"/>
      <c r="G368" s="41"/>
      <c r="H368" s="41"/>
      <c r="I368" s="41"/>
      <c r="J368" s="41"/>
      <c r="K368" s="41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</row>
    <row r="369" spans="1:24" ht="14.25" customHeight="1">
      <c r="A369" s="17"/>
      <c r="B369" s="17"/>
      <c r="C369" s="41"/>
      <c r="D369" s="41"/>
      <c r="E369" s="41"/>
      <c r="F369" s="41"/>
      <c r="G369" s="41"/>
      <c r="H369" s="41"/>
      <c r="I369" s="41"/>
      <c r="J369" s="41"/>
      <c r="K369" s="41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</row>
    <row r="370" spans="1:24" ht="14.25" customHeight="1">
      <c r="A370" s="17"/>
      <c r="B370" s="17"/>
      <c r="C370" s="41"/>
      <c r="D370" s="41"/>
      <c r="E370" s="41"/>
      <c r="F370" s="41"/>
      <c r="G370" s="41"/>
      <c r="H370" s="41"/>
      <c r="I370" s="41"/>
      <c r="J370" s="41"/>
      <c r="K370" s="41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</row>
    <row r="371" spans="1:24" ht="14.25" customHeight="1">
      <c r="A371" s="17"/>
      <c r="B371" s="17"/>
      <c r="C371" s="41"/>
      <c r="D371" s="41"/>
      <c r="E371" s="41"/>
      <c r="F371" s="41"/>
      <c r="G371" s="41"/>
      <c r="H371" s="41"/>
      <c r="I371" s="41"/>
      <c r="J371" s="41"/>
      <c r="K371" s="41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</row>
    <row r="372" spans="1:24" ht="14.25" customHeight="1">
      <c r="A372" s="17"/>
      <c r="B372" s="17"/>
      <c r="C372" s="41"/>
      <c r="D372" s="41"/>
      <c r="E372" s="41"/>
      <c r="F372" s="41"/>
      <c r="G372" s="41"/>
      <c r="H372" s="41"/>
      <c r="I372" s="41"/>
      <c r="J372" s="41"/>
      <c r="K372" s="41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</row>
    <row r="373" spans="1:24" ht="14.25" customHeight="1">
      <c r="A373" s="17"/>
      <c r="B373" s="17"/>
      <c r="C373" s="41"/>
      <c r="D373" s="41"/>
      <c r="E373" s="41"/>
      <c r="F373" s="41"/>
      <c r="G373" s="41"/>
      <c r="H373" s="41"/>
      <c r="I373" s="41"/>
      <c r="J373" s="41"/>
      <c r="K373" s="41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</row>
    <row r="374" spans="1:24" ht="14.25" customHeight="1">
      <c r="A374" s="17"/>
      <c r="B374" s="17"/>
      <c r="C374" s="41"/>
      <c r="D374" s="41"/>
      <c r="E374" s="41"/>
      <c r="F374" s="41"/>
      <c r="G374" s="41"/>
      <c r="H374" s="41"/>
      <c r="I374" s="41"/>
      <c r="J374" s="41"/>
      <c r="K374" s="41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</row>
    <row r="375" spans="1:24" ht="14.25" customHeight="1">
      <c r="A375" s="17"/>
      <c r="B375" s="17"/>
      <c r="C375" s="41"/>
      <c r="D375" s="41"/>
      <c r="E375" s="41"/>
      <c r="F375" s="41"/>
      <c r="G375" s="41"/>
      <c r="H375" s="41"/>
      <c r="I375" s="41"/>
      <c r="J375" s="41"/>
      <c r="K375" s="41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</row>
    <row r="376" spans="1:24" ht="14.25" customHeight="1">
      <c r="A376" s="17"/>
      <c r="B376" s="17"/>
      <c r="C376" s="41"/>
      <c r="D376" s="41"/>
      <c r="E376" s="41"/>
      <c r="F376" s="41"/>
      <c r="G376" s="41"/>
      <c r="H376" s="41"/>
      <c r="I376" s="41"/>
      <c r="J376" s="41"/>
      <c r="K376" s="41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</row>
    <row r="377" spans="1:24" ht="14.25" customHeight="1">
      <c r="A377" s="17"/>
      <c r="B377" s="17"/>
      <c r="C377" s="41"/>
      <c r="D377" s="41"/>
      <c r="E377" s="41"/>
      <c r="F377" s="41"/>
      <c r="G377" s="41"/>
      <c r="H377" s="41"/>
      <c r="I377" s="41"/>
      <c r="J377" s="41"/>
      <c r="K377" s="41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</row>
    <row r="378" spans="1:24" ht="14.25" customHeight="1">
      <c r="A378" s="17"/>
      <c r="B378" s="17"/>
      <c r="C378" s="41"/>
      <c r="D378" s="41"/>
      <c r="E378" s="41"/>
      <c r="F378" s="41"/>
      <c r="G378" s="41"/>
      <c r="H378" s="41"/>
      <c r="I378" s="41"/>
      <c r="J378" s="41"/>
      <c r="K378" s="41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</row>
    <row r="379" spans="1:24" ht="14.25" customHeight="1">
      <c r="A379" s="17"/>
      <c r="B379" s="17"/>
      <c r="C379" s="41"/>
      <c r="D379" s="41"/>
      <c r="E379" s="41"/>
      <c r="F379" s="41"/>
      <c r="G379" s="41"/>
      <c r="H379" s="41"/>
      <c r="I379" s="41"/>
      <c r="J379" s="41"/>
      <c r="K379" s="41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</row>
    <row r="380" spans="1:24" ht="14.25" customHeight="1">
      <c r="A380" s="17"/>
      <c r="B380" s="17"/>
      <c r="C380" s="41"/>
      <c r="D380" s="41"/>
      <c r="E380" s="41"/>
      <c r="F380" s="41"/>
      <c r="G380" s="41"/>
      <c r="H380" s="41"/>
      <c r="I380" s="41"/>
      <c r="J380" s="41"/>
      <c r="K380" s="41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</row>
    <row r="381" spans="1:24" ht="14.25" customHeight="1">
      <c r="A381" s="17"/>
      <c r="B381" s="17"/>
      <c r="C381" s="41"/>
      <c r="D381" s="41"/>
      <c r="E381" s="41"/>
      <c r="F381" s="41"/>
      <c r="G381" s="41"/>
      <c r="H381" s="41"/>
      <c r="I381" s="41"/>
      <c r="J381" s="41"/>
      <c r="K381" s="41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</row>
    <row r="382" spans="1:24" ht="14.25" customHeight="1">
      <c r="A382" s="17"/>
      <c r="B382" s="17"/>
      <c r="C382" s="41"/>
      <c r="D382" s="41"/>
      <c r="E382" s="41"/>
      <c r="F382" s="41"/>
      <c r="G382" s="41"/>
      <c r="H382" s="41"/>
      <c r="I382" s="41"/>
      <c r="J382" s="41"/>
      <c r="K382" s="41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</row>
    <row r="383" spans="1:24" ht="14.25" customHeight="1">
      <c r="A383" s="17"/>
      <c r="B383" s="17"/>
      <c r="C383" s="41"/>
      <c r="D383" s="41"/>
      <c r="E383" s="41"/>
      <c r="F383" s="41"/>
      <c r="G383" s="41"/>
      <c r="H383" s="41"/>
      <c r="I383" s="41"/>
      <c r="J383" s="41"/>
      <c r="K383" s="41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</row>
    <row r="384" spans="1:24" ht="14.25" customHeight="1">
      <c r="A384" s="17"/>
      <c r="B384" s="17"/>
      <c r="C384" s="41"/>
      <c r="D384" s="41"/>
      <c r="E384" s="41"/>
      <c r="F384" s="41"/>
      <c r="G384" s="41"/>
      <c r="H384" s="41"/>
      <c r="I384" s="41"/>
      <c r="J384" s="41"/>
      <c r="K384" s="41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</row>
    <row r="385" spans="1:24" ht="14.25" customHeight="1">
      <c r="A385" s="17"/>
      <c r="B385" s="17"/>
      <c r="C385" s="41"/>
      <c r="D385" s="41"/>
      <c r="E385" s="41"/>
      <c r="F385" s="41"/>
      <c r="G385" s="41"/>
      <c r="H385" s="41"/>
      <c r="I385" s="41"/>
      <c r="J385" s="41"/>
      <c r="K385" s="41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</row>
    <row r="386" spans="1:24" ht="14.25" customHeight="1">
      <c r="A386" s="17"/>
      <c r="B386" s="17"/>
      <c r="C386" s="41"/>
      <c r="D386" s="41"/>
      <c r="E386" s="41"/>
      <c r="F386" s="41"/>
      <c r="G386" s="41"/>
      <c r="H386" s="41"/>
      <c r="I386" s="41"/>
      <c r="J386" s="41"/>
      <c r="K386" s="41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</row>
    <row r="387" spans="1:24" ht="14.25" customHeight="1">
      <c r="A387" s="17"/>
      <c r="B387" s="17"/>
      <c r="C387" s="41"/>
      <c r="D387" s="41"/>
      <c r="E387" s="41"/>
      <c r="F387" s="41"/>
      <c r="G387" s="41"/>
      <c r="H387" s="41"/>
      <c r="I387" s="41"/>
      <c r="J387" s="41"/>
      <c r="K387" s="41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</row>
    <row r="388" spans="1:24" ht="14.25" customHeight="1">
      <c r="A388" s="17"/>
      <c r="B388" s="17"/>
      <c r="C388" s="41"/>
      <c r="D388" s="41"/>
      <c r="E388" s="41"/>
      <c r="F388" s="41"/>
      <c r="G388" s="41"/>
      <c r="H388" s="41"/>
      <c r="I388" s="41"/>
      <c r="J388" s="41"/>
      <c r="K388" s="41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</row>
    <row r="389" spans="1:24" ht="14.25" customHeight="1">
      <c r="A389" s="17"/>
      <c r="B389" s="17"/>
      <c r="C389" s="41"/>
      <c r="D389" s="41"/>
      <c r="E389" s="41"/>
      <c r="F389" s="41"/>
      <c r="G389" s="41"/>
      <c r="H389" s="41"/>
      <c r="I389" s="41"/>
      <c r="J389" s="41"/>
      <c r="K389" s="41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</row>
    <row r="390" spans="1:24" ht="14.25" customHeight="1">
      <c r="A390" s="17"/>
      <c r="B390" s="17"/>
      <c r="C390" s="41"/>
      <c r="D390" s="41"/>
      <c r="E390" s="41"/>
      <c r="F390" s="41"/>
      <c r="G390" s="41"/>
      <c r="H390" s="41"/>
      <c r="I390" s="41"/>
      <c r="J390" s="41"/>
      <c r="K390" s="41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</row>
    <row r="391" spans="1:24" ht="14.25" customHeight="1">
      <c r="A391" s="17"/>
      <c r="B391" s="17"/>
      <c r="C391" s="41"/>
      <c r="D391" s="41"/>
      <c r="E391" s="41"/>
      <c r="F391" s="41"/>
      <c r="G391" s="41"/>
      <c r="H391" s="41"/>
      <c r="I391" s="41"/>
      <c r="J391" s="41"/>
      <c r="K391" s="41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</row>
    <row r="392" spans="1:24" ht="14.25" customHeight="1">
      <c r="A392" s="17"/>
      <c r="B392" s="17"/>
      <c r="C392" s="41"/>
      <c r="D392" s="41"/>
      <c r="E392" s="41"/>
      <c r="F392" s="41"/>
      <c r="G392" s="41"/>
      <c r="H392" s="41"/>
      <c r="I392" s="41"/>
      <c r="J392" s="41"/>
      <c r="K392" s="41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</row>
    <row r="393" spans="1:24" ht="14.25" customHeight="1">
      <c r="A393" s="17"/>
      <c r="B393" s="17"/>
      <c r="C393" s="41"/>
      <c r="D393" s="41"/>
      <c r="E393" s="41"/>
      <c r="F393" s="41"/>
      <c r="G393" s="41"/>
      <c r="H393" s="41"/>
      <c r="I393" s="41"/>
      <c r="J393" s="41"/>
      <c r="K393" s="41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</row>
    <row r="394" spans="1:24" ht="14.25" customHeight="1">
      <c r="A394" s="17"/>
      <c r="B394" s="17"/>
      <c r="C394" s="41"/>
      <c r="D394" s="41"/>
      <c r="E394" s="41"/>
      <c r="F394" s="41"/>
      <c r="G394" s="41"/>
      <c r="H394" s="41"/>
      <c r="I394" s="41"/>
      <c r="J394" s="41"/>
      <c r="K394" s="41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</row>
    <row r="395" spans="1:24" ht="14.25" customHeight="1">
      <c r="A395" s="17"/>
      <c r="B395" s="17"/>
      <c r="C395" s="41"/>
      <c r="D395" s="41"/>
      <c r="E395" s="41"/>
      <c r="F395" s="41"/>
      <c r="G395" s="41"/>
      <c r="H395" s="41"/>
      <c r="I395" s="41"/>
      <c r="J395" s="41"/>
      <c r="K395" s="41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</row>
    <row r="396" spans="1:24" ht="14.25" customHeight="1">
      <c r="A396" s="17"/>
      <c r="B396" s="17"/>
      <c r="C396" s="41"/>
      <c r="D396" s="41"/>
      <c r="E396" s="41"/>
      <c r="F396" s="41"/>
      <c r="G396" s="41"/>
      <c r="H396" s="41"/>
      <c r="I396" s="41"/>
      <c r="J396" s="41"/>
      <c r="K396" s="41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</row>
    <row r="397" spans="1:24" ht="14.25" customHeight="1">
      <c r="A397" s="17"/>
      <c r="B397" s="17"/>
      <c r="C397" s="41"/>
      <c r="D397" s="41"/>
      <c r="E397" s="41"/>
      <c r="F397" s="41"/>
      <c r="G397" s="41"/>
      <c r="H397" s="41"/>
      <c r="I397" s="41"/>
      <c r="J397" s="41"/>
      <c r="K397" s="41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</row>
    <row r="398" spans="1:24" ht="14.25" customHeight="1">
      <c r="A398" s="17"/>
      <c r="B398" s="17"/>
      <c r="C398" s="41"/>
      <c r="D398" s="41"/>
      <c r="E398" s="41"/>
      <c r="F398" s="41"/>
      <c r="G398" s="41"/>
      <c r="H398" s="41"/>
      <c r="I398" s="41"/>
      <c r="J398" s="41"/>
      <c r="K398" s="41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</row>
    <row r="399" spans="1:24" ht="14.25" customHeight="1">
      <c r="A399" s="17"/>
      <c r="B399" s="17"/>
      <c r="C399" s="41"/>
      <c r="D399" s="41"/>
      <c r="E399" s="41"/>
      <c r="F399" s="41"/>
      <c r="G399" s="41"/>
      <c r="H399" s="41"/>
      <c r="I399" s="41"/>
      <c r="J399" s="41"/>
      <c r="K399" s="41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</row>
    <row r="400" spans="1:24" ht="14.25" customHeight="1">
      <c r="A400" s="17"/>
      <c r="B400" s="17"/>
      <c r="C400" s="41"/>
      <c r="D400" s="41"/>
      <c r="E400" s="41"/>
      <c r="F400" s="41"/>
      <c r="G400" s="41"/>
      <c r="H400" s="41"/>
      <c r="I400" s="41"/>
      <c r="J400" s="41"/>
      <c r="K400" s="41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</row>
    <row r="401" spans="1:24" ht="14.25" customHeight="1">
      <c r="A401" s="17"/>
      <c r="B401" s="17"/>
      <c r="C401" s="41"/>
      <c r="D401" s="41"/>
      <c r="E401" s="41"/>
      <c r="F401" s="41"/>
      <c r="G401" s="41"/>
      <c r="H401" s="41"/>
      <c r="I401" s="41"/>
      <c r="J401" s="41"/>
      <c r="K401" s="41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</row>
    <row r="402" spans="1:24" ht="14.25" customHeight="1">
      <c r="A402" s="17"/>
      <c r="B402" s="17"/>
      <c r="C402" s="41"/>
      <c r="D402" s="41"/>
      <c r="E402" s="41"/>
      <c r="F402" s="41"/>
      <c r="G402" s="41"/>
      <c r="H402" s="41"/>
      <c r="I402" s="41"/>
      <c r="J402" s="41"/>
      <c r="K402" s="41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</row>
    <row r="403" spans="1:24" ht="14.25" customHeight="1">
      <c r="A403" s="17"/>
      <c r="B403" s="17"/>
      <c r="C403" s="41"/>
      <c r="D403" s="41"/>
      <c r="E403" s="41"/>
      <c r="F403" s="41"/>
      <c r="G403" s="41"/>
      <c r="H403" s="41"/>
      <c r="I403" s="41"/>
      <c r="J403" s="41"/>
      <c r="K403" s="41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</row>
    <row r="404" spans="1:24" ht="14.25" customHeight="1">
      <c r="A404" s="17"/>
      <c r="B404" s="17"/>
      <c r="C404" s="41"/>
      <c r="D404" s="41"/>
      <c r="E404" s="41"/>
      <c r="F404" s="41"/>
      <c r="G404" s="41"/>
      <c r="H404" s="41"/>
      <c r="I404" s="41"/>
      <c r="J404" s="41"/>
      <c r="K404" s="41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</row>
    <row r="405" spans="1:24" ht="14.25" customHeight="1">
      <c r="A405" s="17"/>
      <c r="B405" s="17"/>
      <c r="C405" s="41"/>
      <c r="D405" s="41"/>
      <c r="E405" s="41"/>
      <c r="F405" s="41"/>
      <c r="G405" s="41"/>
      <c r="H405" s="41"/>
      <c r="I405" s="41"/>
      <c r="J405" s="41"/>
      <c r="K405" s="41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</row>
    <row r="406" spans="1:24" ht="14.25" customHeight="1">
      <c r="A406" s="17"/>
      <c r="B406" s="17"/>
      <c r="C406" s="41"/>
      <c r="D406" s="41"/>
      <c r="E406" s="41"/>
      <c r="F406" s="41"/>
      <c r="G406" s="41"/>
      <c r="H406" s="41"/>
      <c r="I406" s="41"/>
      <c r="J406" s="41"/>
      <c r="K406" s="41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</row>
    <row r="407" spans="1:24" ht="14.25" customHeight="1">
      <c r="A407" s="17"/>
      <c r="B407" s="17"/>
      <c r="C407" s="41"/>
      <c r="D407" s="41"/>
      <c r="E407" s="41"/>
      <c r="F407" s="41"/>
      <c r="G407" s="41"/>
      <c r="H407" s="41"/>
      <c r="I407" s="41"/>
      <c r="J407" s="41"/>
      <c r="K407" s="41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</row>
    <row r="408" spans="1:24" ht="14.25" customHeight="1">
      <c r="A408" s="17"/>
      <c r="B408" s="17"/>
      <c r="C408" s="41"/>
      <c r="D408" s="41"/>
      <c r="E408" s="41"/>
      <c r="F408" s="41"/>
      <c r="G408" s="41"/>
      <c r="H408" s="41"/>
      <c r="I408" s="41"/>
      <c r="J408" s="41"/>
      <c r="K408" s="41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</row>
    <row r="409" spans="1:24" ht="14.25" customHeight="1">
      <c r="A409" s="17"/>
      <c r="B409" s="17"/>
      <c r="C409" s="41"/>
      <c r="D409" s="41"/>
      <c r="E409" s="41"/>
      <c r="F409" s="41"/>
      <c r="G409" s="41"/>
      <c r="H409" s="41"/>
      <c r="I409" s="41"/>
      <c r="J409" s="41"/>
      <c r="K409" s="41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</row>
    <row r="410" spans="1:24" ht="14.25" customHeight="1">
      <c r="A410" s="17"/>
      <c r="B410" s="17"/>
      <c r="C410" s="41"/>
      <c r="D410" s="41"/>
      <c r="E410" s="41"/>
      <c r="F410" s="41"/>
      <c r="G410" s="41"/>
      <c r="H410" s="41"/>
      <c r="I410" s="41"/>
      <c r="J410" s="41"/>
      <c r="K410" s="41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</row>
    <row r="411" spans="1:24" ht="14.25" customHeight="1">
      <c r="A411" s="17"/>
      <c r="B411" s="17"/>
      <c r="C411" s="41"/>
      <c r="D411" s="41"/>
      <c r="E411" s="41"/>
      <c r="F411" s="41"/>
      <c r="G411" s="41"/>
      <c r="H411" s="41"/>
      <c r="I411" s="41"/>
      <c r="J411" s="41"/>
      <c r="K411" s="41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</row>
    <row r="412" spans="1:24" ht="14.25" customHeight="1">
      <c r="A412" s="17"/>
      <c r="B412" s="17"/>
      <c r="C412" s="41"/>
      <c r="D412" s="41"/>
      <c r="E412" s="41"/>
      <c r="F412" s="41"/>
      <c r="G412" s="41"/>
      <c r="H412" s="41"/>
      <c r="I412" s="41"/>
      <c r="J412" s="41"/>
      <c r="K412" s="41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</row>
    <row r="413" spans="1:24" ht="14.25" customHeight="1">
      <c r="A413" s="17"/>
      <c r="B413" s="17"/>
      <c r="C413" s="41"/>
      <c r="D413" s="41"/>
      <c r="E413" s="41"/>
      <c r="F413" s="41"/>
      <c r="G413" s="41"/>
      <c r="H413" s="41"/>
      <c r="I413" s="41"/>
      <c r="J413" s="41"/>
      <c r="K413" s="41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</row>
    <row r="414" spans="1:24" ht="14.25" customHeight="1">
      <c r="A414" s="17"/>
      <c r="B414" s="17"/>
      <c r="C414" s="41"/>
      <c r="D414" s="41"/>
      <c r="E414" s="41"/>
      <c r="F414" s="41"/>
      <c r="G414" s="41"/>
      <c r="H414" s="41"/>
      <c r="I414" s="41"/>
      <c r="J414" s="41"/>
      <c r="K414" s="41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</row>
    <row r="415" spans="1:24" ht="14.25" customHeight="1">
      <c r="A415" s="17"/>
      <c r="B415" s="17"/>
      <c r="C415" s="41"/>
      <c r="D415" s="41"/>
      <c r="E415" s="41"/>
      <c r="F415" s="41"/>
      <c r="G415" s="41"/>
      <c r="H415" s="41"/>
      <c r="I415" s="41"/>
      <c r="J415" s="41"/>
      <c r="K415" s="41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</row>
    <row r="416" spans="1:24" ht="14.25" customHeight="1">
      <c r="A416" s="17"/>
      <c r="B416" s="17"/>
      <c r="C416" s="41"/>
      <c r="D416" s="41"/>
      <c r="E416" s="41"/>
      <c r="F416" s="41"/>
      <c r="G416" s="41"/>
      <c r="H416" s="41"/>
      <c r="I416" s="41"/>
      <c r="J416" s="41"/>
      <c r="K416" s="41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</row>
    <row r="417" spans="1:24" ht="14.25" customHeight="1">
      <c r="A417" s="17"/>
      <c r="B417" s="17"/>
      <c r="C417" s="41"/>
      <c r="D417" s="41"/>
      <c r="E417" s="41"/>
      <c r="F417" s="41"/>
      <c r="G417" s="41"/>
      <c r="H417" s="41"/>
      <c r="I417" s="41"/>
      <c r="J417" s="41"/>
      <c r="K417" s="41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</row>
    <row r="418" spans="1:24" ht="14.25" customHeight="1">
      <c r="A418" s="17"/>
      <c r="B418" s="17"/>
      <c r="C418" s="41"/>
      <c r="D418" s="41"/>
      <c r="E418" s="41"/>
      <c r="F418" s="41"/>
      <c r="G418" s="41"/>
      <c r="H418" s="41"/>
      <c r="I418" s="41"/>
      <c r="J418" s="41"/>
      <c r="K418" s="41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</row>
    <row r="419" spans="1:24" ht="14.25" customHeight="1">
      <c r="A419" s="17"/>
      <c r="B419" s="17"/>
      <c r="C419" s="41"/>
      <c r="D419" s="41"/>
      <c r="E419" s="41"/>
      <c r="F419" s="41"/>
      <c r="G419" s="41"/>
      <c r="H419" s="41"/>
      <c r="I419" s="41"/>
      <c r="J419" s="41"/>
      <c r="K419" s="41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</row>
    <row r="420" spans="1:24" ht="14.25" customHeight="1">
      <c r="A420" s="17"/>
      <c r="B420" s="17"/>
      <c r="C420" s="41"/>
      <c r="D420" s="41"/>
      <c r="E420" s="41"/>
      <c r="F420" s="41"/>
      <c r="G420" s="41"/>
      <c r="H420" s="41"/>
      <c r="I420" s="41"/>
      <c r="J420" s="41"/>
      <c r="K420" s="41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</row>
    <row r="421" spans="1:24" ht="14.25" customHeight="1">
      <c r="A421" s="17"/>
      <c r="B421" s="17"/>
      <c r="C421" s="41"/>
      <c r="D421" s="41"/>
      <c r="E421" s="41"/>
      <c r="F421" s="41"/>
      <c r="G421" s="41"/>
      <c r="H421" s="41"/>
      <c r="I421" s="41"/>
      <c r="J421" s="41"/>
      <c r="K421" s="41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</row>
    <row r="422" spans="1:24" ht="14.25" customHeight="1">
      <c r="A422" s="17"/>
      <c r="B422" s="17"/>
      <c r="C422" s="41"/>
      <c r="D422" s="41"/>
      <c r="E422" s="41"/>
      <c r="F422" s="41"/>
      <c r="G422" s="41"/>
      <c r="H422" s="41"/>
      <c r="I422" s="41"/>
      <c r="J422" s="41"/>
      <c r="K422" s="41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</row>
    <row r="423" spans="1:24" ht="14.25" customHeight="1">
      <c r="A423" s="17"/>
      <c r="B423" s="17"/>
      <c r="C423" s="41"/>
      <c r="D423" s="41"/>
      <c r="E423" s="41"/>
      <c r="F423" s="41"/>
      <c r="G423" s="41"/>
      <c r="H423" s="41"/>
      <c r="I423" s="41"/>
      <c r="J423" s="41"/>
      <c r="K423" s="41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</row>
    <row r="424" spans="1:24" ht="14.25" customHeight="1">
      <c r="A424" s="17"/>
      <c r="B424" s="17"/>
      <c r="C424" s="41"/>
      <c r="D424" s="41"/>
      <c r="E424" s="41"/>
      <c r="F424" s="41"/>
      <c r="G424" s="41"/>
      <c r="H424" s="41"/>
      <c r="I424" s="41"/>
      <c r="J424" s="41"/>
      <c r="K424" s="41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</row>
    <row r="425" spans="1:24" ht="14.25" customHeight="1">
      <c r="A425" s="17"/>
      <c r="B425" s="17"/>
      <c r="C425" s="41"/>
      <c r="D425" s="41"/>
      <c r="E425" s="41"/>
      <c r="F425" s="41"/>
      <c r="G425" s="41"/>
      <c r="H425" s="41"/>
      <c r="I425" s="41"/>
      <c r="J425" s="41"/>
      <c r="K425" s="41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</row>
    <row r="426" spans="1:24" ht="14.25" customHeight="1">
      <c r="A426" s="17"/>
      <c r="B426" s="17"/>
      <c r="C426" s="41"/>
      <c r="D426" s="41"/>
      <c r="E426" s="41"/>
      <c r="F426" s="41"/>
      <c r="G426" s="41"/>
      <c r="H426" s="41"/>
      <c r="I426" s="41"/>
      <c r="J426" s="41"/>
      <c r="K426" s="41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</row>
    <row r="427" spans="1:24" ht="14.25" customHeight="1">
      <c r="A427" s="17"/>
      <c r="B427" s="17"/>
      <c r="C427" s="41"/>
      <c r="D427" s="41"/>
      <c r="E427" s="41"/>
      <c r="F427" s="41"/>
      <c r="G427" s="41"/>
      <c r="H427" s="41"/>
      <c r="I427" s="41"/>
      <c r="J427" s="41"/>
      <c r="K427" s="41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</row>
    <row r="428" spans="1:24" ht="14.25" customHeight="1">
      <c r="A428" s="17"/>
      <c r="B428" s="17"/>
      <c r="C428" s="41"/>
      <c r="D428" s="41"/>
      <c r="E428" s="41"/>
      <c r="F428" s="41"/>
      <c r="G428" s="41"/>
      <c r="H428" s="41"/>
      <c r="I428" s="41"/>
      <c r="J428" s="41"/>
      <c r="K428" s="41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</row>
    <row r="429" spans="1:24" ht="14.25" customHeight="1">
      <c r="A429" s="17"/>
      <c r="B429" s="17"/>
      <c r="C429" s="41"/>
      <c r="D429" s="41"/>
      <c r="E429" s="41"/>
      <c r="F429" s="41"/>
      <c r="G429" s="41"/>
      <c r="H429" s="41"/>
      <c r="I429" s="41"/>
      <c r="J429" s="41"/>
      <c r="K429" s="41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</row>
    <row r="430" spans="1:24" ht="14.25" customHeight="1">
      <c r="A430" s="17"/>
      <c r="B430" s="17"/>
      <c r="C430" s="41"/>
      <c r="D430" s="41"/>
      <c r="E430" s="41"/>
      <c r="F430" s="41"/>
      <c r="G430" s="41"/>
      <c r="H430" s="41"/>
      <c r="I430" s="41"/>
      <c r="J430" s="41"/>
      <c r="K430" s="41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</row>
    <row r="431" spans="1:24" ht="14.25" customHeight="1">
      <c r="A431" s="17"/>
      <c r="B431" s="17"/>
      <c r="C431" s="41"/>
      <c r="D431" s="41"/>
      <c r="E431" s="41"/>
      <c r="F431" s="41"/>
      <c r="G431" s="41"/>
      <c r="H431" s="41"/>
      <c r="I431" s="41"/>
      <c r="J431" s="41"/>
      <c r="K431" s="41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</row>
    <row r="432" spans="1:24" ht="14.25" customHeight="1">
      <c r="A432" s="17"/>
      <c r="B432" s="17"/>
      <c r="C432" s="41"/>
      <c r="D432" s="41"/>
      <c r="E432" s="41"/>
      <c r="F432" s="41"/>
      <c r="G432" s="41"/>
      <c r="H432" s="41"/>
      <c r="I432" s="41"/>
      <c r="J432" s="41"/>
      <c r="K432" s="41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</row>
    <row r="433" spans="1:24" ht="14.25" customHeight="1">
      <c r="A433" s="17"/>
      <c r="B433" s="17"/>
      <c r="C433" s="41"/>
      <c r="D433" s="41"/>
      <c r="E433" s="41"/>
      <c r="F433" s="41"/>
      <c r="G433" s="41"/>
      <c r="H433" s="41"/>
      <c r="I433" s="41"/>
      <c r="J433" s="41"/>
      <c r="K433" s="41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</row>
    <row r="434" spans="1:24" ht="14.25" customHeight="1">
      <c r="A434" s="17"/>
      <c r="B434" s="17"/>
      <c r="C434" s="41"/>
      <c r="D434" s="41"/>
      <c r="E434" s="41"/>
      <c r="F434" s="41"/>
      <c r="G434" s="41"/>
      <c r="H434" s="41"/>
      <c r="I434" s="41"/>
      <c r="J434" s="41"/>
      <c r="K434" s="41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</row>
    <row r="435" spans="1:24" ht="14.25" customHeight="1">
      <c r="A435" s="17"/>
      <c r="B435" s="17"/>
      <c r="C435" s="41"/>
      <c r="D435" s="41"/>
      <c r="E435" s="41"/>
      <c r="F435" s="41"/>
      <c r="G435" s="41"/>
      <c r="H435" s="41"/>
      <c r="I435" s="41"/>
      <c r="J435" s="41"/>
      <c r="K435" s="41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</row>
    <row r="436" spans="1:24" ht="14.25" customHeight="1">
      <c r="A436" s="17"/>
      <c r="B436" s="17"/>
      <c r="C436" s="41"/>
      <c r="D436" s="41"/>
      <c r="E436" s="41"/>
      <c r="F436" s="41"/>
      <c r="G436" s="41"/>
      <c r="H436" s="41"/>
      <c r="I436" s="41"/>
      <c r="J436" s="41"/>
      <c r="K436" s="41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</row>
    <row r="437" spans="1:24" ht="14.25" customHeight="1">
      <c r="A437" s="17"/>
      <c r="B437" s="17"/>
      <c r="C437" s="41"/>
      <c r="D437" s="41"/>
      <c r="E437" s="41"/>
      <c r="F437" s="41"/>
      <c r="G437" s="41"/>
      <c r="H437" s="41"/>
      <c r="I437" s="41"/>
      <c r="J437" s="41"/>
      <c r="K437" s="41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</row>
    <row r="438" spans="1:24" ht="14.25" customHeight="1">
      <c r="A438" s="17"/>
      <c r="B438" s="17"/>
      <c r="C438" s="41"/>
      <c r="D438" s="41"/>
      <c r="E438" s="41"/>
      <c r="F438" s="41"/>
      <c r="G438" s="41"/>
      <c r="H438" s="41"/>
      <c r="I438" s="41"/>
      <c r="J438" s="41"/>
      <c r="K438" s="41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</row>
    <row r="439" spans="1:24" ht="14.25" customHeight="1">
      <c r="A439" s="17"/>
      <c r="B439" s="17"/>
      <c r="C439" s="41"/>
      <c r="D439" s="41"/>
      <c r="E439" s="41"/>
      <c r="F439" s="41"/>
      <c r="G439" s="41"/>
      <c r="H439" s="41"/>
      <c r="I439" s="41"/>
      <c r="J439" s="41"/>
      <c r="K439" s="41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</row>
    <row r="440" spans="1:24" ht="14.25" customHeight="1">
      <c r="A440" s="17"/>
      <c r="B440" s="17"/>
      <c r="C440" s="41"/>
      <c r="D440" s="41"/>
      <c r="E440" s="41"/>
      <c r="F440" s="41"/>
      <c r="G440" s="41"/>
      <c r="H440" s="41"/>
      <c r="I440" s="41"/>
      <c r="J440" s="41"/>
      <c r="K440" s="41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</row>
    <row r="441" spans="1:24" ht="14.25" customHeight="1">
      <c r="A441" s="17"/>
      <c r="B441" s="17"/>
      <c r="C441" s="41"/>
      <c r="D441" s="41"/>
      <c r="E441" s="41"/>
      <c r="F441" s="41"/>
      <c r="G441" s="41"/>
      <c r="H441" s="41"/>
      <c r="I441" s="41"/>
      <c r="J441" s="41"/>
      <c r="K441" s="41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</row>
    <row r="442" spans="1:24" ht="14.25" customHeight="1">
      <c r="A442" s="17"/>
      <c r="B442" s="17"/>
      <c r="C442" s="41"/>
      <c r="D442" s="41"/>
      <c r="E442" s="41"/>
      <c r="F442" s="41"/>
      <c r="G442" s="41"/>
      <c r="H442" s="41"/>
      <c r="I442" s="41"/>
      <c r="J442" s="41"/>
      <c r="K442" s="41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</row>
    <row r="443" spans="1:24" ht="14.25" customHeight="1">
      <c r="A443" s="17"/>
      <c r="B443" s="17"/>
      <c r="C443" s="41"/>
      <c r="D443" s="41"/>
      <c r="E443" s="41"/>
      <c r="F443" s="41"/>
      <c r="G443" s="41"/>
      <c r="H443" s="41"/>
      <c r="I443" s="41"/>
      <c r="J443" s="41"/>
      <c r="K443" s="41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</row>
    <row r="444" spans="1:24" ht="14.25" customHeight="1">
      <c r="A444" s="17"/>
      <c r="B444" s="17"/>
      <c r="C444" s="41"/>
      <c r="D444" s="41"/>
      <c r="E444" s="41"/>
      <c r="F444" s="41"/>
      <c r="G444" s="41"/>
      <c r="H444" s="41"/>
      <c r="I444" s="41"/>
      <c r="J444" s="41"/>
      <c r="K444" s="41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</row>
    <row r="445" spans="1:24" ht="14.25" customHeight="1">
      <c r="A445" s="17"/>
      <c r="B445" s="17"/>
      <c r="C445" s="41"/>
      <c r="D445" s="41"/>
      <c r="E445" s="41"/>
      <c r="F445" s="41"/>
      <c r="G445" s="41"/>
      <c r="H445" s="41"/>
      <c r="I445" s="41"/>
      <c r="J445" s="41"/>
      <c r="K445" s="41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</row>
    <row r="446" spans="1:24" ht="14.25" customHeight="1">
      <c r="A446" s="17"/>
      <c r="B446" s="17"/>
      <c r="C446" s="41"/>
      <c r="D446" s="41"/>
      <c r="E446" s="41"/>
      <c r="F446" s="41"/>
      <c r="G446" s="41"/>
      <c r="H446" s="41"/>
      <c r="I446" s="41"/>
      <c r="J446" s="41"/>
      <c r="K446" s="41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</row>
    <row r="447" spans="1:24" ht="14.25" customHeight="1">
      <c r="A447" s="17"/>
      <c r="B447" s="17"/>
      <c r="C447" s="41"/>
      <c r="D447" s="41"/>
      <c r="E447" s="41"/>
      <c r="F447" s="41"/>
      <c r="G447" s="41"/>
      <c r="H447" s="41"/>
      <c r="I447" s="41"/>
      <c r="J447" s="41"/>
      <c r="K447" s="41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</row>
    <row r="448" spans="1:24" ht="14.25" customHeight="1">
      <c r="A448" s="17"/>
      <c r="B448" s="17"/>
      <c r="C448" s="41"/>
      <c r="D448" s="41"/>
      <c r="E448" s="41"/>
      <c r="F448" s="41"/>
      <c r="G448" s="41"/>
      <c r="H448" s="41"/>
      <c r="I448" s="41"/>
      <c r="J448" s="41"/>
      <c r="K448" s="41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</row>
    <row r="449" spans="1:24" ht="14.25" customHeight="1">
      <c r="A449" s="17"/>
      <c r="B449" s="17"/>
      <c r="C449" s="41"/>
      <c r="D449" s="41"/>
      <c r="E449" s="41"/>
      <c r="F449" s="41"/>
      <c r="G449" s="41"/>
      <c r="H449" s="41"/>
      <c r="I449" s="41"/>
      <c r="J449" s="41"/>
      <c r="K449" s="41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</row>
    <row r="450" spans="1:24" ht="14.25" customHeight="1">
      <c r="A450" s="17"/>
      <c r="B450" s="17"/>
      <c r="C450" s="41"/>
      <c r="D450" s="41"/>
      <c r="E450" s="41"/>
      <c r="F450" s="41"/>
      <c r="G450" s="41"/>
      <c r="H450" s="41"/>
      <c r="I450" s="41"/>
      <c r="J450" s="41"/>
      <c r="K450" s="41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</row>
    <row r="451" spans="1:24" ht="14.25" customHeight="1">
      <c r="A451" s="17"/>
      <c r="B451" s="17"/>
      <c r="C451" s="41"/>
      <c r="D451" s="41"/>
      <c r="E451" s="41"/>
      <c r="F451" s="41"/>
      <c r="G451" s="41"/>
      <c r="H451" s="41"/>
      <c r="I451" s="41"/>
      <c r="J451" s="41"/>
      <c r="K451" s="41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</row>
    <row r="452" spans="1:24" ht="14.25" customHeight="1">
      <c r="A452" s="17"/>
      <c r="B452" s="17"/>
      <c r="C452" s="41"/>
      <c r="D452" s="41"/>
      <c r="E452" s="41"/>
      <c r="F452" s="41"/>
      <c r="G452" s="41"/>
      <c r="H452" s="41"/>
      <c r="I452" s="41"/>
      <c r="J452" s="41"/>
      <c r="K452" s="41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</row>
    <row r="453" spans="1:24" ht="14.25" customHeight="1">
      <c r="A453" s="17"/>
      <c r="B453" s="17"/>
      <c r="C453" s="41"/>
      <c r="D453" s="41"/>
      <c r="E453" s="41"/>
      <c r="F453" s="41"/>
      <c r="G453" s="41"/>
      <c r="H453" s="41"/>
      <c r="I453" s="41"/>
      <c r="J453" s="41"/>
      <c r="K453" s="41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</row>
    <row r="454" spans="1:24" ht="14.25" customHeight="1">
      <c r="A454" s="17"/>
      <c r="B454" s="17"/>
      <c r="C454" s="41"/>
      <c r="D454" s="41"/>
      <c r="E454" s="41"/>
      <c r="F454" s="41"/>
      <c r="G454" s="41"/>
      <c r="H454" s="41"/>
      <c r="I454" s="41"/>
      <c r="J454" s="41"/>
      <c r="K454" s="41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</row>
    <row r="455" spans="1:24" ht="14.25" customHeight="1">
      <c r="A455" s="17"/>
      <c r="B455" s="17"/>
      <c r="C455" s="41"/>
      <c r="D455" s="41"/>
      <c r="E455" s="41"/>
      <c r="F455" s="41"/>
      <c r="G455" s="41"/>
      <c r="H455" s="41"/>
      <c r="I455" s="41"/>
      <c r="J455" s="41"/>
      <c r="K455" s="41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</row>
    <row r="456" spans="1:24" ht="14.25" customHeight="1">
      <c r="A456" s="17"/>
      <c r="B456" s="17"/>
      <c r="C456" s="41"/>
      <c r="D456" s="41"/>
      <c r="E456" s="41"/>
      <c r="F456" s="41"/>
      <c r="G456" s="41"/>
      <c r="H456" s="41"/>
      <c r="I456" s="41"/>
      <c r="J456" s="41"/>
      <c r="K456" s="41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</row>
    <row r="457" spans="1:24" ht="14.25" customHeight="1">
      <c r="A457" s="17"/>
      <c r="B457" s="17"/>
      <c r="C457" s="41"/>
      <c r="D457" s="41"/>
      <c r="E457" s="41"/>
      <c r="F457" s="41"/>
      <c r="G457" s="41"/>
      <c r="H457" s="41"/>
      <c r="I457" s="41"/>
      <c r="J457" s="41"/>
      <c r="K457" s="41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</row>
    <row r="458" spans="1:24" ht="14.25" customHeight="1">
      <c r="A458" s="17"/>
      <c r="B458" s="17"/>
      <c r="C458" s="41"/>
      <c r="D458" s="41"/>
      <c r="E458" s="41"/>
      <c r="F458" s="41"/>
      <c r="G458" s="41"/>
      <c r="H458" s="41"/>
      <c r="I458" s="41"/>
      <c r="J458" s="41"/>
      <c r="K458" s="41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</row>
    <row r="459" spans="1:24" ht="14.25" customHeight="1">
      <c r="A459" s="17"/>
      <c r="B459" s="17"/>
      <c r="C459" s="41"/>
      <c r="D459" s="41"/>
      <c r="E459" s="41"/>
      <c r="F459" s="41"/>
      <c r="G459" s="41"/>
      <c r="H459" s="41"/>
      <c r="I459" s="41"/>
      <c r="J459" s="41"/>
      <c r="K459" s="41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</row>
    <row r="460" spans="1:24" ht="14.25" customHeight="1">
      <c r="A460" s="17"/>
      <c r="B460" s="17"/>
      <c r="C460" s="41"/>
      <c r="D460" s="41"/>
      <c r="E460" s="41"/>
      <c r="F460" s="41"/>
      <c r="G460" s="41"/>
      <c r="H460" s="41"/>
      <c r="I460" s="41"/>
      <c r="J460" s="41"/>
      <c r="K460" s="41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</row>
    <row r="461" spans="1:24" ht="14.25" customHeight="1">
      <c r="A461" s="17"/>
      <c r="B461" s="17"/>
      <c r="C461" s="41"/>
      <c r="D461" s="41"/>
      <c r="E461" s="41"/>
      <c r="F461" s="41"/>
      <c r="G461" s="41"/>
      <c r="H461" s="41"/>
      <c r="I461" s="41"/>
      <c r="J461" s="41"/>
      <c r="K461" s="41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</row>
    <row r="462" spans="1:24" ht="14.25" customHeight="1">
      <c r="A462" s="17"/>
      <c r="B462" s="17"/>
      <c r="C462" s="41"/>
      <c r="D462" s="41"/>
      <c r="E462" s="41"/>
      <c r="F462" s="41"/>
      <c r="G462" s="41"/>
      <c r="H462" s="41"/>
      <c r="I462" s="41"/>
      <c r="J462" s="41"/>
      <c r="K462" s="41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</row>
    <row r="463" spans="1:24" ht="14.25" customHeight="1">
      <c r="A463" s="17"/>
      <c r="B463" s="17"/>
      <c r="C463" s="41"/>
      <c r="D463" s="41"/>
      <c r="E463" s="41"/>
      <c r="F463" s="41"/>
      <c r="G463" s="41"/>
      <c r="H463" s="41"/>
      <c r="I463" s="41"/>
      <c r="J463" s="41"/>
      <c r="K463" s="41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</row>
    <row r="464" spans="1:24" ht="14.25" customHeight="1">
      <c r="A464" s="17"/>
      <c r="B464" s="17"/>
      <c r="C464" s="41"/>
      <c r="D464" s="41"/>
      <c r="E464" s="41"/>
      <c r="F464" s="41"/>
      <c r="G464" s="41"/>
      <c r="H464" s="41"/>
      <c r="I464" s="41"/>
      <c r="J464" s="41"/>
      <c r="K464" s="41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</row>
    <row r="465" spans="1:24" ht="14.25" customHeight="1">
      <c r="A465" s="17"/>
      <c r="B465" s="17"/>
      <c r="C465" s="41"/>
      <c r="D465" s="41"/>
      <c r="E465" s="41"/>
      <c r="F465" s="41"/>
      <c r="G465" s="41"/>
      <c r="H465" s="41"/>
      <c r="I465" s="41"/>
      <c r="J465" s="41"/>
      <c r="K465" s="41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</row>
    <row r="466" spans="1:24" ht="14.25" customHeight="1">
      <c r="A466" s="17"/>
      <c r="B466" s="17"/>
      <c r="C466" s="41"/>
      <c r="D466" s="41"/>
      <c r="E466" s="41"/>
      <c r="F466" s="41"/>
      <c r="G466" s="41"/>
      <c r="H466" s="41"/>
      <c r="I466" s="41"/>
      <c r="J466" s="41"/>
      <c r="K466" s="41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</row>
    <row r="467" spans="1:24" ht="14.25" customHeight="1">
      <c r="A467" s="17"/>
      <c r="B467" s="17"/>
      <c r="C467" s="41"/>
      <c r="D467" s="41"/>
      <c r="E467" s="41"/>
      <c r="F467" s="41"/>
      <c r="G467" s="41"/>
      <c r="H467" s="41"/>
      <c r="I467" s="41"/>
      <c r="J467" s="41"/>
      <c r="K467" s="41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</row>
    <row r="468" spans="1:24" ht="14.25" customHeight="1">
      <c r="A468" s="17"/>
      <c r="B468" s="17"/>
      <c r="C468" s="41"/>
      <c r="D468" s="41"/>
      <c r="E468" s="41"/>
      <c r="F468" s="41"/>
      <c r="G468" s="41"/>
      <c r="H468" s="41"/>
      <c r="I468" s="41"/>
      <c r="J468" s="41"/>
      <c r="K468" s="41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</row>
    <row r="469" spans="1:24" ht="14.25" customHeight="1">
      <c r="A469" s="17"/>
      <c r="B469" s="17"/>
      <c r="C469" s="41"/>
      <c r="D469" s="41"/>
      <c r="E469" s="41"/>
      <c r="F469" s="41"/>
      <c r="G469" s="41"/>
      <c r="H469" s="41"/>
      <c r="I469" s="41"/>
      <c r="J469" s="41"/>
      <c r="K469" s="41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</row>
    <row r="470" spans="1:24" ht="14.25" customHeight="1">
      <c r="A470" s="17"/>
      <c r="B470" s="17"/>
      <c r="C470" s="41"/>
      <c r="D470" s="41"/>
      <c r="E470" s="41"/>
      <c r="F470" s="41"/>
      <c r="G470" s="41"/>
      <c r="H470" s="41"/>
      <c r="I470" s="41"/>
      <c r="J470" s="41"/>
      <c r="K470" s="41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</row>
    <row r="471" spans="1:24" ht="14.25" customHeight="1">
      <c r="A471" s="17"/>
      <c r="B471" s="17"/>
      <c r="C471" s="41"/>
      <c r="D471" s="41"/>
      <c r="E471" s="41"/>
      <c r="F471" s="41"/>
      <c r="G471" s="41"/>
      <c r="H471" s="41"/>
      <c r="I471" s="41"/>
      <c r="J471" s="41"/>
      <c r="K471" s="41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</row>
    <row r="472" spans="1:24" ht="14.25" customHeight="1">
      <c r="A472" s="17"/>
      <c r="B472" s="17"/>
      <c r="C472" s="41"/>
      <c r="D472" s="41"/>
      <c r="E472" s="41"/>
      <c r="F472" s="41"/>
      <c r="G472" s="41"/>
      <c r="H472" s="41"/>
      <c r="I472" s="41"/>
      <c r="J472" s="41"/>
      <c r="K472" s="41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</row>
    <row r="473" spans="1:24" ht="14.25" customHeight="1">
      <c r="A473" s="17"/>
      <c r="B473" s="17"/>
      <c r="C473" s="41"/>
      <c r="D473" s="41"/>
      <c r="E473" s="41"/>
      <c r="F473" s="41"/>
      <c r="G473" s="41"/>
      <c r="H473" s="41"/>
      <c r="I473" s="41"/>
      <c r="J473" s="41"/>
      <c r="K473" s="41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</row>
    <row r="474" spans="1:24" ht="14.25" customHeight="1">
      <c r="A474" s="17"/>
      <c r="B474" s="17"/>
      <c r="C474" s="41"/>
      <c r="D474" s="41"/>
      <c r="E474" s="41"/>
      <c r="F474" s="41"/>
      <c r="G474" s="41"/>
      <c r="H474" s="41"/>
      <c r="I474" s="41"/>
      <c r="J474" s="41"/>
      <c r="K474" s="41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</row>
    <row r="475" spans="1:24" ht="14.25" customHeight="1">
      <c r="A475" s="17"/>
      <c r="B475" s="17"/>
      <c r="C475" s="41"/>
      <c r="D475" s="41"/>
      <c r="E475" s="41"/>
      <c r="F475" s="41"/>
      <c r="G475" s="41"/>
      <c r="H475" s="41"/>
      <c r="I475" s="41"/>
      <c r="J475" s="41"/>
      <c r="K475" s="41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</row>
    <row r="476" spans="1:24" ht="14.25" customHeight="1">
      <c r="A476" s="17"/>
      <c r="B476" s="17"/>
      <c r="C476" s="41"/>
      <c r="D476" s="41"/>
      <c r="E476" s="41"/>
      <c r="F476" s="41"/>
      <c r="G476" s="41"/>
      <c r="H476" s="41"/>
      <c r="I476" s="41"/>
      <c r="J476" s="41"/>
      <c r="K476" s="41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</row>
    <row r="477" spans="1:24" ht="14.25" customHeight="1">
      <c r="A477" s="17"/>
      <c r="B477" s="17"/>
      <c r="C477" s="41"/>
      <c r="D477" s="41"/>
      <c r="E477" s="41"/>
      <c r="F477" s="41"/>
      <c r="G477" s="41"/>
      <c r="H477" s="41"/>
      <c r="I477" s="41"/>
      <c r="J477" s="41"/>
      <c r="K477" s="41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</row>
    <row r="478" spans="1:24" ht="14.25" customHeight="1">
      <c r="A478" s="17"/>
      <c r="B478" s="17"/>
      <c r="C478" s="41"/>
      <c r="D478" s="41"/>
      <c r="E478" s="41"/>
      <c r="F478" s="41"/>
      <c r="G478" s="41"/>
      <c r="H478" s="41"/>
      <c r="I478" s="41"/>
      <c r="J478" s="41"/>
      <c r="K478" s="41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</row>
    <row r="479" spans="1:24" ht="14.25" customHeight="1">
      <c r="A479" s="17"/>
      <c r="B479" s="17"/>
      <c r="C479" s="41"/>
      <c r="D479" s="41"/>
      <c r="E479" s="41"/>
      <c r="F479" s="41"/>
      <c r="G479" s="41"/>
      <c r="H479" s="41"/>
      <c r="I479" s="41"/>
      <c r="J479" s="41"/>
      <c r="K479" s="41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</row>
    <row r="480" spans="1:24" ht="14.25" customHeight="1">
      <c r="A480" s="17"/>
      <c r="B480" s="17"/>
      <c r="C480" s="41"/>
      <c r="D480" s="41"/>
      <c r="E480" s="41"/>
      <c r="F480" s="41"/>
      <c r="G480" s="41"/>
      <c r="H480" s="41"/>
      <c r="I480" s="41"/>
      <c r="J480" s="41"/>
      <c r="K480" s="41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</row>
    <row r="481" spans="1:24" ht="14.25" customHeight="1">
      <c r="A481" s="17"/>
      <c r="B481" s="17"/>
      <c r="C481" s="41"/>
      <c r="D481" s="41"/>
      <c r="E481" s="41"/>
      <c r="F481" s="41"/>
      <c r="G481" s="41"/>
      <c r="H481" s="41"/>
      <c r="I481" s="41"/>
      <c r="J481" s="41"/>
      <c r="K481" s="41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</row>
    <row r="482" spans="1:24" ht="14.25" customHeight="1">
      <c r="A482" s="17"/>
      <c r="B482" s="17"/>
      <c r="C482" s="41"/>
      <c r="D482" s="41"/>
      <c r="E482" s="41"/>
      <c r="F482" s="41"/>
      <c r="G482" s="41"/>
      <c r="H482" s="41"/>
      <c r="I482" s="41"/>
      <c r="J482" s="41"/>
      <c r="K482" s="41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</row>
    <row r="483" spans="1:24" ht="14.25" customHeight="1">
      <c r="A483" s="17"/>
      <c r="B483" s="17"/>
      <c r="C483" s="41"/>
      <c r="D483" s="41"/>
      <c r="E483" s="41"/>
      <c r="F483" s="41"/>
      <c r="G483" s="41"/>
      <c r="H483" s="41"/>
      <c r="I483" s="41"/>
      <c r="J483" s="41"/>
      <c r="K483" s="41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</row>
    <row r="484" spans="1:24" ht="14.25" customHeight="1">
      <c r="A484" s="17"/>
      <c r="B484" s="17"/>
      <c r="C484" s="41"/>
      <c r="D484" s="41"/>
      <c r="E484" s="41"/>
      <c r="F484" s="41"/>
      <c r="G484" s="41"/>
      <c r="H484" s="41"/>
      <c r="I484" s="41"/>
      <c r="J484" s="41"/>
      <c r="K484" s="41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</row>
    <row r="485" spans="1:24" ht="14.25" customHeight="1">
      <c r="A485" s="17"/>
      <c r="B485" s="17"/>
      <c r="C485" s="41"/>
      <c r="D485" s="41"/>
      <c r="E485" s="41"/>
      <c r="F485" s="41"/>
      <c r="G485" s="41"/>
      <c r="H485" s="41"/>
      <c r="I485" s="41"/>
      <c r="J485" s="41"/>
      <c r="K485" s="41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</row>
    <row r="486" spans="1:24" ht="14.25" customHeight="1">
      <c r="A486" s="17"/>
      <c r="B486" s="17"/>
      <c r="C486" s="41"/>
      <c r="D486" s="41"/>
      <c r="E486" s="41"/>
      <c r="F486" s="41"/>
      <c r="G486" s="41"/>
      <c r="H486" s="41"/>
      <c r="I486" s="41"/>
      <c r="J486" s="41"/>
      <c r="K486" s="41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</row>
    <row r="487" spans="1:24" ht="14.25" customHeight="1">
      <c r="A487" s="17"/>
      <c r="B487" s="17"/>
      <c r="C487" s="41"/>
      <c r="D487" s="41"/>
      <c r="E487" s="41"/>
      <c r="F487" s="41"/>
      <c r="G487" s="41"/>
      <c r="H487" s="41"/>
      <c r="I487" s="41"/>
      <c r="J487" s="41"/>
      <c r="K487" s="41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</row>
    <row r="488" spans="1:24" ht="14.25" customHeight="1">
      <c r="A488" s="17"/>
      <c r="B488" s="17"/>
      <c r="C488" s="41"/>
      <c r="D488" s="41"/>
      <c r="E488" s="41"/>
      <c r="F488" s="41"/>
      <c r="G488" s="41"/>
      <c r="H488" s="41"/>
      <c r="I488" s="41"/>
      <c r="J488" s="41"/>
      <c r="K488" s="41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</row>
    <row r="489" spans="1:24" ht="14.25" customHeight="1">
      <c r="A489" s="17"/>
      <c r="B489" s="17"/>
      <c r="C489" s="41"/>
      <c r="D489" s="41"/>
      <c r="E489" s="41"/>
      <c r="F489" s="41"/>
      <c r="G489" s="41"/>
      <c r="H489" s="41"/>
      <c r="I489" s="41"/>
      <c r="J489" s="41"/>
      <c r="K489" s="41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</row>
    <row r="490" spans="1:24" ht="14.25" customHeight="1">
      <c r="A490" s="17"/>
      <c r="B490" s="17"/>
      <c r="C490" s="41"/>
      <c r="D490" s="41"/>
      <c r="E490" s="41"/>
      <c r="F490" s="41"/>
      <c r="G490" s="41"/>
      <c r="H490" s="41"/>
      <c r="I490" s="41"/>
      <c r="J490" s="41"/>
      <c r="K490" s="41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</row>
    <row r="491" spans="1:24" ht="14.25" customHeight="1">
      <c r="A491" s="17"/>
      <c r="B491" s="17"/>
      <c r="C491" s="41"/>
      <c r="D491" s="41"/>
      <c r="E491" s="41"/>
      <c r="F491" s="41"/>
      <c r="G491" s="41"/>
      <c r="H491" s="41"/>
      <c r="I491" s="41"/>
      <c r="J491" s="41"/>
      <c r="K491" s="41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</row>
    <row r="492" spans="1:24" ht="14.25" customHeight="1">
      <c r="A492" s="17"/>
      <c r="B492" s="17"/>
      <c r="C492" s="41"/>
      <c r="D492" s="41"/>
      <c r="E492" s="41"/>
      <c r="F492" s="41"/>
      <c r="G492" s="41"/>
      <c r="H492" s="41"/>
      <c r="I492" s="41"/>
      <c r="J492" s="41"/>
      <c r="K492" s="41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</row>
    <row r="493" spans="1:24" ht="14.25" customHeight="1">
      <c r="A493" s="17"/>
      <c r="B493" s="17"/>
      <c r="C493" s="41"/>
      <c r="D493" s="41"/>
      <c r="E493" s="41"/>
      <c r="F493" s="41"/>
      <c r="G493" s="41"/>
      <c r="H493" s="41"/>
      <c r="I493" s="41"/>
      <c r="J493" s="41"/>
      <c r="K493" s="41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</row>
    <row r="494" spans="1:24" ht="14.25" customHeight="1">
      <c r="A494" s="17"/>
      <c r="B494" s="17"/>
      <c r="C494" s="41"/>
      <c r="D494" s="41"/>
      <c r="E494" s="41"/>
      <c r="F494" s="41"/>
      <c r="G494" s="41"/>
      <c r="H494" s="41"/>
      <c r="I494" s="41"/>
      <c r="J494" s="41"/>
      <c r="K494" s="41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</row>
    <row r="495" spans="1:24" ht="14.25" customHeight="1">
      <c r="A495" s="17"/>
      <c r="B495" s="17"/>
      <c r="C495" s="41"/>
      <c r="D495" s="41"/>
      <c r="E495" s="41"/>
      <c r="F495" s="41"/>
      <c r="G495" s="41"/>
      <c r="H495" s="41"/>
      <c r="I495" s="41"/>
      <c r="J495" s="41"/>
      <c r="K495" s="41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</row>
    <row r="496" spans="1:24" ht="14.25" customHeight="1">
      <c r="A496" s="17"/>
      <c r="B496" s="17"/>
      <c r="C496" s="41"/>
      <c r="D496" s="41"/>
      <c r="E496" s="41"/>
      <c r="F496" s="41"/>
      <c r="G496" s="41"/>
      <c r="H496" s="41"/>
      <c r="I496" s="41"/>
      <c r="J496" s="41"/>
      <c r="K496" s="41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</row>
    <row r="497" spans="1:24" ht="14.25" customHeight="1">
      <c r="A497" s="17"/>
      <c r="B497" s="17"/>
      <c r="C497" s="41"/>
      <c r="D497" s="41"/>
      <c r="E497" s="41"/>
      <c r="F497" s="41"/>
      <c r="G497" s="41"/>
      <c r="H497" s="41"/>
      <c r="I497" s="41"/>
      <c r="J497" s="41"/>
      <c r="K497" s="41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</row>
    <row r="498" spans="1:24" ht="14.25" customHeight="1">
      <c r="A498" s="17"/>
      <c r="B498" s="17"/>
      <c r="C498" s="41"/>
      <c r="D498" s="41"/>
      <c r="E498" s="41"/>
      <c r="F498" s="41"/>
      <c r="G498" s="41"/>
      <c r="H498" s="41"/>
      <c r="I498" s="41"/>
      <c r="J498" s="41"/>
      <c r="K498" s="41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</row>
    <row r="499" spans="1:24" ht="14.25" customHeight="1">
      <c r="A499" s="17"/>
      <c r="B499" s="17"/>
      <c r="C499" s="41"/>
      <c r="D499" s="41"/>
      <c r="E499" s="41"/>
      <c r="F499" s="41"/>
      <c r="G499" s="41"/>
      <c r="H499" s="41"/>
      <c r="I499" s="41"/>
      <c r="J499" s="41"/>
      <c r="K499" s="41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</row>
    <row r="500" spans="1:24" ht="14.25" customHeight="1">
      <c r="A500" s="17"/>
      <c r="B500" s="17"/>
      <c r="C500" s="41"/>
      <c r="D500" s="41"/>
      <c r="E500" s="41"/>
      <c r="F500" s="41"/>
      <c r="G500" s="41"/>
      <c r="H500" s="41"/>
      <c r="I500" s="41"/>
      <c r="J500" s="41"/>
      <c r="K500" s="41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</row>
    <row r="501" spans="1:24" ht="14.25" customHeight="1">
      <c r="A501" s="17"/>
      <c r="B501" s="17"/>
      <c r="C501" s="41"/>
      <c r="D501" s="41"/>
      <c r="E501" s="41"/>
      <c r="F501" s="41"/>
      <c r="G501" s="41"/>
      <c r="H501" s="41"/>
      <c r="I501" s="41"/>
      <c r="J501" s="41"/>
      <c r="K501" s="41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</row>
    <row r="502" spans="1:24" ht="14.25" customHeight="1">
      <c r="A502" s="17"/>
      <c r="B502" s="17"/>
      <c r="C502" s="41"/>
      <c r="D502" s="41"/>
      <c r="E502" s="41"/>
      <c r="F502" s="41"/>
      <c r="G502" s="41"/>
      <c r="H502" s="41"/>
      <c r="I502" s="41"/>
      <c r="J502" s="41"/>
      <c r="K502" s="41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</row>
    <row r="503" spans="1:24" ht="14.25" customHeight="1">
      <c r="A503" s="17"/>
      <c r="B503" s="17"/>
      <c r="C503" s="41"/>
      <c r="D503" s="41"/>
      <c r="E503" s="41"/>
      <c r="F503" s="41"/>
      <c r="G503" s="41"/>
      <c r="H503" s="41"/>
      <c r="I503" s="41"/>
      <c r="J503" s="41"/>
      <c r="K503" s="41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</row>
    <row r="504" spans="1:24" ht="14.25" customHeight="1">
      <c r="A504" s="17"/>
      <c r="B504" s="17"/>
      <c r="C504" s="41"/>
      <c r="D504" s="41"/>
      <c r="E504" s="41"/>
      <c r="F504" s="41"/>
      <c r="G504" s="41"/>
      <c r="H504" s="41"/>
      <c r="I504" s="41"/>
      <c r="J504" s="41"/>
      <c r="K504" s="41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</row>
    <row r="505" spans="1:24" ht="14.25" customHeight="1">
      <c r="A505" s="17"/>
      <c r="B505" s="17"/>
      <c r="C505" s="41"/>
      <c r="D505" s="41"/>
      <c r="E505" s="41"/>
      <c r="F505" s="41"/>
      <c r="G505" s="41"/>
      <c r="H505" s="41"/>
      <c r="I505" s="41"/>
      <c r="J505" s="41"/>
      <c r="K505" s="41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</row>
    <row r="506" spans="1:24" ht="14.25" customHeight="1">
      <c r="A506" s="17"/>
      <c r="B506" s="17"/>
      <c r="C506" s="41"/>
      <c r="D506" s="41"/>
      <c r="E506" s="41"/>
      <c r="F506" s="41"/>
      <c r="G506" s="41"/>
      <c r="H506" s="41"/>
      <c r="I506" s="41"/>
      <c r="J506" s="41"/>
      <c r="K506" s="41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</row>
    <row r="507" spans="1:24" ht="14.25" customHeight="1">
      <c r="A507" s="17"/>
      <c r="B507" s="17"/>
      <c r="C507" s="41"/>
      <c r="D507" s="41"/>
      <c r="E507" s="41"/>
      <c r="F507" s="41"/>
      <c r="G507" s="41"/>
      <c r="H507" s="41"/>
      <c r="I507" s="41"/>
      <c r="J507" s="41"/>
      <c r="K507" s="41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</row>
    <row r="508" spans="1:24" ht="14.25" customHeight="1">
      <c r="A508" s="17"/>
      <c r="B508" s="17"/>
      <c r="C508" s="41"/>
      <c r="D508" s="41"/>
      <c r="E508" s="41"/>
      <c r="F508" s="41"/>
      <c r="G508" s="41"/>
      <c r="H508" s="41"/>
      <c r="I508" s="41"/>
      <c r="J508" s="41"/>
      <c r="K508" s="41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</row>
    <row r="509" spans="1:24" ht="14.25" customHeight="1">
      <c r="A509" s="17"/>
      <c r="B509" s="17"/>
      <c r="C509" s="41"/>
      <c r="D509" s="41"/>
      <c r="E509" s="41"/>
      <c r="F509" s="41"/>
      <c r="G509" s="41"/>
      <c r="H509" s="41"/>
      <c r="I509" s="41"/>
      <c r="J509" s="41"/>
      <c r="K509" s="41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</row>
    <row r="510" spans="1:24" ht="14.25" customHeight="1">
      <c r="A510" s="17"/>
      <c r="B510" s="17"/>
      <c r="C510" s="41"/>
      <c r="D510" s="41"/>
      <c r="E510" s="41"/>
      <c r="F510" s="41"/>
      <c r="G510" s="41"/>
      <c r="H510" s="41"/>
      <c r="I510" s="41"/>
      <c r="J510" s="41"/>
      <c r="K510" s="41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</row>
    <row r="511" spans="1:24" ht="14.25" customHeight="1">
      <c r="A511" s="17"/>
      <c r="B511" s="17"/>
      <c r="C511" s="41"/>
      <c r="D511" s="41"/>
      <c r="E511" s="41"/>
      <c r="F511" s="41"/>
      <c r="G511" s="41"/>
      <c r="H511" s="41"/>
      <c r="I511" s="41"/>
      <c r="J511" s="41"/>
      <c r="K511" s="41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</row>
    <row r="512" spans="1:24" ht="14.25" customHeight="1">
      <c r="A512" s="17"/>
      <c r="B512" s="17"/>
      <c r="C512" s="41"/>
      <c r="D512" s="41"/>
      <c r="E512" s="41"/>
      <c r="F512" s="41"/>
      <c r="G512" s="41"/>
      <c r="H512" s="41"/>
      <c r="I512" s="41"/>
      <c r="J512" s="41"/>
      <c r="K512" s="41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</row>
    <row r="513" spans="1:24" ht="14.25" customHeight="1">
      <c r="A513" s="17"/>
      <c r="B513" s="17"/>
      <c r="C513" s="41"/>
      <c r="D513" s="41"/>
      <c r="E513" s="41"/>
      <c r="F513" s="41"/>
      <c r="G513" s="41"/>
      <c r="H513" s="41"/>
      <c r="I513" s="41"/>
      <c r="J513" s="41"/>
      <c r="K513" s="41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</row>
    <row r="514" spans="1:24" ht="14.25" customHeight="1">
      <c r="A514" s="17"/>
      <c r="B514" s="17"/>
      <c r="C514" s="41"/>
      <c r="D514" s="41"/>
      <c r="E514" s="41"/>
      <c r="F514" s="41"/>
      <c r="G514" s="41"/>
      <c r="H514" s="41"/>
      <c r="I514" s="41"/>
      <c r="J514" s="41"/>
      <c r="K514" s="41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</row>
    <row r="515" spans="1:24" ht="14.25" customHeight="1">
      <c r="A515" s="17"/>
      <c r="B515" s="17"/>
      <c r="C515" s="41"/>
      <c r="D515" s="41"/>
      <c r="E515" s="41"/>
      <c r="F515" s="41"/>
      <c r="G515" s="41"/>
      <c r="H515" s="41"/>
      <c r="I515" s="41"/>
      <c r="J515" s="41"/>
      <c r="K515" s="41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</row>
    <row r="516" spans="1:24" ht="14.25" customHeight="1">
      <c r="A516" s="17"/>
      <c r="B516" s="17"/>
      <c r="C516" s="41"/>
      <c r="D516" s="41"/>
      <c r="E516" s="41"/>
      <c r="F516" s="41"/>
      <c r="G516" s="41"/>
      <c r="H516" s="41"/>
      <c r="I516" s="41"/>
      <c r="J516" s="41"/>
      <c r="K516" s="41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</row>
    <row r="517" spans="1:24" ht="14.25" customHeight="1">
      <c r="A517" s="17"/>
      <c r="B517" s="17"/>
      <c r="C517" s="41"/>
      <c r="D517" s="41"/>
      <c r="E517" s="41"/>
      <c r="F517" s="41"/>
      <c r="G517" s="41"/>
      <c r="H517" s="41"/>
      <c r="I517" s="41"/>
      <c r="J517" s="41"/>
      <c r="K517" s="41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</row>
    <row r="518" spans="1:24" ht="14.25" customHeight="1">
      <c r="A518" s="17"/>
      <c r="B518" s="17"/>
      <c r="C518" s="41"/>
      <c r="D518" s="41"/>
      <c r="E518" s="41"/>
      <c r="F518" s="41"/>
      <c r="G518" s="41"/>
      <c r="H518" s="41"/>
      <c r="I518" s="41"/>
      <c r="J518" s="41"/>
      <c r="K518" s="41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</row>
    <row r="519" spans="1:24" ht="14.25" customHeight="1">
      <c r="A519" s="17"/>
      <c r="B519" s="17"/>
      <c r="C519" s="41"/>
      <c r="D519" s="41"/>
      <c r="E519" s="41"/>
      <c r="F519" s="41"/>
      <c r="G519" s="41"/>
      <c r="H519" s="41"/>
      <c r="I519" s="41"/>
      <c r="J519" s="41"/>
      <c r="K519" s="41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</row>
    <row r="520" spans="1:24" ht="14.25" customHeight="1">
      <c r="A520" s="17"/>
      <c r="B520" s="17"/>
      <c r="C520" s="41"/>
      <c r="D520" s="41"/>
      <c r="E520" s="41"/>
      <c r="F520" s="41"/>
      <c r="G520" s="41"/>
      <c r="H520" s="41"/>
      <c r="I520" s="41"/>
      <c r="J520" s="41"/>
      <c r="K520" s="41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</row>
    <row r="521" spans="1:24" ht="14.25" customHeight="1">
      <c r="A521" s="17"/>
      <c r="B521" s="17"/>
      <c r="C521" s="41"/>
      <c r="D521" s="41"/>
      <c r="E521" s="41"/>
      <c r="F521" s="41"/>
      <c r="G521" s="41"/>
      <c r="H521" s="41"/>
      <c r="I521" s="41"/>
      <c r="J521" s="41"/>
      <c r="K521" s="41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</row>
    <row r="522" spans="1:24" ht="14.25" customHeight="1">
      <c r="A522" s="17"/>
      <c r="B522" s="17"/>
      <c r="C522" s="41"/>
      <c r="D522" s="41"/>
      <c r="E522" s="41"/>
      <c r="F522" s="41"/>
      <c r="G522" s="41"/>
      <c r="H522" s="41"/>
      <c r="I522" s="41"/>
      <c r="J522" s="41"/>
      <c r="K522" s="41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</row>
    <row r="523" spans="1:24" ht="14.25" customHeight="1">
      <c r="A523" s="17"/>
      <c r="B523" s="17"/>
      <c r="C523" s="41"/>
      <c r="D523" s="41"/>
      <c r="E523" s="41"/>
      <c r="F523" s="41"/>
      <c r="G523" s="41"/>
      <c r="H523" s="41"/>
      <c r="I523" s="41"/>
      <c r="J523" s="41"/>
      <c r="K523" s="41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</row>
    <row r="524" spans="1:24" ht="14.25" customHeight="1">
      <c r="A524" s="17"/>
      <c r="B524" s="17"/>
      <c r="C524" s="41"/>
      <c r="D524" s="41"/>
      <c r="E524" s="41"/>
      <c r="F524" s="41"/>
      <c r="G524" s="41"/>
      <c r="H524" s="41"/>
      <c r="I524" s="41"/>
      <c r="J524" s="41"/>
      <c r="K524" s="41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</row>
    <row r="525" spans="1:24" ht="14.25" customHeight="1">
      <c r="A525" s="17"/>
      <c r="B525" s="17"/>
      <c r="C525" s="41"/>
      <c r="D525" s="41"/>
      <c r="E525" s="41"/>
      <c r="F525" s="41"/>
      <c r="G525" s="41"/>
      <c r="H525" s="41"/>
      <c r="I525" s="41"/>
      <c r="J525" s="41"/>
      <c r="K525" s="41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</row>
    <row r="526" spans="1:24" ht="14.25" customHeight="1">
      <c r="A526" s="17"/>
      <c r="B526" s="17"/>
      <c r="C526" s="41"/>
      <c r="D526" s="41"/>
      <c r="E526" s="41"/>
      <c r="F526" s="41"/>
      <c r="G526" s="41"/>
      <c r="H526" s="41"/>
      <c r="I526" s="41"/>
      <c r="J526" s="41"/>
      <c r="K526" s="41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</row>
    <row r="527" spans="1:24" ht="14.25" customHeight="1">
      <c r="A527" s="17"/>
      <c r="B527" s="17"/>
      <c r="C527" s="41"/>
      <c r="D527" s="41"/>
      <c r="E527" s="41"/>
      <c r="F527" s="41"/>
      <c r="G527" s="41"/>
      <c r="H527" s="41"/>
      <c r="I527" s="41"/>
      <c r="J527" s="41"/>
      <c r="K527" s="41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</row>
    <row r="528" spans="1:24" ht="14.25" customHeight="1">
      <c r="A528" s="17"/>
      <c r="B528" s="17"/>
      <c r="C528" s="41"/>
      <c r="D528" s="41"/>
      <c r="E528" s="41"/>
      <c r="F528" s="41"/>
      <c r="G528" s="41"/>
      <c r="H528" s="41"/>
      <c r="I528" s="41"/>
      <c r="J528" s="41"/>
      <c r="K528" s="41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</row>
    <row r="529" spans="1:24" ht="14.25" customHeight="1">
      <c r="A529" s="17"/>
      <c r="B529" s="17"/>
      <c r="C529" s="41"/>
      <c r="D529" s="41"/>
      <c r="E529" s="41"/>
      <c r="F529" s="41"/>
      <c r="G529" s="41"/>
      <c r="H529" s="41"/>
      <c r="I529" s="41"/>
      <c r="J529" s="41"/>
      <c r="K529" s="41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</row>
    <row r="530" spans="1:24" ht="14.25" customHeight="1">
      <c r="A530" s="17"/>
      <c r="B530" s="17"/>
      <c r="C530" s="41"/>
      <c r="D530" s="41"/>
      <c r="E530" s="41"/>
      <c r="F530" s="41"/>
      <c r="G530" s="41"/>
      <c r="H530" s="41"/>
      <c r="I530" s="41"/>
      <c r="J530" s="41"/>
      <c r="K530" s="41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</row>
    <row r="531" spans="1:24" ht="14.25" customHeight="1">
      <c r="A531" s="17"/>
      <c r="B531" s="17"/>
      <c r="C531" s="41"/>
      <c r="D531" s="41"/>
      <c r="E531" s="41"/>
      <c r="F531" s="41"/>
      <c r="G531" s="41"/>
      <c r="H531" s="41"/>
      <c r="I531" s="41"/>
      <c r="J531" s="41"/>
      <c r="K531" s="41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</row>
    <row r="532" spans="1:24" ht="14.25" customHeight="1">
      <c r="A532" s="17"/>
      <c r="B532" s="17"/>
      <c r="C532" s="41"/>
      <c r="D532" s="41"/>
      <c r="E532" s="41"/>
      <c r="F532" s="41"/>
      <c r="G532" s="41"/>
      <c r="H532" s="41"/>
      <c r="I532" s="41"/>
      <c r="J532" s="41"/>
      <c r="K532" s="41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</row>
    <row r="533" spans="1:24" ht="14.25" customHeight="1">
      <c r="A533" s="17"/>
      <c r="B533" s="17"/>
      <c r="C533" s="41"/>
      <c r="D533" s="41"/>
      <c r="E533" s="41"/>
      <c r="F533" s="41"/>
      <c r="G533" s="41"/>
      <c r="H533" s="41"/>
      <c r="I533" s="41"/>
      <c r="J533" s="41"/>
      <c r="K533" s="41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</row>
    <row r="534" spans="1:24" ht="14.25" customHeight="1">
      <c r="A534" s="17"/>
      <c r="B534" s="17"/>
      <c r="C534" s="41"/>
      <c r="D534" s="41"/>
      <c r="E534" s="41"/>
      <c r="F534" s="41"/>
      <c r="G534" s="41"/>
      <c r="H534" s="41"/>
      <c r="I534" s="41"/>
      <c r="J534" s="41"/>
      <c r="K534" s="41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</row>
    <row r="535" spans="1:24" ht="14.25" customHeight="1">
      <c r="A535" s="17"/>
      <c r="B535" s="17"/>
      <c r="C535" s="41"/>
      <c r="D535" s="41"/>
      <c r="E535" s="41"/>
      <c r="F535" s="41"/>
      <c r="G535" s="41"/>
      <c r="H535" s="41"/>
      <c r="I535" s="41"/>
      <c r="J535" s="41"/>
      <c r="K535" s="41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</row>
    <row r="536" spans="1:24" ht="14.25" customHeight="1">
      <c r="A536" s="17"/>
      <c r="B536" s="17"/>
      <c r="C536" s="41"/>
      <c r="D536" s="41"/>
      <c r="E536" s="41"/>
      <c r="F536" s="41"/>
      <c r="G536" s="41"/>
      <c r="H536" s="41"/>
      <c r="I536" s="41"/>
      <c r="J536" s="41"/>
      <c r="K536" s="41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</row>
    <row r="537" spans="1:24" ht="14.25" customHeight="1">
      <c r="A537" s="17"/>
      <c r="B537" s="17"/>
      <c r="C537" s="41"/>
      <c r="D537" s="41"/>
      <c r="E537" s="41"/>
      <c r="F537" s="41"/>
      <c r="G537" s="41"/>
      <c r="H537" s="41"/>
      <c r="I537" s="41"/>
      <c r="J537" s="41"/>
      <c r="K537" s="41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</row>
    <row r="538" spans="1:24" ht="14.25" customHeight="1">
      <c r="A538" s="17"/>
      <c r="B538" s="17"/>
      <c r="C538" s="41"/>
      <c r="D538" s="41"/>
      <c r="E538" s="41"/>
      <c r="F538" s="41"/>
      <c r="G538" s="41"/>
      <c r="H538" s="41"/>
      <c r="I538" s="41"/>
      <c r="J538" s="41"/>
      <c r="K538" s="41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</row>
    <row r="539" spans="1:24" ht="14.25" customHeight="1">
      <c r="A539" s="17"/>
      <c r="B539" s="17"/>
      <c r="C539" s="41"/>
      <c r="D539" s="41"/>
      <c r="E539" s="41"/>
      <c r="F539" s="41"/>
      <c r="G539" s="41"/>
      <c r="H539" s="41"/>
      <c r="I539" s="41"/>
      <c r="J539" s="41"/>
      <c r="K539" s="41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</row>
    <row r="540" spans="1:24" ht="14.25" customHeight="1">
      <c r="A540" s="17"/>
      <c r="B540" s="17"/>
      <c r="C540" s="41"/>
      <c r="D540" s="41"/>
      <c r="E540" s="41"/>
      <c r="F540" s="41"/>
      <c r="G540" s="41"/>
      <c r="H540" s="41"/>
      <c r="I540" s="41"/>
      <c r="J540" s="41"/>
      <c r="K540" s="41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</row>
    <row r="541" spans="1:24" ht="14.25" customHeight="1">
      <c r="A541" s="17"/>
      <c r="B541" s="17"/>
      <c r="C541" s="41"/>
      <c r="D541" s="41"/>
      <c r="E541" s="41"/>
      <c r="F541" s="41"/>
      <c r="G541" s="41"/>
      <c r="H541" s="41"/>
      <c r="I541" s="41"/>
      <c r="J541" s="41"/>
      <c r="K541" s="41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</row>
    <row r="542" spans="1:24" ht="14.25" customHeight="1">
      <c r="A542" s="17"/>
      <c r="B542" s="17"/>
      <c r="C542" s="41"/>
      <c r="D542" s="41"/>
      <c r="E542" s="41"/>
      <c r="F542" s="41"/>
      <c r="G542" s="41"/>
      <c r="H542" s="41"/>
      <c r="I542" s="41"/>
      <c r="J542" s="41"/>
      <c r="K542" s="41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</row>
    <row r="543" spans="1:24" ht="14.25" customHeight="1">
      <c r="A543" s="17"/>
      <c r="B543" s="17"/>
      <c r="C543" s="41"/>
      <c r="D543" s="41"/>
      <c r="E543" s="41"/>
      <c r="F543" s="41"/>
      <c r="G543" s="41"/>
      <c r="H543" s="41"/>
      <c r="I543" s="41"/>
      <c r="J543" s="41"/>
      <c r="K543" s="41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</row>
    <row r="544" spans="1:24" ht="14.25" customHeight="1">
      <c r="A544" s="17"/>
      <c r="B544" s="17"/>
      <c r="C544" s="41"/>
      <c r="D544" s="41"/>
      <c r="E544" s="41"/>
      <c r="F544" s="41"/>
      <c r="G544" s="41"/>
      <c r="H544" s="41"/>
      <c r="I544" s="41"/>
      <c r="J544" s="41"/>
      <c r="K544" s="41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</row>
    <row r="545" spans="1:24" ht="14.25" customHeight="1">
      <c r="A545" s="17"/>
      <c r="B545" s="17"/>
      <c r="C545" s="41"/>
      <c r="D545" s="41"/>
      <c r="E545" s="41"/>
      <c r="F545" s="41"/>
      <c r="G545" s="41"/>
      <c r="H545" s="41"/>
      <c r="I545" s="41"/>
      <c r="J545" s="41"/>
      <c r="K545" s="41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</row>
    <row r="546" spans="1:24" ht="14.25" customHeight="1">
      <c r="A546" s="17"/>
      <c r="B546" s="17"/>
      <c r="C546" s="41"/>
      <c r="D546" s="41"/>
      <c r="E546" s="41"/>
      <c r="F546" s="41"/>
      <c r="G546" s="41"/>
      <c r="H546" s="41"/>
      <c r="I546" s="41"/>
      <c r="J546" s="41"/>
      <c r="K546" s="41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</row>
    <row r="547" spans="1:24" ht="14.25" customHeight="1">
      <c r="A547" s="17"/>
      <c r="B547" s="17"/>
      <c r="C547" s="41"/>
      <c r="D547" s="41"/>
      <c r="E547" s="41"/>
      <c r="F547" s="41"/>
      <c r="G547" s="41"/>
      <c r="H547" s="41"/>
      <c r="I547" s="41"/>
      <c r="J547" s="41"/>
      <c r="K547" s="41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</row>
    <row r="548" spans="1:24" ht="14.25" customHeight="1">
      <c r="A548" s="17"/>
      <c r="B548" s="17"/>
      <c r="C548" s="41"/>
      <c r="D548" s="41"/>
      <c r="E548" s="41"/>
      <c r="F548" s="41"/>
      <c r="G548" s="41"/>
      <c r="H548" s="41"/>
      <c r="I548" s="41"/>
      <c r="J548" s="41"/>
      <c r="K548" s="41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</row>
    <row r="549" spans="1:24" ht="14.25" customHeight="1">
      <c r="A549" s="17"/>
      <c r="B549" s="17"/>
      <c r="C549" s="41"/>
      <c r="D549" s="41"/>
      <c r="E549" s="41"/>
      <c r="F549" s="41"/>
      <c r="G549" s="41"/>
      <c r="H549" s="41"/>
      <c r="I549" s="41"/>
      <c r="J549" s="41"/>
      <c r="K549" s="41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</row>
    <row r="550" spans="1:24" ht="14.25" customHeight="1">
      <c r="A550" s="17"/>
      <c r="B550" s="17"/>
      <c r="C550" s="41"/>
      <c r="D550" s="41"/>
      <c r="E550" s="41"/>
      <c r="F550" s="41"/>
      <c r="G550" s="41"/>
      <c r="H550" s="41"/>
      <c r="I550" s="41"/>
      <c r="J550" s="41"/>
      <c r="K550" s="41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</row>
    <row r="551" spans="1:24" ht="14.25" customHeight="1">
      <c r="A551" s="17"/>
      <c r="B551" s="17"/>
      <c r="C551" s="41"/>
      <c r="D551" s="41"/>
      <c r="E551" s="41"/>
      <c r="F551" s="41"/>
      <c r="G551" s="41"/>
      <c r="H551" s="41"/>
      <c r="I551" s="41"/>
      <c r="J551" s="41"/>
      <c r="K551" s="41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</row>
    <row r="552" spans="1:24" ht="14.25" customHeight="1">
      <c r="A552" s="17"/>
      <c r="B552" s="17"/>
      <c r="C552" s="41"/>
      <c r="D552" s="41"/>
      <c r="E552" s="41"/>
      <c r="F552" s="41"/>
      <c r="G552" s="41"/>
      <c r="H552" s="41"/>
      <c r="I552" s="41"/>
      <c r="J552" s="41"/>
      <c r="K552" s="41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</row>
    <row r="553" spans="1:24" ht="14.25" customHeight="1">
      <c r="A553" s="17"/>
      <c r="B553" s="17"/>
      <c r="C553" s="41"/>
      <c r="D553" s="41"/>
      <c r="E553" s="41"/>
      <c r="F553" s="41"/>
      <c r="G553" s="41"/>
      <c r="H553" s="41"/>
      <c r="I553" s="41"/>
      <c r="J553" s="41"/>
      <c r="K553" s="41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</row>
    <row r="554" spans="1:24" ht="14.25" customHeight="1">
      <c r="A554" s="17"/>
      <c r="B554" s="17"/>
      <c r="C554" s="41"/>
      <c r="D554" s="41"/>
      <c r="E554" s="41"/>
      <c r="F554" s="41"/>
      <c r="G554" s="41"/>
      <c r="H554" s="41"/>
      <c r="I554" s="41"/>
      <c r="J554" s="41"/>
      <c r="K554" s="41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</row>
    <row r="555" spans="1:24" ht="14.25" customHeight="1">
      <c r="A555" s="17"/>
      <c r="B555" s="17"/>
      <c r="C555" s="41"/>
      <c r="D555" s="41"/>
      <c r="E555" s="41"/>
      <c r="F555" s="41"/>
      <c r="G555" s="41"/>
      <c r="H555" s="41"/>
      <c r="I555" s="41"/>
      <c r="J555" s="41"/>
      <c r="K555" s="41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</row>
    <row r="556" spans="1:24" ht="14.25" customHeight="1">
      <c r="A556" s="17"/>
      <c r="B556" s="17"/>
      <c r="C556" s="41"/>
      <c r="D556" s="41"/>
      <c r="E556" s="41"/>
      <c r="F556" s="41"/>
      <c r="G556" s="41"/>
      <c r="H556" s="41"/>
      <c r="I556" s="41"/>
      <c r="J556" s="41"/>
      <c r="K556" s="41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</row>
    <row r="557" spans="1:24" ht="14.25" customHeight="1">
      <c r="A557" s="17"/>
      <c r="B557" s="17"/>
      <c r="C557" s="41"/>
      <c r="D557" s="41"/>
      <c r="E557" s="41"/>
      <c r="F557" s="41"/>
      <c r="G557" s="41"/>
      <c r="H557" s="41"/>
      <c r="I557" s="41"/>
      <c r="J557" s="41"/>
      <c r="K557" s="41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</row>
    <row r="558" spans="1:24" ht="14.25" customHeight="1">
      <c r="A558" s="17"/>
      <c r="B558" s="17"/>
      <c r="C558" s="41"/>
      <c r="D558" s="41"/>
      <c r="E558" s="41"/>
      <c r="F558" s="41"/>
      <c r="G558" s="41"/>
      <c r="H558" s="41"/>
      <c r="I558" s="41"/>
      <c r="J558" s="41"/>
      <c r="K558" s="41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</row>
    <row r="559" spans="1:24" ht="14.25" customHeight="1">
      <c r="A559" s="17"/>
      <c r="B559" s="17"/>
      <c r="C559" s="41"/>
      <c r="D559" s="41"/>
      <c r="E559" s="41"/>
      <c r="F559" s="41"/>
      <c r="G559" s="41"/>
      <c r="H559" s="41"/>
      <c r="I559" s="41"/>
      <c r="J559" s="41"/>
      <c r="K559" s="41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</row>
    <row r="560" spans="1:24" ht="14.25" customHeight="1">
      <c r="A560" s="17"/>
      <c r="B560" s="17"/>
      <c r="C560" s="41"/>
      <c r="D560" s="41"/>
      <c r="E560" s="41"/>
      <c r="F560" s="41"/>
      <c r="G560" s="41"/>
      <c r="H560" s="41"/>
      <c r="I560" s="41"/>
      <c r="J560" s="41"/>
      <c r="K560" s="41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</row>
    <row r="561" spans="1:24" ht="14.25" customHeight="1">
      <c r="A561" s="17"/>
      <c r="B561" s="17"/>
      <c r="C561" s="41"/>
      <c r="D561" s="41"/>
      <c r="E561" s="41"/>
      <c r="F561" s="41"/>
      <c r="G561" s="41"/>
      <c r="H561" s="41"/>
      <c r="I561" s="41"/>
      <c r="J561" s="41"/>
      <c r="K561" s="41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</row>
    <row r="562" spans="1:24" ht="14.25" customHeight="1">
      <c r="A562" s="17"/>
      <c r="B562" s="17"/>
      <c r="C562" s="41"/>
      <c r="D562" s="41"/>
      <c r="E562" s="41"/>
      <c r="F562" s="41"/>
      <c r="G562" s="41"/>
      <c r="H562" s="41"/>
      <c r="I562" s="41"/>
      <c r="J562" s="41"/>
      <c r="K562" s="41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</row>
    <row r="563" spans="1:24" ht="14.25" customHeight="1">
      <c r="A563" s="17"/>
      <c r="B563" s="17"/>
      <c r="C563" s="41"/>
      <c r="D563" s="41"/>
      <c r="E563" s="41"/>
      <c r="F563" s="41"/>
      <c r="G563" s="41"/>
      <c r="H563" s="41"/>
      <c r="I563" s="41"/>
      <c r="J563" s="41"/>
      <c r="K563" s="41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</row>
    <row r="564" spans="1:24" ht="14.25" customHeight="1">
      <c r="A564" s="17"/>
      <c r="B564" s="17"/>
      <c r="C564" s="41"/>
      <c r="D564" s="41"/>
      <c r="E564" s="41"/>
      <c r="F564" s="41"/>
      <c r="G564" s="41"/>
      <c r="H564" s="41"/>
      <c r="I564" s="41"/>
      <c r="J564" s="41"/>
      <c r="K564" s="41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</row>
    <row r="565" spans="1:24" ht="14.25" customHeight="1">
      <c r="A565" s="17"/>
      <c r="B565" s="17"/>
      <c r="C565" s="41"/>
      <c r="D565" s="41"/>
      <c r="E565" s="41"/>
      <c r="F565" s="41"/>
      <c r="G565" s="41"/>
      <c r="H565" s="41"/>
      <c r="I565" s="41"/>
      <c r="J565" s="41"/>
      <c r="K565" s="41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</row>
    <row r="566" spans="1:24" ht="14.25" customHeight="1">
      <c r="A566" s="17"/>
      <c r="B566" s="17"/>
      <c r="C566" s="41"/>
      <c r="D566" s="41"/>
      <c r="E566" s="41"/>
      <c r="F566" s="41"/>
      <c r="G566" s="41"/>
      <c r="H566" s="41"/>
      <c r="I566" s="41"/>
      <c r="J566" s="41"/>
      <c r="K566" s="41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</row>
    <row r="567" spans="1:24" ht="14.25" customHeight="1">
      <c r="A567" s="17"/>
      <c r="B567" s="17"/>
      <c r="C567" s="41"/>
      <c r="D567" s="41"/>
      <c r="E567" s="41"/>
      <c r="F567" s="41"/>
      <c r="G567" s="41"/>
      <c r="H567" s="41"/>
      <c r="I567" s="41"/>
      <c r="J567" s="41"/>
      <c r="K567" s="41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</row>
    <row r="568" spans="1:24" ht="14.25" customHeight="1">
      <c r="A568" s="17"/>
      <c r="B568" s="17"/>
      <c r="C568" s="41"/>
      <c r="D568" s="41"/>
      <c r="E568" s="41"/>
      <c r="F568" s="41"/>
      <c r="G568" s="41"/>
      <c r="H568" s="41"/>
      <c r="I568" s="41"/>
      <c r="J568" s="41"/>
      <c r="K568" s="41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</row>
    <row r="569" spans="1:24" ht="14.25" customHeight="1">
      <c r="A569" s="17"/>
      <c r="B569" s="17"/>
      <c r="C569" s="41"/>
      <c r="D569" s="41"/>
      <c r="E569" s="41"/>
      <c r="F569" s="41"/>
      <c r="G569" s="41"/>
      <c r="H569" s="41"/>
      <c r="I569" s="41"/>
      <c r="J569" s="41"/>
      <c r="K569" s="41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</row>
    <row r="570" spans="1:24" ht="14.25" customHeight="1">
      <c r="A570" s="17"/>
      <c r="B570" s="17"/>
      <c r="C570" s="41"/>
      <c r="D570" s="41"/>
      <c r="E570" s="41"/>
      <c r="F570" s="41"/>
      <c r="G570" s="41"/>
      <c r="H570" s="41"/>
      <c r="I570" s="41"/>
      <c r="J570" s="41"/>
      <c r="K570" s="41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</row>
    <row r="571" spans="1:24" ht="14.25" customHeight="1">
      <c r="A571" s="17"/>
      <c r="B571" s="17"/>
      <c r="C571" s="41"/>
      <c r="D571" s="41"/>
      <c r="E571" s="41"/>
      <c r="F571" s="41"/>
      <c r="G571" s="41"/>
      <c r="H571" s="41"/>
      <c r="I571" s="41"/>
      <c r="J571" s="41"/>
      <c r="K571" s="41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</row>
    <row r="572" spans="1:24" ht="14.25" customHeight="1">
      <c r="A572" s="17"/>
      <c r="B572" s="17"/>
      <c r="C572" s="41"/>
      <c r="D572" s="41"/>
      <c r="E572" s="41"/>
      <c r="F572" s="41"/>
      <c r="G572" s="41"/>
      <c r="H572" s="41"/>
      <c r="I572" s="41"/>
      <c r="J572" s="41"/>
      <c r="K572" s="41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</row>
    <row r="573" spans="1:24" ht="14.25" customHeight="1">
      <c r="A573" s="17"/>
      <c r="B573" s="17"/>
      <c r="C573" s="41"/>
      <c r="D573" s="41"/>
      <c r="E573" s="41"/>
      <c r="F573" s="41"/>
      <c r="G573" s="41"/>
      <c r="H573" s="41"/>
      <c r="I573" s="41"/>
      <c r="J573" s="41"/>
      <c r="K573" s="41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</row>
    <row r="574" spans="1:24" ht="14.25" customHeight="1">
      <c r="A574" s="17"/>
      <c r="B574" s="17"/>
      <c r="C574" s="41"/>
      <c r="D574" s="41"/>
      <c r="E574" s="41"/>
      <c r="F574" s="41"/>
      <c r="G574" s="41"/>
      <c r="H574" s="41"/>
      <c r="I574" s="41"/>
      <c r="J574" s="41"/>
      <c r="K574" s="41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</row>
    <row r="575" spans="1:24" ht="14.25" customHeight="1">
      <c r="A575" s="17"/>
      <c r="B575" s="17"/>
      <c r="C575" s="41"/>
      <c r="D575" s="41"/>
      <c r="E575" s="41"/>
      <c r="F575" s="41"/>
      <c r="G575" s="41"/>
      <c r="H575" s="41"/>
      <c r="I575" s="41"/>
      <c r="J575" s="41"/>
      <c r="K575" s="41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</row>
    <row r="576" spans="1:24" ht="14.25" customHeight="1">
      <c r="A576" s="17"/>
      <c r="B576" s="17"/>
      <c r="C576" s="41"/>
      <c r="D576" s="41"/>
      <c r="E576" s="41"/>
      <c r="F576" s="41"/>
      <c r="G576" s="41"/>
      <c r="H576" s="41"/>
      <c r="I576" s="41"/>
      <c r="J576" s="41"/>
      <c r="K576" s="41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</row>
    <row r="577" spans="1:24" ht="14.25" customHeight="1">
      <c r="A577" s="17"/>
      <c r="B577" s="17"/>
      <c r="C577" s="41"/>
      <c r="D577" s="41"/>
      <c r="E577" s="41"/>
      <c r="F577" s="41"/>
      <c r="G577" s="41"/>
      <c r="H577" s="41"/>
      <c r="I577" s="41"/>
      <c r="J577" s="41"/>
      <c r="K577" s="41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</row>
    <row r="578" spans="1:24" ht="14.25" customHeight="1">
      <c r="A578" s="17"/>
      <c r="B578" s="17"/>
      <c r="C578" s="41"/>
      <c r="D578" s="41"/>
      <c r="E578" s="41"/>
      <c r="F578" s="41"/>
      <c r="G578" s="41"/>
      <c r="H578" s="41"/>
      <c r="I578" s="41"/>
      <c r="J578" s="41"/>
      <c r="K578" s="41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</row>
    <row r="579" spans="1:24" ht="14.25" customHeight="1">
      <c r="A579" s="17"/>
      <c r="B579" s="17"/>
      <c r="C579" s="41"/>
      <c r="D579" s="41"/>
      <c r="E579" s="41"/>
      <c r="F579" s="41"/>
      <c r="G579" s="41"/>
      <c r="H579" s="41"/>
      <c r="I579" s="41"/>
      <c r="J579" s="41"/>
      <c r="K579" s="41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</row>
    <row r="580" spans="1:24" ht="14.25" customHeight="1">
      <c r="A580" s="17"/>
      <c r="B580" s="17"/>
      <c r="C580" s="41"/>
      <c r="D580" s="41"/>
      <c r="E580" s="41"/>
      <c r="F580" s="41"/>
      <c r="G580" s="41"/>
      <c r="H580" s="41"/>
      <c r="I580" s="41"/>
      <c r="J580" s="41"/>
      <c r="K580" s="41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</row>
    <row r="581" spans="1:24" ht="14.25" customHeight="1">
      <c r="A581" s="17"/>
      <c r="B581" s="17"/>
      <c r="C581" s="41"/>
      <c r="D581" s="41"/>
      <c r="E581" s="41"/>
      <c r="F581" s="41"/>
      <c r="G581" s="41"/>
      <c r="H581" s="41"/>
      <c r="I581" s="41"/>
      <c r="J581" s="41"/>
      <c r="K581" s="41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</row>
    <row r="582" spans="1:24" ht="14.25" customHeight="1">
      <c r="A582" s="17"/>
      <c r="B582" s="17"/>
      <c r="C582" s="41"/>
      <c r="D582" s="41"/>
      <c r="E582" s="41"/>
      <c r="F582" s="41"/>
      <c r="G582" s="41"/>
      <c r="H582" s="41"/>
      <c r="I582" s="41"/>
      <c r="J582" s="41"/>
      <c r="K582" s="41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</row>
    <row r="583" spans="1:24" ht="14.25" customHeight="1">
      <c r="A583" s="17"/>
      <c r="B583" s="17"/>
      <c r="C583" s="41"/>
      <c r="D583" s="41"/>
      <c r="E583" s="41"/>
      <c r="F583" s="41"/>
      <c r="G583" s="41"/>
      <c r="H583" s="41"/>
      <c r="I583" s="41"/>
      <c r="J583" s="41"/>
      <c r="K583" s="41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</row>
    <row r="584" spans="1:24" ht="14.25" customHeight="1">
      <c r="A584" s="17"/>
      <c r="B584" s="17"/>
      <c r="C584" s="41"/>
      <c r="D584" s="41"/>
      <c r="E584" s="41"/>
      <c r="F584" s="41"/>
      <c r="G584" s="41"/>
      <c r="H584" s="41"/>
      <c r="I584" s="41"/>
      <c r="J584" s="41"/>
      <c r="K584" s="41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</row>
    <row r="585" spans="1:24" ht="14.25" customHeight="1">
      <c r="A585" s="17"/>
      <c r="B585" s="17"/>
      <c r="C585" s="41"/>
      <c r="D585" s="41"/>
      <c r="E585" s="41"/>
      <c r="F585" s="41"/>
      <c r="G585" s="41"/>
      <c r="H585" s="41"/>
      <c r="I585" s="41"/>
      <c r="J585" s="41"/>
      <c r="K585" s="41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</row>
    <row r="586" spans="1:24" ht="14.25" customHeight="1">
      <c r="A586" s="17"/>
      <c r="B586" s="17"/>
      <c r="C586" s="41"/>
      <c r="D586" s="41"/>
      <c r="E586" s="41"/>
      <c r="F586" s="41"/>
      <c r="G586" s="41"/>
      <c r="H586" s="41"/>
      <c r="I586" s="41"/>
      <c r="J586" s="41"/>
      <c r="K586" s="41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</row>
    <row r="587" spans="1:24" ht="14.25" customHeight="1">
      <c r="A587" s="17"/>
      <c r="B587" s="17"/>
      <c r="C587" s="41"/>
      <c r="D587" s="41"/>
      <c r="E587" s="41"/>
      <c r="F587" s="41"/>
      <c r="G587" s="41"/>
      <c r="H587" s="41"/>
      <c r="I587" s="41"/>
      <c r="J587" s="41"/>
      <c r="K587" s="41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</row>
    <row r="588" spans="1:24" ht="14.25" customHeight="1">
      <c r="A588" s="17"/>
      <c r="B588" s="17"/>
      <c r="C588" s="41"/>
      <c r="D588" s="41"/>
      <c r="E588" s="41"/>
      <c r="F588" s="41"/>
      <c r="G588" s="41"/>
      <c r="H588" s="41"/>
      <c r="I588" s="41"/>
      <c r="J588" s="41"/>
      <c r="K588" s="41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</row>
    <row r="589" spans="1:24" ht="14.25" customHeight="1">
      <c r="A589" s="17"/>
      <c r="B589" s="17"/>
      <c r="C589" s="41"/>
      <c r="D589" s="41"/>
      <c r="E589" s="41"/>
      <c r="F589" s="41"/>
      <c r="G589" s="41"/>
      <c r="H589" s="41"/>
      <c r="I589" s="41"/>
      <c r="J589" s="41"/>
      <c r="K589" s="41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</row>
    <row r="590" spans="1:24" ht="14.25" customHeight="1">
      <c r="A590" s="17"/>
      <c r="B590" s="17"/>
      <c r="C590" s="41"/>
      <c r="D590" s="41"/>
      <c r="E590" s="41"/>
      <c r="F590" s="41"/>
      <c r="G590" s="41"/>
      <c r="H590" s="41"/>
      <c r="I590" s="41"/>
      <c r="J590" s="41"/>
      <c r="K590" s="41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</row>
    <row r="591" spans="1:24" ht="14.25" customHeight="1">
      <c r="A591" s="17"/>
      <c r="B591" s="17"/>
      <c r="C591" s="41"/>
      <c r="D591" s="41"/>
      <c r="E591" s="41"/>
      <c r="F591" s="41"/>
      <c r="G591" s="41"/>
      <c r="H591" s="41"/>
      <c r="I591" s="41"/>
      <c r="J591" s="41"/>
      <c r="K591" s="41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</row>
    <row r="592" spans="1:24" ht="14.25" customHeight="1">
      <c r="A592" s="17"/>
      <c r="B592" s="17"/>
      <c r="C592" s="41"/>
      <c r="D592" s="41"/>
      <c r="E592" s="41"/>
      <c r="F592" s="41"/>
      <c r="G592" s="41"/>
      <c r="H592" s="41"/>
      <c r="I592" s="41"/>
      <c r="J592" s="41"/>
      <c r="K592" s="41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</row>
    <row r="593" spans="1:24" ht="14.25" customHeight="1">
      <c r="A593" s="17"/>
      <c r="B593" s="17"/>
      <c r="C593" s="41"/>
      <c r="D593" s="41"/>
      <c r="E593" s="41"/>
      <c r="F593" s="41"/>
      <c r="G593" s="41"/>
      <c r="H593" s="41"/>
      <c r="I593" s="41"/>
      <c r="J593" s="41"/>
      <c r="K593" s="41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</row>
    <row r="594" spans="1:24" ht="14.25" customHeight="1">
      <c r="A594" s="17"/>
      <c r="B594" s="17"/>
      <c r="C594" s="41"/>
      <c r="D594" s="41"/>
      <c r="E594" s="41"/>
      <c r="F594" s="41"/>
      <c r="G594" s="41"/>
      <c r="H594" s="41"/>
      <c r="I594" s="41"/>
      <c r="J594" s="41"/>
      <c r="K594" s="41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</row>
    <row r="595" spans="1:24" ht="14.25" customHeight="1">
      <c r="A595" s="17"/>
      <c r="B595" s="17"/>
      <c r="C595" s="41"/>
      <c r="D595" s="41"/>
      <c r="E595" s="41"/>
      <c r="F595" s="41"/>
      <c r="G595" s="41"/>
      <c r="H595" s="41"/>
      <c r="I595" s="41"/>
      <c r="J595" s="41"/>
      <c r="K595" s="41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</row>
    <row r="596" spans="1:24" ht="14.25" customHeight="1">
      <c r="A596" s="17"/>
      <c r="B596" s="17"/>
      <c r="C596" s="41"/>
      <c r="D596" s="41"/>
      <c r="E596" s="41"/>
      <c r="F596" s="41"/>
      <c r="G596" s="41"/>
      <c r="H596" s="41"/>
      <c r="I596" s="41"/>
      <c r="J596" s="41"/>
      <c r="K596" s="41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</row>
    <row r="597" spans="1:24" ht="14.25" customHeight="1">
      <c r="A597" s="17"/>
      <c r="B597" s="17"/>
      <c r="C597" s="41"/>
      <c r="D597" s="41"/>
      <c r="E597" s="41"/>
      <c r="F597" s="41"/>
      <c r="G597" s="41"/>
      <c r="H597" s="41"/>
      <c r="I597" s="41"/>
      <c r="J597" s="41"/>
      <c r="K597" s="41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</row>
    <row r="598" spans="1:24" ht="14.25" customHeight="1">
      <c r="A598" s="17"/>
      <c r="B598" s="17"/>
      <c r="C598" s="41"/>
      <c r="D598" s="41"/>
      <c r="E598" s="41"/>
      <c r="F598" s="41"/>
      <c r="G598" s="41"/>
      <c r="H598" s="41"/>
      <c r="I598" s="41"/>
      <c r="J598" s="41"/>
      <c r="K598" s="41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</row>
    <row r="599" spans="1:24" ht="14.25" customHeight="1">
      <c r="A599" s="17"/>
      <c r="B599" s="17"/>
      <c r="C599" s="41"/>
      <c r="D599" s="41"/>
      <c r="E599" s="41"/>
      <c r="F599" s="41"/>
      <c r="G599" s="41"/>
      <c r="H599" s="41"/>
      <c r="I599" s="41"/>
      <c r="J599" s="41"/>
      <c r="K599" s="41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</row>
    <row r="600" spans="1:24" ht="14.25" customHeight="1">
      <c r="A600" s="17"/>
      <c r="B600" s="17"/>
      <c r="C600" s="41"/>
      <c r="D600" s="41"/>
      <c r="E600" s="41"/>
      <c r="F600" s="41"/>
      <c r="G600" s="41"/>
      <c r="H600" s="41"/>
      <c r="I600" s="41"/>
      <c r="J600" s="41"/>
      <c r="K600" s="41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</row>
    <row r="601" spans="1:24" ht="14.25" customHeight="1">
      <c r="A601" s="17"/>
      <c r="B601" s="17"/>
      <c r="C601" s="41"/>
      <c r="D601" s="41"/>
      <c r="E601" s="41"/>
      <c r="F601" s="41"/>
      <c r="G601" s="41"/>
      <c r="H601" s="41"/>
      <c r="I601" s="41"/>
      <c r="J601" s="41"/>
      <c r="K601" s="41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</row>
    <row r="602" spans="1:24" ht="14.25" customHeight="1">
      <c r="A602" s="17"/>
      <c r="B602" s="17"/>
      <c r="C602" s="41"/>
      <c r="D602" s="41"/>
      <c r="E602" s="41"/>
      <c r="F602" s="41"/>
      <c r="G602" s="41"/>
      <c r="H602" s="41"/>
      <c r="I602" s="41"/>
      <c r="J602" s="41"/>
      <c r="K602" s="41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</row>
    <row r="603" spans="1:24" ht="14.25" customHeight="1">
      <c r="A603" s="17"/>
      <c r="B603" s="17"/>
      <c r="C603" s="41"/>
      <c r="D603" s="41"/>
      <c r="E603" s="41"/>
      <c r="F603" s="41"/>
      <c r="G603" s="41"/>
      <c r="H603" s="41"/>
      <c r="I603" s="41"/>
      <c r="J603" s="41"/>
      <c r="K603" s="41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</row>
    <row r="604" spans="1:24" ht="14.25" customHeight="1">
      <c r="A604" s="17"/>
      <c r="B604" s="17"/>
      <c r="C604" s="41"/>
      <c r="D604" s="41"/>
      <c r="E604" s="41"/>
      <c r="F604" s="41"/>
      <c r="G604" s="41"/>
      <c r="H604" s="41"/>
      <c r="I604" s="41"/>
      <c r="J604" s="41"/>
      <c r="K604" s="41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</row>
    <row r="605" spans="1:24" ht="14.25" customHeight="1">
      <c r="A605" s="17"/>
      <c r="B605" s="17"/>
      <c r="C605" s="41"/>
      <c r="D605" s="41"/>
      <c r="E605" s="41"/>
      <c r="F605" s="41"/>
      <c r="G605" s="41"/>
      <c r="H605" s="41"/>
      <c r="I605" s="41"/>
      <c r="J605" s="41"/>
      <c r="K605" s="41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</row>
    <row r="606" spans="1:24" ht="14.25" customHeight="1">
      <c r="A606" s="17"/>
      <c r="B606" s="17"/>
      <c r="C606" s="41"/>
      <c r="D606" s="41"/>
      <c r="E606" s="41"/>
      <c r="F606" s="41"/>
      <c r="G606" s="41"/>
      <c r="H606" s="41"/>
      <c r="I606" s="41"/>
      <c r="J606" s="41"/>
      <c r="K606" s="41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</row>
    <row r="607" spans="1:24" ht="14.25" customHeight="1">
      <c r="A607" s="17"/>
      <c r="B607" s="17"/>
      <c r="C607" s="41"/>
      <c r="D607" s="41"/>
      <c r="E607" s="41"/>
      <c r="F607" s="41"/>
      <c r="G607" s="41"/>
      <c r="H607" s="41"/>
      <c r="I607" s="41"/>
      <c r="J607" s="41"/>
      <c r="K607" s="41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</row>
    <row r="608" spans="1:24" ht="14.25" customHeight="1">
      <c r="A608" s="17"/>
      <c r="B608" s="17"/>
      <c r="C608" s="41"/>
      <c r="D608" s="41"/>
      <c r="E608" s="41"/>
      <c r="F608" s="41"/>
      <c r="G608" s="41"/>
      <c r="H608" s="41"/>
      <c r="I608" s="41"/>
      <c r="J608" s="41"/>
      <c r="K608" s="41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</row>
    <row r="609" spans="1:24" ht="14.25" customHeight="1">
      <c r="A609" s="17"/>
      <c r="B609" s="17"/>
      <c r="C609" s="41"/>
      <c r="D609" s="41"/>
      <c r="E609" s="41"/>
      <c r="F609" s="41"/>
      <c r="G609" s="41"/>
      <c r="H609" s="41"/>
      <c r="I609" s="41"/>
      <c r="J609" s="41"/>
      <c r="K609" s="41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</row>
    <row r="610" spans="1:24" ht="14.25" customHeight="1">
      <c r="A610" s="17"/>
      <c r="B610" s="17"/>
      <c r="C610" s="41"/>
      <c r="D610" s="41"/>
      <c r="E610" s="41"/>
      <c r="F610" s="41"/>
      <c r="G610" s="41"/>
      <c r="H610" s="41"/>
      <c r="I610" s="41"/>
      <c r="J610" s="41"/>
      <c r="K610" s="41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</row>
    <row r="611" spans="1:24" ht="14.25" customHeight="1">
      <c r="A611" s="17"/>
      <c r="B611" s="17"/>
      <c r="C611" s="41"/>
      <c r="D611" s="41"/>
      <c r="E611" s="41"/>
      <c r="F611" s="41"/>
      <c r="G611" s="41"/>
      <c r="H611" s="41"/>
      <c r="I611" s="41"/>
      <c r="J611" s="41"/>
      <c r="K611" s="41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</row>
    <row r="612" spans="1:24" ht="14.25" customHeight="1">
      <c r="A612" s="17"/>
      <c r="B612" s="17"/>
      <c r="C612" s="41"/>
      <c r="D612" s="41"/>
      <c r="E612" s="41"/>
      <c r="F612" s="41"/>
      <c r="G612" s="41"/>
      <c r="H612" s="41"/>
      <c r="I612" s="41"/>
      <c r="J612" s="41"/>
      <c r="K612" s="41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</row>
    <row r="613" spans="1:24" ht="14.25" customHeight="1">
      <c r="A613" s="17"/>
      <c r="B613" s="17"/>
      <c r="C613" s="41"/>
      <c r="D613" s="41"/>
      <c r="E613" s="41"/>
      <c r="F613" s="41"/>
      <c r="G613" s="41"/>
      <c r="H613" s="41"/>
      <c r="I613" s="41"/>
      <c r="J613" s="41"/>
      <c r="K613" s="41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</row>
    <row r="614" spans="1:24" ht="14.25" customHeight="1">
      <c r="A614" s="17"/>
      <c r="B614" s="17"/>
      <c r="C614" s="41"/>
      <c r="D614" s="41"/>
      <c r="E614" s="41"/>
      <c r="F614" s="41"/>
      <c r="G614" s="41"/>
      <c r="H614" s="41"/>
      <c r="I614" s="41"/>
      <c r="J614" s="41"/>
      <c r="K614" s="41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</row>
    <row r="615" spans="1:24" ht="14.25" customHeight="1">
      <c r="A615" s="17"/>
      <c r="B615" s="17"/>
      <c r="C615" s="41"/>
      <c r="D615" s="41"/>
      <c r="E615" s="41"/>
      <c r="F615" s="41"/>
      <c r="G615" s="41"/>
      <c r="H615" s="41"/>
      <c r="I615" s="41"/>
      <c r="J615" s="41"/>
      <c r="K615" s="41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</row>
    <row r="616" spans="1:24" ht="14.25" customHeight="1">
      <c r="A616" s="17"/>
      <c r="B616" s="17"/>
      <c r="C616" s="41"/>
      <c r="D616" s="41"/>
      <c r="E616" s="41"/>
      <c r="F616" s="41"/>
      <c r="G616" s="41"/>
      <c r="H616" s="41"/>
      <c r="I616" s="41"/>
      <c r="J616" s="41"/>
      <c r="K616" s="41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</row>
    <row r="617" spans="1:24" ht="14.25" customHeight="1">
      <c r="A617" s="17"/>
      <c r="B617" s="17"/>
      <c r="C617" s="41"/>
      <c r="D617" s="41"/>
      <c r="E617" s="41"/>
      <c r="F617" s="41"/>
      <c r="G617" s="41"/>
      <c r="H617" s="41"/>
      <c r="I617" s="41"/>
      <c r="J617" s="41"/>
      <c r="K617" s="41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</row>
    <row r="618" spans="1:24" ht="14.25" customHeight="1">
      <c r="A618" s="17"/>
      <c r="B618" s="17"/>
      <c r="C618" s="41"/>
      <c r="D618" s="41"/>
      <c r="E618" s="41"/>
      <c r="F618" s="41"/>
      <c r="G618" s="41"/>
      <c r="H618" s="41"/>
      <c r="I618" s="41"/>
      <c r="J618" s="41"/>
      <c r="K618" s="41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</row>
    <row r="619" spans="1:24" ht="14.25" customHeight="1">
      <c r="A619" s="17"/>
      <c r="B619" s="17"/>
      <c r="C619" s="41"/>
      <c r="D619" s="41"/>
      <c r="E619" s="41"/>
      <c r="F619" s="41"/>
      <c r="G619" s="41"/>
      <c r="H619" s="41"/>
      <c r="I619" s="41"/>
      <c r="J619" s="41"/>
      <c r="K619" s="41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</row>
    <row r="620" spans="1:24" ht="14.25" customHeight="1">
      <c r="A620" s="17"/>
      <c r="B620" s="17"/>
      <c r="C620" s="41"/>
      <c r="D620" s="41"/>
      <c r="E620" s="41"/>
      <c r="F620" s="41"/>
      <c r="G620" s="41"/>
      <c r="H620" s="41"/>
      <c r="I620" s="41"/>
      <c r="J620" s="41"/>
      <c r="K620" s="41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</row>
    <row r="621" spans="1:24" ht="14.25" customHeight="1">
      <c r="A621" s="17"/>
      <c r="B621" s="17"/>
      <c r="C621" s="41"/>
      <c r="D621" s="41"/>
      <c r="E621" s="41"/>
      <c r="F621" s="41"/>
      <c r="G621" s="41"/>
      <c r="H621" s="41"/>
      <c r="I621" s="41"/>
      <c r="J621" s="41"/>
      <c r="K621" s="41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</row>
    <row r="622" spans="1:24" ht="14.25" customHeight="1">
      <c r="A622" s="17"/>
      <c r="B622" s="17"/>
      <c r="C622" s="41"/>
      <c r="D622" s="41"/>
      <c r="E622" s="41"/>
      <c r="F622" s="41"/>
      <c r="G622" s="41"/>
      <c r="H622" s="41"/>
      <c r="I622" s="41"/>
      <c r="J622" s="41"/>
      <c r="K622" s="41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</row>
    <row r="623" spans="1:24" ht="14.25" customHeight="1">
      <c r="A623" s="17"/>
      <c r="B623" s="17"/>
      <c r="C623" s="41"/>
      <c r="D623" s="41"/>
      <c r="E623" s="41"/>
      <c r="F623" s="41"/>
      <c r="G623" s="41"/>
      <c r="H623" s="41"/>
      <c r="I623" s="41"/>
      <c r="J623" s="41"/>
      <c r="K623" s="41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</row>
    <row r="624" spans="1:24" ht="14.25" customHeight="1">
      <c r="A624" s="17"/>
      <c r="B624" s="17"/>
      <c r="C624" s="41"/>
      <c r="D624" s="41"/>
      <c r="E624" s="41"/>
      <c r="F624" s="41"/>
      <c r="G624" s="41"/>
      <c r="H624" s="41"/>
      <c r="I624" s="41"/>
      <c r="J624" s="41"/>
      <c r="K624" s="41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</row>
    <row r="625" spans="1:24" ht="14.25" customHeight="1">
      <c r="A625" s="17"/>
      <c r="B625" s="17"/>
      <c r="C625" s="41"/>
      <c r="D625" s="41"/>
      <c r="E625" s="41"/>
      <c r="F625" s="41"/>
      <c r="G625" s="41"/>
      <c r="H625" s="41"/>
      <c r="I625" s="41"/>
      <c r="J625" s="41"/>
      <c r="K625" s="41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</row>
    <row r="626" spans="1:24" ht="14.25" customHeight="1">
      <c r="A626" s="17"/>
      <c r="B626" s="17"/>
      <c r="C626" s="41"/>
      <c r="D626" s="41"/>
      <c r="E626" s="41"/>
      <c r="F626" s="41"/>
      <c r="G626" s="41"/>
      <c r="H626" s="41"/>
      <c r="I626" s="41"/>
      <c r="J626" s="41"/>
      <c r="K626" s="41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</row>
    <row r="627" spans="1:24" ht="14.25" customHeight="1">
      <c r="A627" s="17"/>
      <c r="B627" s="17"/>
      <c r="C627" s="41"/>
      <c r="D627" s="41"/>
      <c r="E627" s="41"/>
      <c r="F627" s="41"/>
      <c r="G627" s="41"/>
      <c r="H627" s="41"/>
      <c r="I627" s="41"/>
      <c r="J627" s="41"/>
      <c r="K627" s="41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</row>
    <row r="628" spans="1:24" ht="14.25" customHeight="1">
      <c r="A628" s="17"/>
      <c r="B628" s="17"/>
      <c r="C628" s="41"/>
      <c r="D628" s="41"/>
      <c r="E628" s="41"/>
      <c r="F628" s="41"/>
      <c r="G628" s="41"/>
      <c r="H628" s="41"/>
      <c r="I628" s="41"/>
      <c r="J628" s="41"/>
      <c r="K628" s="41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</row>
    <row r="629" spans="1:24" ht="14.25" customHeight="1">
      <c r="A629" s="17"/>
      <c r="B629" s="17"/>
      <c r="C629" s="41"/>
      <c r="D629" s="41"/>
      <c r="E629" s="41"/>
      <c r="F629" s="41"/>
      <c r="G629" s="41"/>
      <c r="H629" s="41"/>
      <c r="I629" s="41"/>
      <c r="J629" s="41"/>
      <c r="K629" s="41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</row>
    <row r="630" spans="1:24" ht="14.25" customHeight="1">
      <c r="A630" s="17"/>
      <c r="B630" s="17"/>
      <c r="C630" s="41"/>
      <c r="D630" s="41"/>
      <c r="E630" s="41"/>
      <c r="F630" s="41"/>
      <c r="G630" s="41"/>
      <c r="H630" s="41"/>
      <c r="I630" s="41"/>
      <c r="J630" s="41"/>
      <c r="K630" s="41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</row>
    <row r="631" spans="1:24" ht="14.25" customHeight="1">
      <c r="A631" s="17"/>
      <c r="B631" s="17"/>
      <c r="C631" s="41"/>
      <c r="D631" s="41"/>
      <c r="E631" s="41"/>
      <c r="F631" s="41"/>
      <c r="G631" s="41"/>
      <c r="H631" s="41"/>
      <c r="I631" s="41"/>
      <c r="J631" s="41"/>
      <c r="K631" s="41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</row>
    <row r="632" spans="1:24" ht="14.25" customHeight="1">
      <c r="A632" s="17"/>
      <c r="B632" s="17"/>
      <c r="C632" s="41"/>
      <c r="D632" s="41"/>
      <c r="E632" s="41"/>
      <c r="F632" s="41"/>
      <c r="G632" s="41"/>
      <c r="H632" s="41"/>
      <c r="I632" s="41"/>
      <c r="J632" s="41"/>
      <c r="K632" s="41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</row>
    <row r="633" spans="1:24" ht="14.25" customHeight="1">
      <c r="A633" s="17"/>
      <c r="B633" s="17"/>
      <c r="C633" s="41"/>
      <c r="D633" s="41"/>
      <c r="E633" s="41"/>
      <c r="F633" s="41"/>
      <c r="G633" s="41"/>
      <c r="H633" s="41"/>
      <c r="I633" s="41"/>
      <c r="J633" s="41"/>
      <c r="K633" s="41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</row>
    <row r="634" spans="1:24" ht="14.25" customHeight="1">
      <c r="A634" s="17"/>
      <c r="B634" s="17"/>
      <c r="C634" s="41"/>
      <c r="D634" s="41"/>
      <c r="E634" s="41"/>
      <c r="F634" s="41"/>
      <c r="G634" s="41"/>
      <c r="H634" s="41"/>
      <c r="I634" s="41"/>
      <c r="J634" s="41"/>
      <c r="K634" s="41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</row>
    <row r="635" spans="1:24" ht="14.25" customHeight="1">
      <c r="A635" s="17"/>
      <c r="B635" s="17"/>
      <c r="C635" s="41"/>
      <c r="D635" s="41"/>
      <c r="E635" s="41"/>
      <c r="F635" s="41"/>
      <c r="G635" s="41"/>
      <c r="H635" s="41"/>
      <c r="I635" s="41"/>
      <c r="J635" s="41"/>
      <c r="K635" s="41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</row>
    <row r="636" spans="1:24" ht="14.25" customHeight="1">
      <c r="A636" s="17"/>
      <c r="B636" s="17"/>
      <c r="C636" s="41"/>
      <c r="D636" s="41"/>
      <c r="E636" s="41"/>
      <c r="F636" s="41"/>
      <c r="G636" s="41"/>
      <c r="H636" s="41"/>
      <c r="I636" s="41"/>
      <c r="J636" s="41"/>
      <c r="K636" s="41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</row>
    <row r="637" spans="1:24" ht="14.25" customHeight="1">
      <c r="A637" s="17"/>
      <c r="B637" s="17"/>
      <c r="C637" s="41"/>
      <c r="D637" s="41"/>
      <c r="E637" s="41"/>
      <c r="F637" s="41"/>
      <c r="G637" s="41"/>
      <c r="H637" s="41"/>
      <c r="I637" s="41"/>
      <c r="J637" s="41"/>
      <c r="K637" s="41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</row>
    <row r="638" spans="1:24" ht="14.25" customHeight="1">
      <c r="A638" s="17"/>
      <c r="B638" s="17"/>
      <c r="C638" s="41"/>
      <c r="D638" s="41"/>
      <c r="E638" s="41"/>
      <c r="F638" s="41"/>
      <c r="G638" s="41"/>
      <c r="H638" s="41"/>
      <c r="I638" s="41"/>
      <c r="J638" s="41"/>
      <c r="K638" s="41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</row>
    <row r="639" spans="1:24" ht="14.25" customHeight="1">
      <c r="A639" s="17"/>
      <c r="B639" s="17"/>
      <c r="C639" s="41"/>
      <c r="D639" s="41"/>
      <c r="E639" s="41"/>
      <c r="F639" s="41"/>
      <c r="G639" s="41"/>
      <c r="H639" s="41"/>
      <c r="I639" s="41"/>
      <c r="J639" s="41"/>
      <c r="K639" s="41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</row>
    <row r="640" spans="1:24" ht="14.25" customHeight="1">
      <c r="A640" s="17"/>
      <c r="B640" s="17"/>
      <c r="C640" s="41"/>
      <c r="D640" s="41"/>
      <c r="E640" s="41"/>
      <c r="F640" s="41"/>
      <c r="G640" s="41"/>
      <c r="H640" s="41"/>
      <c r="I640" s="41"/>
      <c r="J640" s="41"/>
      <c r="K640" s="41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</row>
    <row r="641" spans="1:24" ht="14.25" customHeight="1">
      <c r="A641" s="17"/>
      <c r="B641" s="17"/>
      <c r="C641" s="41"/>
      <c r="D641" s="41"/>
      <c r="E641" s="41"/>
      <c r="F641" s="41"/>
      <c r="G641" s="41"/>
      <c r="H641" s="41"/>
      <c r="I641" s="41"/>
      <c r="J641" s="41"/>
      <c r="K641" s="41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</row>
    <row r="642" spans="1:24" ht="14.25" customHeight="1">
      <c r="A642" s="17"/>
      <c r="B642" s="17"/>
      <c r="C642" s="41"/>
      <c r="D642" s="41"/>
      <c r="E642" s="41"/>
      <c r="F642" s="41"/>
      <c r="G642" s="41"/>
      <c r="H642" s="41"/>
      <c r="I642" s="41"/>
      <c r="J642" s="41"/>
      <c r="K642" s="41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</row>
    <row r="643" spans="1:24" ht="14.25" customHeight="1">
      <c r="A643" s="17"/>
      <c r="B643" s="17"/>
      <c r="C643" s="41"/>
      <c r="D643" s="41"/>
      <c r="E643" s="41"/>
      <c r="F643" s="41"/>
      <c r="G643" s="41"/>
      <c r="H643" s="41"/>
      <c r="I643" s="41"/>
      <c r="J643" s="41"/>
      <c r="K643" s="41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</row>
    <row r="644" spans="1:24" ht="14.25" customHeight="1">
      <c r="A644" s="17"/>
      <c r="B644" s="17"/>
      <c r="C644" s="41"/>
      <c r="D644" s="41"/>
      <c r="E644" s="41"/>
      <c r="F644" s="41"/>
      <c r="G644" s="41"/>
      <c r="H644" s="41"/>
      <c r="I644" s="41"/>
      <c r="J644" s="41"/>
      <c r="K644" s="41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</row>
    <row r="645" spans="1:24" ht="14.25" customHeight="1">
      <c r="A645" s="17"/>
      <c r="B645" s="17"/>
      <c r="C645" s="41"/>
      <c r="D645" s="41"/>
      <c r="E645" s="41"/>
      <c r="F645" s="41"/>
      <c r="G645" s="41"/>
      <c r="H645" s="41"/>
      <c r="I645" s="41"/>
      <c r="J645" s="41"/>
      <c r="K645" s="41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</row>
    <row r="646" spans="1:24" ht="14.25" customHeight="1">
      <c r="A646" s="17"/>
      <c r="B646" s="17"/>
      <c r="C646" s="41"/>
      <c r="D646" s="41"/>
      <c r="E646" s="41"/>
      <c r="F646" s="41"/>
      <c r="G646" s="41"/>
      <c r="H646" s="41"/>
      <c r="I646" s="41"/>
      <c r="J646" s="41"/>
      <c r="K646" s="41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</row>
    <row r="647" spans="1:24" ht="14.25" customHeight="1">
      <c r="A647" s="17"/>
      <c r="B647" s="17"/>
      <c r="C647" s="41"/>
      <c r="D647" s="41"/>
      <c r="E647" s="41"/>
      <c r="F647" s="41"/>
      <c r="G647" s="41"/>
      <c r="H647" s="41"/>
      <c r="I647" s="41"/>
      <c r="J647" s="41"/>
      <c r="K647" s="41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</row>
    <row r="648" spans="1:24" ht="14.25" customHeight="1">
      <c r="A648" s="17"/>
      <c r="B648" s="17"/>
      <c r="C648" s="41"/>
      <c r="D648" s="41"/>
      <c r="E648" s="41"/>
      <c r="F648" s="41"/>
      <c r="G648" s="41"/>
      <c r="H648" s="41"/>
      <c r="I648" s="41"/>
      <c r="J648" s="41"/>
      <c r="K648" s="41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</row>
    <row r="649" spans="1:24" ht="14.25" customHeight="1">
      <c r="A649" s="17"/>
      <c r="B649" s="17"/>
      <c r="C649" s="41"/>
      <c r="D649" s="41"/>
      <c r="E649" s="41"/>
      <c r="F649" s="41"/>
      <c r="G649" s="41"/>
      <c r="H649" s="41"/>
      <c r="I649" s="41"/>
      <c r="J649" s="41"/>
      <c r="K649" s="41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</row>
    <row r="650" spans="1:24" ht="14.25" customHeight="1">
      <c r="A650" s="17"/>
      <c r="B650" s="17"/>
      <c r="C650" s="41"/>
      <c r="D650" s="41"/>
      <c r="E650" s="41"/>
      <c r="F650" s="41"/>
      <c r="G650" s="41"/>
      <c r="H650" s="41"/>
      <c r="I650" s="41"/>
      <c r="J650" s="41"/>
      <c r="K650" s="41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</row>
    <row r="651" spans="1:24" ht="14.25" customHeight="1">
      <c r="A651" s="17"/>
      <c r="B651" s="17"/>
      <c r="C651" s="41"/>
      <c r="D651" s="41"/>
      <c r="E651" s="41"/>
      <c r="F651" s="41"/>
      <c r="G651" s="41"/>
      <c r="H651" s="41"/>
      <c r="I651" s="41"/>
      <c r="J651" s="41"/>
      <c r="K651" s="41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</row>
    <row r="652" spans="1:24" ht="14.25" customHeight="1">
      <c r="A652" s="17"/>
      <c r="B652" s="17"/>
      <c r="C652" s="41"/>
      <c r="D652" s="41"/>
      <c r="E652" s="41"/>
      <c r="F652" s="41"/>
      <c r="G652" s="41"/>
      <c r="H652" s="41"/>
      <c r="I652" s="41"/>
      <c r="J652" s="41"/>
      <c r="K652" s="41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</row>
    <row r="653" spans="1:24" ht="14.25" customHeight="1">
      <c r="A653" s="17"/>
      <c r="B653" s="17"/>
      <c r="C653" s="41"/>
      <c r="D653" s="41"/>
      <c r="E653" s="41"/>
      <c r="F653" s="41"/>
      <c r="G653" s="41"/>
      <c r="H653" s="41"/>
      <c r="I653" s="41"/>
      <c r="J653" s="41"/>
      <c r="K653" s="41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</row>
    <row r="654" spans="1:24" ht="14.25" customHeight="1">
      <c r="A654" s="17"/>
      <c r="B654" s="17"/>
      <c r="C654" s="41"/>
      <c r="D654" s="41"/>
      <c r="E654" s="41"/>
      <c r="F654" s="41"/>
      <c r="G654" s="41"/>
      <c r="H654" s="41"/>
      <c r="I654" s="41"/>
      <c r="J654" s="41"/>
      <c r="K654" s="41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</row>
    <row r="655" spans="1:24" ht="14.25" customHeight="1">
      <c r="A655" s="17"/>
      <c r="B655" s="17"/>
      <c r="C655" s="41"/>
      <c r="D655" s="41"/>
      <c r="E655" s="41"/>
      <c r="F655" s="41"/>
      <c r="G655" s="41"/>
      <c r="H655" s="41"/>
      <c r="I655" s="41"/>
      <c r="J655" s="41"/>
      <c r="K655" s="41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</row>
    <row r="656" spans="1:24" ht="14.25" customHeight="1">
      <c r="A656" s="17"/>
      <c r="B656" s="17"/>
      <c r="C656" s="41"/>
      <c r="D656" s="41"/>
      <c r="E656" s="41"/>
      <c r="F656" s="41"/>
      <c r="G656" s="41"/>
      <c r="H656" s="41"/>
      <c r="I656" s="41"/>
      <c r="J656" s="41"/>
      <c r="K656" s="41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</row>
    <row r="657" spans="1:24" ht="14.25" customHeight="1">
      <c r="A657" s="17"/>
      <c r="B657" s="17"/>
      <c r="C657" s="41"/>
      <c r="D657" s="41"/>
      <c r="E657" s="41"/>
      <c r="F657" s="41"/>
      <c r="G657" s="41"/>
      <c r="H657" s="41"/>
      <c r="I657" s="41"/>
      <c r="J657" s="41"/>
      <c r="K657" s="41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</row>
    <row r="658" spans="1:24" ht="14.25" customHeight="1">
      <c r="A658" s="17"/>
      <c r="B658" s="17"/>
      <c r="C658" s="41"/>
      <c r="D658" s="41"/>
      <c r="E658" s="41"/>
      <c r="F658" s="41"/>
      <c r="G658" s="41"/>
      <c r="H658" s="41"/>
      <c r="I658" s="41"/>
      <c r="J658" s="41"/>
      <c r="K658" s="41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</row>
    <row r="659" spans="1:24" ht="14.25" customHeight="1">
      <c r="A659" s="17"/>
      <c r="B659" s="17"/>
      <c r="C659" s="41"/>
      <c r="D659" s="41"/>
      <c r="E659" s="41"/>
      <c r="F659" s="41"/>
      <c r="G659" s="41"/>
      <c r="H659" s="41"/>
      <c r="I659" s="41"/>
      <c r="J659" s="41"/>
      <c r="K659" s="41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</row>
    <row r="660" spans="1:24" ht="14.25" customHeight="1">
      <c r="A660" s="17"/>
      <c r="B660" s="17"/>
      <c r="C660" s="41"/>
      <c r="D660" s="41"/>
      <c r="E660" s="41"/>
      <c r="F660" s="41"/>
      <c r="G660" s="41"/>
      <c r="H660" s="41"/>
      <c r="I660" s="41"/>
      <c r="J660" s="41"/>
      <c r="K660" s="41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</row>
    <row r="661" spans="1:24" ht="14.25" customHeight="1">
      <c r="A661" s="17"/>
      <c r="B661" s="17"/>
      <c r="C661" s="41"/>
      <c r="D661" s="41"/>
      <c r="E661" s="41"/>
      <c r="F661" s="41"/>
      <c r="G661" s="41"/>
      <c r="H661" s="41"/>
      <c r="I661" s="41"/>
      <c r="J661" s="41"/>
      <c r="K661" s="41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</row>
    <row r="662" spans="1:24" ht="14.25" customHeight="1">
      <c r="A662" s="17"/>
      <c r="B662" s="17"/>
      <c r="C662" s="41"/>
      <c r="D662" s="41"/>
      <c r="E662" s="41"/>
      <c r="F662" s="41"/>
      <c r="G662" s="41"/>
      <c r="H662" s="41"/>
      <c r="I662" s="41"/>
      <c r="J662" s="41"/>
      <c r="K662" s="41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</row>
    <row r="663" spans="1:24" ht="14.25" customHeight="1">
      <c r="A663" s="17"/>
      <c r="B663" s="17"/>
      <c r="C663" s="41"/>
      <c r="D663" s="41"/>
      <c r="E663" s="41"/>
      <c r="F663" s="41"/>
      <c r="G663" s="41"/>
      <c r="H663" s="41"/>
      <c r="I663" s="41"/>
      <c r="J663" s="41"/>
      <c r="K663" s="41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</row>
    <row r="664" spans="1:24" ht="14.25" customHeight="1">
      <c r="A664" s="17"/>
      <c r="B664" s="17"/>
      <c r="C664" s="41"/>
      <c r="D664" s="41"/>
      <c r="E664" s="41"/>
      <c r="F664" s="41"/>
      <c r="G664" s="41"/>
      <c r="H664" s="41"/>
      <c r="I664" s="41"/>
      <c r="J664" s="41"/>
      <c r="K664" s="41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</row>
    <row r="665" spans="1:24" ht="14.25" customHeight="1">
      <c r="A665" s="17"/>
      <c r="B665" s="17"/>
      <c r="C665" s="41"/>
      <c r="D665" s="41"/>
      <c r="E665" s="41"/>
      <c r="F665" s="41"/>
      <c r="G665" s="41"/>
      <c r="H665" s="41"/>
      <c r="I665" s="41"/>
      <c r="J665" s="41"/>
      <c r="K665" s="41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</row>
    <row r="666" spans="1:24" ht="14.25" customHeight="1">
      <c r="A666" s="17"/>
      <c r="B666" s="17"/>
      <c r="C666" s="41"/>
      <c r="D666" s="41"/>
      <c r="E666" s="41"/>
      <c r="F666" s="41"/>
      <c r="G666" s="41"/>
      <c r="H666" s="41"/>
      <c r="I666" s="41"/>
      <c r="J666" s="41"/>
      <c r="K666" s="41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</row>
    <row r="667" spans="1:24" ht="14.25" customHeight="1">
      <c r="A667" s="17"/>
      <c r="B667" s="17"/>
      <c r="C667" s="41"/>
      <c r="D667" s="41"/>
      <c r="E667" s="41"/>
      <c r="F667" s="41"/>
      <c r="G667" s="41"/>
      <c r="H667" s="41"/>
      <c r="I667" s="41"/>
      <c r="J667" s="41"/>
      <c r="K667" s="41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</row>
    <row r="668" spans="1:24" ht="14.25" customHeight="1">
      <c r="A668" s="17"/>
      <c r="B668" s="17"/>
      <c r="C668" s="41"/>
      <c r="D668" s="41"/>
      <c r="E668" s="41"/>
      <c r="F668" s="41"/>
      <c r="G668" s="41"/>
      <c r="H668" s="41"/>
      <c r="I668" s="41"/>
      <c r="J668" s="41"/>
      <c r="K668" s="41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</row>
    <row r="669" spans="1:24" ht="14.25" customHeight="1">
      <c r="A669" s="17"/>
      <c r="B669" s="17"/>
      <c r="C669" s="41"/>
      <c r="D669" s="41"/>
      <c r="E669" s="41"/>
      <c r="F669" s="41"/>
      <c r="G669" s="41"/>
      <c r="H669" s="41"/>
      <c r="I669" s="41"/>
      <c r="J669" s="41"/>
      <c r="K669" s="41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</row>
    <row r="670" spans="1:24" ht="14.25" customHeight="1">
      <c r="A670" s="17"/>
      <c r="B670" s="17"/>
      <c r="C670" s="41"/>
      <c r="D670" s="41"/>
      <c r="E670" s="41"/>
      <c r="F670" s="41"/>
      <c r="G670" s="41"/>
      <c r="H670" s="41"/>
      <c r="I670" s="41"/>
      <c r="J670" s="41"/>
      <c r="K670" s="41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</row>
    <row r="671" spans="1:24" ht="14.25" customHeight="1">
      <c r="A671" s="17"/>
      <c r="B671" s="17"/>
      <c r="C671" s="41"/>
      <c r="D671" s="41"/>
      <c r="E671" s="41"/>
      <c r="F671" s="41"/>
      <c r="G671" s="41"/>
      <c r="H671" s="41"/>
      <c r="I671" s="41"/>
      <c r="J671" s="41"/>
      <c r="K671" s="41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</row>
    <row r="672" spans="1:24" ht="14.25" customHeight="1">
      <c r="A672" s="17"/>
      <c r="B672" s="17"/>
      <c r="C672" s="41"/>
      <c r="D672" s="41"/>
      <c r="E672" s="41"/>
      <c r="F672" s="41"/>
      <c r="G672" s="41"/>
      <c r="H672" s="41"/>
      <c r="I672" s="41"/>
      <c r="J672" s="41"/>
      <c r="K672" s="41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</row>
    <row r="673" spans="1:24" ht="14.25" customHeight="1">
      <c r="A673" s="17"/>
      <c r="B673" s="17"/>
      <c r="C673" s="41"/>
      <c r="D673" s="41"/>
      <c r="E673" s="41"/>
      <c r="F673" s="41"/>
      <c r="G673" s="41"/>
      <c r="H673" s="41"/>
      <c r="I673" s="41"/>
      <c r="J673" s="41"/>
      <c r="K673" s="41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</row>
    <row r="674" spans="1:24" ht="14.25" customHeight="1">
      <c r="A674" s="17"/>
      <c r="B674" s="17"/>
      <c r="C674" s="41"/>
      <c r="D674" s="41"/>
      <c r="E674" s="41"/>
      <c r="F674" s="41"/>
      <c r="G674" s="41"/>
      <c r="H674" s="41"/>
      <c r="I674" s="41"/>
      <c r="J674" s="41"/>
      <c r="K674" s="41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</row>
    <row r="675" spans="1:24" ht="14.25" customHeight="1">
      <c r="A675" s="17"/>
      <c r="B675" s="17"/>
      <c r="C675" s="41"/>
      <c r="D675" s="41"/>
      <c r="E675" s="41"/>
      <c r="F675" s="41"/>
      <c r="G675" s="41"/>
      <c r="H675" s="41"/>
      <c r="I675" s="41"/>
      <c r="J675" s="41"/>
      <c r="K675" s="41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</row>
    <row r="676" spans="1:24" ht="14.25" customHeight="1">
      <c r="A676" s="17"/>
      <c r="B676" s="17"/>
      <c r="C676" s="41"/>
      <c r="D676" s="41"/>
      <c r="E676" s="41"/>
      <c r="F676" s="41"/>
      <c r="G676" s="41"/>
      <c r="H676" s="41"/>
      <c r="I676" s="41"/>
      <c r="J676" s="41"/>
      <c r="K676" s="41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</row>
    <row r="677" spans="1:24" ht="14.25" customHeight="1">
      <c r="A677" s="17"/>
      <c r="B677" s="17"/>
      <c r="C677" s="41"/>
      <c r="D677" s="41"/>
      <c r="E677" s="41"/>
      <c r="F677" s="41"/>
      <c r="G677" s="41"/>
      <c r="H677" s="41"/>
      <c r="I677" s="41"/>
      <c r="J677" s="41"/>
      <c r="K677" s="41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</row>
    <row r="678" spans="1:24" ht="14.25" customHeight="1">
      <c r="A678" s="17"/>
      <c r="B678" s="17"/>
      <c r="C678" s="41"/>
      <c r="D678" s="41"/>
      <c r="E678" s="41"/>
      <c r="F678" s="41"/>
      <c r="G678" s="41"/>
      <c r="H678" s="41"/>
      <c r="I678" s="41"/>
      <c r="J678" s="41"/>
      <c r="K678" s="41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</row>
    <row r="679" spans="1:24" ht="14.25" customHeight="1">
      <c r="A679" s="17"/>
      <c r="B679" s="17"/>
      <c r="C679" s="41"/>
      <c r="D679" s="41"/>
      <c r="E679" s="41"/>
      <c r="F679" s="41"/>
      <c r="G679" s="41"/>
      <c r="H679" s="41"/>
      <c r="I679" s="41"/>
      <c r="J679" s="41"/>
      <c r="K679" s="41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</row>
    <row r="680" spans="1:24" ht="14.25" customHeight="1">
      <c r="A680" s="17"/>
      <c r="B680" s="17"/>
      <c r="C680" s="41"/>
      <c r="D680" s="41"/>
      <c r="E680" s="41"/>
      <c r="F680" s="41"/>
      <c r="G680" s="41"/>
      <c r="H680" s="41"/>
      <c r="I680" s="41"/>
      <c r="J680" s="41"/>
      <c r="K680" s="41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</row>
    <row r="681" spans="1:24" ht="14.25" customHeight="1">
      <c r="A681" s="17"/>
      <c r="B681" s="17"/>
      <c r="C681" s="41"/>
      <c r="D681" s="41"/>
      <c r="E681" s="41"/>
      <c r="F681" s="41"/>
      <c r="G681" s="41"/>
      <c r="H681" s="41"/>
      <c r="I681" s="41"/>
      <c r="J681" s="41"/>
      <c r="K681" s="41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</row>
    <row r="682" spans="1:24" ht="14.25" customHeight="1">
      <c r="A682" s="17"/>
      <c r="B682" s="17"/>
      <c r="C682" s="41"/>
      <c r="D682" s="41"/>
      <c r="E682" s="41"/>
      <c r="F682" s="41"/>
      <c r="G682" s="41"/>
      <c r="H682" s="41"/>
      <c r="I682" s="41"/>
      <c r="J682" s="41"/>
      <c r="K682" s="41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</row>
    <row r="683" spans="1:24" ht="14.25" customHeight="1">
      <c r="A683" s="17"/>
      <c r="B683" s="17"/>
      <c r="C683" s="41"/>
      <c r="D683" s="41"/>
      <c r="E683" s="41"/>
      <c r="F683" s="41"/>
      <c r="G683" s="41"/>
      <c r="H683" s="41"/>
      <c r="I683" s="41"/>
      <c r="J683" s="41"/>
      <c r="K683" s="41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</row>
    <row r="684" spans="1:24" ht="14.25" customHeight="1">
      <c r="A684" s="17"/>
      <c r="B684" s="17"/>
      <c r="C684" s="41"/>
      <c r="D684" s="41"/>
      <c r="E684" s="41"/>
      <c r="F684" s="41"/>
      <c r="G684" s="41"/>
      <c r="H684" s="41"/>
      <c r="I684" s="41"/>
      <c r="J684" s="41"/>
      <c r="K684" s="41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</row>
    <row r="685" spans="1:24" ht="14.25" customHeight="1">
      <c r="A685" s="17"/>
      <c r="B685" s="17"/>
      <c r="C685" s="41"/>
      <c r="D685" s="41"/>
      <c r="E685" s="41"/>
      <c r="F685" s="41"/>
      <c r="G685" s="41"/>
      <c r="H685" s="41"/>
      <c r="I685" s="41"/>
      <c r="J685" s="41"/>
      <c r="K685" s="41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</row>
    <row r="686" spans="1:24" ht="14.25" customHeight="1">
      <c r="A686" s="17"/>
      <c r="B686" s="17"/>
      <c r="C686" s="41"/>
      <c r="D686" s="41"/>
      <c r="E686" s="41"/>
      <c r="F686" s="41"/>
      <c r="G686" s="41"/>
      <c r="H686" s="41"/>
      <c r="I686" s="41"/>
      <c r="J686" s="41"/>
      <c r="K686" s="41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</row>
    <row r="687" spans="1:24" ht="14.25" customHeight="1">
      <c r="A687" s="17"/>
      <c r="B687" s="17"/>
      <c r="C687" s="41"/>
      <c r="D687" s="41"/>
      <c r="E687" s="41"/>
      <c r="F687" s="41"/>
      <c r="G687" s="41"/>
      <c r="H687" s="41"/>
      <c r="I687" s="41"/>
      <c r="J687" s="41"/>
      <c r="K687" s="41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</row>
    <row r="688" spans="1:24" ht="14.25" customHeight="1">
      <c r="A688" s="17"/>
      <c r="B688" s="17"/>
      <c r="C688" s="41"/>
      <c r="D688" s="41"/>
      <c r="E688" s="41"/>
      <c r="F688" s="41"/>
      <c r="G688" s="41"/>
      <c r="H688" s="41"/>
      <c r="I688" s="41"/>
      <c r="J688" s="41"/>
      <c r="K688" s="41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</row>
    <row r="689" spans="1:24" ht="14.25" customHeight="1">
      <c r="A689" s="17"/>
      <c r="B689" s="17"/>
      <c r="C689" s="41"/>
      <c r="D689" s="41"/>
      <c r="E689" s="41"/>
      <c r="F689" s="41"/>
      <c r="G689" s="41"/>
      <c r="H689" s="41"/>
      <c r="I689" s="41"/>
      <c r="J689" s="41"/>
      <c r="K689" s="41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</row>
    <row r="690" spans="1:24" ht="14.25" customHeight="1">
      <c r="A690" s="17"/>
      <c r="B690" s="17"/>
      <c r="C690" s="41"/>
      <c r="D690" s="41"/>
      <c r="E690" s="41"/>
      <c r="F690" s="41"/>
      <c r="G690" s="41"/>
      <c r="H690" s="41"/>
      <c r="I690" s="41"/>
      <c r="J690" s="41"/>
      <c r="K690" s="41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</row>
    <row r="691" spans="1:24" ht="14.25" customHeight="1">
      <c r="A691" s="17"/>
      <c r="B691" s="17"/>
      <c r="C691" s="41"/>
      <c r="D691" s="41"/>
      <c r="E691" s="41"/>
      <c r="F691" s="41"/>
      <c r="G691" s="41"/>
      <c r="H691" s="41"/>
      <c r="I691" s="41"/>
      <c r="J691" s="41"/>
      <c r="K691" s="41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</row>
    <row r="692" spans="1:24" ht="14.25" customHeight="1">
      <c r="A692" s="17"/>
      <c r="B692" s="17"/>
      <c r="C692" s="41"/>
      <c r="D692" s="41"/>
      <c r="E692" s="41"/>
      <c r="F692" s="41"/>
      <c r="G692" s="41"/>
      <c r="H692" s="41"/>
      <c r="I692" s="41"/>
      <c r="J692" s="41"/>
      <c r="K692" s="41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</row>
    <row r="693" spans="1:24" ht="14.25" customHeight="1">
      <c r="A693" s="17"/>
      <c r="B693" s="17"/>
      <c r="C693" s="41"/>
      <c r="D693" s="41"/>
      <c r="E693" s="41"/>
      <c r="F693" s="41"/>
      <c r="G693" s="41"/>
      <c r="H693" s="41"/>
      <c r="I693" s="41"/>
      <c r="J693" s="41"/>
      <c r="K693" s="41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</row>
    <row r="694" spans="1:24" ht="14.25" customHeight="1">
      <c r="A694" s="17"/>
      <c r="B694" s="17"/>
      <c r="C694" s="41"/>
      <c r="D694" s="41"/>
      <c r="E694" s="41"/>
      <c r="F694" s="41"/>
      <c r="G694" s="41"/>
      <c r="H694" s="41"/>
      <c r="I694" s="41"/>
      <c r="J694" s="41"/>
      <c r="K694" s="41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</row>
    <row r="695" spans="1:24" ht="14.25" customHeight="1">
      <c r="A695" s="17"/>
      <c r="B695" s="17"/>
      <c r="C695" s="41"/>
      <c r="D695" s="41"/>
      <c r="E695" s="41"/>
      <c r="F695" s="41"/>
      <c r="G695" s="41"/>
      <c r="H695" s="41"/>
      <c r="I695" s="41"/>
      <c r="J695" s="41"/>
      <c r="K695" s="41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</row>
    <row r="696" spans="1:24" ht="14.25" customHeight="1">
      <c r="A696" s="17"/>
      <c r="B696" s="17"/>
      <c r="C696" s="41"/>
      <c r="D696" s="41"/>
      <c r="E696" s="41"/>
      <c r="F696" s="41"/>
      <c r="G696" s="41"/>
      <c r="H696" s="41"/>
      <c r="I696" s="41"/>
      <c r="J696" s="41"/>
      <c r="K696" s="41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</row>
    <row r="697" spans="1:24" ht="14.25" customHeight="1">
      <c r="A697" s="17"/>
      <c r="B697" s="17"/>
      <c r="C697" s="41"/>
      <c r="D697" s="41"/>
      <c r="E697" s="41"/>
      <c r="F697" s="41"/>
      <c r="G697" s="41"/>
      <c r="H697" s="41"/>
      <c r="I697" s="41"/>
      <c r="J697" s="41"/>
      <c r="K697" s="41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</row>
    <row r="698" spans="1:24" ht="14.25" customHeight="1">
      <c r="A698" s="17"/>
      <c r="B698" s="17"/>
      <c r="C698" s="41"/>
      <c r="D698" s="41"/>
      <c r="E698" s="41"/>
      <c r="F698" s="41"/>
      <c r="G698" s="41"/>
      <c r="H698" s="41"/>
      <c r="I698" s="41"/>
      <c r="J698" s="41"/>
      <c r="K698" s="41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</row>
    <row r="699" spans="1:24" ht="14.25" customHeight="1">
      <c r="A699" s="17"/>
      <c r="B699" s="17"/>
      <c r="C699" s="41"/>
      <c r="D699" s="41"/>
      <c r="E699" s="41"/>
      <c r="F699" s="41"/>
      <c r="G699" s="41"/>
      <c r="H699" s="41"/>
      <c r="I699" s="41"/>
      <c r="J699" s="41"/>
      <c r="K699" s="41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</row>
    <row r="700" spans="1:24" ht="14.25" customHeight="1">
      <c r="A700" s="17"/>
      <c r="B700" s="17"/>
      <c r="C700" s="41"/>
      <c r="D700" s="41"/>
      <c r="E700" s="41"/>
      <c r="F700" s="41"/>
      <c r="G700" s="41"/>
      <c r="H700" s="41"/>
      <c r="I700" s="41"/>
      <c r="J700" s="41"/>
      <c r="K700" s="41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</row>
    <row r="701" spans="1:24" ht="14.25" customHeight="1">
      <c r="A701" s="17"/>
      <c r="B701" s="17"/>
      <c r="C701" s="41"/>
      <c r="D701" s="41"/>
      <c r="E701" s="41"/>
      <c r="F701" s="41"/>
      <c r="G701" s="41"/>
      <c r="H701" s="41"/>
      <c r="I701" s="41"/>
      <c r="J701" s="41"/>
      <c r="K701" s="41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</row>
    <row r="702" spans="1:24" ht="14.25" customHeight="1">
      <c r="A702" s="17"/>
      <c r="B702" s="17"/>
      <c r="C702" s="41"/>
      <c r="D702" s="41"/>
      <c r="E702" s="41"/>
      <c r="F702" s="41"/>
      <c r="G702" s="41"/>
      <c r="H702" s="41"/>
      <c r="I702" s="41"/>
      <c r="J702" s="41"/>
      <c r="K702" s="41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</row>
    <row r="703" spans="1:24" ht="14.25" customHeight="1">
      <c r="A703" s="17"/>
      <c r="B703" s="17"/>
      <c r="C703" s="41"/>
      <c r="D703" s="41"/>
      <c r="E703" s="41"/>
      <c r="F703" s="41"/>
      <c r="G703" s="41"/>
      <c r="H703" s="41"/>
      <c r="I703" s="41"/>
      <c r="J703" s="41"/>
      <c r="K703" s="41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</row>
    <row r="704" spans="1:24" ht="14.25" customHeight="1">
      <c r="A704" s="17"/>
      <c r="B704" s="17"/>
      <c r="C704" s="41"/>
      <c r="D704" s="41"/>
      <c r="E704" s="41"/>
      <c r="F704" s="41"/>
      <c r="G704" s="41"/>
      <c r="H704" s="41"/>
      <c r="I704" s="41"/>
      <c r="J704" s="41"/>
      <c r="K704" s="41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</row>
    <row r="705" spans="1:24" ht="14.25" customHeight="1">
      <c r="A705" s="17"/>
      <c r="B705" s="17"/>
      <c r="C705" s="41"/>
      <c r="D705" s="41"/>
      <c r="E705" s="41"/>
      <c r="F705" s="41"/>
      <c r="G705" s="41"/>
      <c r="H705" s="41"/>
      <c r="I705" s="41"/>
      <c r="J705" s="41"/>
      <c r="K705" s="41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</row>
    <row r="706" spans="1:24" ht="14.25" customHeight="1">
      <c r="A706" s="17"/>
      <c r="B706" s="17"/>
      <c r="C706" s="41"/>
      <c r="D706" s="41"/>
      <c r="E706" s="41"/>
      <c r="F706" s="41"/>
      <c r="G706" s="41"/>
      <c r="H706" s="41"/>
      <c r="I706" s="41"/>
      <c r="J706" s="41"/>
      <c r="K706" s="41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</row>
    <row r="707" spans="1:24" ht="14.25" customHeight="1">
      <c r="A707" s="17"/>
      <c r="B707" s="17"/>
      <c r="C707" s="41"/>
      <c r="D707" s="41"/>
      <c r="E707" s="41"/>
      <c r="F707" s="41"/>
      <c r="G707" s="41"/>
      <c r="H707" s="41"/>
      <c r="I707" s="41"/>
      <c r="J707" s="41"/>
      <c r="K707" s="41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</row>
    <row r="708" spans="1:24" ht="14.25" customHeight="1">
      <c r="A708" s="17"/>
      <c r="B708" s="17"/>
      <c r="C708" s="41"/>
      <c r="D708" s="41"/>
      <c r="E708" s="41"/>
      <c r="F708" s="41"/>
      <c r="G708" s="41"/>
      <c r="H708" s="41"/>
      <c r="I708" s="41"/>
      <c r="J708" s="41"/>
      <c r="K708" s="41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</row>
    <row r="709" spans="1:24" ht="14.25" customHeight="1">
      <c r="A709" s="17"/>
      <c r="B709" s="17"/>
      <c r="C709" s="41"/>
      <c r="D709" s="41"/>
      <c r="E709" s="41"/>
      <c r="F709" s="41"/>
      <c r="G709" s="41"/>
      <c r="H709" s="41"/>
      <c r="I709" s="41"/>
      <c r="J709" s="41"/>
      <c r="K709" s="41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</row>
    <row r="710" spans="1:24" ht="14.25" customHeight="1">
      <c r="A710" s="17"/>
      <c r="B710" s="17"/>
      <c r="C710" s="41"/>
      <c r="D710" s="41"/>
      <c r="E710" s="41"/>
      <c r="F710" s="41"/>
      <c r="G710" s="41"/>
      <c r="H710" s="41"/>
      <c r="I710" s="41"/>
      <c r="J710" s="41"/>
      <c r="K710" s="41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</row>
    <row r="711" spans="1:24" ht="14.25" customHeight="1">
      <c r="A711" s="17"/>
      <c r="B711" s="17"/>
      <c r="C711" s="41"/>
      <c r="D711" s="41"/>
      <c r="E711" s="41"/>
      <c r="F711" s="41"/>
      <c r="G711" s="41"/>
      <c r="H711" s="41"/>
      <c r="I711" s="41"/>
      <c r="J711" s="41"/>
      <c r="K711" s="41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</row>
    <row r="712" spans="1:24" ht="14.25" customHeight="1">
      <c r="A712" s="17"/>
      <c r="B712" s="17"/>
      <c r="C712" s="41"/>
      <c r="D712" s="41"/>
      <c r="E712" s="41"/>
      <c r="F712" s="41"/>
      <c r="G712" s="41"/>
      <c r="H712" s="41"/>
      <c r="I712" s="41"/>
      <c r="J712" s="41"/>
      <c r="K712" s="41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</row>
    <row r="713" spans="1:24" ht="14.25" customHeight="1">
      <c r="A713" s="17"/>
      <c r="B713" s="17"/>
      <c r="C713" s="41"/>
      <c r="D713" s="41"/>
      <c r="E713" s="41"/>
      <c r="F713" s="41"/>
      <c r="G713" s="41"/>
      <c r="H713" s="41"/>
      <c r="I713" s="41"/>
      <c r="J713" s="41"/>
      <c r="K713" s="41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</row>
    <row r="714" spans="1:24" ht="14.25" customHeight="1">
      <c r="A714" s="17"/>
      <c r="B714" s="17"/>
      <c r="C714" s="41"/>
      <c r="D714" s="41"/>
      <c r="E714" s="41"/>
      <c r="F714" s="41"/>
      <c r="G714" s="41"/>
      <c r="H714" s="41"/>
      <c r="I714" s="41"/>
      <c r="J714" s="41"/>
      <c r="K714" s="41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</row>
    <row r="715" spans="1:24" ht="14.25" customHeight="1">
      <c r="A715" s="17"/>
      <c r="B715" s="17"/>
      <c r="C715" s="41"/>
      <c r="D715" s="41"/>
      <c r="E715" s="41"/>
      <c r="F715" s="41"/>
      <c r="G715" s="41"/>
      <c r="H715" s="41"/>
      <c r="I715" s="41"/>
      <c r="J715" s="41"/>
      <c r="K715" s="41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</row>
    <row r="716" spans="1:24" ht="14.25" customHeight="1">
      <c r="A716" s="17"/>
      <c r="B716" s="17"/>
      <c r="C716" s="41"/>
      <c r="D716" s="41"/>
      <c r="E716" s="41"/>
      <c r="F716" s="41"/>
      <c r="G716" s="41"/>
      <c r="H716" s="41"/>
      <c r="I716" s="41"/>
      <c r="J716" s="41"/>
      <c r="K716" s="41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</row>
    <row r="717" spans="1:24" ht="14.25" customHeight="1">
      <c r="A717" s="17"/>
      <c r="B717" s="17"/>
      <c r="C717" s="41"/>
      <c r="D717" s="41"/>
      <c r="E717" s="41"/>
      <c r="F717" s="41"/>
      <c r="G717" s="41"/>
      <c r="H717" s="41"/>
      <c r="I717" s="41"/>
      <c r="J717" s="41"/>
      <c r="K717" s="41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</row>
    <row r="718" spans="1:24" ht="14.25" customHeight="1">
      <c r="A718" s="17"/>
      <c r="B718" s="17"/>
      <c r="C718" s="41"/>
      <c r="D718" s="41"/>
      <c r="E718" s="41"/>
      <c r="F718" s="41"/>
      <c r="G718" s="41"/>
      <c r="H718" s="41"/>
      <c r="I718" s="41"/>
      <c r="J718" s="41"/>
      <c r="K718" s="41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</row>
    <row r="719" spans="1:24" ht="14.25" customHeight="1">
      <c r="A719" s="17"/>
      <c r="B719" s="17"/>
      <c r="C719" s="41"/>
      <c r="D719" s="41"/>
      <c r="E719" s="41"/>
      <c r="F719" s="41"/>
      <c r="G719" s="41"/>
      <c r="H719" s="41"/>
      <c r="I719" s="41"/>
      <c r="J719" s="41"/>
      <c r="K719" s="41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</row>
    <row r="720" spans="1:24" ht="14.25" customHeight="1">
      <c r="A720" s="17"/>
      <c r="B720" s="17"/>
      <c r="C720" s="41"/>
      <c r="D720" s="41"/>
      <c r="E720" s="41"/>
      <c r="F720" s="41"/>
      <c r="G720" s="41"/>
      <c r="H720" s="41"/>
      <c r="I720" s="41"/>
      <c r="J720" s="41"/>
      <c r="K720" s="41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</row>
    <row r="721" spans="1:24" ht="14.25" customHeight="1">
      <c r="A721" s="17"/>
      <c r="B721" s="17"/>
      <c r="C721" s="41"/>
      <c r="D721" s="41"/>
      <c r="E721" s="41"/>
      <c r="F721" s="41"/>
      <c r="G721" s="41"/>
      <c r="H721" s="41"/>
      <c r="I721" s="41"/>
      <c r="J721" s="41"/>
      <c r="K721" s="41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</row>
    <row r="722" spans="1:24" ht="14.25" customHeight="1">
      <c r="A722" s="17"/>
      <c r="B722" s="17"/>
      <c r="C722" s="41"/>
      <c r="D722" s="41"/>
      <c r="E722" s="41"/>
      <c r="F722" s="41"/>
      <c r="G722" s="41"/>
      <c r="H722" s="41"/>
      <c r="I722" s="41"/>
      <c r="J722" s="41"/>
      <c r="K722" s="41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</row>
    <row r="723" spans="1:24" ht="14.25" customHeight="1">
      <c r="A723" s="17"/>
      <c r="B723" s="17"/>
      <c r="C723" s="41"/>
      <c r="D723" s="41"/>
      <c r="E723" s="41"/>
      <c r="F723" s="41"/>
      <c r="G723" s="41"/>
      <c r="H723" s="41"/>
      <c r="I723" s="41"/>
      <c r="J723" s="41"/>
      <c r="K723" s="41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</row>
    <row r="724" spans="1:24" ht="14.25" customHeight="1">
      <c r="A724" s="17"/>
      <c r="B724" s="17"/>
      <c r="C724" s="41"/>
      <c r="D724" s="41"/>
      <c r="E724" s="41"/>
      <c r="F724" s="41"/>
      <c r="G724" s="41"/>
      <c r="H724" s="41"/>
      <c r="I724" s="41"/>
      <c r="J724" s="41"/>
      <c r="K724" s="41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</row>
    <row r="725" spans="1:24" ht="14.25" customHeight="1">
      <c r="A725" s="17"/>
      <c r="B725" s="17"/>
      <c r="C725" s="41"/>
      <c r="D725" s="41"/>
      <c r="E725" s="41"/>
      <c r="F725" s="41"/>
      <c r="G725" s="41"/>
      <c r="H725" s="41"/>
      <c r="I725" s="41"/>
      <c r="J725" s="41"/>
      <c r="K725" s="41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</row>
    <row r="726" spans="1:24" ht="14.25" customHeight="1">
      <c r="A726" s="17"/>
      <c r="B726" s="17"/>
      <c r="C726" s="41"/>
      <c r="D726" s="41"/>
      <c r="E726" s="41"/>
      <c r="F726" s="41"/>
      <c r="G726" s="41"/>
      <c r="H726" s="41"/>
      <c r="I726" s="41"/>
      <c r="J726" s="41"/>
      <c r="K726" s="41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</row>
    <row r="727" spans="1:24" ht="14.25" customHeight="1">
      <c r="A727" s="17"/>
      <c r="B727" s="17"/>
      <c r="C727" s="41"/>
      <c r="D727" s="41"/>
      <c r="E727" s="41"/>
      <c r="F727" s="41"/>
      <c r="G727" s="41"/>
      <c r="H727" s="41"/>
      <c r="I727" s="41"/>
      <c r="J727" s="41"/>
      <c r="K727" s="41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</row>
    <row r="728" spans="1:24" ht="14.25" customHeight="1">
      <c r="A728" s="17"/>
      <c r="B728" s="17"/>
      <c r="C728" s="41"/>
      <c r="D728" s="41"/>
      <c r="E728" s="41"/>
      <c r="F728" s="41"/>
      <c r="G728" s="41"/>
      <c r="H728" s="41"/>
      <c r="I728" s="41"/>
      <c r="J728" s="41"/>
      <c r="K728" s="41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</row>
    <row r="729" spans="1:24" ht="14.25" customHeight="1">
      <c r="A729" s="17"/>
      <c r="B729" s="17"/>
      <c r="C729" s="41"/>
      <c r="D729" s="41"/>
      <c r="E729" s="41"/>
      <c r="F729" s="41"/>
      <c r="G729" s="41"/>
      <c r="H729" s="41"/>
      <c r="I729" s="41"/>
      <c r="J729" s="41"/>
      <c r="K729" s="41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</row>
    <row r="730" spans="1:24" ht="14.25" customHeight="1">
      <c r="A730" s="17"/>
      <c r="B730" s="17"/>
      <c r="C730" s="41"/>
      <c r="D730" s="41"/>
      <c r="E730" s="41"/>
      <c r="F730" s="41"/>
      <c r="G730" s="41"/>
      <c r="H730" s="41"/>
      <c r="I730" s="41"/>
      <c r="J730" s="41"/>
      <c r="K730" s="41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</row>
    <row r="731" spans="1:24" ht="14.25" customHeight="1">
      <c r="A731" s="17"/>
      <c r="B731" s="17"/>
      <c r="C731" s="41"/>
      <c r="D731" s="41"/>
      <c r="E731" s="41"/>
      <c r="F731" s="41"/>
      <c r="G731" s="41"/>
      <c r="H731" s="41"/>
      <c r="I731" s="41"/>
      <c r="J731" s="41"/>
      <c r="K731" s="41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</row>
    <row r="732" spans="1:24" ht="14.25" customHeight="1">
      <c r="A732" s="17"/>
      <c r="B732" s="17"/>
      <c r="C732" s="41"/>
      <c r="D732" s="41"/>
      <c r="E732" s="41"/>
      <c r="F732" s="41"/>
      <c r="G732" s="41"/>
      <c r="H732" s="41"/>
      <c r="I732" s="41"/>
      <c r="J732" s="41"/>
      <c r="K732" s="41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</row>
    <row r="733" spans="1:24" ht="14.25" customHeight="1">
      <c r="A733" s="17"/>
      <c r="B733" s="17"/>
      <c r="C733" s="41"/>
      <c r="D733" s="41"/>
      <c r="E733" s="41"/>
      <c r="F733" s="41"/>
      <c r="G733" s="41"/>
      <c r="H733" s="41"/>
      <c r="I733" s="41"/>
      <c r="J733" s="41"/>
      <c r="K733" s="41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</row>
    <row r="734" spans="1:24" ht="14.25" customHeight="1">
      <c r="A734" s="17"/>
      <c r="B734" s="17"/>
      <c r="C734" s="41"/>
      <c r="D734" s="41"/>
      <c r="E734" s="41"/>
      <c r="F734" s="41"/>
      <c r="G734" s="41"/>
      <c r="H734" s="41"/>
      <c r="I734" s="41"/>
      <c r="J734" s="41"/>
      <c r="K734" s="41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</row>
    <row r="735" spans="1:24" ht="14.25" customHeight="1">
      <c r="A735" s="17"/>
      <c r="B735" s="17"/>
      <c r="C735" s="41"/>
      <c r="D735" s="41"/>
      <c r="E735" s="41"/>
      <c r="F735" s="41"/>
      <c r="G735" s="41"/>
      <c r="H735" s="41"/>
      <c r="I735" s="41"/>
      <c r="J735" s="41"/>
      <c r="K735" s="41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</row>
    <row r="736" spans="1:24" ht="14.25" customHeight="1">
      <c r="A736" s="17"/>
      <c r="B736" s="17"/>
      <c r="C736" s="41"/>
      <c r="D736" s="41"/>
      <c r="E736" s="41"/>
      <c r="F736" s="41"/>
      <c r="G736" s="41"/>
      <c r="H736" s="41"/>
      <c r="I736" s="41"/>
      <c r="J736" s="41"/>
      <c r="K736" s="41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</row>
    <row r="737" spans="1:24" ht="14.25" customHeight="1">
      <c r="A737" s="17"/>
      <c r="B737" s="17"/>
      <c r="C737" s="41"/>
      <c r="D737" s="41"/>
      <c r="E737" s="41"/>
      <c r="F737" s="41"/>
      <c r="G737" s="41"/>
      <c r="H737" s="41"/>
      <c r="I737" s="41"/>
      <c r="J737" s="41"/>
      <c r="K737" s="41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</row>
    <row r="738" spans="1:24" ht="14.25" customHeight="1">
      <c r="A738" s="17"/>
      <c r="B738" s="17"/>
      <c r="C738" s="41"/>
      <c r="D738" s="41"/>
      <c r="E738" s="41"/>
      <c r="F738" s="41"/>
      <c r="G738" s="41"/>
      <c r="H738" s="41"/>
      <c r="I738" s="41"/>
      <c r="J738" s="41"/>
      <c r="K738" s="41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</row>
    <row r="739" spans="1:24" ht="14.25" customHeight="1">
      <c r="A739" s="17"/>
      <c r="B739" s="17"/>
      <c r="C739" s="41"/>
      <c r="D739" s="41"/>
      <c r="E739" s="41"/>
      <c r="F739" s="41"/>
      <c r="G739" s="41"/>
      <c r="H739" s="41"/>
      <c r="I739" s="41"/>
      <c r="J739" s="41"/>
      <c r="K739" s="41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</row>
    <row r="740" spans="1:24" ht="14.25" customHeight="1">
      <c r="A740" s="17"/>
      <c r="B740" s="17"/>
      <c r="C740" s="41"/>
      <c r="D740" s="41"/>
      <c r="E740" s="41"/>
      <c r="F740" s="41"/>
      <c r="G740" s="41"/>
      <c r="H740" s="41"/>
      <c r="I740" s="41"/>
      <c r="J740" s="41"/>
      <c r="K740" s="41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</row>
    <row r="741" spans="1:24" ht="14.25" customHeight="1">
      <c r="A741" s="17"/>
      <c r="B741" s="17"/>
      <c r="C741" s="41"/>
      <c r="D741" s="41"/>
      <c r="E741" s="41"/>
      <c r="F741" s="41"/>
      <c r="G741" s="41"/>
      <c r="H741" s="41"/>
      <c r="I741" s="41"/>
      <c r="J741" s="41"/>
      <c r="K741" s="41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</row>
    <row r="742" spans="1:24" ht="14.25" customHeight="1">
      <c r="A742" s="17"/>
      <c r="B742" s="17"/>
      <c r="C742" s="41"/>
      <c r="D742" s="41"/>
      <c r="E742" s="41"/>
      <c r="F742" s="41"/>
      <c r="G742" s="41"/>
      <c r="H742" s="41"/>
      <c r="I742" s="41"/>
      <c r="J742" s="41"/>
      <c r="K742" s="41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</row>
    <row r="743" spans="1:24" ht="14.25" customHeight="1">
      <c r="A743" s="17"/>
      <c r="B743" s="17"/>
      <c r="C743" s="41"/>
      <c r="D743" s="41"/>
      <c r="E743" s="41"/>
      <c r="F743" s="41"/>
      <c r="G743" s="41"/>
      <c r="H743" s="41"/>
      <c r="I743" s="41"/>
      <c r="J743" s="41"/>
      <c r="K743" s="41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</row>
    <row r="744" spans="1:24" ht="14.25" customHeight="1">
      <c r="A744" s="17"/>
      <c r="B744" s="17"/>
      <c r="C744" s="41"/>
      <c r="D744" s="41"/>
      <c r="E744" s="41"/>
      <c r="F744" s="41"/>
      <c r="G744" s="41"/>
      <c r="H744" s="41"/>
      <c r="I744" s="41"/>
      <c r="J744" s="41"/>
      <c r="K744" s="41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</row>
    <row r="745" spans="1:24" ht="14.25" customHeight="1">
      <c r="A745" s="17"/>
      <c r="B745" s="17"/>
      <c r="C745" s="41"/>
      <c r="D745" s="41"/>
      <c r="E745" s="41"/>
      <c r="F745" s="41"/>
      <c r="G745" s="41"/>
      <c r="H745" s="41"/>
      <c r="I745" s="41"/>
      <c r="J745" s="41"/>
      <c r="K745" s="41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</row>
    <row r="746" spans="1:24" ht="14.25" customHeight="1">
      <c r="A746" s="17"/>
      <c r="B746" s="17"/>
      <c r="C746" s="41"/>
      <c r="D746" s="41"/>
      <c r="E746" s="41"/>
      <c r="F746" s="41"/>
      <c r="G746" s="41"/>
      <c r="H746" s="41"/>
      <c r="I746" s="41"/>
      <c r="J746" s="41"/>
      <c r="K746" s="41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</row>
    <row r="747" spans="1:24" ht="14.25" customHeight="1">
      <c r="A747" s="17"/>
      <c r="B747" s="17"/>
      <c r="C747" s="41"/>
      <c r="D747" s="41"/>
      <c r="E747" s="41"/>
      <c r="F747" s="41"/>
      <c r="G747" s="41"/>
      <c r="H747" s="41"/>
      <c r="I747" s="41"/>
      <c r="J747" s="41"/>
      <c r="K747" s="41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</row>
    <row r="748" spans="1:24" ht="14.25" customHeight="1">
      <c r="A748" s="17"/>
      <c r="B748" s="17"/>
      <c r="C748" s="41"/>
      <c r="D748" s="41"/>
      <c r="E748" s="41"/>
      <c r="F748" s="41"/>
      <c r="G748" s="41"/>
      <c r="H748" s="41"/>
      <c r="I748" s="41"/>
      <c r="J748" s="41"/>
      <c r="K748" s="41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</row>
    <row r="749" spans="1:24" ht="14.25" customHeight="1">
      <c r="A749" s="17"/>
      <c r="B749" s="17"/>
      <c r="C749" s="41"/>
      <c r="D749" s="41"/>
      <c r="E749" s="41"/>
      <c r="F749" s="41"/>
      <c r="G749" s="41"/>
      <c r="H749" s="41"/>
      <c r="I749" s="41"/>
      <c r="J749" s="41"/>
      <c r="K749" s="41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</row>
    <row r="750" spans="1:24" ht="14.25" customHeight="1">
      <c r="A750" s="17"/>
      <c r="B750" s="17"/>
      <c r="C750" s="41"/>
      <c r="D750" s="41"/>
      <c r="E750" s="41"/>
      <c r="F750" s="41"/>
      <c r="G750" s="41"/>
      <c r="H750" s="41"/>
      <c r="I750" s="41"/>
      <c r="J750" s="41"/>
      <c r="K750" s="41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</row>
    <row r="751" spans="1:24" ht="14.25" customHeight="1">
      <c r="A751" s="17"/>
      <c r="B751" s="17"/>
      <c r="C751" s="41"/>
      <c r="D751" s="41"/>
      <c r="E751" s="41"/>
      <c r="F751" s="41"/>
      <c r="G751" s="41"/>
      <c r="H751" s="41"/>
      <c r="I751" s="41"/>
      <c r="J751" s="41"/>
      <c r="K751" s="41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</row>
    <row r="752" spans="1:24" ht="14.25" customHeight="1">
      <c r="A752" s="17"/>
      <c r="B752" s="17"/>
      <c r="C752" s="41"/>
      <c r="D752" s="41"/>
      <c r="E752" s="41"/>
      <c r="F752" s="41"/>
      <c r="G752" s="41"/>
      <c r="H752" s="41"/>
      <c r="I752" s="41"/>
      <c r="J752" s="41"/>
      <c r="K752" s="41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</row>
    <row r="753" spans="1:24" ht="14.25" customHeight="1">
      <c r="A753" s="17"/>
      <c r="B753" s="17"/>
      <c r="C753" s="41"/>
      <c r="D753" s="41"/>
      <c r="E753" s="41"/>
      <c r="F753" s="41"/>
      <c r="G753" s="41"/>
      <c r="H753" s="41"/>
      <c r="I753" s="41"/>
      <c r="J753" s="41"/>
      <c r="K753" s="41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</row>
    <row r="754" spans="1:24" ht="14.25" customHeight="1">
      <c r="A754" s="17"/>
      <c r="B754" s="17"/>
      <c r="C754" s="41"/>
      <c r="D754" s="41"/>
      <c r="E754" s="41"/>
      <c r="F754" s="41"/>
      <c r="G754" s="41"/>
      <c r="H754" s="41"/>
      <c r="I754" s="41"/>
      <c r="J754" s="41"/>
      <c r="K754" s="41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</row>
    <row r="755" spans="1:24" ht="14.25" customHeight="1">
      <c r="A755" s="17"/>
      <c r="B755" s="17"/>
      <c r="C755" s="41"/>
      <c r="D755" s="41"/>
      <c r="E755" s="41"/>
      <c r="F755" s="41"/>
      <c r="G755" s="41"/>
      <c r="H755" s="41"/>
      <c r="I755" s="41"/>
      <c r="J755" s="41"/>
      <c r="K755" s="41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</row>
    <row r="756" spans="1:24" ht="14.25" customHeight="1">
      <c r="A756" s="17"/>
      <c r="B756" s="17"/>
      <c r="C756" s="41"/>
      <c r="D756" s="41"/>
      <c r="E756" s="41"/>
      <c r="F756" s="41"/>
      <c r="G756" s="41"/>
      <c r="H756" s="41"/>
      <c r="I756" s="41"/>
      <c r="J756" s="41"/>
      <c r="K756" s="41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</row>
    <row r="757" spans="1:24" ht="14.25" customHeight="1">
      <c r="A757" s="17"/>
      <c r="B757" s="17"/>
      <c r="C757" s="41"/>
      <c r="D757" s="41"/>
      <c r="E757" s="41"/>
      <c r="F757" s="41"/>
      <c r="G757" s="41"/>
      <c r="H757" s="41"/>
      <c r="I757" s="41"/>
      <c r="J757" s="41"/>
      <c r="K757" s="41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</row>
    <row r="758" spans="1:24" ht="14.25" customHeight="1">
      <c r="A758" s="17"/>
      <c r="B758" s="17"/>
      <c r="C758" s="41"/>
      <c r="D758" s="41"/>
      <c r="E758" s="41"/>
      <c r="F758" s="41"/>
      <c r="G758" s="41"/>
      <c r="H758" s="41"/>
      <c r="I758" s="41"/>
      <c r="J758" s="41"/>
      <c r="K758" s="41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</row>
    <row r="759" spans="1:24" ht="14.25" customHeight="1">
      <c r="A759" s="17"/>
      <c r="B759" s="17"/>
      <c r="C759" s="41"/>
      <c r="D759" s="41"/>
      <c r="E759" s="41"/>
      <c r="F759" s="41"/>
      <c r="G759" s="41"/>
      <c r="H759" s="41"/>
      <c r="I759" s="41"/>
      <c r="J759" s="41"/>
      <c r="K759" s="41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</row>
    <row r="760" spans="1:24" ht="14.25" customHeight="1">
      <c r="A760" s="17"/>
      <c r="B760" s="17"/>
      <c r="C760" s="41"/>
      <c r="D760" s="41"/>
      <c r="E760" s="41"/>
      <c r="F760" s="41"/>
      <c r="G760" s="41"/>
      <c r="H760" s="41"/>
      <c r="I760" s="41"/>
      <c r="J760" s="41"/>
      <c r="K760" s="41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</row>
    <row r="761" spans="1:24" ht="14.25" customHeight="1">
      <c r="A761" s="17"/>
      <c r="B761" s="17"/>
      <c r="C761" s="41"/>
      <c r="D761" s="41"/>
      <c r="E761" s="41"/>
      <c r="F761" s="41"/>
      <c r="G761" s="41"/>
      <c r="H761" s="41"/>
      <c r="I761" s="41"/>
      <c r="J761" s="41"/>
      <c r="K761" s="41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</row>
    <row r="762" spans="1:24" ht="14.25" customHeight="1">
      <c r="A762" s="17"/>
      <c r="B762" s="17"/>
      <c r="C762" s="41"/>
      <c r="D762" s="41"/>
      <c r="E762" s="41"/>
      <c r="F762" s="41"/>
      <c r="G762" s="41"/>
      <c r="H762" s="41"/>
      <c r="I762" s="41"/>
      <c r="J762" s="41"/>
      <c r="K762" s="41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</row>
    <row r="763" spans="1:24" ht="14.25" customHeight="1">
      <c r="A763" s="17"/>
      <c r="B763" s="17"/>
      <c r="C763" s="41"/>
      <c r="D763" s="41"/>
      <c r="E763" s="41"/>
      <c r="F763" s="41"/>
      <c r="G763" s="41"/>
      <c r="H763" s="41"/>
      <c r="I763" s="41"/>
      <c r="J763" s="41"/>
      <c r="K763" s="41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</row>
    <row r="764" spans="1:24" ht="14.25" customHeight="1">
      <c r="A764" s="17"/>
      <c r="B764" s="17"/>
      <c r="C764" s="41"/>
      <c r="D764" s="41"/>
      <c r="E764" s="41"/>
      <c r="F764" s="41"/>
      <c r="G764" s="41"/>
      <c r="H764" s="41"/>
      <c r="I764" s="41"/>
      <c r="J764" s="41"/>
      <c r="K764" s="41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</row>
    <row r="765" spans="1:24" ht="14.25" customHeight="1">
      <c r="A765" s="17"/>
      <c r="B765" s="17"/>
      <c r="C765" s="41"/>
      <c r="D765" s="41"/>
      <c r="E765" s="41"/>
      <c r="F765" s="41"/>
      <c r="G765" s="41"/>
      <c r="H765" s="41"/>
      <c r="I765" s="41"/>
      <c r="J765" s="41"/>
      <c r="K765" s="41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</row>
    <row r="766" spans="1:24" ht="14.25" customHeight="1">
      <c r="A766" s="17"/>
      <c r="B766" s="17"/>
      <c r="C766" s="41"/>
      <c r="D766" s="41"/>
      <c r="E766" s="41"/>
      <c r="F766" s="41"/>
      <c r="G766" s="41"/>
      <c r="H766" s="41"/>
      <c r="I766" s="41"/>
      <c r="J766" s="41"/>
      <c r="K766" s="41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</row>
    <row r="767" spans="1:24" ht="14.25" customHeight="1">
      <c r="A767" s="17"/>
      <c r="B767" s="17"/>
      <c r="C767" s="41"/>
      <c r="D767" s="41"/>
      <c r="E767" s="41"/>
      <c r="F767" s="41"/>
      <c r="G767" s="41"/>
      <c r="H767" s="41"/>
      <c r="I767" s="41"/>
      <c r="J767" s="41"/>
      <c r="K767" s="41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</row>
    <row r="768" spans="1:24" ht="14.25" customHeight="1">
      <c r="A768" s="17"/>
      <c r="B768" s="17"/>
      <c r="C768" s="41"/>
      <c r="D768" s="41"/>
      <c r="E768" s="41"/>
      <c r="F768" s="41"/>
      <c r="G768" s="41"/>
      <c r="H768" s="41"/>
      <c r="I768" s="41"/>
      <c r="J768" s="41"/>
      <c r="K768" s="41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</row>
    <row r="769" spans="1:24" ht="14.25" customHeight="1">
      <c r="A769" s="17"/>
      <c r="B769" s="17"/>
      <c r="C769" s="41"/>
      <c r="D769" s="41"/>
      <c r="E769" s="41"/>
      <c r="F769" s="41"/>
      <c r="G769" s="41"/>
      <c r="H769" s="41"/>
      <c r="I769" s="41"/>
      <c r="J769" s="41"/>
      <c r="K769" s="41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</row>
    <row r="770" spans="1:24" ht="14.25" customHeight="1">
      <c r="A770" s="17"/>
      <c r="B770" s="17"/>
      <c r="C770" s="41"/>
      <c r="D770" s="41"/>
      <c r="E770" s="41"/>
      <c r="F770" s="41"/>
      <c r="G770" s="41"/>
      <c r="H770" s="41"/>
      <c r="I770" s="41"/>
      <c r="J770" s="41"/>
      <c r="K770" s="41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</row>
    <row r="771" spans="1:24" ht="14.25" customHeight="1">
      <c r="A771" s="17"/>
      <c r="B771" s="17"/>
      <c r="C771" s="41"/>
      <c r="D771" s="41"/>
      <c r="E771" s="41"/>
      <c r="F771" s="41"/>
      <c r="G771" s="41"/>
      <c r="H771" s="41"/>
      <c r="I771" s="41"/>
      <c r="J771" s="41"/>
      <c r="K771" s="41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</row>
    <row r="772" spans="1:24" ht="14.25" customHeight="1">
      <c r="A772" s="17"/>
      <c r="B772" s="17"/>
      <c r="C772" s="41"/>
      <c r="D772" s="41"/>
      <c r="E772" s="41"/>
      <c r="F772" s="41"/>
      <c r="G772" s="41"/>
      <c r="H772" s="41"/>
      <c r="I772" s="41"/>
      <c r="J772" s="41"/>
      <c r="K772" s="41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</row>
    <row r="773" spans="1:24" ht="14.25" customHeight="1">
      <c r="A773" s="17"/>
      <c r="B773" s="17"/>
      <c r="C773" s="41"/>
      <c r="D773" s="41"/>
      <c r="E773" s="41"/>
      <c r="F773" s="41"/>
      <c r="G773" s="41"/>
      <c r="H773" s="41"/>
      <c r="I773" s="41"/>
      <c r="J773" s="41"/>
      <c r="K773" s="41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</row>
    <row r="774" spans="1:24" ht="14.25" customHeight="1">
      <c r="A774" s="17"/>
      <c r="B774" s="17"/>
      <c r="C774" s="41"/>
      <c r="D774" s="41"/>
      <c r="E774" s="41"/>
      <c r="F774" s="41"/>
      <c r="G774" s="41"/>
      <c r="H774" s="41"/>
      <c r="I774" s="41"/>
      <c r="J774" s="41"/>
      <c r="K774" s="41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</row>
    <row r="775" spans="1:24" ht="14.25" customHeight="1">
      <c r="A775" s="17"/>
      <c r="B775" s="17"/>
      <c r="C775" s="41"/>
      <c r="D775" s="41"/>
      <c r="E775" s="41"/>
      <c r="F775" s="41"/>
      <c r="G775" s="41"/>
      <c r="H775" s="41"/>
      <c r="I775" s="41"/>
      <c r="J775" s="41"/>
      <c r="K775" s="41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</row>
    <row r="776" spans="1:24" ht="14.25" customHeight="1">
      <c r="A776" s="17"/>
      <c r="B776" s="17"/>
      <c r="C776" s="41"/>
      <c r="D776" s="41"/>
      <c r="E776" s="41"/>
      <c r="F776" s="41"/>
      <c r="G776" s="41"/>
      <c r="H776" s="41"/>
      <c r="I776" s="41"/>
      <c r="J776" s="41"/>
      <c r="K776" s="41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</row>
    <row r="777" spans="1:24" ht="14.25" customHeight="1">
      <c r="A777" s="17"/>
      <c r="B777" s="17"/>
      <c r="C777" s="41"/>
      <c r="D777" s="41"/>
      <c r="E777" s="41"/>
      <c r="F777" s="41"/>
      <c r="G777" s="41"/>
      <c r="H777" s="41"/>
      <c r="I777" s="41"/>
      <c r="J777" s="41"/>
      <c r="K777" s="41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</row>
    <row r="778" spans="1:24" ht="14.25" customHeight="1">
      <c r="A778" s="17"/>
      <c r="B778" s="17"/>
      <c r="C778" s="41"/>
      <c r="D778" s="41"/>
      <c r="E778" s="41"/>
      <c r="F778" s="41"/>
      <c r="G778" s="41"/>
      <c r="H778" s="41"/>
      <c r="I778" s="41"/>
      <c r="J778" s="41"/>
      <c r="K778" s="41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</row>
    <row r="779" spans="1:24" ht="14.25" customHeight="1">
      <c r="A779" s="17"/>
      <c r="B779" s="17"/>
      <c r="C779" s="41"/>
      <c r="D779" s="41"/>
      <c r="E779" s="41"/>
      <c r="F779" s="41"/>
      <c r="G779" s="41"/>
      <c r="H779" s="41"/>
      <c r="I779" s="41"/>
      <c r="J779" s="41"/>
      <c r="K779" s="41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</row>
    <row r="780" spans="1:24" ht="14.25" customHeight="1">
      <c r="A780" s="17"/>
      <c r="B780" s="17"/>
      <c r="C780" s="41"/>
      <c r="D780" s="41"/>
      <c r="E780" s="41"/>
      <c r="F780" s="41"/>
      <c r="G780" s="41"/>
      <c r="H780" s="41"/>
      <c r="I780" s="41"/>
      <c r="J780" s="41"/>
      <c r="K780" s="41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</row>
    <row r="781" spans="1:24" ht="14.25" customHeight="1">
      <c r="A781" s="17"/>
      <c r="B781" s="17"/>
      <c r="C781" s="41"/>
      <c r="D781" s="41"/>
      <c r="E781" s="41"/>
      <c r="F781" s="41"/>
      <c r="G781" s="41"/>
      <c r="H781" s="41"/>
      <c r="I781" s="41"/>
      <c r="J781" s="41"/>
      <c r="K781" s="41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</row>
    <row r="782" spans="1:24" ht="14.25" customHeight="1">
      <c r="A782" s="17"/>
      <c r="B782" s="17"/>
      <c r="C782" s="41"/>
      <c r="D782" s="41"/>
      <c r="E782" s="41"/>
      <c r="F782" s="41"/>
      <c r="G782" s="41"/>
      <c r="H782" s="41"/>
      <c r="I782" s="41"/>
      <c r="J782" s="41"/>
      <c r="K782" s="41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</row>
    <row r="783" spans="1:24" ht="14.25" customHeight="1">
      <c r="A783" s="17"/>
      <c r="B783" s="17"/>
      <c r="C783" s="41"/>
      <c r="D783" s="41"/>
      <c r="E783" s="41"/>
      <c r="F783" s="41"/>
      <c r="G783" s="41"/>
      <c r="H783" s="41"/>
      <c r="I783" s="41"/>
      <c r="J783" s="41"/>
      <c r="K783" s="41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</row>
    <row r="784" spans="1:24" ht="14.25" customHeight="1">
      <c r="A784" s="17"/>
      <c r="B784" s="17"/>
      <c r="C784" s="41"/>
      <c r="D784" s="41"/>
      <c r="E784" s="41"/>
      <c r="F784" s="41"/>
      <c r="G784" s="41"/>
      <c r="H784" s="41"/>
      <c r="I784" s="41"/>
      <c r="J784" s="41"/>
      <c r="K784" s="41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</row>
    <row r="785" spans="1:24" ht="14.25" customHeight="1">
      <c r="A785" s="17"/>
      <c r="B785" s="17"/>
      <c r="C785" s="41"/>
      <c r="D785" s="41"/>
      <c r="E785" s="41"/>
      <c r="F785" s="41"/>
      <c r="G785" s="41"/>
      <c r="H785" s="41"/>
      <c r="I785" s="41"/>
      <c r="J785" s="41"/>
      <c r="K785" s="41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</row>
    <row r="786" spans="1:24" ht="14.25" customHeight="1">
      <c r="A786" s="17"/>
      <c r="B786" s="17"/>
      <c r="C786" s="41"/>
      <c r="D786" s="41"/>
      <c r="E786" s="41"/>
      <c r="F786" s="41"/>
      <c r="G786" s="41"/>
      <c r="H786" s="41"/>
      <c r="I786" s="41"/>
      <c r="J786" s="41"/>
      <c r="K786" s="41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</row>
    <row r="787" spans="1:24" ht="14.25" customHeight="1">
      <c r="A787" s="17"/>
      <c r="B787" s="17"/>
      <c r="C787" s="41"/>
      <c r="D787" s="41"/>
      <c r="E787" s="41"/>
      <c r="F787" s="41"/>
      <c r="G787" s="41"/>
      <c r="H787" s="41"/>
      <c r="I787" s="41"/>
      <c r="J787" s="41"/>
      <c r="K787" s="41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</row>
    <row r="788" spans="1:24" ht="14.25" customHeight="1">
      <c r="A788" s="17"/>
      <c r="B788" s="17"/>
      <c r="C788" s="41"/>
      <c r="D788" s="41"/>
      <c r="E788" s="41"/>
      <c r="F788" s="41"/>
      <c r="G788" s="41"/>
      <c r="H788" s="41"/>
      <c r="I788" s="41"/>
      <c r="J788" s="41"/>
      <c r="K788" s="41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</row>
    <row r="789" spans="1:24" ht="14.25" customHeight="1">
      <c r="A789" s="17"/>
      <c r="B789" s="17"/>
      <c r="C789" s="41"/>
      <c r="D789" s="41"/>
      <c r="E789" s="41"/>
      <c r="F789" s="41"/>
      <c r="G789" s="41"/>
      <c r="H789" s="41"/>
      <c r="I789" s="41"/>
      <c r="J789" s="41"/>
      <c r="K789" s="41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</row>
    <row r="790" spans="1:24" ht="14.25" customHeight="1">
      <c r="A790" s="17"/>
      <c r="B790" s="17"/>
      <c r="C790" s="41"/>
      <c r="D790" s="41"/>
      <c r="E790" s="41"/>
      <c r="F790" s="41"/>
      <c r="G790" s="41"/>
      <c r="H790" s="41"/>
      <c r="I790" s="41"/>
      <c r="J790" s="41"/>
      <c r="K790" s="41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</row>
    <row r="791" spans="1:24" ht="14.25" customHeight="1">
      <c r="A791" s="17"/>
      <c r="B791" s="17"/>
      <c r="C791" s="41"/>
      <c r="D791" s="41"/>
      <c r="E791" s="41"/>
      <c r="F791" s="41"/>
      <c r="G791" s="41"/>
      <c r="H791" s="41"/>
      <c r="I791" s="41"/>
      <c r="J791" s="41"/>
      <c r="K791" s="41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</row>
    <row r="792" spans="1:24" ht="14.25" customHeight="1">
      <c r="A792" s="17"/>
      <c r="B792" s="17"/>
      <c r="C792" s="41"/>
      <c r="D792" s="41"/>
      <c r="E792" s="41"/>
      <c r="F792" s="41"/>
      <c r="G792" s="41"/>
      <c r="H792" s="41"/>
      <c r="I792" s="41"/>
      <c r="J792" s="41"/>
      <c r="K792" s="41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</row>
    <row r="793" spans="1:24" ht="14.25" customHeight="1">
      <c r="A793" s="17"/>
      <c r="B793" s="17"/>
      <c r="C793" s="41"/>
      <c r="D793" s="41"/>
      <c r="E793" s="41"/>
      <c r="F793" s="41"/>
      <c r="G793" s="41"/>
      <c r="H793" s="41"/>
      <c r="I793" s="41"/>
      <c r="J793" s="41"/>
      <c r="K793" s="41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</row>
    <row r="794" spans="1:24" ht="14.25" customHeight="1">
      <c r="A794" s="17"/>
      <c r="B794" s="17"/>
      <c r="C794" s="41"/>
      <c r="D794" s="41"/>
      <c r="E794" s="41"/>
      <c r="F794" s="41"/>
      <c r="G794" s="41"/>
      <c r="H794" s="41"/>
      <c r="I794" s="41"/>
      <c r="J794" s="41"/>
      <c r="K794" s="41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</row>
    <row r="795" spans="1:24" ht="14.25" customHeight="1">
      <c r="A795" s="17"/>
      <c r="B795" s="17"/>
      <c r="C795" s="41"/>
      <c r="D795" s="41"/>
      <c r="E795" s="41"/>
      <c r="F795" s="41"/>
      <c r="G795" s="41"/>
      <c r="H795" s="41"/>
      <c r="I795" s="41"/>
      <c r="J795" s="41"/>
      <c r="K795" s="41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</row>
    <row r="796" spans="1:24" ht="14.25" customHeight="1">
      <c r="A796" s="17"/>
      <c r="B796" s="17"/>
      <c r="C796" s="41"/>
      <c r="D796" s="41"/>
      <c r="E796" s="41"/>
      <c r="F796" s="41"/>
      <c r="G796" s="41"/>
      <c r="H796" s="41"/>
      <c r="I796" s="41"/>
      <c r="J796" s="41"/>
      <c r="K796" s="41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</row>
    <row r="797" spans="1:24" ht="14.25" customHeight="1">
      <c r="A797" s="17"/>
      <c r="B797" s="17"/>
      <c r="C797" s="41"/>
      <c r="D797" s="41"/>
      <c r="E797" s="41"/>
      <c r="F797" s="41"/>
      <c r="G797" s="41"/>
      <c r="H797" s="41"/>
      <c r="I797" s="41"/>
      <c r="J797" s="41"/>
      <c r="K797" s="41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</row>
    <row r="798" spans="1:24" ht="14.25" customHeight="1">
      <c r="A798" s="17"/>
      <c r="B798" s="17"/>
      <c r="C798" s="41"/>
      <c r="D798" s="41"/>
      <c r="E798" s="41"/>
      <c r="F798" s="41"/>
      <c r="G798" s="41"/>
      <c r="H798" s="41"/>
      <c r="I798" s="41"/>
      <c r="J798" s="41"/>
      <c r="K798" s="41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</row>
    <row r="799" spans="1:24" ht="14.25" customHeight="1">
      <c r="A799" s="17"/>
      <c r="B799" s="17"/>
      <c r="C799" s="41"/>
      <c r="D799" s="41"/>
      <c r="E799" s="41"/>
      <c r="F799" s="41"/>
      <c r="G799" s="41"/>
      <c r="H799" s="41"/>
      <c r="I799" s="41"/>
      <c r="J799" s="41"/>
      <c r="K799" s="41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</row>
    <row r="800" spans="1:24" ht="14.25" customHeight="1">
      <c r="A800" s="17"/>
      <c r="B800" s="17"/>
      <c r="C800" s="41"/>
      <c r="D800" s="41"/>
      <c r="E800" s="41"/>
      <c r="F800" s="41"/>
      <c r="G800" s="41"/>
      <c r="H800" s="41"/>
      <c r="I800" s="41"/>
      <c r="J800" s="41"/>
      <c r="K800" s="41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</row>
    <row r="801" spans="1:24" ht="14.25" customHeight="1">
      <c r="A801" s="17"/>
      <c r="B801" s="17"/>
      <c r="C801" s="41"/>
      <c r="D801" s="41"/>
      <c r="E801" s="41"/>
      <c r="F801" s="41"/>
      <c r="G801" s="41"/>
      <c r="H801" s="41"/>
      <c r="I801" s="41"/>
      <c r="J801" s="41"/>
      <c r="K801" s="41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</row>
    <row r="802" spans="1:24" ht="14.25" customHeight="1">
      <c r="A802" s="17"/>
      <c r="B802" s="17"/>
      <c r="C802" s="41"/>
      <c r="D802" s="41"/>
      <c r="E802" s="41"/>
      <c r="F802" s="41"/>
      <c r="G802" s="41"/>
      <c r="H802" s="41"/>
      <c r="I802" s="41"/>
      <c r="J802" s="41"/>
      <c r="K802" s="41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</row>
    <row r="803" spans="1:24" ht="14.25" customHeight="1">
      <c r="A803" s="17"/>
      <c r="B803" s="17"/>
      <c r="C803" s="41"/>
      <c r="D803" s="41"/>
      <c r="E803" s="41"/>
      <c r="F803" s="41"/>
      <c r="G803" s="41"/>
      <c r="H803" s="41"/>
      <c r="I803" s="41"/>
      <c r="J803" s="41"/>
      <c r="K803" s="41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</row>
    <row r="804" spans="1:24" ht="14.25" customHeight="1">
      <c r="A804" s="17"/>
      <c r="B804" s="17"/>
      <c r="C804" s="41"/>
      <c r="D804" s="41"/>
      <c r="E804" s="41"/>
      <c r="F804" s="41"/>
      <c r="G804" s="41"/>
      <c r="H804" s="41"/>
      <c r="I804" s="41"/>
      <c r="J804" s="41"/>
      <c r="K804" s="41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</row>
    <row r="805" spans="1:24" ht="14.25" customHeight="1">
      <c r="A805" s="17"/>
      <c r="B805" s="17"/>
      <c r="C805" s="41"/>
      <c r="D805" s="41"/>
      <c r="E805" s="41"/>
      <c r="F805" s="41"/>
      <c r="G805" s="41"/>
      <c r="H805" s="41"/>
      <c r="I805" s="41"/>
      <c r="J805" s="41"/>
      <c r="K805" s="41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</row>
    <row r="806" spans="1:24" ht="14.25" customHeight="1">
      <c r="A806" s="17"/>
      <c r="B806" s="17"/>
      <c r="C806" s="41"/>
      <c r="D806" s="41"/>
      <c r="E806" s="41"/>
      <c r="F806" s="41"/>
      <c r="G806" s="41"/>
      <c r="H806" s="41"/>
      <c r="I806" s="41"/>
      <c r="J806" s="41"/>
      <c r="K806" s="41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</row>
    <row r="807" spans="1:24" ht="14.25" customHeight="1">
      <c r="A807" s="17"/>
      <c r="B807" s="17"/>
      <c r="C807" s="41"/>
      <c r="D807" s="41"/>
      <c r="E807" s="41"/>
      <c r="F807" s="41"/>
      <c r="G807" s="41"/>
      <c r="H807" s="41"/>
      <c r="I807" s="41"/>
      <c r="J807" s="41"/>
      <c r="K807" s="41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</row>
    <row r="808" spans="1:24" ht="14.25" customHeight="1">
      <c r="A808" s="17"/>
      <c r="B808" s="17"/>
      <c r="C808" s="41"/>
      <c r="D808" s="41"/>
      <c r="E808" s="41"/>
      <c r="F808" s="41"/>
      <c r="G808" s="41"/>
      <c r="H808" s="41"/>
      <c r="I808" s="41"/>
      <c r="J808" s="41"/>
      <c r="K808" s="41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</row>
    <row r="809" spans="1:24" ht="14.25" customHeight="1">
      <c r="A809" s="17"/>
      <c r="B809" s="17"/>
      <c r="C809" s="41"/>
      <c r="D809" s="41"/>
      <c r="E809" s="41"/>
      <c r="F809" s="41"/>
      <c r="G809" s="41"/>
      <c r="H809" s="41"/>
      <c r="I809" s="41"/>
      <c r="J809" s="41"/>
      <c r="K809" s="41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</row>
    <row r="810" spans="1:24" ht="14.25" customHeight="1">
      <c r="A810" s="17"/>
      <c r="B810" s="17"/>
      <c r="C810" s="41"/>
      <c r="D810" s="41"/>
      <c r="E810" s="41"/>
      <c r="F810" s="41"/>
      <c r="G810" s="41"/>
      <c r="H810" s="41"/>
      <c r="I810" s="41"/>
      <c r="J810" s="41"/>
      <c r="K810" s="41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</row>
    <row r="811" spans="1:24" ht="14.25" customHeight="1">
      <c r="A811" s="17"/>
      <c r="B811" s="17"/>
      <c r="C811" s="41"/>
      <c r="D811" s="41"/>
      <c r="E811" s="41"/>
      <c r="F811" s="41"/>
      <c r="G811" s="41"/>
      <c r="H811" s="41"/>
      <c r="I811" s="41"/>
      <c r="J811" s="41"/>
      <c r="K811" s="41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</row>
    <row r="812" spans="1:24" ht="14.25" customHeight="1">
      <c r="A812" s="17"/>
      <c r="B812" s="17"/>
      <c r="C812" s="41"/>
      <c r="D812" s="41"/>
      <c r="E812" s="41"/>
      <c r="F812" s="41"/>
      <c r="G812" s="41"/>
      <c r="H812" s="41"/>
      <c r="I812" s="41"/>
      <c r="J812" s="41"/>
      <c r="K812" s="41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</row>
    <row r="813" spans="1:24" ht="14.25" customHeight="1">
      <c r="A813" s="17"/>
      <c r="B813" s="17"/>
      <c r="C813" s="41"/>
      <c r="D813" s="41"/>
      <c r="E813" s="41"/>
      <c r="F813" s="41"/>
      <c r="G813" s="41"/>
      <c r="H813" s="41"/>
      <c r="I813" s="41"/>
      <c r="J813" s="41"/>
      <c r="K813" s="41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</row>
    <row r="814" spans="1:24" ht="14.25" customHeight="1">
      <c r="A814" s="17"/>
      <c r="B814" s="17"/>
      <c r="C814" s="41"/>
      <c r="D814" s="41"/>
      <c r="E814" s="41"/>
      <c r="F814" s="41"/>
      <c r="G814" s="41"/>
      <c r="H814" s="41"/>
      <c r="I814" s="41"/>
      <c r="J814" s="41"/>
      <c r="K814" s="41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</row>
    <row r="815" spans="1:24" ht="14.25" customHeight="1">
      <c r="A815" s="17"/>
      <c r="B815" s="17"/>
      <c r="C815" s="41"/>
      <c r="D815" s="41"/>
      <c r="E815" s="41"/>
      <c r="F815" s="41"/>
      <c r="G815" s="41"/>
      <c r="H815" s="41"/>
      <c r="I815" s="41"/>
      <c r="J815" s="41"/>
      <c r="K815" s="41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</row>
    <row r="816" spans="1:24" ht="14.25" customHeight="1">
      <c r="A816" s="17"/>
      <c r="B816" s="17"/>
      <c r="C816" s="41"/>
      <c r="D816" s="41"/>
      <c r="E816" s="41"/>
      <c r="F816" s="41"/>
      <c r="G816" s="41"/>
      <c r="H816" s="41"/>
      <c r="I816" s="41"/>
      <c r="J816" s="41"/>
      <c r="K816" s="41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</row>
    <row r="817" spans="1:24" ht="14.25" customHeight="1">
      <c r="A817" s="17"/>
      <c r="B817" s="17"/>
      <c r="C817" s="41"/>
      <c r="D817" s="41"/>
      <c r="E817" s="41"/>
      <c r="F817" s="41"/>
      <c r="G817" s="41"/>
      <c r="H817" s="41"/>
      <c r="I817" s="41"/>
      <c r="J817" s="41"/>
      <c r="K817" s="41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</row>
    <row r="818" spans="1:24" ht="14.25" customHeight="1">
      <c r="A818" s="17"/>
      <c r="B818" s="17"/>
      <c r="C818" s="41"/>
      <c r="D818" s="41"/>
      <c r="E818" s="41"/>
      <c r="F818" s="41"/>
      <c r="G818" s="41"/>
      <c r="H818" s="41"/>
      <c r="I818" s="41"/>
      <c r="J818" s="41"/>
      <c r="K818" s="41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</row>
    <row r="819" spans="1:24" ht="14.25" customHeight="1">
      <c r="A819" s="17"/>
      <c r="B819" s="17"/>
      <c r="C819" s="41"/>
      <c r="D819" s="41"/>
      <c r="E819" s="41"/>
      <c r="F819" s="41"/>
      <c r="G819" s="41"/>
      <c r="H819" s="41"/>
      <c r="I819" s="41"/>
      <c r="J819" s="41"/>
      <c r="K819" s="41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</row>
    <row r="820" spans="1:24" ht="14.25" customHeight="1">
      <c r="A820" s="17"/>
      <c r="B820" s="17"/>
      <c r="C820" s="41"/>
      <c r="D820" s="41"/>
      <c r="E820" s="41"/>
      <c r="F820" s="41"/>
      <c r="G820" s="41"/>
      <c r="H820" s="41"/>
      <c r="I820" s="41"/>
      <c r="J820" s="41"/>
      <c r="K820" s="41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</row>
    <row r="821" spans="1:24" ht="14.25" customHeight="1">
      <c r="A821" s="17"/>
      <c r="B821" s="17"/>
      <c r="C821" s="41"/>
      <c r="D821" s="41"/>
      <c r="E821" s="41"/>
      <c r="F821" s="41"/>
      <c r="G821" s="41"/>
      <c r="H821" s="41"/>
      <c r="I821" s="41"/>
      <c r="J821" s="41"/>
      <c r="K821" s="41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</row>
    <row r="822" spans="1:24" ht="14.25" customHeight="1">
      <c r="A822" s="17"/>
      <c r="B822" s="17"/>
      <c r="C822" s="41"/>
      <c r="D822" s="41"/>
      <c r="E822" s="41"/>
      <c r="F822" s="41"/>
      <c r="G822" s="41"/>
      <c r="H822" s="41"/>
      <c r="I822" s="41"/>
      <c r="J822" s="41"/>
      <c r="K822" s="41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</row>
    <row r="823" spans="1:24" ht="14.25" customHeight="1">
      <c r="A823" s="17"/>
      <c r="B823" s="17"/>
      <c r="C823" s="41"/>
      <c r="D823" s="41"/>
      <c r="E823" s="41"/>
      <c r="F823" s="41"/>
      <c r="G823" s="41"/>
      <c r="H823" s="41"/>
      <c r="I823" s="41"/>
      <c r="J823" s="41"/>
      <c r="K823" s="41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</row>
    <row r="824" spans="1:24" ht="14.25" customHeight="1">
      <c r="A824" s="17"/>
      <c r="B824" s="17"/>
      <c r="C824" s="41"/>
      <c r="D824" s="41"/>
      <c r="E824" s="41"/>
      <c r="F824" s="41"/>
      <c r="G824" s="41"/>
      <c r="H824" s="41"/>
      <c r="I824" s="41"/>
      <c r="J824" s="41"/>
      <c r="K824" s="41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</row>
    <row r="825" spans="1:24" ht="14.25" customHeight="1">
      <c r="A825" s="17"/>
      <c r="B825" s="17"/>
      <c r="C825" s="41"/>
      <c r="D825" s="41"/>
      <c r="E825" s="41"/>
      <c r="F825" s="41"/>
      <c r="G825" s="41"/>
      <c r="H825" s="41"/>
      <c r="I825" s="41"/>
      <c r="J825" s="41"/>
      <c r="K825" s="41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</row>
    <row r="826" spans="1:24" ht="14.25" customHeight="1">
      <c r="A826" s="17"/>
      <c r="B826" s="17"/>
      <c r="C826" s="41"/>
      <c r="D826" s="41"/>
      <c r="E826" s="41"/>
      <c r="F826" s="41"/>
      <c r="G826" s="41"/>
      <c r="H826" s="41"/>
      <c r="I826" s="41"/>
      <c r="J826" s="41"/>
      <c r="K826" s="41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</row>
    <row r="827" spans="1:24" ht="14.25" customHeight="1">
      <c r="A827" s="17"/>
      <c r="B827" s="17"/>
      <c r="C827" s="41"/>
      <c r="D827" s="41"/>
      <c r="E827" s="41"/>
      <c r="F827" s="41"/>
      <c r="G827" s="41"/>
      <c r="H827" s="41"/>
      <c r="I827" s="41"/>
      <c r="J827" s="41"/>
      <c r="K827" s="41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</row>
    <row r="828" spans="1:24" ht="14.25" customHeight="1">
      <c r="A828" s="17"/>
      <c r="B828" s="17"/>
      <c r="C828" s="41"/>
      <c r="D828" s="41"/>
      <c r="E828" s="41"/>
      <c r="F828" s="41"/>
      <c r="G828" s="41"/>
      <c r="H828" s="41"/>
      <c r="I828" s="41"/>
      <c r="J828" s="41"/>
      <c r="K828" s="41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</row>
    <row r="829" spans="1:24" ht="14.25" customHeight="1">
      <c r="A829" s="17"/>
      <c r="B829" s="17"/>
      <c r="C829" s="41"/>
      <c r="D829" s="41"/>
      <c r="E829" s="41"/>
      <c r="F829" s="41"/>
      <c r="G829" s="41"/>
      <c r="H829" s="41"/>
      <c r="I829" s="41"/>
      <c r="J829" s="41"/>
      <c r="K829" s="41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</row>
    <row r="830" spans="1:24" ht="14.25" customHeight="1">
      <c r="A830" s="17"/>
      <c r="B830" s="17"/>
      <c r="C830" s="41"/>
      <c r="D830" s="41"/>
      <c r="E830" s="41"/>
      <c r="F830" s="41"/>
      <c r="G830" s="41"/>
      <c r="H830" s="41"/>
      <c r="I830" s="41"/>
      <c r="J830" s="41"/>
      <c r="K830" s="41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</row>
    <row r="831" spans="1:24" ht="14.25" customHeight="1">
      <c r="A831" s="17"/>
      <c r="B831" s="17"/>
      <c r="C831" s="41"/>
      <c r="D831" s="41"/>
      <c r="E831" s="41"/>
      <c r="F831" s="41"/>
      <c r="G831" s="41"/>
      <c r="H831" s="41"/>
      <c r="I831" s="41"/>
      <c r="J831" s="41"/>
      <c r="K831" s="41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</row>
    <row r="832" spans="1:24" ht="14.25" customHeight="1">
      <c r="A832" s="17"/>
      <c r="B832" s="17"/>
      <c r="C832" s="41"/>
      <c r="D832" s="41"/>
      <c r="E832" s="41"/>
      <c r="F832" s="41"/>
      <c r="G832" s="41"/>
      <c r="H832" s="41"/>
      <c r="I832" s="41"/>
      <c r="J832" s="41"/>
      <c r="K832" s="41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</row>
    <row r="833" spans="1:24" ht="14.25" customHeight="1">
      <c r="A833" s="17"/>
      <c r="B833" s="17"/>
      <c r="C833" s="41"/>
      <c r="D833" s="41"/>
      <c r="E833" s="41"/>
      <c r="F833" s="41"/>
      <c r="G833" s="41"/>
      <c r="H833" s="41"/>
      <c r="I833" s="41"/>
      <c r="J833" s="41"/>
      <c r="K833" s="41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</row>
    <row r="834" spans="1:24" ht="14.25" customHeight="1">
      <c r="A834" s="17"/>
      <c r="B834" s="17"/>
      <c r="C834" s="41"/>
      <c r="D834" s="41"/>
      <c r="E834" s="41"/>
      <c r="F834" s="41"/>
      <c r="G834" s="41"/>
      <c r="H834" s="41"/>
      <c r="I834" s="41"/>
      <c r="J834" s="41"/>
      <c r="K834" s="41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</row>
    <row r="835" spans="1:24" ht="14.25" customHeight="1">
      <c r="A835" s="17"/>
      <c r="B835" s="17"/>
      <c r="C835" s="41"/>
      <c r="D835" s="41"/>
      <c r="E835" s="41"/>
      <c r="F835" s="41"/>
      <c r="G835" s="41"/>
      <c r="H835" s="41"/>
      <c r="I835" s="41"/>
      <c r="J835" s="41"/>
      <c r="K835" s="41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</row>
    <row r="836" spans="1:24" ht="14.25" customHeight="1">
      <c r="A836" s="17"/>
      <c r="B836" s="17"/>
      <c r="C836" s="41"/>
      <c r="D836" s="41"/>
      <c r="E836" s="41"/>
      <c r="F836" s="41"/>
      <c r="G836" s="41"/>
      <c r="H836" s="41"/>
      <c r="I836" s="41"/>
      <c r="J836" s="41"/>
      <c r="K836" s="41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</row>
    <row r="837" spans="1:24" ht="14.25" customHeight="1">
      <c r="A837" s="17"/>
      <c r="B837" s="17"/>
      <c r="C837" s="41"/>
      <c r="D837" s="41"/>
      <c r="E837" s="41"/>
      <c r="F837" s="41"/>
      <c r="G837" s="41"/>
      <c r="H837" s="41"/>
      <c r="I837" s="41"/>
      <c r="J837" s="41"/>
      <c r="K837" s="41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</row>
    <row r="838" spans="1:24" ht="14.25" customHeight="1">
      <c r="A838" s="17"/>
      <c r="B838" s="17"/>
      <c r="C838" s="41"/>
      <c r="D838" s="41"/>
      <c r="E838" s="41"/>
      <c r="F838" s="41"/>
      <c r="G838" s="41"/>
      <c r="H838" s="41"/>
      <c r="I838" s="41"/>
      <c r="J838" s="41"/>
      <c r="K838" s="41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</row>
    <row r="839" spans="1:24" ht="14.25" customHeight="1">
      <c r="A839" s="17"/>
      <c r="B839" s="17"/>
      <c r="C839" s="41"/>
      <c r="D839" s="41"/>
      <c r="E839" s="41"/>
      <c r="F839" s="41"/>
      <c r="G839" s="41"/>
      <c r="H839" s="41"/>
      <c r="I839" s="41"/>
      <c r="J839" s="41"/>
      <c r="K839" s="41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</row>
    <row r="840" spans="1:24" ht="14.25" customHeight="1">
      <c r="A840" s="17"/>
      <c r="B840" s="17"/>
      <c r="C840" s="41"/>
      <c r="D840" s="41"/>
      <c r="E840" s="41"/>
      <c r="F840" s="41"/>
      <c r="G840" s="41"/>
      <c r="H840" s="41"/>
      <c r="I840" s="41"/>
      <c r="J840" s="41"/>
      <c r="K840" s="41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</row>
    <row r="841" spans="1:24" ht="14.25" customHeight="1">
      <c r="A841" s="17"/>
      <c r="B841" s="17"/>
      <c r="C841" s="41"/>
      <c r="D841" s="41"/>
      <c r="E841" s="41"/>
      <c r="F841" s="41"/>
      <c r="G841" s="41"/>
      <c r="H841" s="41"/>
      <c r="I841" s="41"/>
      <c r="J841" s="41"/>
      <c r="K841" s="41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</row>
    <row r="842" spans="1:24" ht="14.25" customHeight="1">
      <c r="A842" s="17"/>
      <c r="B842" s="17"/>
      <c r="C842" s="41"/>
      <c r="D842" s="41"/>
      <c r="E842" s="41"/>
      <c r="F842" s="41"/>
      <c r="G842" s="41"/>
      <c r="H842" s="41"/>
      <c r="I842" s="41"/>
      <c r="J842" s="41"/>
      <c r="K842" s="41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</row>
    <row r="843" spans="1:24" ht="14.25" customHeight="1">
      <c r="A843" s="17"/>
      <c r="B843" s="17"/>
      <c r="C843" s="41"/>
      <c r="D843" s="41"/>
      <c r="E843" s="41"/>
      <c r="F843" s="41"/>
      <c r="G843" s="41"/>
      <c r="H843" s="41"/>
      <c r="I843" s="41"/>
      <c r="J843" s="41"/>
      <c r="K843" s="41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</row>
    <row r="844" spans="1:24" ht="14.25" customHeight="1">
      <c r="A844" s="17"/>
      <c r="B844" s="17"/>
      <c r="C844" s="41"/>
      <c r="D844" s="41"/>
      <c r="E844" s="41"/>
      <c r="F844" s="41"/>
      <c r="G844" s="41"/>
      <c r="H844" s="41"/>
      <c r="I844" s="41"/>
      <c r="J844" s="41"/>
      <c r="K844" s="41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</row>
    <row r="845" spans="1:24" ht="14.25" customHeight="1">
      <c r="A845" s="17"/>
      <c r="B845" s="17"/>
      <c r="C845" s="41"/>
      <c r="D845" s="41"/>
      <c r="E845" s="41"/>
      <c r="F845" s="41"/>
      <c r="G845" s="41"/>
      <c r="H845" s="41"/>
      <c r="I845" s="41"/>
      <c r="J845" s="41"/>
      <c r="K845" s="41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</row>
    <row r="846" spans="1:24" ht="14.25" customHeight="1">
      <c r="A846" s="17"/>
      <c r="B846" s="17"/>
      <c r="C846" s="41"/>
      <c r="D846" s="41"/>
      <c r="E846" s="41"/>
      <c r="F846" s="41"/>
      <c r="G846" s="41"/>
      <c r="H846" s="41"/>
      <c r="I846" s="41"/>
      <c r="J846" s="41"/>
      <c r="K846" s="41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</row>
    <row r="847" spans="1:24" ht="14.25" customHeight="1">
      <c r="A847" s="17"/>
      <c r="B847" s="17"/>
      <c r="C847" s="41"/>
      <c r="D847" s="41"/>
      <c r="E847" s="41"/>
      <c r="F847" s="41"/>
      <c r="G847" s="41"/>
      <c r="H847" s="41"/>
      <c r="I847" s="41"/>
      <c r="J847" s="41"/>
      <c r="K847" s="41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</row>
    <row r="848" spans="1:24" ht="14.25" customHeight="1">
      <c r="A848" s="17"/>
      <c r="B848" s="17"/>
      <c r="C848" s="41"/>
      <c r="D848" s="41"/>
      <c r="E848" s="41"/>
      <c r="F848" s="41"/>
      <c r="G848" s="41"/>
      <c r="H848" s="41"/>
      <c r="I848" s="41"/>
      <c r="J848" s="41"/>
      <c r="K848" s="41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</row>
    <row r="849" spans="1:24" ht="14.25" customHeight="1">
      <c r="A849" s="17"/>
      <c r="B849" s="17"/>
      <c r="C849" s="41"/>
      <c r="D849" s="41"/>
      <c r="E849" s="41"/>
      <c r="F849" s="41"/>
      <c r="G849" s="41"/>
      <c r="H849" s="41"/>
      <c r="I849" s="41"/>
      <c r="J849" s="41"/>
      <c r="K849" s="41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</row>
    <row r="850" spans="1:24" ht="14.25" customHeight="1">
      <c r="A850" s="17"/>
      <c r="B850" s="17"/>
      <c r="C850" s="41"/>
      <c r="D850" s="41"/>
      <c r="E850" s="41"/>
      <c r="F850" s="41"/>
      <c r="G850" s="41"/>
      <c r="H850" s="41"/>
      <c r="I850" s="41"/>
      <c r="J850" s="41"/>
      <c r="K850" s="41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</row>
    <row r="851" spans="1:24" ht="14.25" customHeight="1">
      <c r="A851" s="17"/>
      <c r="B851" s="17"/>
      <c r="C851" s="41"/>
      <c r="D851" s="41"/>
      <c r="E851" s="41"/>
      <c r="F851" s="41"/>
      <c r="G851" s="41"/>
      <c r="H851" s="41"/>
      <c r="I851" s="41"/>
      <c r="J851" s="41"/>
      <c r="K851" s="41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</row>
    <row r="852" spans="1:24" ht="14.25" customHeight="1">
      <c r="A852" s="17"/>
      <c r="B852" s="17"/>
      <c r="C852" s="41"/>
      <c r="D852" s="41"/>
      <c r="E852" s="41"/>
      <c r="F852" s="41"/>
      <c r="G852" s="41"/>
      <c r="H852" s="41"/>
      <c r="I852" s="41"/>
      <c r="J852" s="41"/>
      <c r="K852" s="41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</row>
    <row r="853" spans="1:24" ht="14.25" customHeight="1">
      <c r="A853" s="17"/>
      <c r="B853" s="17"/>
      <c r="C853" s="41"/>
      <c r="D853" s="41"/>
      <c r="E853" s="41"/>
      <c r="F853" s="41"/>
      <c r="G853" s="41"/>
      <c r="H853" s="41"/>
      <c r="I853" s="41"/>
      <c r="J853" s="41"/>
      <c r="K853" s="41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</row>
    <row r="854" spans="1:24" ht="14.25" customHeight="1">
      <c r="A854" s="17"/>
      <c r="B854" s="17"/>
      <c r="C854" s="41"/>
      <c r="D854" s="41"/>
      <c r="E854" s="41"/>
      <c r="F854" s="41"/>
      <c r="G854" s="41"/>
      <c r="H854" s="41"/>
      <c r="I854" s="41"/>
      <c r="J854" s="41"/>
      <c r="K854" s="41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</row>
    <row r="855" spans="1:24" ht="14.25" customHeight="1">
      <c r="A855" s="17"/>
      <c r="B855" s="17"/>
      <c r="C855" s="41"/>
      <c r="D855" s="41"/>
      <c r="E855" s="41"/>
      <c r="F855" s="41"/>
      <c r="G855" s="41"/>
      <c r="H855" s="41"/>
      <c r="I855" s="41"/>
      <c r="J855" s="41"/>
      <c r="K855" s="41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</row>
    <row r="856" spans="1:24" ht="14.25" customHeight="1">
      <c r="A856" s="17"/>
      <c r="B856" s="17"/>
      <c r="C856" s="41"/>
      <c r="D856" s="41"/>
      <c r="E856" s="41"/>
      <c r="F856" s="41"/>
      <c r="G856" s="41"/>
      <c r="H856" s="41"/>
      <c r="I856" s="41"/>
      <c r="J856" s="41"/>
      <c r="K856" s="41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</row>
    <row r="857" spans="1:24" ht="14.25" customHeight="1">
      <c r="A857" s="17"/>
      <c r="B857" s="17"/>
      <c r="C857" s="41"/>
      <c r="D857" s="41"/>
      <c r="E857" s="41"/>
      <c r="F857" s="41"/>
      <c r="G857" s="41"/>
      <c r="H857" s="41"/>
      <c r="I857" s="41"/>
      <c r="J857" s="41"/>
      <c r="K857" s="41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</row>
    <row r="858" spans="1:24" ht="14.25" customHeight="1">
      <c r="A858" s="17"/>
      <c r="B858" s="17"/>
      <c r="C858" s="41"/>
      <c r="D858" s="41"/>
      <c r="E858" s="41"/>
      <c r="F858" s="41"/>
      <c r="G858" s="41"/>
      <c r="H858" s="41"/>
      <c r="I858" s="41"/>
      <c r="J858" s="41"/>
      <c r="K858" s="41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</row>
    <row r="859" spans="1:24" ht="14.25" customHeight="1">
      <c r="A859" s="17"/>
      <c r="B859" s="17"/>
      <c r="C859" s="41"/>
      <c r="D859" s="41"/>
      <c r="E859" s="41"/>
      <c r="F859" s="41"/>
      <c r="G859" s="41"/>
      <c r="H859" s="41"/>
      <c r="I859" s="41"/>
      <c r="J859" s="41"/>
      <c r="K859" s="41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</row>
    <row r="860" spans="1:24" ht="14.25" customHeight="1">
      <c r="A860" s="17"/>
      <c r="B860" s="17"/>
      <c r="C860" s="41"/>
      <c r="D860" s="41"/>
      <c r="E860" s="41"/>
      <c r="F860" s="41"/>
      <c r="G860" s="41"/>
      <c r="H860" s="41"/>
      <c r="I860" s="41"/>
      <c r="J860" s="41"/>
      <c r="K860" s="41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</row>
    <row r="861" spans="1:24" ht="14.25" customHeight="1">
      <c r="A861" s="17"/>
      <c r="B861" s="17"/>
      <c r="C861" s="41"/>
      <c r="D861" s="41"/>
      <c r="E861" s="41"/>
      <c r="F861" s="41"/>
      <c r="G861" s="41"/>
      <c r="H861" s="41"/>
      <c r="I861" s="41"/>
      <c r="J861" s="41"/>
      <c r="K861" s="41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</row>
    <row r="862" spans="1:24" ht="14.25" customHeight="1">
      <c r="A862" s="17"/>
      <c r="B862" s="17"/>
      <c r="C862" s="41"/>
      <c r="D862" s="41"/>
      <c r="E862" s="41"/>
      <c r="F862" s="41"/>
      <c r="G862" s="41"/>
      <c r="H862" s="41"/>
      <c r="I862" s="41"/>
      <c r="J862" s="41"/>
      <c r="K862" s="41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</row>
    <row r="863" spans="1:24" ht="14.25" customHeight="1">
      <c r="A863" s="17"/>
      <c r="B863" s="17"/>
      <c r="C863" s="41"/>
      <c r="D863" s="41"/>
      <c r="E863" s="41"/>
      <c r="F863" s="41"/>
      <c r="G863" s="41"/>
      <c r="H863" s="41"/>
      <c r="I863" s="41"/>
      <c r="J863" s="41"/>
      <c r="K863" s="41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</row>
    <row r="864" spans="1:24" ht="14.25" customHeight="1">
      <c r="A864" s="17"/>
      <c r="B864" s="17"/>
      <c r="C864" s="41"/>
      <c r="D864" s="41"/>
      <c r="E864" s="41"/>
      <c r="F864" s="41"/>
      <c r="G864" s="41"/>
      <c r="H864" s="41"/>
      <c r="I864" s="41"/>
      <c r="J864" s="41"/>
      <c r="K864" s="41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</row>
    <row r="865" spans="1:24" ht="14.25" customHeight="1">
      <c r="A865" s="17"/>
      <c r="B865" s="17"/>
      <c r="C865" s="41"/>
      <c r="D865" s="41"/>
      <c r="E865" s="41"/>
      <c r="F865" s="41"/>
      <c r="G865" s="41"/>
      <c r="H865" s="41"/>
      <c r="I865" s="41"/>
      <c r="J865" s="41"/>
      <c r="K865" s="41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</row>
    <row r="866" spans="1:24" ht="14.25" customHeight="1">
      <c r="A866" s="17"/>
      <c r="B866" s="17"/>
      <c r="C866" s="41"/>
      <c r="D866" s="41"/>
      <c r="E866" s="41"/>
      <c r="F866" s="41"/>
      <c r="G866" s="41"/>
      <c r="H866" s="41"/>
      <c r="I866" s="41"/>
      <c r="J866" s="41"/>
      <c r="K866" s="41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</row>
    <row r="867" spans="1:24" ht="14.25" customHeight="1">
      <c r="A867" s="17"/>
      <c r="B867" s="17"/>
      <c r="C867" s="41"/>
      <c r="D867" s="41"/>
      <c r="E867" s="41"/>
      <c r="F867" s="41"/>
      <c r="G867" s="41"/>
      <c r="H867" s="41"/>
      <c r="I867" s="41"/>
      <c r="J867" s="41"/>
      <c r="K867" s="41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</row>
    <row r="868" spans="1:24" ht="14.25" customHeight="1">
      <c r="A868" s="17"/>
      <c r="B868" s="17"/>
      <c r="C868" s="41"/>
      <c r="D868" s="41"/>
      <c r="E868" s="41"/>
      <c r="F868" s="41"/>
      <c r="G868" s="41"/>
      <c r="H868" s="41"/>
      <c r="I868" s="41"/>
      <c r="J868" s="41"/>
      <c r="K868" s="41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</row>
    <row r="869" spans="1:24" ht="14.25" customHeight="1">
      <c r="A869" s="17"/>
      <c r="B869" s="17"/>
      <c r="C869" s="41"/>
      <c r="D869" s="41"/>
      <c r="E869" s="41"/>
      <c r="F869" s="41"/>
      <c r="G869" s="41"/>
      <c r="H869" s="41"/>
      <c r="I869" s="41"/>
      <c r="J869" s="41"/>
      <c r="K869" s="41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</row>
    <row r="870" spans="1:24" ht="14.25" customHeight="1">
      <c r="A870" s="17"/>
      <c r="B870" s="17"/>
      <c r="C870" s="41"/>
      <c r="D870" s="41"/>
      <c r="E870" s="41"/>
      <c r="F870" s="41"/>
      <c r="G870" s="41"/>
      <c r="H870" s="41"/>
      <c r="I870" s="41"/>
      <c r="J870" s="41"/>
      <c r="K870" s="41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</row>
    <row r="871" spans="1:24" ht="14.25" customHeight="1">
      <c r="A871" s="17"/>
      <c r="B871" s="17"/>
      <c r="C871" s="41"/>
      <c r="D871" s="41"/>
      <c r="E871" s="41"/>
      <c r="F871" s="41"/>
      <c r="G871" s="41"/>
      <c r="H871" s="41"/>
      <c r="I871" s="41"/>
      <c r="J871" s="41"/>
      <c r="K871" s="41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</row>
    <row r="872" spans="1:24" ht="14.25" customHeight="1">
      <c r="A872" s="17"/>
      <c r="B872" s="17"/>
      <c r="C872" s="41"/>
      <c r="D872" s="41"/>
      <c r="E872" s="41"/>
      <c r="F872" s="41"/>
      <c r="G872" s="41"/>
      <c r="H872" s="41"/>
      <c r="I872" s="41"/>
      <c r="J872" s="41"/>
      <c r="K872" s="41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</row>
    <row r="873" spans="1:24" ht="14.25" customHeight="1">
      <c r="A873" s="17"/>
      <c r="B873" s="17"/>
      <c r="C873" s="41"/>
      <c r="D873" s="41"/>
      <c r="E873" s="41"/>
      <c r="F873" s="41"/>
      <c r="G873" s="41"/>
      <c r="H873" s="41"/>
      <c r="I873" s="41"/>
      <c r="J873" s="41"/>
      <c r="K873" s="41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</row>
    <row r="874" spans="1:24" ht="14.25" customHeight="1">
      <c r="A874" s="17"/>
      <c r="B874" s="17"/>
      <c r="C874" s="41"/>
      <c r="D874" s="41"/>
      <c r="E874" s="41"/>
      <c r="F874" s="41"/>
      <c r="G874" s="41"/>
      <c r="H874" s="41"/>
      <c r="I874" s="41"/>
      <c r="J874" s="41"/>
      <c r="K874" s="41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</row>
    <row r="875" spans="1:24" ht="14.25" customHeight="1">
      <c r="A875" s="17"/>
      <c r="B875" s="17"/>
      <c r="C875" s="41"/>
      <c r="D875" s="41"/>
      <c r="E875" s="41"/>
      <c r="F875" s="41"/>
      <c r="G875" s="41"/>
      <c r="H875" s="41"/>
      <c r="I875" s="41"/>
      <c r="J875" s="41"/>
      <c r="K875" s="41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</row>
    <row r="876" spans="1:24" ht="14.25" customHeight="1">
      <c r="A876" s="17"/>
      <c r="B876" s="17"/>
      <c r="C876" s="41"/>
      <c r="D876" s="41"/>
      <c r="E876" s="41"/>
      <c r="F876" s="41"/>
      <c r="G876" s="41"/>
      <c r="H876" s="41"/>
      <c r="I876" s="41"/>
      <c r="J876" s="41"/>
      <c r="K876" s="41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</row>
    <row r="877" spans="1:24" ht="14.25" customHeight="1">
      <c r="A877" s="17"/>
      <c r="B877" s="17"/>
      <c r="C877" s="41"/>
      <c r="D877" s="41"/>
      <c r="E877" s="41"/>
      <c r="F877" s="41"/>
      <c r="G877" s="41"/>
      <c r="H877" s="41"/>
      <c r="I877" s="41"/>
      <c r="J877" s="41"/>
      <c r="K877" s="41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</row>
    <row r="878" spans="1:24" ht="14.25" customHeight="1">
      <c r="A878" s="17"/>
      <c r="B878" s="17"/>
      <c r="C878" s="41"/>
      <c r="D878" s="41"/>
      <c r="E878" s="41"/>
      <c r="F878" s="41"/>
      <c r="G878" s="41"/>
      <c r="H878" s="41"/>
      <c r="I878" s="41"/>
      <c r="J878" s="41"/>
      <c r="K878" s="41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</row>
    <row r="879" spans="1:24" ht="14.25" customHeight="1">
      <c r="A879" s="17"/>
      <c r="B879" s="17"/>
      <c r="C879" s="41"/>
      <c r="D879" s="41"/>
      <c r="E879" s="41"/>
      <c r="F879" s="41"/>
      <c r="G879" s="41"/>
      <c r="H879" s="41"/>
      <c r="I879" s="41"/>
      <c r="J879" s="41"/>
      <c r="K879" s="41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</row>
    <row r="880" spans="1:24" ht="14.25" customHeight="1">
      <c r="A880" s="17"/>
      <c r="B880" s="17"/>
      <c r="C880" s="41"/>
      <c r="D880" s="41"/>
      <c r="E880" s="41"/>
      <c r="F880" s="41"/>
      <c r="G880" s="41"/>
      <c r="H880" s="41"/>
      <c r="I880" s="41"/>
      <c r="J880" s="41"/>
      <c r="K880" s="41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</row>
    <row r="881" spans="1:24" ht="14.25" customHeight="1">
      <c r="A881" s="17"/>
      <c r="B881" s="17"/>
      <c r="C881" s="41"/>
      <c r="D881" s="41"/>
      <c r="E881" s="41"/>
      <c r="F881" s="41"/>
      <c r="G881" s="41"/>
      <c r="H881" s="41"/>
      <c r="I881" s="41"/>
      <c r="J881" s="41"/>
      <c r="K881" s="41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</row>
    <row r="882" spans="1:24" ht="14.25" customHeight="1">
      <c r="A882" s="17"/>
      <c r="B882" s="17"/>
      <c r="C882" s="41"/>
      <c r="D882" s="41"/>
      <c r="E882" s="41"/>
      <c r="F882" s="41"/>
      <c r="G882" s="41"/>
      <c r="H882" s="41"/>
      <c r="I882" s="41"/>
      <c r="J882" s="41"/>
      <c r="K882" s="41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</row>
    <row r="883" spans="1:24" ht="14.25" customHeight="1">
      <c r="A883" s="17"/>
      <c r="B883" s="17"/>
      <c r="C883" s="41"/>
      <c r="D883" s="41"/>
      <c r="E883" s="41"/>
      <c r="F883" s="41"/>
      <c r="G883" s="41"/>
      <c r="H883" s="41"/>
      <c r="I883" s="41"/>
      <c r="J883" s="41"/>
      <c r="K883" s="41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</row>
    <row r="884" spans="1:24" ht="14.25" customHeight="1">
      <c r="A884" s="17"/>
      <c r="B884" s="17"/>
      <c r="C884" s="41"/>
      <c r="D884" s="41"/>
      <c r="E884" s="41"/>
      <c r="F884" s="41"/>
      <c r="G884" s="41"/>
      <c r="H884" s="41"/>
      <c r="I884" s="41"/>
      <c r="J884" s="41"/>
      <c r="K884" s="41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</row>
    <row r="885" spans="1:24" ht="14.25" customHeight="1">
      <c r="A885" s="17"/>
      <c r="B885" s="17"/>
      <c r="C885" s="41"/>
      <c r="D885" s="41"/>
      <c r="E885" s="41"/>
      <c r="F885" s="41"/>
      <c r="G885" s="41"/>
      <c r="H885" s="41"/>
      <c r="I885" s="41"/>
      <c r="J885" s="41"/>
      <c r="K885" s="41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</row>
    <row r="886" spans="1:24" ht="14.25" customHeight="1">
      <c r="A886" s="17"/>
      <c r="B886" s="17"/>
      <c r="C886" s="41"/>
      <c r="D886" s="41"/>
      <c r="E886" s="41"/>
      <c r="F886" s="41"/>
      <c r="G886" s="41"/>
      <c r="H886" s="41"/>
      <c r="I886" s="41"/>
      <c r="J886" s="41"/>
      <c r="K886" s="41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</row>
    <row r="887" spans="1:24" ht="14.25" customHeight="1">
      <c r="A887" s="17"/>
      <c r="B887" s="17"/>
      <c r="C887" s="41"/>
      <c r="D887" s="41"/>
      <c r="E887" s="41"/>
      <c r="F887" s="41"/>
      <c r="G887" s="41"/>
      <c r="H887" s="41"/>
      <c r="I887" s="41"/>
      <c r="J887" s="41"/>
      <c r="K887" s="41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</row>
    <row r="888" spans="1:24" ht="14.25" customHeight="1">
      <c r="A888" s="17"/>
      <c r="B888" s="17"/>
      <c r="C888" s="41"/>
      <c r="D888" s="41"/>
      <c r="E888" s="41"/>
      <c r="F888" s="41"/>
      <c r="G888" s="41"/>
      <c r="H888" s="41"/>
      <c r="I888" s="41"/>
      <c r="J888" s="41"/>
      <c r="K888" s="41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</row>
    <row r="889" spans="1:24" ht="14.25" customHeight="1">
      <c r="A889" s="17"/>
      <c r="B889" s="17"/>
      <c r="C889" s="41"/>
      <c r="D889" s="41"/>
      <c r="E889" s="41"/>
      <c r="F889" s="41"/>
      <c r="G889" s="41"/>
      <c r="H889" s="41"/>
      <c r="I889" s="41"/>
      <c r="J889" s="41"/>
      <c r="K889" s="41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</row>
    <row r="890" spans="1:24" ht="14.25" customHeight="1">
      <c r="A890" s="17"/>
      <c r="B890" s="17"/>
      <c r="C890" s="41"/>
      <c r="D890" s="41"/>
      <c r="E890" s="41"/>
      <c r="F890" s="41"/>
      <c r="G890" s="41"/>
      <c r="H890" s="41"/>
      <c r="I890" s="41"/>
      <c r="J890" s="41"/>
      <c r="K890" s="41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</row>
    <row r="891" spans="1:24" ht="14.25" customHeight="1">
      <c r="A891" s="17"/>
      <c r="B891" s="17"/>
      <c r="C891" s="41"/>
      <c r="D891" s="41"/>
      <c r="E891" s="41"/>
      <c r="F891" s="41"/>
      <c r="G891" s="41"/>
      <c r="H891" s="41"/>
      <c r="I891" s="41"/>
      <c r="J891" s="41"/>
      <c r="K891" s="41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</row>
    <row r="892" spans="1:24" ht="14.25" customHeight="1">
      <c r="A892" s="17"/>
      <c r="B892" s="17"/>
      <c r="C892" s="41"/>
      <c r="D892" s="41"/>
      <c r="E892" s="41"/>
      <c r="F892" s="41"/>
      <c r="G892" s="41"/>
      <c r="H892" s="41"/>
      <c r="I892" s="41"/>
      <c r="J892" s="41"/>
      <c r="K892" s="41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</row>
    <row r="893" spans="1:24" ht="14.25" customHeight="1">
      <c r="A893" s="17"/>
      <c r="B893" s="17"/>
      <c r="C893" s="41"/>
      <c r="D893" s="41"/>
      <c r="E893" s="41"/>
      <c r="F893" s="41"/>
      <c r="G893" s="41"/>
      <c r="H893" s="41"/>
      <c r="I893" s="41"/>
      <c r="J893" s="41"/>
      <c r="K893" s="41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</row>
    <row r="894" spans="1:24" ht="14.25" customHeight="1">
      <c r="A894" s="17"/>
      <c r="B894" s="17"/>
      <c r="C894" s="41"/>
      <c r="D894" s="41"/>
      <c r="E894" s="41"/>
      <c r="F894" s="41"/>
      <c r="G894" s="41"/>
      <c r="H894" s="41"/>
      <c r="I894" s="41"/>
      <c r="J894" s="41"/>
      <c r="K894" s="41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</row>
    <row r="895" spans="1:24" ht="14.25" customHeight="1">
      <c r="A895" s="17"/>
      <c r="B895" s="17"/>
      <c r="C895" s="41"/>
      <c r="D895" s="41"/>
      <c r="E895" s="41"/>
      <c r="F895" s="41"/>
      <c r="G895" s="41"/>
      <c r="H895" s="41"/>
      <c r="I895" s="41"/>
      <c r="J895" s="41"/>
      <c r="K895" s="41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</row>
    <row r="896" spans="1:24" ht="14.25" customHeight="1">
      <c r="A896" s="17"/>
      <c r="B896" s="17"/>
      <c r="C896" s="41"/>
      <c r="D896" s="41"/>
      <c r="E896" s="41"/>
      <c r="F896" s="41"/>
      <c r="G896" s="41"/>
      <c r="H896" s="41"/>
      <c r="I896" s="41"/>
      <c r="J896" s="41"/>
      <c r="K896" s="41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</row>
    <row r="897" spans="1:24" ht="14.25" customHeight="1">
      <c r="A897" s="17"/>
      <c r="B897" s="17"/>
      <c r="C897" s="41"/>
      <c r="D897" s="41"/>
      <c r="E897" s="41"/>
      <c r="F897" s="41"/>
      <c r="G897" s="41"/>
      <c r="H897" s="41"/>
      <c r="I897" s="41"/>
      <c r="J897" s="41"/>
      <c r="K897" s="41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</row>
    <row r="898" spans="1:24" ht="14.25" customHeight="1">
      <c r="A898" s="17"/>
      <c r="B898" s="17"/>
      <c r="C898" s="41"/>
      <c r="D898" s="41"/>
      <c r="E898" s="41"/>
      <c r="F898" s="41"/>
      <c r="G898" s="41"/>
      <c r="H898" s="41"/>
      <c r="I898" s="41"/>
      <c r="J898" s="41"/>
      <c r="K898" s="41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</row>
    <row r="899" spans="1:24" ht="14.25" customHeight="1">
      <c r="A899" s="17"/>
      <c r="B899" s="17"/>
      <c r="C899" s="41"/>
      <c r="D899" s="41"/>
      <c r="E899" s="41"/>
      <c r="F899" s="41"/>
      <c r="G899" s="41"/>
      <c r="H899" s="41"/>
      <c r="I899" s="41"/>
      <c r="J899" s="41"/>
      <c r="K899" s="41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</row>
    <row r="900" spans="1:24" ht="14.25" customHeight="1">
      <c r="A900" s="17"/>
      <c r="B900" s="17"/>
      <c r="C900" s="41"/>
      <c r="D900" s="41"/>
      <c r="E900" s="41"/>
      <c r="F900" s="41"/>
      <c r="G900" s="41"/>
      <c r="H900" s="41"/>
      <c r="I900" s="41"/>
      <c r="J900" s="41"/>
      <c r="K900" s="41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</row>
    <row r="901" spans="1:24" ht="14.25" customHeight="1">
      <c r="A901" s="17"/>
      <c r="B901" s="17"/>
      <c r="C901" s="41"/>
      <c r="D901" s="41"/>
      <c r="E901" s="41"/>
      <c r="F901" s="41"/>
      <c r="G901" s="41"/>
      <c r="H901" s="41"/>
      <c r="I901" s="41"/>
      <c r="J901" s="41"/>
      <c r="K901" s="41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</row>
    <row r="902" spans="1:24" ht="14.25" customHeight="1">
      <c r="A902" s="17"/>
      <c r="B902" s="17"/>
      <c r="C902" s="41"/>
      <c r="D902" s="41"/>
      <c r="E902" s="41"/>
      <c r="F902" s="41"/>
      <c r="G902" s="41"/>
      <c r="H902" s="41"/>
      <c r="I902" s="41"/>
      <c r="J902" s="41"/>
      <c r="K902" s="41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</row>
    <row r="903" spans="1:24" ht="14.25" customHeight="1">
      <c r="A903" s="17"/>
      <c r="B903" s="17"/>
      <c r="C903" s="41"/>
      <c r="D903" s="41"/>
      <c r="E903" s="41"/>
      <c r="F903" s="41"/>
      <c r="G903" s="41"/>
      <c r="H903" s="41"/>
      <c r="I903" s="41"/>
      <c r="J903" s="41"/>
      <c r="K903" s="41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</row>
    <row r="904" spans="1:24" ht="14.25" customHeight="1">
      <c r="A904" s="17"/>
      <c r="B904" s="17"/>
      <c r="C904" s="41"/>
      <c r="D904" s="41"/>
      <c r="E904" s="41"/>
      <c r="F904" s="41"/>
      <c r="G904" s="41"/>
      <c r="H904" s="41"/>
      <c r="I904" s="41"/>
      <c r="J904" s="41"/>
      <c r="K904" s="41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</row>
    <row r="905" spans="1:24" ht="14.25" customHeight="1">
      <c r="A905" s="17"/>
      <c r="B905" s="17"/>
      <c r="C905" s="41"/>
      <c r="D905" s="41"/>
      <c r="E905" s="41"/>
      <c r="F905" s="41"/>
      <c r="G905" s="41"/>
      <c r="H905" s="41"/>
      <c r="I905" s="41"/>
      <c r="J905" s="41"/>
      <c r="K905" s="41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</row>
    <row r="906" spans="1:24" ht="14.25" customHeight="1">
      <c r="A906" s="17"/>
      <c r="B906" s="17"/>
      <c r="C906" s="41"/>
      <c r="D906" s="41"/>
      <c r="E906" s="41"/>
      <c r="F906" s="41"/>
      <c r="G906" s="41"/>
      <c r="H906" s="41"/>
      <c r="I906" s="41"/>
      <c r="J906" s="41"/>
      <c r="K906" s="41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</row>
    <row r="907" spans="1:24" ht="14.25" customHeight="1">
      <c r="A907" s="17"/>
      <c r="B907" s="17"/>
      <c r="C907" s="41"/>
      <c r="D907" s="41"/>
      <c r="E907" s="41"/>
      <c r="F907" s="41"/>
      <c r="G907" s="41"/>
      <c r="H907" s="41"/>
      <c r="I907" s="41"/>
      <c r="J907" s="41"/>
      <c r="K907" s="41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</row>
    <row r="908" spans="1:24" ht="14.25" customHeight="1">
      <c r="A908" s="17"/>
      <c r="B908" s="17"/>
      <c r="C908" s="41"/>
      <c r="D908" s="41"/>
      <c r="E908" s="41"/>
      <c r="F908" s="41"/>
      <c r="G908" s="41"/>
      <c r="H908" s="41"/>
      <c r="I908" s="41"/>
      <c r="J908" s="41"/>
      <c r="K908" s="41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</row>
    <row r="909" spans="1:24" ht="14.25" customHeight="1">
      <c r="A909" s="17"/>
      <c r="B909" s="17"/>
      <c r="C909" s="41"/>
      <c r="D909" s="41"/>
      <c r="E909" s="41"/>
      <c r="F909" s="41"/>
      <c r="G909" s="41"/>
      <c r="H909" s="41"/>
      <c r="I909" s="41"/>
      <c r="J909" s="41"/>
      <c r="K909" s="41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</row>
    <row r="910" spans="1:24" ht="14.25" customHeight="1">
      <c r="A910" s="17"/>
      <c r="B910" s="17"/>
      <c r="C910" s="41"/>
      <c r="D910" s="41"/>
      <c r="E910" s="41"/>
      <c r="F910" s="41"/>
      <c r="G910" s="41"/>
      <c r="H910" s="41"/>
      <c r="I910" s="41"/>
      <c r="J910" s="41"/>
      <c r="K910" s="41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</row>
    <row r="911" spans="1:24" ht="14.25" customHeight="1">
      <c r="A911" s="17"/>
      <c r="B911" s="17"/>
      <c r="C911" s="41"/>
      <c r="D911" s="41"/>
      <c r="E911" s="41"/>
      <c r="F911" s="41"/>
      <c r="G911" s="41"/>
      <c r="H911" s="41"/>
      <c r="I911" s="41"/>
      <c r="J911" s="41"/>
      <c r="K911" s="41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</row>
    <row r="912" spans="1:24" ht="14.25" customHeight="1">
      <c r="A912" s="17"/>
      <c r="B912" s="17"/>
      <c r="C912" s="41"/>
      <c r="D912" s="41"/>
      <c r="E912" s="41"/>
      <c r="F912" s="41"/>
      <c r="G912" s="41"/>
      <c r="H912" s="41"/>
      <c r="I912" s="41"/>
      <c r="J912" s="41"/>
      <c r="K912" s="41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</row>
    <row r="913" spans="1:24" ht="14.25" customHeight="1">
      <c r="A913" s="17"/>
      <c r="B913" s="17"/>
      <c r="C913" s="41"/>
      <c r="D913" s="41"/>
      <c r="E913" s="41"/>
      <c r="F913" s="41"/>
      <c r="G913" s="41"/>
      <c r="H913" s="41"/>
      <c r="I913" s="41"/>
      <c r="J913" s="41"/>
      <c r="K913" s="41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</row>
    <row r="914" spans="1:24" ht="14.25" customHeight="1">
      <c r="A914" s="17"/>
      <c r="B914" s="17"/>
      <c r="C914" s="41"/>
      <c r="D914" s="41"/>
      <c r="E914" s="41"/>
      <c r="F914" s="41"/>
      <c r="G914" s="41"/>
      <c r="H914" s="41"/>
      <c r="I914" s="41"/>
      <c r="J914" s="41"/>
      <c r="K914" s="41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</row>
    <row r="915" spans="1:24" ht="14.25" customHeight="1">
      <c r="A915" s="17"/>
      <c r="B915" s="17"/>
      <c r="C915" s="41"/>
      <c r="D915" s="41"/>
      <c r="E915" s="41"/>
      <c r="F915" s="41"/>
      <c r="G915" s="41"/>
      <c r="H915" s="41"/>
      <c r="I915" s="41"/>
      <c r="J915" s="41"/>
      <c r="K915" s="41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</row>
    <row r="916" spans="1:24" ht="14.25" customHeight="1">
      <c r="A916" s="17"/>
      <c r="B916" s="17"/>
      <c r="C916" s="41"/>
      <c r="D916" s="41"/>
      <c r="E916" s="41"/>
      <c r="F916" s="41"/>
      <c r="G916" s="41"/>
      <c r="H916" s="41"/>
      <c r="I916" s="41"/>
      <c r="J916" s="41"/>
      <c r="K916" s="41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</row>
    <row r="917" spans="1:24" ht="14.25" customHeight="1">
      <c r="A917" s="17"/>
      <c r="B917" s="17"/>
      <c r="C917" s="41"/>
      <c r="D917" s="41"/>
      <c r="E917" s="41"/>
      <c r="F917" s="41"/>
      <c r="G917" s="41"/>
      <c r="H917" s="41"/>
      <c r="I917" s="41"/>
      <c r="J917" s="41"/>
      <c r="K917" s="41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</row>
    <row r="918" spans="1:24" ht="14.25" customHeight="1">
      <c r="A918" s="17"/>
      <c r="B918" s="17"/>
      <c r="C918" s="41"/>
      <c r="D918" s="41"/>
      <c r="E918" s="41"/>
      <c r="F918" s="41"/>
      <c r="G918" s="41"/>
      <c r="H918" s="41"/>
      <c r="I918" s="41"/>
      <c r="J918" s="41"/>
      <c r="K918" s="41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</row>
    <row r="919" spans="1:24" ht="14.25" customHeight="1">
      <c r="A919" s="17"/>
      <c r="B919" s="17"/>
      <c r="C919" s="41"/>
      <c r="D919" s="41"/>
      <c r="E919" s="41"/>
      <c r="F919" s="41"/>
      <c r="G919" s="41"/>
      <c r="H919" s="41"/>
      <c r="I919" s="41"/>
      <c r="J919" s="41"/>
      <c r="K919" s="41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</row>
    <row r="920" spans="1:24" ht="14.25" customHeight="1">
      <c r="A920" s="17"/>
      <c r="B920" s="17"/>
      <c r="C920" s="41"/>
      <c r="D920" s="41"/>
      <c r="E920" s="41"/>
      <c r="F920" s="41"/>
      <c r="G920" s="41"/>
      <c r="H920" s="41"/>
      <c r="I920" s="41"/>
      <c r="J920" s="41"/>
      <c r="K920" s="41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</row>
    <row r="921" spans="1:24" ht="14.25" customHeight="1">
      <c r="A921" s="17"/>
      <c r="B921" s="17"/>
      <c r="C921" s="41"/>
      <c r="D921" s="41"/>
      <c r="E921" s="41"/>
      <c r="F921" s="41"/>
      <c r="G921" s="41"/>
      <c r="H921" s="41"/>
      <c r="I921" s="41"/>
      <c r="J921" s="41"/>
      <c r="K921" s="41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</row>
    <row r="922" spans="1:24" ht="14.25" customHeight="1">
      <c r="A922" s="17"/>
      <c r="B922" s="17"/>
      <c r="C922" s="41"/>
      <c r="D922" s="41"/>
      <c r="E922" s="41"/>
      <c r="F922" s="41"/>
      <c r="G922" s="41"/>
      <c r="H922" s="41"/>
      <c r="I922" s="41"/>
      <c r="J922" s="41"/>
      <c r="K922" s="41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</row>
    <row r="923" spans="1:24" ht="14.25" customHeight="1">
      <c r="A923" s="17"/>
      <c r="B923" s="17"/>
      <c r="C923" s="41"/>
      <c r="D923" s="41"/>
      <c r="E923" s="41"/>
      <c r="F923" s="41"/>
      <c r="G923" s="41"/>
      <c r="H923" s="41"/>
      <c r="I923" s="41"/>
      <c r="J923" s="41"/>
      <c r="K923" s="41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</row>
    <row r="924" spans="1:24" ht="14.25" customHeight="1">
      <c r="A924" s="17"/>
      <c r="B924" s="17"/>
      <c r="C924" s="41"/>
      <c r="D924" s="41"/>
      <c r="E924" s="41"/>
      <c r="F924" s="41"/>
      <c r="G924" s="41"/>
      <c r="H924" s="41"/>
      <c r="I924" s="41"/>
      <c r="J924" s="41"/>
      <c r="K924" s="41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</row>
    <row r="925" spans="1:24" ht="14.25" customHeight="1">
      <c r="A925" s="17"/>
      <c r="B925" s="17"/>
      <c r="C925" s="41"/>
      <c r="D925" s="41"/>
      <c r="E925" s="41"/>
      <c r="F925" s="41"/>
      <c r="G925" s="41"/>
      <c r="H925" s="41"/>
      <c r="I925" s="41"/>
      <c r="J925" s="41"/>
      <c r="K925" s="41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</row>
    <row r="926" spans="1:24" ht="14.25" customHeight="1">
      <c r="A926" s="17"/>
      <c r="B926" s="17"/>
      <c r="C926" s="41"/>
      <c r="D926" s="41"/>
      <c r="E926" s="41"/>
      <c r="F926" s="41"/>
      <c r="G926" s="41"/>
      <c r="H926" s="41"/>
      <c r="I926" s="41"/>
      <c r="J926" s="41"/>
      <c r="K926" s="41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</row>
    <row r="927" spans="1:24" ht="14.25" customHeight="1">
      <c r="A927" s="17"/>
      <c r="B927" s="17"/>
      <c r="C927" s="41"/>
      <c r="D927" s="41"/>
      <c r="E927" s="41"/>
      <c r="F927" s="41"/>
      <c r="G927" s="41"/>
      <c r="H927" s="41"/>
      <c r="I927" s="41"/>
      <c r="J927" s="41"/>
      <c r="K927" s="41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</row>
    <row r="928" spans="1:24" ht="14.25" customHeight="1">
      <c r="A928" s="17"/>
      <c r="B928" s="17"/>
      <c r="C928" s="41"/>
      <c r="D928" s="41"/>
      <c r="E928" s="41"/>
      <c r="F928" s="41"/>
      <c r="G928" s="41"/>
      <c r="H928" s="41"/>
      <c r="I928" s="41"/>
      <c r="J928" s="41"/>
      <c r="K928" s="41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</row>
    <row r="929" spans="1:24" ht="14.25" customHeight="1">
      <c r="A929" s="17"/>
      <c r="B929" s="17"/>
      <c r="C929" s="41"/>
      <c r="D929" s="41"/>
      <c r="E929" s="41"/>
      <c r="F929" s="41"/>
      <c r="G929" s="41"/>
      <c r="H929" s="41"/>
      <c r="I929" s="41"/>
      <c r="J929" s="41"/>
      <c r="K929" s="41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</row>
    <row r="930" spans="1:24" ht="14.25" customHeight="1">
      <c r="A930" s="17"/>
      <c r="B930" s="17"/>
      <c r="C930" s="41"/>
      <c r="D930" s="41"/>
      <c r="E930" s="41"/>
      <c r="F930" s="41"/>
      <c r="G930" s="41"/>
      <c r="H930" s="41"/>
      <c r="I930" s="41"/>
      <c r="J930" s="41"/>
      <c r="K930" s="41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</row>
    <row r="931" spans="1:24" ht="14.25" customHeight="1">
      <c r="A931" s="17"/>
      <c r="B931" s="17"/>
      <c r="C931" s="41"/>
      <c r="D931" s="41"/>
      <c r="E931" s="41"/>
      <c r="F931" s="41"/>
      <c r="G931" s="41"/>
      <c r="H931" s="41"/>
      <c r="I931" s="41"/>
      <c r="J931" s="41"/>
      <c r="K931" s="41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</row>
    <row r="932" spans="1:24" ht="14.25" customHeight="1">
      <c r="A932" s="17"/>
      <c r="B932" s="17"/>
      <c r="C932" s="41"/>
      <c r="D932" s="41"/>
      <c r="E932" s="41"/>
      <c r="F932" s="41"/>
      <c r="G932" s="41"/>
      <c r="H932" s="41"/>
      <c r="I932" s="41"/>
      <c r="J932" s="41"/>
      <c r="K932" s="41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</row>
    <row r="933" spans="1:24" ht="14.25" customHeight="1">
      <c r="A933" s="17"/>
      <c r="B933" s="17"/>
      <c r="C933" s="41"/>
      <c r="D933" s="41"/>
      <c r="E933" s="41"/>
      <c r="F933" s="41"/>
      <c r="G933" s="41"/>
      <c r="H933" s="41"/>
      <c r="I933" s="41"/>
      <c r="J933" s="41"/>
      <c r="K933" s="41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</row>
    <row r="934" spans="1:24" ht="14.25" customHeight="1">
      <c r="A934" s="17"/>
      <c r="B934" s="17"/>
      <c r="C934" s="41"/>
      <c r="D934" s="41"/>
      <c r="E934" s="41"/>
      <c r="F934" s="41"/>
      <c r="G934" s="41"/>
      <c r="H934" s="41"/>
      <c r="I934" s="41"/>
      <c r="J934" s="41"/>
      <c r="K934" s="41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</row>
    <row r="935" spans="1:24" ht="14.25" customHeight="1">
      <c r="A935" s="17"/>
      <c r="B935" s="17"/>
      <c r="C935" s="41"/>
      <c r="D935" s="41"/>
      <c r="E935" s="41"/>
      <c r="F935" s="41"/>
      <c r="G935" s="41"/>
      <c r="H935" s="41"/>
      <c r="I935" s="41"/>
      <c r="J935" s="41"/>
      <c r="K935" s="41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</row>
    <row r="936" spans="1:24" ht="14.25" customHeight="1">
      <c r="A936" s="17"/>
      <c r="B936" s="17"/>
      <c r="C936" s="41"/>
      <c r="D936" s="41"/>
      <c r="E936" s="41"/>
      <c r="F936" s="41"/>
      <c r="G936" s="41"/>
      <c r="H936" s="41"/>
      <c r="I936" s="41"/>
      <c r="J936" s="41"/>
      <c r="K936" s="41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</row>
    <row r="937" spans="1:24" ht="14.25" customHeight="1">
      <c r="A937" s="17"/>
      <c r="B937" s="17"/>
      <c r="C937" s="41"/>
      <c r="D937" s="41"/>
      <c r="E937" s="41"/>
      <c r="F937" s="41"/>
      <c r="G937" s="41"/>
      <c r="H937" s="41"/>
      <c r="I937" s="41"/>
      <c r="J937" s="41"/>
      <c r="K937" s="41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</row>
    <row r="938" spans="1:24" ht="14.25" customHeight="1">
      <c r="A938" s="17"/>
      <c r="B938" s="17"/>
      <c r="C938" s="41"/>
      <c r="D938" s="41"/>
      <c r="E938" s="41"/>
      <c r="F938" s="41"/>
      <c r="G938" s="41"/>
      <c r="H938" s="41"/>
      <c r="I938" s="41"/>
      <c r="J938" s="41"/>
      <c r="K938" s="41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</row>
    <row r="939" spans="1:24" ht="14.25" customHeight="1">
      <c r="A939" s="17"/>
      <c r="B939" s="17"/>
      <c r="C939" s="41"/>
      <c r="D939" s="41"/>
      <c r="E939" s="41"/>
      <c r="F939" s="41"/>
      <c r="G939" s="41"/>
      <c r="H939" s="41"/>
      <c r="I939" s="41"/>
      <c r="J939" s="41"/>
      <c r="K939" s="41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</row>
    <row r="940" spans="1:24" ht="14.25" customHeight="1">
      <c r="A940" s="17"/>
      <c r="B940" s="17"/>
      <c r="C940" s="41"/>
      <c r="D940" s="41"/>
      <c r="E940" s="41"/>
      <c r="F940" s="41"/>
      <c r="G940" s="41"/>
      <c r="H940" s="41"/>
      <c r="I940" s="41"/>
      <c r="J940" s="41"/>
      <c r="K940" s="41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</row>
    <row r="941" spans="1:24" ht="14.25" customHeight="1">
      <c r="A941" s="17"/>
      <c r="B941" s="17"/>
      <c r="C941" s="41"/>
      <c r="D941" s="41"/>
      <c r="E941" s="41"/>
      <c r="F941" s="41"/>
      <c r="G941" s="41"/>
      <c r="H941" s="41"/>
      <c r="I941" s="41"/>
      <c r="J941" s="41"/>
      <c r="K941" s="41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</row>
    <row r="942" spans="1:24" ht="14.25" customHeight="1">
      <c r="A942" s="17"/>
      <c r="B942" s="17"/>
      <c r="C942" s="41"/>
      <c r="D942" s="41"/>
      <c r="E942" s="41"/>
      <c r="F942" s="41"/>
      <c r="G942" s="41"/>
      <c r="H942" s="41"/>
      <c r="I942" s="41"/>
      <c r="J942" s="41"/>
      <c r="K942" s="41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</row>
    <row r="943" spans="1:24" ht="14.25" customHeight="1">
      <c r="A943" s="17"/>
      <c r="B943" s="17"/>
      <c r="C943" s="41"/>
      <c r="D943" s="41"/>
      <c r="E943" s="41"/>
      <c r="F943" s="41"/>
      <c r="G943" s="41"/>
      <c r="H943" s="41"/>
      <c r="I943" s="41"/>
      <c r="J943" s="41"/>
      <c r="K943" s="41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</row>
    <row r="944" spans="1:24" ht="14.25" customHeight="1">
      <c r="A944" s="17"/>
      <c r="B944" s="17"/>
      <c r="C944" s="41"/>
      <c r="D944" s="41"/>
      <c r="E944" s="41"/>
      <c r="F944" s="41"/>
      <c r="G944" s="41"/>
      <c r="H944" s="41"/>
      <c r="I944" s="41"/>
      <c r="J944" s="41"/>
      <c r="K944" s="41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</row>
    <row r="945" spans="1:24" ht="14.25" customHeight="1">
      <c r="A945" s="17"/>
      <c r="B945" s="17"/>
      <c r="C945" s="41"/>
      <c r="D945" s="41"/>
      <c r="E945" s="41"/>
      <c r="F945" s="41"/>
      <c r="G945" s="41"/>
      <c r="H945" s="41"/>
      <c r="I945" s="41"/>
      <c r="J945" s="41"/>
      <c r="K945" s="41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</row>
    <row r="946" spans="1:24" ht="14.25" customHeight="1">
      <c r="A946" s="17"/>
      <c r="B946" s="17"/>
      <c r="C946" s="41"/>
      <c r="D946" s="41"/>
      <c r="E946" s="41"/>
      <c r="F946" s="41"/>
      <c r="G946" s="41"/>
      <c r="H946" s="41"/>
      <c r="I946" s="41"/>
      <c r="J946" s="41"/>
      <c r="K946" s="41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</row>
    <row r="947" spans="1:24" ht="14.25" customHeight="1">
      <c r="A947" s="17"/>
      <c r="B947" s="17"/>
      <c r="C947" s="41"/>
      <c r="D947" s="41"/>
      <c r="E947" s="41"/>
      <c r="F947" s="41"/>
      <c r="G947" s="41"/>
      <c r="H947" s="41"/>
      <c r="I947" s="41"/>
      <c r="J947" s="41"/>
      <c r="K947" s="41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</row>
    <row r="948" spans="1:24" ht="14.25" customHeight="1">
      <c r="A948" s="17"/>
      <c r="B948" s="17"/>
      <c r="C948" s="41"/>
      <c r="D948" s="41"/>
      <c r="E948" s="41"/>
      <c r="F948" s="41"/>
      <c r="G948" s="41"/>
      <c r="H948" s="41"/>
      <c r="I948" s="41"/>
      <c r="J948" s="41"/>
      <c r="K948" s="41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</row>
    <row r="949" spans="1:24" ht="14.25" customHeight="1">
      <c r="A949" s="17"/>
      <c r="B949" s="17"/>
      <c r="C949" s="41"/>
      <c r="D949" s="41"/>
      <c r="E949" s="41"/>
      <c r="F949" s="41"/>
      <c r="G949" s="41"/>
      <c r="H949" s="41"/>
      <c r="I949" s="41"/>
      <c r="J949" s="41"/>
      <c r="K949" s="41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</row>
    <row r="950" spans="1:24" ht="14.25" customHeight="1">
      <c r="A950" s="17"/>
      <c r="B950" s="17"/>
      <c r="C950" s="41"/>
      <c r="D950" s="41"/>
      <c r="E950" s="41"/>
      <c r="F950" s="41"/>
      <c r="G950" s="41"/>
      <c r="H950" s="41"/>
      <c r="I950" s="41"/>
      <c r="J950" s="41"/>
      <c r="K950" s="41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</row>
    <row r="951" spans="1:24" ht="14.25" customHeight="1">
      <c r="A951" s="17"/>
      <c r="B951" s="17"/>
      <c r="C951" s="41"/>
      <c r="D951" s="41"/>
      <c r="E951" s="41"/>
      <c r="F951" s="41"/>
      <c r="G951" s="41"/>
      <c r="H951" s="41"/>
      <c r="I951" s="41"/>
      <c r="J951" s="41"/>
      <c r="K951" s="41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</row>
    <row r="952" spans="1:24" ht="14.25" customHeight="1">
      <c r="A952" s="17"/>
      <c r="B952" s="17"/>
      <c r="C952" s="41"/>
      <c r="D952" s="41"/>
      <c r="E952" s="41"/>
      <c r="F952" s="41"/>
      <c r="G952" s="41"/>
      <c r="H952" s="41"/>
      <c r="I952" s="41"/>
      <c r="J952" s="41"/>
      <c r="K952" s="41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</row>
    <row r="953" spans="1:24" ht="14.25" customHeight="1">
      <c r="A953" s="17"/>
      <c r="B953" s="17"/>
      <c r="C953" s="41"/>
      <c r="D953" s="41"/>
      <c r="E953" s="41"/>
      <c r="F953" s="41"/>
      <c r="G953" s="41"/>
      <c r="H953" s="41"/>
      <c r="I953" s="41"/>
      <c r="J953" s="41"/>
      <c r="K953" s="41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</row>
    <row r="954" spans="1:24" ht="14.25" customHeight="1">
      <c r="A954" s="17"/>
      <c r="B954" s="17"/>
      <c r="C954" s="41"/>
      <c r="D954" s="41"/>
      <c r="E954" s="41"/>
      <c r="F954" s="41"/>
      <c r="G954" s="41"/>
      <c r="H954" s="41"/>
      <c r="I954" s="41"/>
      <c r="J954" s="41"/>
      <c r="K954" s="41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</row>
    <row r="955" spans="1:24" ht="14.25" customHeight="1">
      <c r="A955" s="17"/>
      <c r="B955" s="17"/>
      <c r="C955" s="41"/>
      <c r="D955" s="41"/>
      <c r="E955" s="41"/>
      <c r="F955" s="41"/>
      <c r="G955" s="41"/>
      <c r="H955" s="41"/>
      <c r="I955" s="41"/>
      <c r="J955" s="41"/>
      <c r="K955" s="41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</row>
    <row r="956" spans="1:24" ht="14.25" customHeight="1">
      <c r="A956" s="17"/>
      <c r="B956" s="17"/>
      <c r="C956" s="41"/>
      <c r="D956" s="41"/>
      <c r="E956" s="41"/>
      <c r="F956" s="41"/>
      <c r="G956" s="41"/>
      <c r="H956" s="41"/>
      <c r="I956" s="41"/>
      <c r="J956" s="41"/>
      <c r="K956" s="41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</row>
    <row r="957" spans="1:24" ht="14.25" customHeight="1">
      <c r="A957" s="17"/>
      <c r="B957" s="17"/>
      <c r="C957" s="41"/>
      <c r="D957" s="41"/>
      <c r="E957" s="41"/>
      <c r="F957" s="41"/>
      <c r="G957" s="41"/>
      <c r="H957" s="41"/>
      <c r="I957" s="41"/>
      <c r="J957" s="41"/>
      <c r="K957" s="41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</row>
    <row r="958" spans="1:24" ht="14.25" customHeight="1">
      <c r="A958" s="17"/>
      <c r="B958" s="17"/>
      <c r="C958" s="41"/>
      <c r="D958" s="41"/>
      <c r="E958" s="41"/>
      <c r="F958" s="41"/>
      <c r="G958" s="41"/>
      <c r="H958" s="41"/>
      <c r="I958" s="41"/>
      <c r="J958" s="41"/>
      <c r="K958" s="41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</row>
    <row r="959" spans="1:24" ht="14.25" customHeight="1">
      <c r="A959" s="17"/>
      <c r="B959" s="17"/>
      <c r="C959" s="41"/>
      <c r="D959" s="41"/>
      <c r="E959" s="41"/>
      <c r="F959" s="41"/>
      <c r="G959" s="41"/>
      <c r="H959" s="41"/>
      <c r="I959" s="41"/>
      <c r="J959" s="41"/>
      <c r="K959" s="41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</row>
    <row r="960" spans="1:24" ht="14.25" customHeight="1">
      <c r="A960" s="17"/>
      <c r="B960" s="17"/>
      <c r="C960" s="41"/>
      <c r="D960" s="41"/>
      <c r="E960" s="41"/>
      <c r="F960" s="41"/>
      <c r="G960" s="41"/>
      <c r="H960" s="41"/>
      <c r="I960" s="41"/>
      <c r="J960" s="41"/>
      <c r="K960" s="41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</row>
    <row r="961" spans="1:24" ht="14.25" customHeight="1">
      <c r="A961" s="17"/>
      <c r="B961" s="17"/>
      <c r="C961" s="41"/>
      <c r="D961" s="41"/>
      <c r="E961" s="41"/>
      <c r="F961" s="41"/>
      <c r="G961" s="41"/>
      <c r="H961" s="41"/>
      <c r="I961" s="41"/>
      <c r="J961" s="41"/>
      <c r="K961" s="41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</row>
    <row r="962" spans="1:24" ht="14.25" customHeight="1">
      <c r="A962" s="17"/>
      <c r="B962" s="17"/>
      <c r="C962" s="41"/>
      <c r="D962" s="41"/>
      <c r="E962" s="41"/>
      <c r="F962" s="41"/>
      <c r="G962" s="41"/>
      <c r="H962" s="41"/>
      <c r="I962" s="41"/>
      <c r="J962" s="41"/>
      <c r="K962" s="41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</row>
    <row r="963" spans="1:24" ht="14.25" customHeight="1">
      <c r="A963" s="17"/>
      <c r="B963" s="17"/>
      <c r="C963" s="41"/>
      <c r="D963" s="41"/>
      <c r="E963" s="41"/>
      <c r="F963" s="41"/>
      <c r="G963" s="41"/>
      <c r="H963" s="41"/>
      <c r="I963" s="41"/>
      <c r="J963" s="41"/>
      <c r="K963" s="41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</row>
    <row r="964" spans="1:24" ht="14.25" customHeight="1">
      <c r="A964" s="17"/>
      <c r="B964" s="17"/>
      <c r="C964" s="41"/>
      <c r="D964" s="41"/>
      <c r="E964" s="41"/>
      <c r="F964" s="41"/>
      <c r="G964" s="41"/>
      <c r="H964" s="41"/>
      <c r="I964" s="41"/>
      <c r="J964" s="41"/>
      <c r="K964" s="41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</row>
    <row r="965" spans="1:24" ht="14.25" customHeight="1">
      <c r="A965" s="17"/>
      <c r="B965" s="17"/>
      <c r="C965" s="41"/>
      <c r="D965" s="41"/>
      <c r="E965" s="41"/>
      <c r="F965" s="41"/>
      <c r="G965" s="41"/>
      <c r="H965" s="41"/>
      <c r="I965" s="41"/>
      <c r="J965" s="41"/>
      <c r="K965" s="41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</row>
    <row r="966" spans="1:24" ht="14.25" customHeight="1">
      <c r="A966" s="17"/>
      <c r="B966" s="17"/>
      <c r="C966" s="41"/>
      <c r="D966" s="41"/>
      <c r="E966" s="41"/>
      <c r="F966" s="41"/>
      <c r="G966" s="41"/>
      <c r="H966" s="41"/>
      <c r="I966" s="41"/>
      <c r="J966" s="41"/>
      <c r="K966" s="41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</row>
    <row r="967" spans="1:24" ht="14.25" customHeight="1">
      <c r="A967" s="17"/>
      <c r="B967" s="17"/>
      <c r="C967" s="41"/>
      <c r="D967" s="41"/>
      <c r="E967" s="41"/>
      <c r="F967" s="41"/>
      <c r="G967" s="41"/>
      <c r="H967" s="41"/>
      <c r="I967" s="41"/>
      <c r="J967" s="41"/>
      <c r="K967" s="41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</row>
    <row r="968" spans="1:24" ht="14.25" customHeight="1">
      <c r="A968" s="17"/>
      <c r="B968" s="17"/>
      <c r="C968" s="41"/>
      <c r="D968" s="41"/>
      <c r="E968" s="41"/>
      <c r="F968" s="41"/>
      <c r="G968" s="41"/>
      <c r="H968" s="41"/>
      <c r="I968" s="41"/>
      <c r="J968" s="41"/>
      <c r="K968" s="41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</row>
    <row r="969" spans="1:24" ht="14.25" customHeight="1">
      <c r="A969" s="17"/>
      <c r="B969" s="17"/>
      <c r="C969" s="41"/>
      <c r="D969" s="41"/>
      <c r="E969" s="41"/>
      <c r="F969" s="41"/>
      <c r="G969" s="41"/>
      <c r="H969" s="41"/>
      <c r="I969" s="41"/>
      <c r="J969" s="41"/>
      <c r="K969" s="41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</row>
    <row r="970" spans="1:24" ht="14.25" customHeight="1">
      <c r="A970" s="17"/>
      <c r="B970" s="17"/>
      <c r="C970" s="41"/>
      <c r="D970" s="41"/>
      <c r="E970" s="41"/>
      <c r="F970" s="41"/>
      <c r="G970" s="41"/>
      <c r="H970" s="41"/>
      <c r="I970" s="41"/>
      <c r="J970" s="41"/>
      <c r="K970" s="41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</row>
    <row r="971" spans="1:24" ht="14.25" customHeight="1">
      <c r="A971" s="17"/>
      <c r="B971" s="17"/>
      <c r="C971" s="41"/>
      <c r="D971" s="41"/>
      <c r="E971" s="41"/>
      <c r="F971" s="41"/>
      <c r="G971" s="41"/>
      <c r="H971" s="41"/>
      <c r="I971" s="41"/>
      <c r="J971" s="41"/>
      <c r="K971" s="41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</row>
    <row r="972" spans="1:24" ht="14.25" customHeight="1">
      <c r="A972" s="17"/>
      <c r="B972" s="17"/>
      <c r="C972" s="41"/>
      <c r="D972" s="41"/>
      <c r="E972" s="41"/>
      <c r="F972" s="41"/>
      <c r="G972" s="41"/>
      <c r="H972" s="41"/>
      <c r="I972" s="41"/>
      <c r="J972" s="41"/>
      <c r="K972" s="41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</row>
    <row r="973" spans="1:24" ht="14.25" customHeight="1">
      <c r="A973" s="17"/>
      <c r="B973" s="17"/>
      <c r="C973" s="41"/>
      <c r="D973" s="41"/>
      <c r="E973" s="41"/>
      <c r="F973" s="41"/>
      <c r="G973" s="41"/>
      <c r="H973" s="41"/>
      <c r="I973" s="41"/>
      <c r="J973" s="41"/>
      <c r="K973" s="41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</row>
    <row r="974" spans="1:24" ht="14.25" customHeight="1">
      <c r="A974" s="17"/>
      <c r="B974" s="17"/>
      <c r="C974" s="41"/>
      <c r="D974" s="41"/>
      <c r="E974" s="41"/>
      <c r="F974" s="41"/>
      <c r="G974" s="41"/>
      <c r="H974" s="41"/>
      <c r="I974" s="41"/>
      <c r="J974" s="41"/>
      <c r="K974" s="41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</row>
    <row r="975" spans="1:24" ht="14.25" customHeight="1">
      <c r="A975" s="17"/>
      <c r="B975" s="17"/>
      <c r="C975" s="41"/>
      <c r="D975" s="41"/>
      <c r="E975" s="41"/>
      <c r="F975" s="41"/>
      <c r="G975" s="41"/>
      <c r="H975" s="41"/>
      <c r="I975" s="41"/>
      <c r="J975" s="41"/>
      <c r="K975" s="41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</row>
    <row r="976" spans="1:24" ht="14.25" customHeight="1">
      <c r="A976" s="17"/>
      <c r="B976" s="17"/>
      <c r="C976" s="41"/>
      <c r="D976" s="41"/>
      <c r="E976" s="41"/>
      <c r="F976" s="41"/>
      <c r="G976" s="41"/>
      <c r="H976" s="41"/>
      <c r="I976" s="41"/>
      <c r="J976" s="41"/>
      <c r="K976" s="41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</row>
    <row r="977" spans="1:24" ht="14.25" customHeight="1">
      <c r="A977" s="17"/>
      <c r="B977" s="17"/>
      <c r="C977" s="41"/>
      <c r="D977" s="41"/>
      <c r="E977" s="41"/>
      <c r="F977" s="41"/>
      <c r="G977" s="41"/>
      <c r="H977" s="41"/>
      <c r="I977" s="41"/>
      <c r="J977" s="41"/>
      <c r="K977" s="41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</row>
    <row r="978" spans="1:24" ht="14.25" customHeight="1">
      <c r="A978" s="17"/>
      <c r="B978" s="17"/>
      <c r="C978" s="41"/>
      <c r="D978" s="41"/>
      <c r="E978" s="41"/>
      <c r="F978" s="41"/>
      <c r="G978" s="41"/>
      <c r="H978" s="41"/>
      <c r="I978" s="41"/>
      <c r="J978" s="41"/>
      <c r="K978" s="41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</row>
    <row r="979" spans="1:24" ht="14.25" customHeight="1">
      <c r="A979" s="17"/>
      <c r="B979" s="17"/>
      <c r="C979" s="41"/>
      <c r="D979" s="41"/>
      <c r="E979" s="41"/>
      <c r="F979" s="41"/>
      <c r="G979" s="41"/>
      <c r="H979" s="41"/>
      <c r="I979" s="41"/>
      <c r="J979" s="41"/>
      <c r="K979" s="41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</row>
    <row r="980" spans="1:24" ht="14.25" customHeight="1">
      <c r="A980" s="17"/>
      <c r="B980" s="17"/>
      <c r="C980" s="41"/>
      <c r="D980" s="41"/>
      <c r="E980" s="41"/>
      <c r="F980" s="41"/>
      <c r="G980" s="41"/>
      <c r="H980" s="41"/>
      <c r="I980" s="41"/>
      <c r="J980" s="41"/>
      <c r="K980" s="41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</row>
    <row r="981" spans="1:24" ht="14.25" customHeight="1">
      <c r="A981" s="17"/>
      <c r="B981" s="17"/>
      <c r="C981" s="41"/>
      <c r="D981" s="41"/>
      <c r="E981" s="41"/>
      <c r="F981" s="41"/>
      <c r="G981" s="41"/>
      <c r="H981" s="41"/>
      <c r="I981" s="41"/>
      <c r="J981" s="41"/>
      <c r="K981" s="41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</row>
    <row r="982" spans="1:24" ht="14.25" customHeight="1">
      <c r="A982" s="17"/>
      <c r="B982" s="17"/>
      <c r="C982" s="41"/>
      <c r="D982" s="41"/>
      <c r="E982" s="41"/>
      <c r="F982" s="41"/>
      <c r="G982" s="41"/>
      <c r="H982" s="41"/>
      <c r="I982" s="41"/>
      <c r="J982" s="41"/>
      <c r="K982" s="41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</row>
    <row r="983" spans="1:24" ht="14.25" customHeight="1">
      <c r="A983" s="17"/>
      <c r="B983" s="17"/>
      <c r="C983" s="41"/>
      <c r="D983" s="41"/>
      <c r="E983" s="41"/>
      <c r="F983" s="41"/>
      <c r="G983" s="41"/>
      <c r="H983" s="41"/>
      <c r="I983" s="41"/>
      <c r="J983" s="41"/>
      <c r="K983" s="41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</row>
    <row r="984" spans="1:24" ht="14.25" customHeight="1">
      <c r="A984" s="17"/>
      <c r="B984" s="17"/>
      <c r="C984" s="41"/>
      <c r="D984" s="41"/>
      <c r="E984" s="41"/>
      <c r="F984" s="41"/>
      <c r="G984" s="41"/>
      <c r="H984" s="41"/>
      <c r="I984" s="41"/>
      <c r="J984" s="41"/>
      <c r="K984" s="41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</row>
    <row r="985" spans="1:24" ht="14.25" customHeight="1">
      <c r="A985" s="17"/>
      <c r="B985" s="17"/>
      <c r="C985" s="41"/>
      <c r="D985" s="41"/>
      <c r="E985" s="41"/>
      <c r="F985" s="41"/>
      <c r="G985" s="41"/>
      <c r="H985" s="41"/>
      <c r="I985" s="41"/>
      <c r="J985" s="41"/>
      <c r="K985" s="41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</row>
    <row r="986" spans="1:24" ht="14.25" customHeight="1">
      <c r="A986" s="17"/>
      <c r="B986" s="17"/>
      <c r="C986" s="41"/>
      <c r="D986" s="41"/>
      <c r="E986" s="41"/>
      <c r="F986" s="41"/>
      <c r="G986" s="41"/>
      <c r="H986" s="41"/>
      <c r="I986" s="41"/>
      <c r="J986" s="41"/>
      <c r="K986" s="41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</row>
    <row r="987" spans="1:24" ht="14.25" customHeight="1">
      <c r="A987" s="17"/>
      <c r="B987" s="17"/>
      <c r="C987" s="41"/>
      <c r="D987" s="41"/>
      <c r="E987" s="41"/>
      <c r="F987" s="41"/>
      <c r="G987" s="41"/>
      <c r="H987" s="41"/>
      <c r="I987" s="41"/>
      <c r="J987" s="41"/>
      <c r="K987" s="41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</row>
    <row r="988" spans="1:24" ht="14.25" customHeight="1">
      <c r="A988" s="17"/>
      <c r="B988" s="17"/>
      <c r="C988" s="41"/>
      <c r="D988" s="41"/>
      <c r="E988" s="41"/>
      <c r="F988" s="41"/>
      <c r="G988" s="41"/>
      <c r="H988" s="41"/>
      <c r="I988" s="41"/>
      <c r="J988" s="41"/>
      <c r="K988" s="41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</row>
    <row r="989" spans="1:24" ht="14.25" customHeight="1">
      <c r="A989" s="17"/>
      <c r="B989" s="17"/>
      <c r="C989" s="41"/>
      <c r="D989" s="41"/>
      <c r="E989" s="41"/>
      <c r="F989" s="41"/>
      <c r="G989" s="41"/>
      <c r="H989" s="41"/>
      <c r="I989" s="41"/>
      <c r="J989" s="41"/>
      <c r="K989" s="41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</row>
    <row r="990" spans="1:24" ht="14.25" customHeight="1">
      <c r="A990" s="17"/>
      <c r="B990" s="17"/>
      <c r="C990" s="41"/>
      <c r="D990" s="41"/>
      <c r="E990" s="41"/>
      <c r="F990" s="41"/>
      <c r="G990" s="41"/>
      <c r="H990" s="41"/>
      <c r="I990" s="41"/>
      <c r="J990" s="41"/>
      <c r="K990" s="41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</row>
    <row r="991" spans="1:24" ht="14.25" customHeight="1">
      <c r="A991" s="17"/>
      <c r="B991" s="17"/>
      <c r="C991" s="41"/>
      <c r="D991" s="41"/>
      <c r="E991" s="41"/>
      <c r="F991" s="41"/>
      <c r="G991" s="41"/>
      <c r="H991" s="41"/>
      <c r="I991" s="41"/>
      <c r="J991" s="41"/>
      <c r="K991" s="41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</row>
    <row r="992" spans="1:24" ht="14.25" customHeight="1">
      <c r="A992" s="17"/>
      <c r="B992" s="17"/>
      <c r="C992" s="41"/>
      <c r="D992" s="41"/>
      <c r="E992" s="41"/>
      <c r="F992" s="41"/>
      <c r="G992" s="41"/>
      <c r="H992" s="41"/>
      <c r="I992" s="41"/>
      <c r="J992" s="41"/>
      <c r="K992" s="41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</row>
    <row r="993" spans="1:24" ht="14.25" customHeight="1">
      <c r="A993" s="17"/>
      <c r="B993" s="17"/>
      <c r="C993" s="41"/>
      <c r="D993" s="41"/>
      <c r="E993" s="41"/>
      <c r="F993" s="41"/>
      <c r="G993" s="41"/>
      <c r="H993" s="41"/>
      <c r="I993" s="41"/>
      <c r="J993" s="41"/>
      <c r="K993" s="41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</row>
    <row r="994" spans="1:24" ht="14.25" customHeight="1">
      <c r="A994" s="17"/>
      <c r="B994" s="17"/>
      <c r="C994" s="41"/>
      <c r="D994" s="41"/>
      <c r="E994" s="41"/>
      <c r="F994" s="41"/>
      <c r="G994" s="41"/>
      <c r="H994" s="41"/>
      <c r="I994" s="41"/>
      <c r="J994" s="41"/>
      <c r="K994" s="41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</row>
    <row r="995" spans="1:24" ht="14.25" customHeight="1">
      <c r="A995" s="17"/>
      <c r="B995" s="17"/>
      <c r="C995" s="41"/>
      <c r="D995" s="41"/>
      <c r="E995" s="41"/>
      <c r="F995" s="41"/>
      <c r="G995" s="41"/>
      <c r="H995" s="41"/>
      <c r="I995" s="41"/>
      <c r="J995" s="41"/>
      <c r="K995" s="41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</row>
    <row r="996" spans="1:24" ht="14.25" customHeight="1">
      <c r="A996" s="17"/>
      <c r="B996" s="17"/>
      <c r="C996" s="41"/>
      <c r="D996" s="41"/>
      <c r="E996" s="41"/>
      <c r="F996" s="41"/>
      <c r="G996" s="41"/>
      <c r="H996" s="41"/>
      <c r="I996" s="41"/>
      <c r="J996" s="41"/>
      <c r="K996" s="41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</row>
    <row r="997" spans="1:24" ht="14.25" customHeight="1">
      <c r="A997" s="17"/>
      <c r="B997" s="17"/>
      <c r="C997" s="41"/>
      <c r="D997" s="41"/>
      <c r="E997" s="41"/>
      <c r="F997" s="41"/>
      <c r="G997" s="41"/>
      <c r="H997" s="41"/>
      <c r="I997" s="41"/>
      <c r="J997" s="41"/>
      <c r="K997" s="41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</row>
    <row r="998" spans="1:24" ht="14.25" customHeight="1">
      <c r="A998" s="17"/>
      <c r="B998" s="17"/>
      <c r="C998" s="41"/>
      <c r="D998" s="41"/>
      <c r="E998" s="41"/>
      <c r="F998" s="41"/>
      <c r="G998" s="41"/>
      <c r="H998" s="41"/>
      <c r="I998" s="41"/>
      <c r="J998" s="41"/>
      <c r="K998" s="41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</row>
    <row r="999" spans="1:24" ht="14.25" customHeight="1">
      <c r="A999" s="17"/>
      <c r="B999" s="17"/>
      <c r="C999" s="41"/>
      <c r="D999" s="41"/>
      <c r="E999" s="41"/>
      <c r="F999" s="41"/>
      <c r="G999" s="41"/>
      <c r="H999" s="41"/>
      <c r="I999" s="41"/>
      <c r="J999" s="41"/>
      <c r="K999" s="41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</row>
    <row r="1000" spans="1:24" ht="14.25" customHeight="1">
      <c r="A1000" s="17"/>
      <c r="B1000" s="17"/>
      <c r="C1000" s="41"/>
      <c r="D1000" s="41"/>
      <c r="E1000" s="41"/>
      <c r="F1000" s="41"/>
      <c r="G1000" s="41"/>
      <c r="H1000" s="41"/>
      <c r="I1000" s="41"/>
      <c r="J1000" s="41"/>
      <c r="K1000" s="41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</row>
    <row r="1001" spans="1:24" ht="14.25" customHeight="1">
      <c r="A1001" s="17"/>
      <c r="B1001" s="17"/>
      <c r="C1001" s="41"/>
      <c r="D1001" s="41"/>
      <c r="E1001" s="41"/>
      <c r="F1001" s="41"/>
      <c r="G1001" s="41"/>
      <c r="H1001" s="41"/>
      <c r="I1001" s="41"/>
      <c r="J1001" s="41"/>
      <c r="K1001" s="41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</row>
  </sheetData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Q1012"/>
  <sheetViews>
    <sheetView tabSelected="1" workbookViewId="0">
      <selection activeCell="D10" sqref="D10"/>
    </sheetView>
  </sheetViews>
  <sheetFormatPr baseColWidth="10" defaultColWidth="14.44140625" defaultRowHeight="15" customHeight="1"/>
  <cols>
    <col min="1" max="1" width="8.88671875" style="80" customWidth="1"/>
    <col min="2" max="2" width="11.33203125" customWidth="1"/>
    <col min="3" max="3" width="8.88671875" customWidth="1"/>
    <col min="4" max="4" width="11.33203125" customWidth="1"/>
    <col min="5" max="17" width="8.88671875" customWidth="1"/>
  </cols>
  <sheetData>
    <row r="1" spans="1:17" ht="14.25" customHeight="1">
      <c r="A1" s="84" t="s">
        <v>0</v>
      </c>
      <c r="B1" s="42" t="s">
        <v>1</v>
      </c>
      <c r="C1" s="43" t="s">
        <v>369</v>
      </c>
      <c r="D1" s="43" t="s">
        <v>370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4.25" customHeight="1">
      <c r="A2" s="85">
        <v>31304</v>
      </c>
      <c r="B2" s="45" t="s">
        <v>181</v>
      </c>
      <c r="C2" s="46">
        <v>0.56315182939144193</v>
      </c>
      <c r="D2" s="47">
        <v>0.29592275170486665</v>
      </c>
    </row>
    <row r="3" spans="1:17" ht="14.25" customHeight="1">
      <c r="A3" s="85">
        <v>10103</v>
      </c>
      <c r="B3" s="45" t="s">
        <v>15</v>
      </c>
      <c r="C3" s="46">
        <v>0.54060000827661003</v>
      </c>
      <c r="D3" s="47">
        <v>0.22290814929069111</v>
      </c>
    </row>
    <row r="4" spans="1:17" ht="14.25" customHeight="1">
      <c r="A4" s="85">
        <v>50501</v>
      </c>
      <c r="B4" s="45" t="s">
        <v>238</v>
      </c>
      <c r="C4" s="46">
        <v>0.49585007187929331</v>
      </c>
      <c r="D4" s="47">
        <v>0.21274444637599016</v>
      </c>
    </row>
    <row r="5" spans="1:17" ht="14.25" customHeight="1">
      <c r="A5" s="85">
        <v>40103</v>
      </c>
      <c r="B5" s="45" t="s">
        <v>191</v>
      </c>
      <c r="C5" s="46">
        <v>0.44321826024978567</v>
      </c>
      <c r="D5" s="47">
        <v>0.20299017149151363</v>
      </c>
    </row>
    <row r="6" spans="1:17" ht="14.25" customHeight="1">
      <c r="A6" s="85">
        <v>31302</v>
      </c>
      <c r="B6" s="45" t="s">
        <v>179</v>
      </c>
      <c r="C6" s="46">
        <v>0.46087724884402453</v>
      </c>
      <c r="D6" s="47">
        <v>0.19969308028151611</v>
      </c>
    </row>
    <row r="7" spans="1:17" ht="14.25" customHeight="1">
      <c r="A7" s="85">
        <v>10703</v>
      </c>
      <c r="B7" s="45" t="s">
        <v>47</v>
      </c>
      <c r="C7" s="46">
        <v>0.4622412491823068</v>
      </c>
      <c r="D7" s="47">
        <v>0.190984092391252</v>
      </c>
    </row>
    <row r="8" spans="1:17" ht="14.25" customHeight="1">
      <c r="A8" s="85">
        <v>10201</v>
      </c>
      <c r="B8" s="45" t="s">
        <v>17</v>
      </c>
      <c r="C8" s="46">
        <v>0.51177121220737321</v>
      </c>
      <c r="D8" s="47">
        <v>0.1870703507114512</v>
      </c>
    </row>
    <row r="9" spans="1:17" ht="14.25" customHeight="1">
      <c r="A9" s="85">
        <v>51103</v>
      </c>
      <c r="B9" s="45" t="s">
        <v>253</v>
      </c>
      <c r="C9" s="46">
        <v>0.47520158845138344</v>
      </c>
      <c r="D9" s="47">
        <v>0.18248317185118357</v>
      </c>
    </row>
    <row r="10" spans="1:17" ht="14.25" customHeight="1">
      <c r="A10" s="85">
        <v>90202</v>
      </c>
      <c r="B10" s="45" t="s">
        <v>238</v>
      </c>
      <c r="C10" s="46">
        <v>0.47230593164229739</v>
      </c>
      <c r="D10" s="47">
        <v>0.17686097856078828</v>
      </c>
    </row>
    <row r="11" spans="1:17" ht="14.25" customHeight="1">
      <c r="A11" s="85">
        <v>50303</v>
      </c>
      <c r="B11" s="45" t="s">
        <v>232</v>
      </c>
      <c r="C11" s="46">
        <v>0.48259941477355617</v>
      </c>
      <c r="D11" s="47">
        <v>0.17124941258771198</v>
      </c>
    </row>
    <row r="12" spans="1:17" ht="14.25" customHeight="1">
      <c r="A12" s="85">
        <v>80901</v>
      </c>
      <c r="B12" s="45" t="s">
        <v>342</v>
      </c>
      <c r="C12" s="46">
        <v>0.46048365508768757</v>
      </c>
      <c r="D12" s="47">
        <v>0.16800518957092592</v>
      </c>
    </row>
    <row r="13" spans="1:17" ht="14.25" customHeight="1">
      <c r="A13" s="85">
        <v>50502</v>
      </c>
      <c r="B13" s="45" t="s">
        <v>239</v>
      </c>
      <c r="C13" s="46">
        <v>0.40255877026884679</v>
      </c>
      <c r="D13" s="47">
        <v>0.1676866626399417</v>
      </c>
    </row>
    <row r="14" spans="1:17" ht="14.25" customHeight="1">
      <c r="A14" s="85">
        <v>80302</v>
      </c>
      <c r="B14" s="45" t="s">
        <v>331</v>
      </c>
      <c r="C14" s="46">
        <v>0.32705815713177144</v>
      </c>
      <c r="D14" s="47">
        <v>0.16146836140368687</v>
      </c>
    </row>
    <row r="15" spans="1:17" ht="14.25" customHeight="1">
      <c r="A15" s="85">
        <v>30601</v>
      </c>
      <c r="B15" s="45" t="s">
        <v>155</v>
      </c>
      <c r="C15" s="46">
        <v>0.41448917147109648</v>
      </c>
      <c r="D15" s="47">
        <v>0.15544857060133901</v>
      </c>
    </row>
    <row r="16" spans="1:17" ht="14.25" customHeight="1">
      <c r="A16" s="85">
        <v>31303</v>
      </c>
      <c r="B16" s="45" t="s">
        <v>180</v>
      </c>
      <c r="C16" s="46">
        <v>0.47857747832503911</v>
      </c>
      <c r="D16" s="47">
        <v>0.1519814002404519</v>
      </c>
    </row>
    <row r="17" spans="1:4" ht="14.25" customHeight="1">
      <c r="A17" s="85">
        <v>50404</v>
      </c>
      <c r="B17" s="45" t="s">
        <v>236</v>
      </c>
      <c r="C17" s="46">
        <v>0.45789734064948656</v>
      </c>
      <c r="D17" s="47">
        <v>0.15116797678203503</v>
      </c>
    </row>
    <row r="18" spans="1:4" ht="14.25" customHeight="1">
      <c r="A18" s="85">
        <v>10704</v>
      </c>
      <c r="B18" s="45" t="s">
        <v>48</v>
      </c>
      <c r="C18" s="46">
        <v>0.4042078526262497</v>
      </c>
      <c r="D18" s="47">
        <v>0.15111142778394926</v>
      </c>
    </row>
    <row r="19" spans="1:4" ht="14.25" customHeight="1">
      <c r="A19" s="85">
        <v>31101</v>
      </c>
      <c r="B19" s="45" t="s">
        <v>171</v>
      </c>
      <c r="C19" s="46">
        <v>0.40833937778350182</v>
      </c>
      <c r="D19" s="47">
        <v>0.14825206156948809</v>
      </c>
    </row>
    <row r="20" spans="1:4" ht="14.25" customHeight="1">
      <c r="A20" s="85">
        <v>10403</v>
      </c>
      <c r="B20" s="45" t="s">
        <v>33</v>
      </c>
      <c r="C20" s="46">
        <v>0.37395011166232733</v>
      </c>
      <c r="D20" s="47">
        <v>0.14741825220930699</v>
      </c>
    </row>
    <row r="21" spans="1:4" ht="14.25" customHeight="1">
      <c r="A21" s="85">
        <v>50402</v>
      </c>
      <c r="B21" s="45" t="s">
        <v>234</v>
      </c>
      <c r="C21" s="46">
        <v>0.42903010625416804</v>
      </c>
      <c r="D21" s="47">
        <v>0.14426017658241239</v>
      </c>
    </row>
    <row r="22" spans="1:4" ht="14.25" customHeight="1">
      <c r="A22" s="85">
        <v>21005</v>
      </c>
      <c r="B22" s="45" t="s">
        <v>109</v>
      </c>
      <c r="C22" s="46">
        <v>0.33465114834460152</v>
      </c>
      <c r="D22" s="47">
        <v>0.14395212441532615</v>
      </c>
    </row>
    <row r="23" spans="1:4" ht="14.25" customHeight="1">
      <c r="A23" s="85">
        <v>40903</v>
      </c>
      <c r="B23" s="45" t="s">
        <v>213</v>
      </c>
      <c r="C23" s="46">
        <v>0.22845118434140177</v>
      </c>
      <c r="D23" s="47">
        <v>0.14387464734733615</v>
      </c>
    </row>
    <row r="24" spans="1:4" ht="14.25" customHeight="1">
      <c r="A24" s="85">
        <v>30303</v>
      </c>
      <c r="B24" s="45" t="s">
        <v>148</v>
      </c>
      <c r="C24" s="46">
        <v>0.42359688239098681</v>
      </c>
      <c r="D24" s="47">
        <v>0.14213712298153561</v>
      </c>
    </row>
    <row r="25" spans="1:4" ht="14.25" customHeight="1">
      <c r="A25" s="85">
        <v>51002</v>
      </c>
      <c r="B25" s="45" t="s">
        <v>249</v>
      </c>
      <c r="C25" s="46">
        <v>0.35380117989861504</v>
      </c>
      <c r="D25" s="47">
        <v>0.14070236404942724</v>
      </c>
    </row>
    <row r="26" spans="1:4" ht="14.25" customHeight="1">
      <c r="A26" s="85">
        <v>50104</v>
      </c>
      <c r="B26" s="45" t="s">
        <v>225</v>
      </c>
      <c r="C26" s="46">
        <v>0.28213508361132145</v>
      </c>
      <c r="D26" s="47">
        <v>0.13752540166767355</v>
      </c>
    </row>
    <row r="27" spans="1:4" ht="14.25" customHeight="1">
      <c r="A27" s="85">
        <v>41301</v>
      </c>
      <c r="B27" s="45" t="s">
        <v>172</v>
      </c>
      <c r="C27" s="46">
        <v>0.32627513603292735</v>
      </c>
      <c r="D27" s="47">
        <v>0.13736245648458528</v>
      </c>
    </row>
    <row r="28" spans="1:4" ht="14.25" customHeight="1">
      <c r="A28" s="85">
        <v>50401</v>
      </c>
      <c r="B28" s="45" t="s">
        <v>233</v>
      </c>
      <c r="C28" s="46">
        <v>0.38595793766217223</v>
      </c>
      <c r="D28" s="47">
        <v>0.13566045281513664</v>
      </c>
    </row>
    <row r="29" spans="1:4" ht="14.25" customHeight="1">
      <c r="A29" s="85">
        <v>50102</v>
      </c>
      <c r="B29" s="45" t="s">
        <v>223</v>
      </c>
      <c r="C29" s="46">
        <v>0.46244352198864974</v>
      </c>
      <c r="D29" s="47">
        <v>0.13427657323553199</v>
      </c>
    </row>
    <row r="30" spans="1:4" ht="14.25" customHeight="1">
      <c r="A30" s="85">
        <v>20308</v>
      </c>
      <c r="B30" s="45" t="s">
        <v>74</v>
      </c>
      <c r="C30" s="46">
        <v>0.43359723692933222</v>
      </c>
      <c r="D30" s="47">
        <v>0.13347754663821837</v>
      </c>
    </row>
    <row r="31" spans="1:4" ht="14.25" customHeight="1">
      <c r="A31" s="85">
        <v>10202</v>
      </c>
      <c r="B31" s="45" t="s">
        <v>19</v>
      </c>
      <c r="C31" s="46">
        <v>0.45215295284041501</v>
      </c>
      <c r="D31" s="47">
        <v>0.13267524520544244</v>
      </c>
    </row>
    <row r="32" spans="1:4" ht="14.25" customHeight="1">
      <c r="A32" s="85">
        <v>10302</v>
      </c>
      <c r="B32" s="45" t="s">
        <v>23</v>
      </c>
      <c r="C32" s="46">
        <v>0.45464786758009545</v>
      </c>
      <c r="D32" s="47">
        <v>0.13132608780028146</v>
      </c>
    </row>
    <row r="33" spans="1:4" ht="14.25" customHeight="1">
      <c r="A33" s="85">
        <v>20305</v>
      </c>
      <c r="B33" s="45" t="s">
        <v>71</v>
      </c>
      <c r="C33" s="46">
        <v>0.31404807392671907</v>
      </c>
      <c r="D33" s="47">
        <v>0.12695718097825551</v>
      </c>
    </row>
    <row r="34" spans="1:4" ht="14.25" customHeight="1">
      <c r="A34" s="85">
        <v>30404</v>
      </c>
      <c r="B34" s="45" t="s">
        <v>152</v>
      </c>
      <c r="C34" s="46">
        <v>0.29282649119584725</v>
      </c>
      <c r="D34" s="47">
        <v>0.1268884903588767</v>
      </c>
    </row>
    <row r="35" spans="1:4" ht="14.25" customHeight="1">
      <c r="A35" s="85">
        <v>10702</v>
      </c>
      <c r="B35" s="45" t="s">
        <v>45</v>
      </c>
      <c r="C35" s="46">
        <v>0.39567877393546297</v>
      </c>
      <c r="D35" s="47">
        <v>0.12585102526615119</v>
      </c>
    </row>
    <row r="36" spans="1:4" ht="14.25" customHeight="1">
      <c r="A36" s="85">
        <v>41501</v>
      </c>
      <c r="B36" s="45" t="s">
        <v>219</v>
      </c>
      <c r="C36" s="46">
        <v>0.30659654513148393</v>
      </c>
      <c r="D36" s="47">
        <v>0.12558468248372612</v>
      </c>
    </row>
    <row r="37" spans="1:4" ht="14.25" customHeight="1">
      <c r="A37" s="85">
        <v>40301</v>
      </c>
      <c r="B37" s="45" t="s">
        <v>195</v>
      </c>
      <c r="C37" s="46">
        <v>0.33618900126147172</v>
      </c>
      <c r="D37" s="47">
        <v>0.12516952893772082</v>
      </c>
    </row>
    <row r="38" spans="1:4" ht="14.25" customHeight="1">
      <c r="A38" s="85">
        <v>40402</v>
      </c>
      <c r="B38" s="45" t="s">
        <v>198</v>
      </c>
      <c r="C38" s="46">
        <v>0.24278394579539439</v>
      </c>
      <c r="D38" s="47">
        <v>0.12308919078031463</v>
      </c>
    </row>
    <row r="39" spans="1:4" ht="14.25" customHeight="1">
      <c r="A39" s="85">
        <v>50405</v>
      </c>
      <c r="B39" s="45" t="s">
        <v>237</v>
      </c>
      <c r="C39" s="46">
        <v>0.39719996381465944</v>
      </c>
      <c r="D39" s="47">
        <v>0.12305085946754071</v>
      </c>
    </row>
    <row r="40" spans="1:4" ht="14.25" customHeight="1">
      <c r="A40" s="85">
        <v>21602</v>
      </c>
      <c r="B40" s="45" t="s">
        <v>132</v>
      </c>
      <c r="C40" s="46">
        <v>0.3364311093647106</v>
      </c>
      <c r="D40" s="47">
        <v>0.12260420132651675</v>
      </c>
    </row>
    <row r="41" spans="1:4" ht="14.25" customHeight="1">
      <c r="A41" s="85">
        <v>10902</v>
      </c>
      <c r="B41" s="45" t="s">
        <v>51</v>
      </c>
      <c r="C41" s="46">
        <v>0.35637382506420501</v>
      </c>
      <c r="D41" s="47">
        <v>0.12052616468756028</v>
      </c>
    </row>
    <row r="42" spans="1:4" ht="14.25" customHeight="1">
      <c r="A42" s="85">
        <v>30403</v>
      </c>
      <c r="B42" s="45" t="s">
        <v>151</v>
      </c>
      <c r="C42" s="46">
        <v>0.17642446031531772</v>
      </c>
      <c r="D42" s="47">
        <v>0.11742273321126605</v>
      </c>
    </row>
    <row r="43" spans="1:4" ht="14.25" customHeight="1">
      <c r="A43" s="85">
        <v>41001</v>
      </c>
      <c r="B43" s="45" t="s">
        <v>214</v>
      </c>
      <c r="C43" s="46">
        <v>0.34583292566994034</v>
      </c>
      <c r="D43" s="47">
        <v>0.11571708801738981</v>
      </c>
    </row>
    <row r="44" spans="1:4" ht="14.25" customHeight="1">
      <c r="A44" s="85">
        <v>41201</v>
      </c>
      <c r="B44" s="45" t="s">
        <v>216</v>
      </c>
      <c r="C44" s="46">
        <v>0.31370406817562208</v>
      </c>
      <c r="D44" s="47">
        <v>0.11527535436228001</v>
      </c>
    </row>
    <row r="45" spans="1:4" ht="14.25" customHeight="1">
      <c r="A45" s="85">
        <v>41601</v>
      </c>
      <c r="B45" s="45" t="s">
        <v>222</v>
      </c>
      <c r="C45" s="46">
        <v>0.34885188017968577</v>
      </c>
      <c r="D45" s="47">
        <v>0.11478881375002886</v>
      </c>
    </row>
    <row r="46" spans="1:4" ht="14.25" customHeight="1">
      <c r="A46" s="85">
        <v>31202</v>
      </c>
      <c r="B46" s="45" t="s">
        <v>173</v>
      </c>
      <c r="C46" s="46">
        <v>0.36252317642696896</v>
      </c>
      <c r="D46" s="47">
        <v>0.11453652297698054</v>
      </c>
    </row>
    <row r="47" spans="1:4" ht="14.25" customHeight="1">
      <c r="A47" s="85">
        <v>50403</v>
      </c>
      <c r="B47" s="45" t="s">
        <v>235</v>
      </c>
      <c r="C47" s="46">
        <v>0.35640631452318372</v>
      </c>
      <c r="D47" s="47">
        <v>0.11042157644866617</v>
      </c>
    </row>
    <row r="48" spans="1:4" ht="14.25" customHeight="1">
      <c r="A48" s="85">
        <v>51003</v>
      </c>
      <c r="B48" s="45" t="s">
        <v>250</v>
      </c>
      <c r="C48" s="46">
        <v>0.24887103016699144</v>
      </c>
      <c r="D48" s="47">
        <v>0.11022269868774455</v>
      </c>
    </row>
    <row r="49" spans="1:4" ht="14.25" customHeight="1">
      <c r="A49" s="85">
        <v>80601</v>
      </c>
      <c r="B49" s="45" t="s">
        <v>335</v>
      </c>
      <c r="C49" s="46">
        <v>0.32409395210348996</v>
      </c>
      <c r="D49" s="47">
        <v>0.10778380630011267</v>
      </c>
    </row>
    <row r="50" spans="1:4" ht="14.25" customHeight="1">
      <c r="A50" s="85">
        <v>10304</v>
      </c>
      <c r="B50" s="45" t="s">
        <v>27</v>
      </c>
      <c r="C50" s="46">
        <v>0.30537654104537593</v>
      </c>
      <c r="D50" s="47">
        <v>0.10753159742919127</v>
      </c>
    </row>
    <row r="51" spans="1:4" ht="14.25" customHeight="1">
      <c r="A51" s="85">
        <v>90303</v>
      </c>
      <c r="B51" s="45" t="s">
        <v>350</v>
      </c>
      <c r="C51" s="46">
        <v>0.50658281287891649</v>
      </c>
      <c r="D51" s="47">
        <v>0.10535333103536572</v>
      </c>
    </row>
    <row r="52" spans="1:4" ht="14.25" customHeight="1">
      <c r="A52" s="85">
        <v>31501</v>
      </c>
      <c r="B52" s="45" t="s">
        <v>187</v>
      </c>
      <c r="C52" s="46">
        <v>0.34476828899714024</v>
      </c>
      <c r="D52" s="47">
        <v>0.1051464983564005</v>
      </c>
    </row>
    <row r="53" spans="1:4" ht="14.25" customHeight="1">
      <c r="A53" s="85">
        <v>90402</v>
      </c>
      <c r="B53" s="45" t="s">
        <v>351</v>
      </c>
      <c r="C53" s="46">
        <v>0.31128966668332908</v>
      </c>
      <c r="D53" s="47">
        <v>0.10491159369762848</v>
      </c>
    </row>
    <row r="54" spans="1:4" ht="14.25" customHeight="1">
      <c r="A54" s="85">
        <v>31201</v>
      </c>
      <c r="B54" s="45" t="s">
        <v>172</v>
      </c>
      <c r="C54" s="46">
        <v>0.36101931860479108</v>
      </c>
      <c r="D54" s="47">
        <v>0.10402967717001596</v>
      </c>
    </row>
    <row r="55" spans="1:4" ht="14.25" customHeight="1">
      <c r="A55" s="85">
        <v>20404</v>
      </c>
      <c r="B55" s="45" t="s">
        <v>78</v>
      </c>
      <c r="C55" s="46">
        <v>0.30807513686670535</v>
      </c>
      <c r="D55" s="47">
        <v>0.10391474729975733</v>
      </c>
    </row>
    <row r="56" spans="1:4" ht="14.25" customHeight="1">
      <c r="A56" s="85">
        <v>30301</v>
      </c>
      <c r="B56" s="45" t="s">
        <v>146</v>
      </c>
      <c r="C56" s="46">
        <v>0.34414425609370874</v>
      </c>
      <c r="D56" s="47">
        <v>0.10382186430551704</v>
      </c>
    </row>
    <row r="57" spans="1:4" ht="14.25" customHeight="1">
      <c r="A57" s="85">
        <v>30302</v>
      </c>
      <c r="B57" s="45" t="s">
        <v>147</v>
      </c>
      <c r="C57" s="46">
        <v>0.3856003736139571</v>
      </c>
      <c r="D57" s="47">
        <v>0.10332341191958348</v>
      </c>
    </row>
    <row r="58" spans="1:4" ht="14.25" customHeight="1">
      <c r="A58" s="85">
        <v>51301</v>
      </c>
      <c r="B58" s="45" t="s">
        <v>258</v>
      </c>
      <c r="C58" s="46">
        <v>0.37516881067687924</v>
      </c>
      <c r="D58" s="47">
        <v>0.10331543921252725</v>
      </c>
    </row>
    <row r="59" spans="1:4" ht="14.25" customHeight="1">
      <c r="A59" s="85">
        <v>30402</v>
      </c>
      <c r="B59" s="45" t="s">
        <v>150</v>
      </c>
      <c r="C59" s="46">
        <v>0.34484632206502497</v>
      </c>
      <c r="D59" s="47">
        <v>0.10187467918824381</v>
      </c>
    </row>
    <row r="60" spans="1:4" ht="14.25" customHeight="1">
      <c r="A60" s="85">
        <v>21001</v>
      </c>
      <c r="B60" s="45" t="s">
        <v>105</v>
      </c>
      <c r="C60" s="46">
        <v>0.379072020707237</v>
      </c>
      <c r="D60" s="47">
        <v>0.10147052058644021</v>
      </c>
    </row>
    <row r="61" spans="1:4" ht="14.25" customHeight="1">
      <c r="A61" s="85">
        <v>80401</v>
      </c>
      <c r="B61" s="45" t="s">
        <v>333</v>
      </c>
      <c r="C61" s="46">
        <v>0.18517848628858277</v>
      </c>
      <c r="D61" s="47">
        <v>9.8123213620653973E-2</v>
      </c>
    </row>
    <row r="62" spans="1:4" ht="14.25" customHeight="1">
      <c r="A62" s="85">
        <v>50204</v>
      </c>
      <c r="B62" s="45" t="s">
        <v>229</v>
      </c>
      <c r="C62" s="46">
        <v>0.34753298015061651</v>
      </c>
      <c r="D62" s="47">
        <v>9.7985834286559659E-2</v>
      </c>
    </row>
    <row r="63" spans="1:4" ht="14.25" customHeight="1">
      <c r="A63" s="85">
        <v>20303</v>
      </c>
      <c r="B63" s="45" t="s">
        <v>69</v>
      </c>
      <c r="C63" s="46">
        <v>0.35865180611744163</v>
      </c>
      <c r="D63" s="47">
        <v>9.7180057561866082E-2</v>
      </c>
    </row>
    <row r="64" spans="1:4" ht="14.25" customHeight="1">
      <c r="A64" s="85">
        <v>40302</v>
      </c>
      <c r="B64" s="45" t="s">
        <v>196</v>
      </c>
      <c r="C64" s="46">
        <v>0.32640396069872663</v>
      </c>
      <c r="D64" s="47">
        <v>9.6705351294685049E-2</v>
      </c>
    </row>
    <row r="65" spans="1:4" ht="14.25" customHeight="1">
      <c r="A65" s="85">
        <v>50701</v>
      </c>
      <c r="B65" s="45" t="s">
        <v>242</v>
      </c>
      <c r="C65" s="46">
        <v>0.35671790876927506</v>
      </c>
      <c r="D65" s="47">
        <v>9.6578411801333988E-2</v>
      </c>
    </row>
    <row r="66" spans="1:4" ht="14.25" customHeight="1">
      <c r="A66" s="85">
        <v>51302</v>
      </c>
      <c r="B66" s="45" t="s">
        <v>259</v>
      </c>
      <c r="C66" s="46">
        <v>0.32672023596793326</v>
      </c>
      <c r="D66" s="47">
        <v>9.5765523693337351E-2</v>
      </c>
    </row>
    <row r="67" spans="1:4" ht="14.25" customHeight="1">
      <c r="A67" s="85">
        <v>21501</v>
      </c>
      <c r="B67" s="45" t="s">
        <v>129</v>
      </c>
      <c r="C67" s="46">
        <v>0.28073612848441071</v>
      </c>
      <c r="D67" s="47">
        <v>9.4674906658053073E-2</v>
      </c>
    </row>
    <row r="68" spans="1:4" ht="14.25" customHeight="1">
      <c r="A68" s="85">
        <v>80402</v>
      </c>
      <c r="B68" s="45" t="s">
        <v>334</v>
      </c>
      <c r="C68" s="46">
        <v>0.34988141159282832</v>
      </c>
      <c r="D68" s="47">
        <v>9.311424335429061E-2</v>
      </c>
    </row>
    <row r="69" spans="1:4" ht="14.25" customHeight="1">
      <c r="A69" s="85">
        <v>20401</v>
      </c>
      <c r="B69" s="45" t="s">
        <v>75</v>
      </c>
      <c r="C69" s="46">
        <v>0.28598131554944817</v>
      </c>
      <c r="D69" s="47">
        <v>9.2568730766898852E-2</v>
      </c>
    </row>
    <row r="70" spans="1:4" ht="14.25" customHeight="1">
      <c r="A70" s="85">
        <v>20903</v>
      </c>
      <c r="B70" s="45" t="s">
        <v>102</v>
      </c>
      <c r="C70" s="46">
        <v>0.24971522434608664</v>
      </c>
      <c r="D70" s="47">
        <v>9.2486497620295968E-2</v>
      </c>
    </row>
    <row r="71" spans="1:4" ht="14.25" customHeight="1">
      <c r="A71" s="85">
        <v>80201</v>
      </c>
      <c r="B71" s="45" t="s">
        <v>328</v>
      </c>
      <c r="C71" s="46">
        <v>0.29362367734428063</v>
      </c>
      <c r="D71" s="47">
        <v>9.2263158485973384E-2</v>
      </c>
    </row>
    <row r="72" spans="1:4" ht="14.25" customHeight="1">
      <c r="A72" s="85">
        <v>21303</v>
      </c>
      <c r="B72" s="45" t="s">
        <v>122</v>
      </c>
      <c r="C72" s="46">
        <v>0.27192757270240392</v>
      </c>
      <c r="D72" s="47">
        <v>9.1848032481092259E-2</v>
      </c>
    </row>
    <row r="73" spans="1:4" ht="14.25" customHeight="1">
      <c r="A73" s="85">
        <v>10601</v>
      </c>
      <c r="B73" s="45" t="s">
        <v>40</v>
      </c>
      <c r="C73" s="46">
        <v>0.34942859813347188</v>
      </c>
      <c r="D73" s="47">
        <v>9.0521213181362747E-2</v>
      </c>
    </row>
    <row r="74" spans="1:4" ht="14.25" customHeight="1">
      <c r="A74" s="85">
        <v>21703</v>
      </c>
      <c r="B74" s="45" t="s">
        <v>135</v>
      </c>
      <c r="C74" s="46">
        <v>0.27307179784946584</v>
      </c>
      <c r="D74" s="47">
        <v>9.015361980769096E-2</v>
      </c>
    </row>
    <row r="75" spans="1:4" ht="14.25" customHeight="1">
      <c r="A75" s="85">
        <v>20604</v>
      </c>
      <c r="B75" s="45" t="s">
        <v>86</v>
      </c>
      <c r="C75" s="46">
        <v>0.24737466742261879</v>
      </c>
      <c r="D75" s="47">
        <v>8.9893376384923687E-2</v>
      </c>
    </row>
    <row r="76" spans="1:4" ht="14.25" customHeight="1">
      <c r="A76" s="85">
        <v>10405</v>
      </c>
      <c r="B76" s="45" t="s">
        <v>35</v>
      </c>
      <c r="C76" s="46">
        <v>0.33887858154077499</v>
      </c>
      <c r="D76" s="47">
        <v>8.9673112033423555E-2</v>
      </c>
    </row>
    <row r="77" spans="1:4" ht="14.25" customHeight="1">
      <c r="A77" s="85">
        <v>22002</v>
      </c>
      <c r="B77" s="45" t="s">
        <v>142</v>
      </c>
      <c r="C77" s="46">
        <v>0.29630651535405883</v>
      </c>
      <c r="D77" s="47">
        <v>8.9538414654231374E-2</v>
      </c>
    </row>
    <row r="78" spans="1:4" ht="14.25" customHeight="1">
      <c r="A78" s="85">
        <v>51204</v>
      </c>
      <c r="B78" s="45" t="s">
        <v>257</v>
      </c>
      <c r="C78" s="46">
        <v>0.31111111908770622</v>
      </c>
      <c r="D78" s="47">
        <v>8.9451430508822316E-2</v>
      </c>
    </row>
    <row r="79" spans="1:4" ht="14.25" customHeight="1">
      <c r="A79" s="85">
        <v>21803</v>
      </c>
      <c r="B79" s="45" t="s">
        <v>138</v>
      </c>
      <c r="C79" s="46">
        <v>0.34800000859796998</v>
      </c>
      <c r="D79" s="47">
        <v>8.9138457260560244E-2</v>
      </c>
    </row>
    <row r="80" spans="1:4" ht="14.25" customHeight="1">
      <c r="A80" s="85">
        <v>50702</v>
      </c>
      <c r="B80" s="45" t="s">
        <v>243</v>
      </c>
      <c r="C80" s="46">
        <v>0.3203521707728117</v>
      </c>
      <c r="D80" s="47">
        <v>8.9083753581831904E-2</v>
      </c>
    </row>
    <row r="81" spans="1:4" ht="14.25" customHeight="1">
      <c r="A81" s="85">
        <v>20301</v>
      </c>
      <c r="B81" s="45" t="s">
        <v>67</v>
      </c>
      <c r="C81" s="46">
        <v>0.29442458947173222</v>
      </c>
      <c r="D81" s="47">
        <v>8.8988037420469415E-2</v>
      </c>
    </row>
    <row r="82" spans="1:4" ht="14.25" customHeight="1">
      <c r="A82" s="85">
        <v>20701</v>
      </c>
      <c r="B82" s="45" t="s">
        <v>91</v>
      </c>
      <c r="C82" s="46">
        <v>0.2676153663363659</v>
      </c>
      <c r="D82" s="47">
        <v>8.5805545730823662E-2</v>
      </c>
    </row>
    <row r="83" spans="1:4" ht="14.25" customHeight="1">
      <c r="A83" s="85">
        <v>20904</v>
      </c>
      <c r="B83" s="45" t="s">
        <v>103</v>
      </c>
      <c r="C83" s="46">
        <v>0.22561815290559639</v>
      </c>
      <c r="D83" s="47">
        <v>8.461767296140596E-2</v>
      </c>
    </row>
    <row r="84" spans="1:4" ht="14.25" customHeight="1">
      <c r="A84" s="85">
        <v>20405</v>
      </c>
      <c r="B84" s="45" t="s">
        <v>79</v>
      </c>
      <c r="C84" s="46">
        <v>0.218584846411261</v>
      </c>
      <c r="D84" s="47">
        <v>8.4165533898881068E-2</v>
      </c>
    </row>
    <row r="85" spans="1:4" ht="14.25" customHeight="1">
      <c r="A85" s="85">
        <v>80501</v>
      </c>
      <c r="B85" s="45" t="s">
        <v>280</v>
      </c>
      <c r="C85" s="46">
        <v>0.31549453774998831</v>
      </c>
      <c r="D85" s="47">
        <v>8.357061733524955E-2</v>
      </c>
    </row>
    <row r="86" spans="1:4" ht="14.25" customHeight="1">
      <c r="A86" s="85">
        <v>30602</v>
      </c>
      <c r="B86" s="45" t="s">
        <v>156</v>
      </c>
      <c r="C86" s="46">
        <v>0.31387158903803508</v>
      </c>
      <c r="D86" s="47">
        <v>8.3476185168881126E-2</v>
      </c>
    </row>
    <row r="87" spans="1:4" ht="14.25" customHeight="1">
      <c r="A87" s="85">
        <v>21601</v>
      </c>
      <c r="B87" s="45" t="s">
        <v>131</v>
      </c>
      <c r="C87" s="46">
        <v>0.33104699910254182</v>
      </c>
      <c r="D87" s="47">
        <v>8.2845196336425911E-2</v>
      </c>
    </row>
    <row r="88" spans="1:4" ht="14.25" customHeight="1">
      <c r="A88" s="85">
        <v>20608</v>
      </c>
      <c r="B88" s="45" t="s">
        <v>90</v>
      </c>
      <c r="C88" s="46">
        <v>0.26891345052758636</v>
      </c>
      <c r="D88" s="47">
        <v>8.2739032094263337E-2</v>
      </c>
    </row>
    <row r="89" spans="1:4" ht="14.25" customHeight="1">
      <c r="A89" s="85">
        <v>20502</v>
      </c>
      <c r="B89" s="45" t="s">
        <v>81</v>
      </c>
      <c r="C89" s="46">
        <v>0.30319558010868791</v>
      </c>
      <c r="D89" s="47">
        <v>8.2106303728777877E-2</v>
      </c>
    </row>
    <row r="90" spans="1:4" ht="14.25" customHeight="1">
      <c r="A90" s="85">
        <v>10301</v>
      </c>
      <c r="B90" s="45" t="s">
        <v>21</v>
      </c>
      <c r="C90" s="46">
        <v>0.30832118494538041</v>
      </c>
      <c r="D90" s="47">
        <v>8.1905840669402166E-2</v>
      </c>
    </row>
    <row r="91" spans="1:4" ht="14.25" customHeight="1">
      <c r="A91" s="85">
        <v>80301</v>
      </c>
      <c r="B91" s="45" t="s">
        <v>330</v>
      </c>
      <c r="C91" s="46">
        <v>0.28496317701158025</v>
      </c>
      <c r="D91" s="47">
        <v>8.126551077134303E-2</v>
      </c>
    </row>
    <row r="92" spans="1:4" ht="14.25" customHeight="1">
      <c r="A92" s="85">
        <v>21104</v>
      </c>
      <c r="B92" s="45" t="s">
        <v>114</v>
      </c>
      <c r="C92" s="46">
        <v>0.2075332909198091</v>
      </c>
      <c r="D92" s="47">
        <v>8.0730647470066183E-2</v>
      </c>
    </row>
    <row r="93" spans="1:4" ht="14.25" customHeight="1">
      <c r="A93" s="85">
        <v>11001</v>
      </c>
      <c r="B93" s="45" t="s">
        <v>53</v>
      </c>
      <c r="C93" s="46">
        <v>0.26060282515930966</v>
      </c>
      <c r="D93" s="47">
        <v>7.962928331781649E-2</v>
      </c>
    </row>
    <row r="94" spans="1:4" ht="14.25" customHeight="1">
      <c r="A94" s="85">
        <v>50301</v>
      </c>
      <c r="B94" s="45" t="s">
        <v>230</v>
      </c>
      <c r="C94" s="46">
        <v>0.28749253527820423</v>
      </c>
      <c r="D94" s="47">
        <v>7.8932730722033967E-2</v>
      </c>
    </row>
    <row r="95" spans="1:4" ht="14.25" customHeight="1">
      <c r="A95" s="85">
        <v>41202</v>
      </c>
      <c r="B95" s="45" t="s">
        <v>217</v>
      </c>
      <c r="C95" s="46">
        <v>0.25779116389982315</v>
      </c>
      <c r="D95" s="47">
        <v>7.8870675964433645E-2</v>
      </c>
    </row>
    <row r="96" spans="1:4" ht="14.25" customHeight="1">
      <c r="A96" s="85">
        <v>90503</v>
      </c>
      <c r="B96" s="45" t="s">
        <v>354</v>
      </c>
      <c r="C96" s="46">
        <v>0.37317308128152538</v>
      </c>
      <c r="D96" s="47">
        <v>7.8829488923526675E-2</v>
      </c>
    </row>
    <row r="97" spans="1:4" ht="14.25" customHeight="1">
      <c r="A97" s="85">
        <v>51202</v>
      </c>
      <c r="B97" s="45" t="s">
        <v>255</v>
      </c>
      <c r="C97" s="46">
        <v>0.30556829354625903</v>
      </c>
      <c r="D97" s="47">
        <v>7.8786324522648013E-2</v>
      </c>
    </row>
    <row r="98" spans="1:4" ht="14.25" customHeight="1">
      <c r="A98" s="85">
        <v>40202</v>
      </c>
      <c r="B98" s="45" t="s">
        <v>194</v>
      </c>
      <c r="C98" s="46">
        <v>0.21658150238678006</v>
      </c>
      <c r="D98" s="47">
        <v>7.8346194871504737E-2</v>
      </c>
    </row>
    <row r="99" spans="1:4" ht="14.25" customHeight="1">
      <c r="A99" s="85">
        <v>90301</v>
      </c>
      <c r="B99" s="45" t="s">
        <v>349</v>
      </c>
      <c r="C99" s="46">
        <v>0.33617592491960097</v>
      </c>
      <c r="D99" s="47">
        <v>7.8127364003333921E-2</v>
      </c>
    </row>
    <row r="100" spans="1:4" ht="14.25" customHeight="1">
      <c r="A100" s="85">
        <v>30201</v>
      </c>
      <c r="B100" s="45" t="s">
        <v>143</v>
      </c>
      <c r="C100" s="46">
        <v>0.24135288985553724</v>
      </c>
      <c r="D100" s="47">
        <v>7.6698786112150544E-2</v>
      </c>
    </row>
    <row r="101" spans="1:4" ht="14.25" customHeight="1">
      <c r="A101" s="85">
        <v>71501</v>
      </c>
      <c r="B101" s="45" t="s">
        <v>325</v>
      </c>
      <c r="C101" s="46">
        <v>0.2709253883178761</v>
      </c>
      <c r="D101" s="47">
        <v>7.6470047340681885E-2</v>
      </c>
    </row>
    <row r="102" spans="1:4" ht="14.25" customHeight="1">
      <c r="A102" s="85">
        <v>20803</v>
      </c>
      <c r="B102" s="45" t="s">
        <v>95</v>
      </c>
      <c r="C102" s="46">
        <v>0.20519395095076909</v>
      </c>
      <c r="D102" s="47">
        <v>7.6042713657996266E-2</v>
      </c>
    </row>
    <row r="103" spans="1:4" ht="14.25" customHeight="1">
      <c r="A103" s="85">
        <v>51001</v>
      </c>
      <c r="B103" s="45" t="s">
        <v>248</v>
      </c>
      <c r="C103" s="46">
        <v>0.2790924866127758</v>
      </c>
      <c r="D103" s="47">
        <v>7.5764563156196521E-2</v>
      </c>
    </row>
    <row r="104" spans="1:4" ht="14.25" customHeight="1">
      <c r="A104" s="85">
        <v>20503</v>
      </c>
      <c r="B104" s="45" t="s">
        <v>82</v>
      </c>
      <c r="C104" s="46">
        <v>0.29960756235762148</v>
      </c>
      <c r="D104" s="47">
        <v>7.5101606954311784E-2</v>
      </c>
    </row>
    <row r="105" spans="1:4" ht="14.25" customHeight="1">
      <c r="A105" s="85">
        <v>21105</v>
      </c>
      <c r="B105" s="45" t="s">
        <v>115</v>
      </c>
      <c r="C105" s="46">
        <v>0.37884390169242504</v>
      </c>
      <c r="D105" s="47">
        <v>7.5037192663076693E-2</v>
      </c>
    </row>
    <row r="106" spans="1:4" ht="14.25" customHeight="1">
      <c r="A106" s="85">
        <v>80102</v>
      </c>
      <c r="B106" s="45" t="s">
        <v>314</v>
      </c>
      <c r="C106" s="46">
        <v>0.24835603710074786</v>
      </c>
      <c r="D106" s="47">
        <v>7.4762070326613195E-2</v>
      </c>
    </row>
    <row r="107" spans="1:4" ht="14.25" customHeight="1">
      <c r="A107" s="85">
        <v>21801</v>
      </c>
      <c r="B107" s="45" t="s">
        <v>136</v>
      </c>
      <c r="C107" s="46">
        <v>0.31388353564598759</v>
      </c>
      <c r="D107" s="47">
        <v>7.4528839022623874E-2</v>
      </c>
    </row>
    <row r="108" spans="1:4" ht="14.25" customHeight="1">
      <c r="A108" s="85">
        <v>10303</v>
      </c>
      <c r="B108" s="45" t="s">
        <v>25</v>
      </c>
      <c r="C108" s="46">
        <v>0.34090591955091826</v>
      </c>
      <c r="D108" s="47">
        <v>7.37989670983175E-2</v>
      </c>
    </row>
    <row r="109" spans="1:4" ht="14.25" customHeight="1">
      <c r="A109" s="85">
        <v>50601</v>
      </c>
      <c r="B109" s="45" t="s">
        <v>240</v>
      </c>
      <c r="C109" s="46">
        <v>0.25977867485753137</v>
      </c>
      <c r="D109" s="47">
        <v>7.3752224937714966E-2</v>
      </c>
    </row>
    <row r="110" spans="1:4" ht="14.25" customHeight="1">
      <c r="A110" s="85">
        <v>50302</v>
      </c>
      <c r="B110" s="45" t="s">
        <v>231</v>
      </c>
      <c r="C110" s="46">
        <v>0.24703443748111981</v>
      </c>
      <c r="D110" s="47">
        <v>7.3671236601839482E-2</v>
      </c>
    </row>
    <row r="111" spans="1:4" ht="14.25" customHeight="1">
      <c r="A111" s="85">
        <v>20307</v>
      </c>
      <c r="B111" s="45" t="s">
        <v>73</v>
      </c>
      <c r="C111" s="46">
        <v>0.26185185849666598</v>
      </c>
      <c r="D111" s="47">
        <v>7.2027219367140044E-2</v>
      </c>
    </row>
    <row r="112" spans="1:4" ht="14.25" customHeight="1">
      <c r="A112" s="85">
        <v>20603</v>
      </c>
      <c r="B112" s="45" t="s">
        <v>85</v>
      </c>
      <c r="C112" s="46">
        <v>0.25396826037059744</v>
      </c>
      <c r="D112" s="47">
        <v>7.1676302394676511E-2</v>
      </c>
    </row>
    <row r="113" spans="1:4" ht="14.25" customHeight="1">
      <c r="A113" s="85">
        <v>40401</v>
      </c>
      <c r="B113" s="45" t="s">
        <v>197</v>
      </c>
      <c r="C113" s="46">
        <v>0.19799115231776263</v>
      </c>
      <c r="D113" s="47">
        <v>7.1252815648901693E-2</v>
      </c>
    </row>
    <row r="114" spans="1:4" ht="14.25" customHeight="1">
      <c r="A114" s="85">
        <v>40802</v>
      </c>
      <c r="B114" s="45" t="s">
        <v>210</v>
      </c>
      <c r="C114" s="46">
        <v>0.25818554522395948</v>
      </c>
      <c r="D114" s="47">
        <v>7.0976053012119497E-2</v>
      </c>
    </row>
    <row r="115" spans="1:4" ht="14.25" customHeight="1">
      <c r="A115" s="85">
        <v>41401</v>
      </c>
      <c r="B115" s="45" t="s">
        <v>218</v>
      </c>
      <c r="C115" s="46">
        <v>0.24564620225101011</v>
      </c>
      <c r="D115" s="47">
        <v>7.0803108177611498E-2</v>
      </c>
    </row>
    <row r="116" spans="1:4" ht="14.25" customHeight="1">
      <c r="A116" s="85">
        <v>20306</v>
      </c>
      <c r="B116" s="45" t="s">
        <v>72</v>
      </c>
      <c r="C116" s="46">
        <v>0.28956431662933846</v>
      </c>
      <c r="D116" s="47">
        <v>7.0798567185799272E-2</v>
      </c>
    </row>
    <row r="117" spans="1:4" ht="14.25" customHeight="1">
      <c r="A117" s="85">
        <v>10502</v>
      </c>
      <c r="B117" s="45" t="s">
        <v>38</v>
      </c>
      <c r="C117" s="46">
        <v>0.34601871239622511</v>
      </c>
      <c r="D117" s="47">
        <v>7.0712792920640963E-2</v>
      </c>
    </row>
    <row r="118" spans="1:4" ht="14.25" customHeight="1">
      <c r="A118" s="85">
        <v>10602</v>
      </c>
      <c r="B118" s="45" t="s">
        <v>42</v>
      </c>
      <c r="C118" s="46">
        <v>0.31788594112347512</v>
      </c>
      <c r="D118" s="47">
        <v>7.0245538019183248E-2</v>
      </c>
    </row>
    <row r="119" spans="1:4" ht="14.25" customHeight="1">
      <c r="A119" s="85">
        <v>41503</v>
      </c>
      <c r="B119" s="45" t="s">
        <v>221</v>
      </c>
      <c r="C119" s="46">
        <v>0.35582011501703942</v>
      </c>
      <c r="D119" s="47">
        <v>6.8712145383066109E-2</v>
      </c>
    </row>
    <row r="120" spans="1:4" ht="14.25" customHeight="1">
      <c r="A120" s="85">
        <v>31003</v>
      </c>
      <c r="B120" s="45" t="s">
        <v>170</v>
      </c>
      <c r="C120" s="46">
        <v>0.26610955236128808</v>
      </c>
      <c r="D120" s="47">
        <v>6.8457101513209995E-2</v>
      </c>
    </row>
    <row r="121" spans="1:4" ht="14.25" customHeight="1">
      <c r="A121" s="85">
        <v>31301</v>
      </c>
      <c r="B121" s="45" t="s">
        <v>178</v>
      </c>
      <c r="C121" s="46">
        <v>0.27098027906065203</v>
      </c>
      <c r="D121" s="47">
        <v>6.8088826986016524E-2</v>
      </c>
    </row>
    <row r="122" spans="1:4" ht="14.25" customHeight="1">
      <c r="A122" s="85">
        <v>21301</v>
      </c>
      <c r="B122" s="45" t="s">
        <v>120</v>
      </c>
      <c r="C122" s="46">
        <v>0.23385075706068098</v>
      </c>
      <c r="D122" s="47">
        <v>6.7523747268846301E-2</v>
      </c>
    </row>
    <row r="123" spans="1:4" ht="14.25" customHeight="1">
      <c r="A123" s="85">
        <v>40502</v>
      </c>
      <c r="B123" s="45" t="s">
        <v>200</v>
      </c>
      <c r="C123" s="46">
        <v>0.31780054232681837</v>
      </c>
      <c r="D123" s="47">
        <v>6.6993072245053839E-2</v>
      </c>
    </row>
    <row r="124" spans="1:4" ht="14.25" customHeight="1">
      <c r="A124" s="85">
        <v>20402</v>
      </c>
      <c r="B124" s="45" t="s">
        <v>76</v>
      </c>
      <c r="C124" s="46">
        <v>0.26751165741769722</v>
      </c>
      <c r="D124" s="47">
        <v>6.6353326235796456E-2</v>
      </c>
    </row>
    <row r="125" spans="1:4" ht="14.25" customHeight="1">
      <c r="A125" s="85">
        <v>30502</v>
      </c>
      <c r="B125" s="45" t="s">
        <v>154</v>
      </c>
      <c r="C125" s="46">
        <v>0.23673016846722003</v>
      </c>
      <c r="D125" s="47">
        <v>6.6178060057993884E-2</v>
      </c>
    </row>
    <row r="126" spans="1:4" ht="14.25" customHeight="1">
      <c r="A126" s="85">
        <v>10401</v>
      </c>
      <c r="B126" s="45" t="s">
        <v>29</v>
      </c>
      <c r="C126" s="46">
        <v>0.31160401809285193</v>
      </c>
      <c r="D126" s="47">
        <v>6.6153923205440737E-2</v>
      </c>
    </row>
    <row r="127" spans="1:4" ht="14.25" customHeight="1">
      <c r="A127" s="85">
        <v>40201</v>
      </c>
      <c r="B127" s="45" t="s">
        <v>193</v>
      </c>
      <c r="C127" s="46">
        <v>0.20786450693977809</v>
      </c>
      <c r="D127" s="47">
        <v>6.5837257647383907E-2</v>
      </c>
    </row>
    <row r="128" spans="1:4" ht="14.25" customHeight="1">
      <c r="A128" s="85">
        <v>20403</v>
      </c>
      <c r="B128" s="45" t="s">
        <v>77</v>
      </c>
      <c r="C128" s="46">
        <v>0.28017673097631429</v>
      </c>
      <c r="D128" s="47">
        <v>6.5516028435588292E-2</v>
      </c>
    </row>
    <row r="129" spans="1:4" ht="14.25" customHeight="1">
      <c r="A129" s="85">
        <v>20605</v>
      </c>
      <c r="B129" s="45" t="s">
        <v>87</v>
      </c>
      <c r="C129" s="46">
        <v>0.1989671155773903</v>
      </c>
      <c r="D129" s="47">
        <v>6.5049127883995195E-2</v>
      </c>
    </row>
    <row r="130" spans="1:4" ht="14.25" customHeight="1">
      <c r="A130" s="85">
        <v>20202</v>
      </c>
      <c r="B130" s="45" t="s">
        <v>62</v>
      </c>
      <c r="C130" s="46">
        <v>0.23305902212372998</v>
      </c>
      <c r="D130" s="47">
        <v>6.4411380818660588E-2</v>
      </c>
    </row>
    <row r="131" spans="1:4" ht="14.25" customHeight="1">
      <c r="A131" s="85">
        <v>90501</v>
      </c>
      <c r="B131" s="45" t="s">
        <v>352</v>
      </c>
      <c r="C131" s="46">
        <v>0.34321266488205132</v>
      </c>
      <c r="D131" s="47">
        <v>6.4249365517049642E-2</v>
      </c>
    </row>
    <row r="132" spans="1:4" ht="14.25" customHeight="1">
      <c r="A132" s="85">
        <v>10402</v>
      </c>
      <c r="B132" s="45" t="s">
        <v>31</v>
      </c>
      <c r="C132" s="46">
        <v>0.31689220723798289</v>
      </c>
      <c r="D132" s="47">
        <v>6.422501275981457E-2</v>
      </c>
    </row>
    <row r="133" spans="1:4" ht="14.25" customHeight="1">
      <c r="A133" s="85">
        <v>21902</v>
      </c>
      <c r="B133" s="45" t="s">
        <v>140</v>
      </c>
      <c r="C133" s="46">
        <v>0.22890443449670617</v>
      </c>
      <c r="D133" s="47">
        <v>6.4021661388840537E-2</v>
      </c>
    </row>
    <row r="134" spans="1:4" ht="14.25" customHeight="1">
      <c r="A134" s="85">
        <v>30401</v>
      </c>
      <c r="B134" s="45" t="s">
        <v>149</v>
      </c>
      <c r="C134" s="46">
        <v>0.17655174851539621</v>
      </c>
      <c r="D134" s="47">
        <v>6.4020673457966304E-2</v>
      </c>
    </row>
    <row r="135" spans="1:4" ht="14.25" customHeight="1">
      <c r="A135" s="85">
        <v>70303</v>
      </c>
      <c r="B135" s="45" t="s">
        <v>282</v>
      </c>
      <c r="C135" s="46">
        <v>0.2478054636366851</v>
      </c>
      <c r="D135" s="47">
        <v>6.3598694208597789E-2</v>
      </c>
    </row>
    <row r="136" spans="1:4" ht="14.25" customHeight="1">
      <c r="A136" s="85">
        <v>70804</v>
      </c>
      <c r="B136" s="45" t="s">
        <v>303</v>
      </c>
      <c r="C136" s="46">
        <v>0.27431916789641109</v>
      </c>
      <c r="D136" s="47">
        <v>6.3204282252038849E-2</v>
      </c>
    </row>
    <row r="137" spans="1:4" ht="14.25" customHeight="1">
      <c r="A137" s="85">
        <v>30803</v>
      </c>
      <c r="B137" s="45" t="s">
        <v>162</v>
      </c>
      <c r="C137" s="46">
        <v>9.3697208299739085E-2</v>
      </c>
      <c r="D137" s="47">
        <v>6.2819781416181927E-2</v>
      </c>
    </row>
    <row r="138" spans="1:4" ht="14.25" customHeight="1">
      <c r="A138" s="85">
        <v>31405</v>
      </c>
      <c r="B138" s="45" t="s">
        <v>186</v>
      </c>
      <c r="C138" s="46">
        <v>0.2324550856577477</v>
      </c>
      <c r="D138" s="47">
        <v>6.2767725923447176E-2</v>
      </c>
    </row>
    <row r="139" spans="1:4" ht="14.25" customHeight="1">
      <c r="A139" s="85">
        <v>80802</v>
      </c>
      <c r="B139" s="45" t="s">
        <v>340</v>
      </c>
      <c r="C139" s="46">
        <v>0.2067065284223368</v>
      </c>
      <c r="D139" s="47">
        <v>6.2288623649592631E-2</v>
      </c>
    </row>
    <row r="140" spans="1:4" ht="14.25" customHeight="1">
      <c r="A140" s="85">
        <v>70501</v>
      </c>
      <c r="B140" s="45" t="s">
        <v>287</v>
      </c>
      <c r="C140" s="46">
        <v>0.1262141378050031</v>
      </c>
      <c r="D140" s="47">
        <v>6.2011790259320611E-2</v>
      </c>
    </row>
    <row r="141" spans="1:4" ht="14.25" customHeight="1">
      <c r="A141" s="85">
        <v>90302</v>
      </c>
      <c r="B141" s="45" t="s">
        <v>271</v>
      </c>
      <c r="C141" s="46">
        <v>0.3443374038333763</v>
      </c>
      <c r="D141" s="47">
        <v>6.1549678643503122E-2</v>
      </c>
    </row>
    <row r="142" spans="1:4" ht="14.25" customHeight="1">
      <c r="A142" s="85">
        <v>20905</v>
      </c>
      <c r="B142" s="45" t="s">
        <v>104</v>
      </c>
      <c r="C142" s="46">
        <v>0.19110597609232866</v>
      </c>
      <c r="D142" s="47">
        <v>6.1408036881340319E-2</v>
      </c>
    </row>
    <row r="143" spans="1:4" ht="14.25" customHeight="1">
      <c r="A143" s="85">
        <v>51402</v>
      </c>
      <c r="B143" s="45" t="s">
        <v>261</v>
      </c>
      <c r="C143" s="46">
        <v>0.15257841963588337</v>
      </c>
      <c r="D143" s="47">
        <v>6.0927249080248262E-2</v>
      </c>
    </row>
    <row r="144" spans="1:4" ht="14.25" customHeight="1">
      <c r="A144" s="85">
        <v>21004</v>
      </c>
      <c r="B144" s="45" t="s">
        <v>108</v>
      </c>
      <c r="C144" s="46">
        <v>0.21157854073017499</v>
      </c>
      <c r="D144" s="47">
        <v>6.0855280541709945E-2</v>
      </c>
    </row>
    <row r="145" spans="1:4" ht="14.25" customHeight="1">
      <c r="A145" s="85">
        <v>50201</v>
      </c>
      <c r="B145" s="45" t="s">
        <v>226</v>
      </c>
      <c r="C145" s="46">
        <v>0.21341542552267517</v>
      </c>
      <c r="D145" s="47">
        <v>6.058415200180322E-2</v>
      </c>
    </row>
    <row r="146" spans="1:4" ht="14.25" customHeight="1">
      <c r="A146" s="85">
        <v>80801</v>
      </c>
      <c r="B146" s="45" t="s">
        <v>339</v>
      </c>
      <c r="C146" s="46">
        <v>0.25181700915737215</v>
      </c>
      <c r="D146" s="47">
        <v>6.0537741488162815E-2</v>
      </c>
    </row>
    <row r="147" spans="1:4" ht="14.25" customHeight="1">
      <c r="A147" s="85">
        <v>70302</v>
      </c>
      <c r="B147" s="45" t="s">
        <v>281</v>
      </c>
      <c r="C147" s="46">
        <v>0.26110913920776119</v>
      </c>
      <c r="D147" s="47">
        <v>6.0255198277405629E-2</v>
      </c>
    </row>
    <row r="148" spans="1:4" ht="14.25" customHeight="1">
      <c r="A148" s="85">
        <v>51102</v>
      </c>
      <c r="B148" s="45" t="s">
        <v>252</v>
      </c>
      <c r="C148" s="46">
        <v>0.2020348062920258</v>
      </c>
      <c r="D148" s="47">
        <v>5.9339255609009406E-2</v>
      </c>
    </row>
    <row r="149" spans="1:4" ht="14.25" customHeight="1">
      <c r="A149" s="85">
        <v>71101</v>
      </c>
      <c r="B149" s="45" t="s">
        <v>313</v>
      </c>
      <c r="C149" s="46">
        <v>0.24180138500781279</v>
      </c>
      <c r="D149" s="47">
        <v>5.9155630811371013E-2</v>
      </c>
    </row>
    <row r="150" spans="1:4" ht="14.25" customHeight="1">
      <c r="A150" s="85">
        <v>80304</v>
      </c>
      <c r="B150" s="45" t="s">
        <v>332</v>
      </c>
      <c r="C150" s="46">
        <v>0.16646334853692976</v>
      </c>
      <c r="D150" s="47">
        <v>5.8711382013002224E-2</v>
      </c>
    </row>
    <row r="151" spans="1:4" ht="14.25" customHeight="1">
      <c r="A151" s="85">
        <v>21901</v>
      </c>
      <c r="B151" s="45" t="s">
        <v>139</v>
      </c>
      <c r="C151" s="46">
        <v>0.21982853908962299</v>
      </c>
      <c r="D151" s="47">
        <v>5.8540827485534477E-2</v>
      </c>
    </row>
    <row r="152" spans="1:4" ht="14.25" customHeight="1">
      <c r="A152" s="85">
        <v>50602</v>
      </c>
      <c r="B152" s="45" t="s">
        <v>241</v>
      </c>
      <c r="C152" s="46">
        <v>0.21937023488278604</v>
      </c>
      <c r="D152" s="47">
        <v>5.8161703704735432E-2</v>
      </c>
    </row>
    <row r="153" spans="1:4" ht="14.25" customHeight="1">
      <c r="A153" s="85">
        <v>10903</v>
      </c>
      <c r="B153" s="45" t="s">
        <v>52</v>
      </c>
      <c r="C153" s="46">
        <v>0.22323823023605444</v>
      </c>
      <c r="D153" s="47">
        <v>5.8088417350348046E-2</v>
      </c>
    </row>
    <row r="154" spans="1:4" ht="14.25" customHeight="1">
      <c r="A154" s="85">
        <v>80602</v>
      </c>
      <c r="B154" s="45" t="s">
        <v>336</v>
      </c>
      <c r="C154" s="46">
        <v>0.22595357122544193</v>
      </c>
      <c r="D154" s="47">
        <v>5.778341376217512E-2</v>
      </c>
    </row>
    <row r="155" spans="1:4" ht="14.25" customHeight="1">
      <c r="A155" s="85">
        <v>20805</v>
      </c>
      <c r="B155" s="45" t="s">
        <v>97</v>
      </c>
      <c r="C155" s="46">
        <v>0.28959053517603361</v>
      </c>
      <c r="D155" s="47">
        <v>5.7150115696857635E-2</v>
      </c>
    </row>
    <row r="156" spans="1:4" ht="14.25" customHeight="1">
      <c r="A156" s="85">
        <v>21302</v>
      </c>
      <c r="B156" s="45" t="s">
        <v>121</v>
      </c>
      <c r="C156" s="46">
        <v>0.2491229450482208</v>
      </c>
      <c r="D156" s="47">
        <v>5.6926694432246412E-2</v>
      </c>
    </row>
    <row r="157" spans="1:4" ht="14.25" customHeight="1">
      <c r="A157" s="85">
        <v>21006</v>
      </c>
      <c r="B157" s="45" t="s">
        <v>110</v>
      </c>
      <c r="C157" s="46">
        <v>0.21524089212316277</v>
      </c>
      <c r="D157" s="47">
        <v>5.6924059950932616E-2</v>
      </c>
    </row>
    <row r="158" spans="1:4" ht="14.25" customHeight="1">
      <c r="A158" s="85">
        <v>21201</v>
      </c>
      <c r="B158" s="45" t="s">
        <v>116</v>
      </c>
      <c r="C158" s="46">
        <v>0.22917132256012518</v>
      </c>
      <c r="D158" s="47">
        <v>5.6768227850106601E-2</v>
      </c>
    </row>
    <row r="159" spans="1:4" ht="14.25" customHeight="1">
      <c r="A159" s="85">
        <v>30202</v>
      </c>
      <c r="B159" s="45" t="s">
        <v>144</v>
      </c>
      <c r="C159" s="46">
        <v>0.24349917233657023</v>
      </c>
      <c r="D159" s="47">
        <v>5.671621245277756E-2</v>
      </c>
    </row>
    <row r="160" spans="1:4" ht="14.25" customHeight="1">
      <c r="A160" s="85">
        <v>31206</v>
      </c>
      <c r="B160" s="45" t="s">
        <v>177</v>
      </c>
      <c r="C160" s="46">
        <v>0.22456583680193157</v>
      </c>
      <c r="D160" s="47">
        <v>5.653547495400861E-2</v>
      </c>
    </row>
    <row r="161" spans="1:4" ht="14.25" customHeight="1">
      <c r="A161" s="85">
        <v>90502</v>
      </c>
      <c r="B161" s="45" t="s">
        <v>353</v>
      </c>
      <c r="C161" s="46">
        <v>0.37013117427418729</v>
      </c>
      <c r="D161" s="47">
        <v>5.6293316854077805E-2</v>
      </c>
    </row>
    <row r="162" spans="1:4" ht="14.25" customHeight="1">
      <c r="A162" s="85">
        <v>20102</v>
      </c>
      <c r="B162" s="45" t="s">
        <v>57</v>
      </c>
      <c r="C162" s="46">
        <v>0.22252551542784163</v>
      </c>
      <c r="D162" s="47">
        <v>5.5783885040285412E-2</v>
      </c>
    </row>
    <row r="163" spans="1:4" ht="14.25" customHeight="1">
      <c r="A163" s="85">
        <v>10801</v>
      </c>
      <c r="B163" s="45" t="s">
        <v>49</v>
      </c>
      <c r="C163" s="46">
        <v>0.26660758854488825</v>
      </c>
      <c r="D163" s="47">
        <v>5.5530843547018399E-2</v>
      </c>
    </row>
    <row r="164" spans="1:4" ht="14.25" customHeight="1">
      <c r="A164" s="85">
        <v>70702</v>
      </c>
      <c r="B164" s="45" t="s">
        <v>294</v>
      </c>
      <c r="C164" s="46">
        <v>0.24081715133354309</v>
      </c>
      <c r="D164" s="47">
        <v>5.5473456579304914E-2</v>
      </c>
    </row>
    <row r="165" spans="1:4" ht="14.25" customHeight="1">
      <c r="A165" s="85">
        <v>31204</v>
      </c>
      <c r="B165" s="45" t="s">
        <v>175</v>
      </c>
      <c r="C165" s="46">
        <v>0.2436486136546874</v>
      </c>
      <c r="D165" s="47">
        <v>5.4996358123615745E-2</v>
      </c>
    </row>
    <row r="166" spans="1:4" ht="14.25" customHeight="1">
      <c r="A166" s="85">
        <v>31203</v>
      </c>
      <c r="B166" s="45" t="s">
        <v>174</v>
      </c>
      <c r="C166" s="46">
        <v>0.23027773086362691</v>
      </c>
      <c r="D166" s="47">
        <v>5.4989836820753528E-2</v>
      </c>
    </row>
    <row r="167" spans="1:4" ht="14.25" customHeight="1">
      <c r="A167" s="85">
        <v>20501</v>
      </c>
      <c r="B167" s="45" t="s">
        <v>80</v>
      </c>
      <c r="C167" s="46">
        <v>0.23322073331292476</v>
      </c>
      <c r="D167" s="47">
        <v>5.4784082128861274E-2</v>
      </c>
    </row>
    <row r="168" spans="1:4" ht="14.25" customHeight="1">
      <c r="A168" s="85">
        <v>51101</v>
      </c>
      <c r="B168" s="45" t="s">
        <v>251</v>
      </c>
      <c r="C168" s="46">
        <v>0.22486092546252301</v>
      </c>
      <c r="D168" s="47">
        <v>5.4495727814160864E-2</v>
      </c>
    </row>
    <row r="169" spans="1:4" ht="14.25" customHeight="1">
      <c r="A169" s="85">
        <v>20302</v>
      </c>
      <c r="B169" s="45" t="s">
        <v>68</v>
      </c>
      <c r="C169" s="46">
        <v>0.31881879251436296</v>
      </c>
      <c r="D169" s="47">
        <v>5.4260052274369655E-2</v>
      </c>
    </row>
    <row r="170" spans="1:4" ht="14.25" customHeight="1">
      <c r="A170" s="85">
        <v>40801</v>
      </c>
      <c r="B170" s="45" t="s">
        <v>209</v>
      </c>
      <c r="C170" s="46">
        <v>0.23191374925670946</v>
      </c>
      <c r="D170" s="47">
        <v>5.4234557584496711E-2</v>
      </c>
    </row>
    <row r="171" spans="1:4" ht="14.25" customHeight="1">
      <c r="A171" s="85">
        <v>20601</v>
      </c>
      <c r="B171" s="45" t="s">
        <v>83</v>
      </c>
      <c r="C171" s="46">
        <v>0.23236001639836962</v>
      </c>
      <c r="D171" s="47">
        <v>5.4069775319340235E-2</v>
      </c>
    </row>
    <row r="172" spans="1:4" ht="14.25" customHeight="1">
      <c r="A172" s="85">
        <v>21204</v>
      </c>
      <c r="B172" s="45" t="s">
        <v>119</v>
      </c>
      <c r="C172" s="46">
        <v>0.17653537504588449</v>
      </c>
      <c r="D172" s="47">
        <v>5.3886261971431863E-2</v>
      </c>
    </row>
    <row r="173" spans="1:4" ht="14.25" customHeight="1">
      <c r="A173" s="85">
        <v>31205</v>
      </c>
      <c r="B173" s="45" t="s">
        <v>176</v>
      </c>
      <c r="C173" s="46">
        <v>0.21965683205370751</v>
      </c>
      <c r="D173" s="47">
        <v>5.3430778080667464E-2</v>
      </c>
    </row>
    <row r="174" spans="1:4" ht="14.25" customHeight="1">
      <c r="A174" s="85">
        <v>90104</v>
      </c>
      <c r="B174" s="45" t="s">
        <v>346</v>
      </c>
      <c r="C174" s="46">
        <v>0.28870110346397887</v>
      </c>
      <c r="D174" s="47">
        <v>5.3395694605755682E-2</v>
      </c>
    </row>
    <row r="175" spans="1:4" ht="14.25" customHeight="1">
      <c r="A175" s="85">
        <v>90201</v>
      </c>
      <c r="B175" s="45" t="s">
        <v>347</v>
      </c>
      <c r="C175" s="46">
        <v>0.21918780470934504</v>
      </c>
      <c r="D175" s="47">
        <v>5.3372150772350149E-2</v>
      </c>
    </row>
    <row r="176" spans="1:4" ht="14.25" customHeight="1">
      <c r="A176" s="85">
        <v>21002</v>
      </c>
      <c r="B176" s="45" t="s">
        <v>106</v>
      </c>
      <c r="C176" s="46">
        <v>0.18309239067109542</v>
      </c>
      <c r="D176" s="47">
        <v>5.3370232537556704E-2</v>
      </c>
    </row>
    <row r="177" spans="1:4" ht="14.25" customHeight="1">
      <c r="A177" s="85">
        <v>30703</v>
      </c>
      <c r="B177" s="45" t="s">
        <v>159</v>
      </c>
      <c r="C177" s="46">
        <v>0.27178430184421276</v>
      </c>
      <c r="D177" s="47">
        <v>5.3211321367730206E-2</v>
      </c>
    </row>
    <row r="178" spans="1:4" ht="14.25" customHeight="1">
      <c r="A178" s="85">
        <v>71503</v>
      </c>
      <c r="B178" s="45" t="s">
        <v>272</v>
      </c>
      <c r="C178" s="46">
        <v>0.28459983621816071</v>
      </c>
      <c r="D178" s="47">
        <v>5.3039585056570623E-2</v>
      </c>
    </row>
    <row r="179" spans="1:4" ht="14.25" customHeight="1">
      <c r="A179" s="85">
        <v>20902</v>
      </c>
      <c r="B179" s="45" t="s">
        <v>101</v>
      </c>
      <c r="C179" s="46">
        <v>0.29708216424284561</v>
      </c>
      <c r="D179" s="47">
        <v>5.2321700870719412E-2</v>
      </c>
    </row>
    <row r="180" spans="1:4" ht="14.25" customHeight="1">
      <c r="A180" s="85">
        <v>20702</v>
      </c>
      <c r="B180" s="45" t="s">
        <v>92</v>
      </c>
      <c r="C180" s="46">
        <v>0.33359294745310131</v>
      </c>
      <c r="D180" s="47">
        <v>5.2185182121199124E-2</v>
      </c>
    </row>
    <row r="181" spans="1:4" ht="14.25" customHeight="1">
      <c r="A181" s="85">
        <v>50202</v>
      </c>
      <c r="B181" s="45" t="s">
        <v>227</v>
      </c>
      <c r="C181" s="46">
        <v>0.24666346699599453</v>
      </c>
      <c r="D181" s="47">
        <v>5.2010515659971314E-2</v>
      </c>
    </row>
    <row r="182" spans="1:4" ht="14.25" customHeight="1">
      <c r="A182" s="85">
        <v>10901</v>
      </c>
      <c r="B182" s="45" t="s">
        <v>50</v>
      </c>
      <c r="C182" s="46">
        <v>0.29393550884359637</v>
      </c>
      <c r="D182" s="47">
        <v>5.1819671335245558E-2</v>
      </c>
    </row>
    <row r="183" spans="1:4" ht="14.25" customHeight="1">
      <c r="A183" s="85">
        <v>80702</v>
      </c>
      <c r="B183" s="45" t="s">
        <v>315</v>
      </c>
      <c r="C183" s="46">
        <v>0.19388469563848726</v>
      </c>
      <c r="D183" s="47">
        <v>5.1778526116005294E-2</v>
      </c>
    </row>
    <row r="184" spans="1:4" ht="14.25" customHeight="1">
      <c r="A184" s="85">
        <v>71502</v>
      </c>
      <c r="B184" s="45" t="s">
        <v>326</v>
      </c>
      <c r="C184" s="46">
        <v>0.24873403908662395</v>
      </c>
      <c r="D184" s="47">
        <v>5.1493486277239972E-2</v>
      </c>
    </row>
    <row r="185" spans="1:4" ht="14.25" customHeight="1">
      <c r="A185" s="85">
        <v>70403</v>
      </c>
      <c r="B185" s="45" t="s">
        <v>285</v>
      </c>
      <c r="C185" s="46">
        <v>0.21341682217871924</v>
      </c>
      <c r="D185" s="47">
        <v>5.1328674204991605E-2</v>
      </c>
    </row>
    <row r="186" spans="1:4" ht="14.25" customHeight="1">
      <c r="A186" s="85">
        <v>80701</v>
      </c>
      <c r="B186" s="45" t="s">
        <v>337</v>
      </c>
      <c r="C186" s="46">
        <v>0.22738741148044889</v>
      </c>
      <c r="D186" s="47">
        <v>5.1179304568121156E-2</v>
      </c>
    </row>
    <row r="187" spans="1:4" ht="14.25" customHeight="1">
      <c r="A187" s="85">
        <v>90103</v>
      </c>
      <c r="B187" s="45" t="s">
        <v>345</v>
      </c>
      <c r="C187" s="46">
        <v>0.3623258921564842</v>
      </c>
      <c r="D187" s="47">
        <v>5.0375440928342508E-2</v>
      </c>
    </row>
    <row r="188" spans="1:4" ht="14.25" customHeight="1">
      <c r="A188" s="85">
        <v>71201</v>
      </c>
      <c r="B188" s="45" t="s">
        <v>319</v>
      </c>
      <c r="C188" s="46">
        <v>0.23757892052262006</v>
      </c>
      <c r="D188" s="47">
        <v>4.9896221938849045E-2</v>
      </c>
    </row>
    <row r="189" spans="1:4" ht="14.25" customHeight="1">
      <c r="A189" s="85">
        <v>40102</v>
      </c>
      <c r="B189" s="45" t="s">
        <v>190</v>
      </c>
      <c r="C189" s="46">
        <v>0.22842979648603107</v>
      </c>
      <c r="D189" s="47">
        <v>4.973867763308077E-2</v>
      </c>
    </row>
    <row r="190" spans="1:4" ht="14.25" customHeight="1">
      <c r="A190" s="85">
        <v>70301</v>
      </c>
      <c r="B190" s="45" t="s">
        <v>280</v>
      </c>
      <c r="C190" s="46">
        <v>0.19731962730525154</v>
      </c>
      <c r="D190" s="47">
        <v>4.963003835392911E-2</v>
      </c>
    </row>
    <row r="191" spans="1:4" ht="14.25" customHeight="1">
      <c r="A191" s="85">
        <v>41502</v>
      </c>
      <c r="B191" s="45" t="s">
        <v>220</v>
      </c>
      <c r="C191" s="46">
        <v>0.33030762263036889</v>
      </c>
      <c r="D191" s="47">
        <v>4.931393896636857E-2</v>
      </c>
    </row>
    <row r="192" spans="1:4" ht="14.25" customHeight="1">
      <c r="A192" s="85">
        <v>31002</v>
      </c>
      <c r="B192" s="45" t="s">
        <v>169</v>
      </c>
      <c r="C192" s="46">
        <v>0.18920265961996624</v>
      </c>
      <c r="D192" s="47">
        <v>4.8885784263297621E-2</v>
      </c>
    </row>
    <row r="193" spans="1:4" ht="14.25" customHeight="1">
      <c r="A193" s="85">
        <v>80803</v>
      </c>
      <c r="B193" s="45" t="s">
        <v>341</v>
      </c>
      <c r="C193" s="46">
        <v>0.22734958062774974</v>
      </c>
      <c r="D193" s="47">
        <v>4.843118880897105E-2</v>
      </c>
    </row>
    <row r="194" spans="1:4" ht="14.25" customHeight="1">
      <c r="A194" s="85">
        <v>90203</v>
      </c>
      <c r="B194" s="45" t="s">
        <v>348</v>
      </c>
      <c r="C194" s="46">
        <v>0.29663093555025299</v>
      </c>
      <c r="D194" s="47">
        <v>4.7569402236149819E-2</v>
      </c>
    </row>
    <row r="195" spans="1:4" ht="14.25" customHeight="1">
      <c r="A195" s="85">
        <v>21203</v>
      </c>
      <c r="B195" s="45" t="s">
        <v>118</v>
      </c>
      <c r="C195" s="46">
        <v>0.17246983687263692</v>
      </c>
      <c r="D195" s="47">
        <v>4.7565708388914378E-2</v>
      </c>
    </row>
    <row r="196" spans="1:4" ht="14.25" customHeight="1">
      <c r="A196" s="85">
        <v>21202</v>
      </c>
      <c r="B196" s="45" t="s">
        <v>117</v>
      </c>
      <c r="C196" s="46">
        <v>0.22224951315510655</v>
      </c>
      <c r="D196" s="47">
        <v>4.7496251347218472E-2</v>
      </c>
    </row>
    <row r="197" spans="1:4" ht="14.25" customHeight="1">
      <c r="A197" s="85">
        <v>21306</v>
      </c>
      <c r="B197" s="45" t="s">
        <v>125</v>
      </c>
      <c r="C197" s="46">
        <v>0.21897744964124516</v>
      </c>
      <c r="D197" s="47">
        <v>4.7330054963939196E-2</v>
      </c>
    </row>
    <row r="198" spans="1:4" ht="14.25" customHeight="1">
      <c r="A198" s="85">
        <v>40602</v>
      </c>
      <c r="B198" s="45" t="s">
        <v>205</v>
      </c>
      <c r="C198" s="46">
        <v>0.14663745511367793</v>
      </c>
      <c r="D198" s="47">
        <v>4.7212243337117273E-2</v>
      </c>
    </row>
    <row r="199" spans="1:4" ht="14.25" customHeight="1">
      <c r="A199" s="85">
        <v>30701</v>
      </c>
      <c r="B199" s="45" t="s">
        <v>157</v>
      </c>
      <c r="C199" s="46">
        <v>0.15589501577959736</v>
      </c>
      <c r="D199" s="47">
        <v>4.7011429848676643E-2</v>
      </c>
    </row>
    <row r="200" spans="1:4" ht="14.25" customHeight="1">
      <c r="A200" s="85">
        <v>21802</v>
      </c>
      <c r="B200" s="45" t="s">
        <v>137</v>
      </c>
      <c r="C200" s="46">
        <v>0.22228584690896686</v>
      </c>
      <c r="D200" s="47">
        <v>4.6763373483036892E-2</v>
      </c>
    </row>
    <row r="201" spans="1:4" ht="14.25" customHeight="1">
      <c r="A201" s="85">
        <v>20602</v>
      </c>
      <c r="B201" s="45" t="s">
        <v>84</v>
      </c>
      <c r="C201" s="46">
        <v>0.19857779520094568</v>
      </c>
      <c r="D201" s="47">
        <v>4.6506958115407747E-2</v>
      </c>
    </row>
    <row r="202" spans="1:4" ht="14.25" customHeight="1">
      <c r="A202" s="85">
        <v>31601</v>
      </c>
      <c r="B202" s="45" t="s">
        <v>188</v>
      </c>
      <c r="C202" s="46">
        <v>0.18684162462467205</v>
      </c>
      <c r="D202" s="47">
        <v>4.5437004369063186E-2</v>
      </c>
    </row>
    <row r="203" spans="1:4" ht="14.25" customHeight="1">
      <c r="A203" s="85">
        <v>20806</v>
      </c>
      <c r="B203" s="45" t="s">
        <v>98</v>
      </c>
      <c r="C203" s="46">
        <v>0.19409931437246147</v>
      </c>
      <c r="D203" s="47">
        <v>4.5341836076332298E-2</v>
      </c>
    </row>
    <row r="204" spans="1:4" ht="14.25" customHeight="1">
      <c r="A204" s="85">
        <v>10701</v>
      </c>
      <c r="B204" s="45" t="s">
        <v>44</v>
      </c>
      <c r="C204" s="46">
        <v>0.19787133783459379</v>
      </c>
      <c r="D204" s="47">
        <v>4.4806375997509466E-2</v>
      </c>
    </row>
    <row r="205" spans="1:4" ht="14.25" customHeight="1">
      <c r="A205" s="85">
        <v>60601</v>
      </c>
      <c r="B205" s="45" t="s">
        <v>177</v>
      </c>
      <c r="C205" s="46">
        <v>0.20054684121425645</v>
      </c>
      <c r="D205" s="47">
        <v>4.4628817315739269E-2</v>
      </c>
    </row>
    <row r="206" spans="1:4" ht="14.25" customHeight="1">
      <c r="A206" s="85">
        <v>22001</v>
      </c>
      <c r="B206" s="45" t="s">
        <v>141</v>
      </c>
      <c r="C206" s="46">
        <v>0.20623175072404368</v>
      </c>
      <c r="D206" s="47">
        <v>4.4574747455010097E-2</v>
      </c>
    </row>
    <row r="207" spans="1:4" ht="14.25" customHeight="1">
      <c r="A207" s="85">
        <v>40104</v>
      </c>
      <c r="B207" s="45" t="s">
        <v>192</v>
      </c>
      <c r="C207" s="46">
        <v>0.21899543942070754</v>
      </c>
      <c r="D207" s="47">
        <v>4.4396281096085219E-2</v>
      </c>
    </row>
    <row r="208" spans="1:4" ht="14.25" customHeight="1">
      <c r="A208" s="85">
        <v>21102</v>
      </c>
      <c r="B208" s="45" t="s">
        <v>112</v>
      </c>
      <c r="C208" s="46">
        <v>0.17937220167507861</v>
      </c>
      <c r="D208" s="47">
        <v>4.4356769986674011E-2</v>
      </c>
    </row>
    <row r="209" spans="1:4" ht="14.25" customHeight="1">
      <c r="A209" s="85">
        <v>21701</v>
      </c>
      <c r="B209" s="45" t="s">
        <v>133</v>
      </c>
      <c r="C209" s="46">
        <v>0.13156623505053333</v>
      </c>
      <c r="D209" s="47">
        <v>4.425727030997563E-2</v>
      </c>
    </row>
    <row r="210" spans="1:4" ht="14.25" customHeight="1">
      <c r="A210" s="85">
        <v>21304</v>
      </c>
      <c r="B210" s="45" t="s">
        <v>123</v>
      </c>
      <c r="C210" s="46">
        <v>0.20934147559400895</v>
      </c>
      <c r="D210" s="47">
        <v>4.3908162704177967E-2</v>
      </c>
    </row>
    <row r="211" spans="1:4" ht="14.25" customHeight="1">
      <c r="A211" s="85">
        <v>41101</v>
      </c>
      <c r="B211" s="45" t="s">
        <v>215</v>
      </c>
      <c r="C211" s="46">
        <v>0.16868571364181861</v>
      </c>
      <c r="D211" s="47">
        <v>4.3401148766978807E-2</v>
      </c>
    </row>
    <row r="212" spans="1:4" ht="14.25" customHeight="1">
      <c r="A212" s="85">
        <v>10501</v>
      </c>
      <c r="B212" s="45" t="s">
        <v>36</v>
      </c>
      <c r="C212" s="46">
        <v>0.21192886727529889</v>
      </c>
      <c r="D212" s="47">
        <v>4.3022914765262717E-2</v>
      </c>
    </row>
    <row r="213" spans="1:4" ht="14.25" customHeight="1">
      <c r="A213" s="85">
        <v>20104</v>
      </c>
      <c r="B213" s="45" t="s">
        <v>59</v>
      </c>
      <c r="C213" s="46">
        <v>0.19516630678707056</v>
      </c>
      <c r="D213" s="47">
        <v>4.3011715984385024E-2</v>
      </c>
    </row>
    <row r="214" spans="1:4" ht="14.25" customHeight="1">
      <c r="A214" s="85">
        <v>60402</v>
      </c>
      <c r="B214" s="45" t="s">
        <v>270</v>
      </c>
      <c r="C214" s="46">
        <v>0.16359383737071279</v>
      </c>
      <c r="D214" s="47">
        <v>4.2812809530981405E-2</v>
      </c>
    </row>
    <row r="215" spans="1:4" ht="14.25" customHeight="1">
      <c r="A215" s="85">
        <v>70703</v>
      </c>
      <c r="B215" s="45" t="s">
        <v>295</v>
      </c>
      <c r="C215" s="46">
        <v>0.15913085554483733</v>
      </c>
      <c r="D215" s="47">
        <v>4.2679696294209035E-2</v>
      </c>
    </row>
    <row r="216" spans="1:4" ht="14.25" customHeight="1">
      <c r="A216" s="85">
        <v>40902</v>
      </c>
      <c r="B216" s="45" t="s">
        <v>212</v>
      </c>
      <c r="C216" s="46">
        <v>0.22756166401525932</v>
      </c>
      <c r="D216" s="47">
        <v>4.2623479894488683E-2</v>
      </c>
    </row>
    <row r="217" spans="1:4" ht="14.25" customHeight="1">
      <c r="A217" s="85">
        <v>80303</v>
      </c>
      <c r="B217" s="45" t="s">
        <v>291</v>
      </c>
      <c r="C217" s="46">
        <v>0.19870209529782748</v>
      </c>
      <c r="D217" s="47">
        <v>4.2545422428679293E-2</v>
      </c>
    </row>
    <row r="218" spans="1:4" ht="14.25" customHeight="1">
      <c r="A218" s="85">
        <v>20807</v>
      </c>
      <c r="B218" s="45" t="s">
        <v>99</v>
      </c>
      <c r="C218" s="46">
        <v>0.16907771594977841</v>
      </c>
      <c r="D218" s="47">
        <v>4.1416854106339829E-2</v>
      </c>
    </row>
    <row r="219" spans="1:4" ht="14.25" customHeight="1">
      <c r="A219" s="85">
        <v>70903</v>
      </c>
      <c r="B219" s="45" t="s">
        <v>307</v>
      </c>
      <c r="C219" s="46">
        <v>0.11065673974966683</v>
      </c>
      <c r="D219" s="47">
        <v>4.1354077200579681E-2</v>
      </c>
    </row>
    <row r="220" spans="1:4" ht="14.25" customHeight="1">
      <c r="A220" s="85">
        <v>90401</v>
      </c>
      <c r="B220" s="45" t="s">
        <v>291</v>
      </c>
      <c r="C220" s="46">
        <v>0.22257851645097895</v>
      </c>
      <c r="D220" s="47">
        <v>4.1268719393835078E-2</v>
      </c>
    </row>
    <row r="221" spans="1:4" ht="14.25" customHeight="1">
      <c r="A221" s="85">
        <v>20901</v>
      </c>
      <c r="B221" s="45" t="s">
        <v>100</v>
      </c>
      <c r="C221" s="46">
        <v>0.17638009484267342</v>
      </c>
      <c r="D221" s="47">
        <v>4.1202487788431365E-2</v>
      </c>
    </row>
    <row r="222" spans="1:4" ht="14.25" customHeight="1">
      <c r="A222" s="85">
        <v>40601</v>
      </c>
      <c r="B222" s="45" t="s">
        <v>204</v>
      </c>
      <c r="C222" s="46">
        <v>0.15158785437217634</v>
      </c>
      <c r="D222" s="47">
        <v>4.0411794424187721E-2</v>
      </c>
    </row>
    <row r="223" spans="1:4" ht="14.25" customHeight="1">
      <c r="A223" s="85">
        <v>21401</v>
      </c>
      <c r="B223" s="45" t="s">
        <v>127</v>
      </c>
      <c r="C223" s="46">
        <v>0.15305293381051818</v>
      </c>
      <c r="D223" s="47">
        <v>4.0245726687795441E-2</v>
      </c>
    </row>
    <row r="224" spans="1:4" ht="14.25" customHeight="1">
      <c r="A224" s="85">
        <v>71403</v>
      </c>
      <c r="B224" s="45" t="s">
        <v>324</v>
      </c>
      <c r="C224" s="46">
        <v>0.20351745496087104</v>
      </c>
      <c r="D224" s="47">
        <v>4.0074144766658999E-2</v>
      </c>
    </row>
    <row r="225" spans="1:4" ht="14.25" customHeight="1">
      <c r="A225" s="85">
        <v>21307</v>
      </c>
      <c r="B225" s="45" t="s">
        <v>126</v>
      </c>
      <c r="C225" s="46">
        <v>0.15944746082794906</v>
      </c>
      <c r="D225" s="47">
        <v>3.9343866382815E-2</v>
      </c>
    </row>
    <row r="226" spans="1:4" ht="14.25" customHeight="1">
      <c r="A226" s="85">
        <v>70705</v>
      </c>
      <c r="B226" s="45" t="s">
        <v>297</v>
      </c>
      <c r="C226" s="46">
        <v>0.33755866790808714</v>
      </c>
      <c r="D226" s="47">
        <v>3.9272098798566461E-2</v>
      </c>
    </row>
    <row r="227" spans="1:4" ht="14.25" customHeight="1">
      <c r="A227" s="85">
        <v>60201</v>
      </c>
      <c r="B227" s="45" t="s">
        <v>264</v>
      </c>
      <c r="C227" s="46">
        <v>0.16418722095503394</v>
      </c>
      <c r="D227" s="47">
        <v>3.9232028061384858E-2</v>
      </c>
    </row>
    <row r="228" spans="1:4" ht="14.25" customHeight="1">
      <c r="A228" s="85">
        <v>31602</v>
      </c>
      <c r="B228" s="45" t="s">
        <v>189</v>
      </c>
      <c r="C228" s="46">
        <v>0.18838486297491214</v>
      </c>
      <c r="D228" s="47">
        <v>3.9097764273753582E-2</v>
      </c>
    </row>
    <row r="229" spans="1:4" ht="14.25" customHeight="1">
      <c r="A229" s="85">
        <v>70502</v>
      </c>
      <c r="B229" s="45" t="s">
        <v>288</v>
      </c>
      <c r="C229" s="46">
        <v>0.13287606157338244</v>
      </c>
      <c r="D229" s="47">
        <v>3.8989240722645938E-2</v>
      </c>
    </row>
    <row r="230" spans="1:4" ht="14.25" customHeight="1">
      <c r="A230" s="85">
        <v>21502</v>
      </c>
      <c r="B230" s="45" t="s">
        <v>130</v>
      </c>
      <c r="C230" s="46">
        <v>0.1711441214455576</v>
      </c>
      <c r="D230" s="47">
        <v>3.8964930132235398E-2</v>
      </c>
    </row>
    <row r="231" spans="1:4" ht="14.25" customHeight="1">
      <c r="A231" s="85">
        <v>71102</v>
      </c>
      <c r="B231" s="45" t="s">
        <v>314</v>
      </c>
      <c r="C231" s="46">
        <v>0.23125260697321948</v>
      </c>
      <c r="D231" s="47">
        <v>3.8920013427066531E-2</v>
      </c>
    </row>
    <row r="232" spans="1:4" ht="14.25" customHeight="1">
      <c r="A232" s="85">
        <v>21305</v>
      </c>
      <c r="B232" s="45" t="s">
        <v>124</v>
      </c>
      <c r="C232" s="46">
        <v>0.14316230095103266</v>
      </c>
      <c r="D232" s="47">
        <v>3.8354273805993717E-2</v>
      </c>
    </row>
    <row r="233" spans="1:4" ht="14.25" customHeight="1">
      <c r="A233" s="85">
        <v>80202</v>
      </c>
      <c r="B233" s="45" t="s">
        <v>329</v>
      </c>
      <c r="C233" s="46">
        <v>0.15566781531424789</v>
      </c>
      <c r="D233" s="47">
        <v>3.7818756673569515E-2</v>
      </c>
    </row>
    <row r="234" spans="1:4" ht="14.25" customHeight="1">
      <c r="A234" s="85">
        <v>20304</v>
      </c>
      <c r="B234" s="45" t="s">
        <v>70</v>
      </c>
      <c r="C234" s="46">
        <v>0.28173572076092274</v>
      </c>
      <c r="D234" s="47">
        <v>3.7689298237310251E-2</v>
      </c>
    </row>
    <row r="235" spans="1:4" ht="14.25" customHeight="1">
      <c r="A235" s="85">
        <v>70707</v>
      </c>
      <c r="B235" s="45" t="s">
        <v>299</v>
      </c>
      <c r="C235" s="46">
        <v>0.22726138366255016</v>
      </c>
      <c r="D235" s="47">
        <v>3.7669069333242836E-2</v>
      </c>
    </row>
    <row r="236" spans="1:4" ht="14.25" customHeight="1">
      <c r="A236" s="85">
        <v>21702</v>
      </c>
      <c r="B236" s="45" t="s">
        <v>134</v>
      </c>
      <c r="C236" s="46">
        <v>0.18922355429062673</v>
      </c>
      <c r="D236" s="47">
        <v>3.7608973620169898E-2</v>
      </c>
    </row>
    <row r="237" spans="1:4" ht="14.25" customHeight="1">
      <c r="A237" s="85">
        <v>80703</v>
      </c>
      <c r="B237" s="45" t="s">
        <v>338</v>
      </c>
      <c r="C237" s="46">
        <v>0.21237525515213695</v>
      </c>
      <c r="D237" s="47">
        <v>3.7586243424402331E-2</v>
      </c>
    </row>
    <row r="238" spans="1:4" ht="14.25" customHeight="1">
      <c r="A238" s="85">
        <v>71103</v>
      </c>
      <c r="B238" s="45" t="s">
        <v>315</v>
      </c>
      <c r="C238" s="46">
        <v>0.16308197750468334</v>
      </c>
      <c r="D238" s="47">
        <v>3.6781153798174329E-2</v>
      </c>
    </row>
    <row r="239" spans="1:4" ht="14.25" customHeight="1">
      <c r="A239" s="85">
        <v>71301</v>
      </c>
      <c r="B239" s="45" t="s">
        <v>320</v>
      </c>
      <c r="C239" s="46">
        <v>0.15793893109285076</v>
      </c>
      <c r="D239" s="47">
        <v>3.6664904867750307E-2</v>
      </c>
    </row>
    <row r="240" spans="1:4" ht="14.25" customHeight="1">
      <c r="A240" s="85">
        <v>20204</v>
      </c>
      <c r="B240" s="45" t="s">
        <v>64</v>
      </c>
      <c r="C240" s="46">
        <v>0.15563639580532015</v>
      </c>
      <c r="D240" s="47">
        <v>3.6480770894292761E-2</v>
      </c>
    </row>
    <row r="241" spans="1:4" ht="14.25" customHeight="1">
      <c r="A241" s="85">
        <v>21003</v>
      </c>
      <c r="B241" s="45" t="s">
        <v>107</v>
      </c>
      <c r="C241" s="46">
        <v>0.13562858974231709</v>
      </c>
      <c r="D241" s="47">
        <v>3.6155775428993078E-2</v>
      </c>
    </row>
    <row r="242" spans="1:4" ht="14.25" customHeight="1">
      <c r="A242" s="85">
        <v>30203</v>
      </c>
      <c r="B242" s="45" t="s">
        <v>145</v>
      </c>
      <c r="C242" s="46">
        <v>0.18936818142002973</v>
      </c>
      <c r="D242" s="47">
        <v>3.6138565303251824E-2</v>
      </c>
    </row>
    <row r="243" spans="1:4" ht="14.25" customHeight="1">
      <c r="A243" s="85">
        <v>20203</v>
      </c>
      <c r="B243" s="45" t="s">
        <v>63</v>
      </c>
      <c r="C243" s="46">
        <v>0.18065578358160395</v>
      </c>
      <c r="D243" s="47">
        <v>3.5741359903913118E-2</v>
      </c>
    </row>
    <row r="244" spans="1:4" ht="14.25" customHeight="1">
      <c r="A244" s="85">
        <v>60501</v>
      </c>
      <c r="B244" s="45" t="s">
        <v>271</v>
      </c>
      <c r="C244" s="46">
        <v>0.13880886187657981</v>
      </c>
      <c r="D244" s="47">
        <v>3.5650369304654143E-2</v>
      </c>
    </row>
    <row r="245" spans="1:4" ht="14.25" customHeight="1">
      <c r="A245" s="85">
        <v>90102</v>
      </c>
      <c r="B245" s="45" t="s">
        <v>344</v>
      </c>
      <c r="C245" s="46">
        <v>0.1671240078177029</v>
      </c>
      <c r="D245" s="47">
        <v>3.5558976727745044E-2</v>
      </c>
    </row>
    <row r="246" spans="1:4" ht="14.25" customHeight="1">
      <c r="A246" s="85">
        <v>80101</v>
      </c>
      <c r="B246" s="45" t="s">
        <v>327</v>
      </c>
      <c r="C246" s="46">
        <v>0.14477510261813106</v>
      </c>
      <c r="D246" s="47">
        <v>3.4781516926696614E-2</v>
      </c>
    </row>
    <row r="247" spans="1:4" ht="14.25" customHeight="1">
      <c r="A247" s="85">
        <v>20201</v>
      </c>
      <c r="B247" s="45" t="s">
        <v>61</v>
      </c>
      <c r="C247" s="46">
        <v>0.16186500261882283</v>
      </c>
      <c r="D247" s="47">
        <v>3.4733367024402169E-2</v>
      </c>
    </row>
    <row r="248" spans="1:4" ht="14.25" customHeight="1">
      <c r="A248" s="85">
        <v>40901</v>
      </c>
      <c r="B248" s="45" t="s">
        <v>211</v>
      </c>
      <c r="C248" s="46">
        <v>0.1948573429391422</v>
      </c>
      <c r="D248" s="47">
        <v>3.4521647835053931E-2</v>
      </c>
    </row>
    <row r="249" spans="1:4" ht="14.25" customHeight="1">
      <c r="A249" s="85">
        <v>40503</v>
      </c>
      <c r="B249" s="45" t="s">
        <v>201</v>
      </c>
      <c r="C249" s="46">
        <v>0.28542983039061476</v>
      </c>
      <c r="D249" s="47">
        <v>3.430825415986221E-2</v>
      </c>
    </row>
    <row r="250" spans="1:4" ht="14.25" customHeight="1">
      <c r="A250" s="85">
        <v>10404</v>
      </c>
      <c r="B250" s="45" t="s">
        <v>34</v>
      </c>
      <c r="C250" s="46">
        <v>0.27754793174635733</v>
      </c>
      <c r="D250" s="47">
        <v>3.4256301955166206E-2</v>
      </c>
    </row>
    <row r="251" spans="1:4" ht="14.25" customHeight="1">
      <c r="A251" s="85">
        <v>40505</v>
      </c>
      <c r="B251" s="45" t="s">
        <v>203</v>
      </c>
      <c r="C251" s="46">
        <v>0.14876819173583672</v>
      </c>
      <c r="D251" s="47">
        <v>3.3627248458038717E-2</v>
      </c>
    </row>
    <row r="252" spans="1:4" ht="14.25" customHeight="1">
      <c r="A252" s="85">
        <v>50902</v>
      </c>
      <c r="B252" s="45" t="s">
        <v>247</v>
      </c>
      <c r="C252" s="46">
        <v>0.18280290772567442</v>
      </c>
      <c r="D252" s="47">
        <v>3.3340677806106687E-2</v>
      </c>
    </row>
    <row r="253" spans="1:4" ht="14.25" customHeight="1">
      <c r="A253" s="85">
        <v>30802</v>
      </c>
      <c r="B253" s="45" t="s">
        <v>161</v>
      </c>
      <c r="C253" s="46">
        <v>0.11697153801314018</v>
      </c>
      <c r="D253" s="47">
        <v>3.1920508664439566E-2</v>
      </c>
    </row>
    <row r="254" spans="1:4" ht="14.25" customHeight="1">
      <c r="A254" s="85">
        <v>20205</v>
      </c>
      <c r="B254" s="45" t="s">
        <v>65</v>
      </c>
      <c r="C254" s="46">
        <v>8.127916819101387E-2</v>
      </c>
      <c r="D254" s="47">
        <v>3.1577554733435848E-2</v>
      </c>
    </row>
    <row r="255" spans="1:4" ht="14.25" customHeight="1">
      <c r="A255" s="85">
        <v>11003</v>
      </c>
      <c r="B255" s="45" t="s">
        <v>55</v>
      </c>
      <c r="C255" s="46">
        <v>0.22871455795489487</v>
      </c>
      <c r="D255" s="47">
        <v>3.1272826915923799E-2</v>
      </c>
    </row>
    <row r="256" spans="1:4" ht="14.25" customHeight="1">
      <c r="A256" s="85">
        <v>50103</v>
      </c>
      <c r="B256" s="45" t="s">
        <v>224</v>
      </c>
      <c r="C256" s="46">
        <v>0.1504374539875169</v>
      </c>
      <c r="D256" s="47">
        <v>3.0959696482580065E-2</v>
      </c>
    </row>
    <row r="257" spans="1:4" ht="14.25" customHeight="1">
      <c r="A257" s="85">
        <v>20103</v>
      </c>
      <c r="B257" s="45" t="s">
        <v>58</v>
      </c>
      <c r="C257" s="46">
        <v>0.16741823228286085</v>
      </c>
      <c r="D257" s="47">
        <v>3.0294099141488399E-2</v>
      </c>
    </row>
    <row r="258" spans="1:4" ht="14.25" customHeight="1">
      <c r="A258" s="85">
        <v>30902</v>
      </c>
      <c r="B258" s="45" t="s">
        <v>164</v>
      </c>
      <c r="C258" s="46">
        <v>0.12122890630918029</v>
      </c>
      <c r="D258" s="47">
        <v>2.9882647458087191E-2</v>
      </c>
    </row>
    <row r="259" spans="1:4" ht="14.25" customHeight="1">
      <c r="A259" s="85">
        <v>51201</v>
      </c>
      <c r="B259" s="45" t="s">
        <v>254</v>
      </c>
      <c r="C259" s="46">
        <v>0.16844077266702534</v>
      </c>
      <c r="D259" s="47">
        <v>2.9697054042919876E-2</v>
      </c>
    </row>
    <row r="260" spans="1:4" ht="14.25" customHeight="1">
      <c r="A260" s="85">
        <v>71004</v>
      </c>
      <c r="B260" s="45" t="s">
        <v>312</v>
      </c>
      <c r="C260" s="46">
        <v>0.13263285361122393</v>
      </c>
      <c r="D260" s="47">
        <v>2.9638386230660389E-2</v>
      </c>
    </row>
    <row r="261" spans="1:4" ht="14.25" customHeight="1">
      <c r="A261" s="85">
        <v>11002</v>
      </c>
      <c r="B261" s="45" t="s">
        <v>54</v>
      </c>
      <c r="C261" s="46">
        <v>0.29829377253735789</v>
      </c>
      <c r="D261" s="47">
        <v>2.9375712229474688E-2</v>
      </c>
    </row>
    <row r="262" spans="1:4" ht="14.25" customHeight="1">
      <c r="A262" s="85">
        <v>10102</v>
      </c>
      <c r="B262" s="45" t="s">
        <v>13</v>
      </c>
      <c r="C262" s="46">
        <v>0.14332893367107091</v>
      </c>
      <c r="D262" s="47">
        <v>2.8705766647722245E-2</v>
      </c>
    </row>
    <row r="263" spans="1:4" ht="14.25" customHeight="1">
      <c r="A263" s="85">
        <v>70602</v>
      </c>
      <c r="B263" s="45" t="s">
        <v>291</v>
      </c>
      <c r="C263" s="46">
        <v>0.23094749638095891</v>
      </c>
      <c r="D263" s="47">
        <v>2.8690427644360184E-2</v>
      </c>
    </row>
    <row r="264" spans="1:4" ht="14.25" customHeight="1">
      <c r="A264" s="85">
        <v>60401</v>
      </c>
      <c r="B264" s="45" t="s">
        <v>269</v>
      </c>
      <c r="C264" s="46">
        <v>0.14590270982049802</v>
      </c>
      <c r="D264" s="47">
        <v>2.8453918107897925E-2</v>
      </c>
    </row>
    <row r="265" spans="1:4" ht="14.25" customHeight="1">
      <c r="A265" s="85">
        <v>20606</v>
      </c>
      <c r="B265" s="45" t="s">
        <v>88</v>
      </c>
      <c r="C265" s="46">
        <v>0.11753884181136591</v>
      </c>
      <c r="D265" s="47">
        <v>2.8350062333775523E-2</v>
      </c>
    </row>
    <row r="266" spans="1:4" ht="14.25" customHeight="1">
      <c r="A266" s="85">
        <v>20802</v>
      </c>
      <c r="B266" s="45" t="s">
        <v>94</v>
      </c>
      <c r="C266" s="46">
        <v>0.15023161730873183</v>
      </c>
      <c r="D266" s="47">
        <v>2.8322440809478946E-2</v>
      </c>
    </row>
    <row r="267" spans="1:4" ht="14.25" customHeight="1">
      <c r="A267" s="85">
        <v>70404</v>
      </c>
      <c r="B267" s="45" t="s">
        <v>286</v>
      </c>
      <c r="C267" s="46">
        <v>0.187587372375318</v>
      </c>
      <c r="D267" s="47">
        <v>2.8240969866793555E-2</v>
      </c>
    </row>
    <row r="268" spans="1:4" ht="14.25" customHeight="1">
      <c r="A268" s="85">
        <v>70803</v>
      </c>
      <c r="B268" s="45" t="s">
        <v>302</v>
      </c>
      <c r="C268" s="46">
        <v>0.20264050890799873</v>
      </c>
      <c r="D268" s="47">
        <v>2.7646798758044985E-2</v>
      </c>
    </row>
    <row r="269" spans="1:4" ht="14.25" customHeight="1">
      <c r="A269" s="85">
        <v>70904</v>
      </c>
      <c r="B269" s="45" t="s">
        <v>308</v>
      </c>
      <c r="C269" s="46">
        <v>0.13616632755444916</v>
      </c>
      <c r="D269" s="47">
        <v>2.7596224406186275E-2</v>
      </c>
    </row>
    <row r="270" spans="1:4" ht="14.25" customHeight="1">
      <c r="A270" s="85">
        <v>70901</v>
      </c>
      <c r="B270" s="45" t="s">
        <v>305</v>
      </c>
      <c r="C270" s="46">
        <v>0.15673713161014927</v>
      </c>
      <c r="D270" s="47">
        <v>2.7579607415120458E-2</v>
      </c>
    </row>
    <row r="271" spans="1:4" ht="14.25" customHeight="1">
      <c r="A271" s="85">
        <v>70805</v>
      </c>
      <c r="B271" s="45" t="s">
        <v>304</v>
      </c>
      <c r="C271" s="46">
        <v>0.24343533611681778</v>
      </c>
      <c r="D271" s="47">
        <v>2.7487418436778606E-2</v>
      </c>
    </row>
    <row r="272" spans="1:4" ht="14.25" customHeight="1">
      <c r="A272" s="85">
        <v>31402</v>
      </c>
      <c r="B272" s="45" t="s">
        <v>183</v>
      </c>
      <c r="C272" s="46">
        <v>0.11554297413362828</v>
      </c>
      <c r="D272" s="47">
        <v>2.7237052440309818E-2</v>
      </c>
    </row>
    <row r="273" spans="1:4" ht="14.25" customHeight="1">
      <c r="A273" s="85">
        <v>70402</v>
      </c>
      <c r="B273" s="45" t="s">
        <v>284</v>
      </c>
      <c r="C273" s="46">
        <v>0.18193817412957933</v>
      </c>
      <c r="D273" s="47">
        <v>2.7211612852645301E-2</v>
      </c>
    </row>
    <row r="274" spans="1:4" ht="14.25" customHeight="1">
      <c r="A274" s="85">
        <v>71002</v>
      </c>
      <c r="B274" s="45" t="s">
        <v>310</v>
      </c>
      <c r="C274" s="46">
        <v>0.13892484822882589</v>
      </c>
      <c r="D274" s="47">
        <v>2.714385975692191E-2</v>
      </c>
    </row>
    <row r="275" spans="1:4" ht="14.25" customHeight="1">
      <c r="A275" s="85">
        <v>40603</v>
      </c>
      <c r="B275" s="45" t="s">
        <v>206</v>
      </c>
      <c r="C275" s="46">
        <v>0.11974811897295552</v>
      </c>
      <c r="D275" s="47">
        <v>2.6943587534152623E-2</v>
      </c>
    </row>
    <row r="276" spans="1:4" ht="14.25" customHeight="1">
      <c r="A276" s="85">
        <v>30702</v>
      </c>
      <c r="B276" s="45" t="s">
        <v>158</v>
      </c>
      <c r="C276" s="46">
        <v>0.14555416339025576</v>
      </c>
      <c r="D276" s="47">
        <v>2.6800598438484213E-2</v>
      </c>
    </row>
    <row r="277" spans="1:4" ht="14.25" customHeight="1">
      <c r="A277" s="85">
        <v>70902</v>
      </c>
      <c r="B277" s="45" t="s">
        <v>306</v>
      </c>
      <c r="C277" s="46">
        <v>0.14959755157577842</v>
      </c>
      <c r="D277" s="47">
        <v>2.6719412197675551E-2</v>
      </c>
    </row>
    <row r="278" spans="1:4" ht="14.25" customHeight="1">
      <c r="A278" s="85">
        <v>30501</v>
      </c>
      <c r="B278" s="45" t="s">
        <v>153</v>
      </c>
      <c r="C278" s="46">
        <v>0.12212297690201192</v>
      </c>
      <c r="D278" s="47">
        <v>2.6219488352461653E-2</v>
      </c>
    </row>
    <row r="279" spans="1:4" ht="14.25" customHeight="1">
      <c r="A279" s="85">
        <v>50901</v>
      </c>
      <c r="B279" s="45" t="s">
        <v>246</v>
      </c>
      <c r="C279" s="46">
        <v>0.21602606943323149</v>
      </c>
      <c r="D279" s="47">
        <v>2.5994163339523358E-2</v>
      </c>
    </row>
    <row r="280" spans="1:4" ht="14.25" customHeight="1">
      <c r="A280" s="85">
        <v>50203</v>
      </c>
      <c r="B280" s="45" t="s">
        <v>228</v>
      </c>
      <c r="C280" s="46">
        <v>0.11580874050512402</v>
      </c>
      <c r="D280" s="47">
        <v>2.5776349416418865E-2</v>
      </c>
    </row>
    <row r="281" spans="1:4" ht="14.25" customHeight="1">
      <c r="A281" s="85">
        <v>71302</v>
      </c>
      <c r="B281" s="45" t="s">
        <v>321</v>
      </c>
      <c r="C281" s="46">
        <v>0.15766082298128228</v>
      </c>
      <c r="D281" s="47">
        <v>2.5437321092466977E-2</v>
      </c>
    </row>
    <row r="282" spans="1:4" ht="14.25" customHeight="1">
      <c r="A282" s="85">
        <v>71105</v>
      </c>
      <c r="B282" s="45" t="s">
        <v>317</v>
      </c>
      <c r="C282" s="46">
        <v>0.18605395313097703</v>
      </c>
      <c r="D282" s="47">
        <v>2.474241443861265E-2</v>
      </c>
    </row>
    <row r="283" spans="1:4" ht="14.25" customHeight="1">
      <c r="A283" s="85">
        <v>51203</v>
      </c>
      <c r="B283" s="45" t="s">
        <v>256</v>
      </c>
      <c r="C283" s="46">
        <v>0.13173846021898339</v>
      </c>
      <c r="D283" s="47">
        <v>2.44071083836871E-2</v>
      </c>
    </row>
    <row r="284" spans="1:4" ht="14.25" customHeight="1">
      <c r="A284" s="85">
        <v>51601</v>
      </c>
      <c r="B284" s="45" t="s">
        <v>263</v>
      </c>
      <c r="C284" s="46">
        <v>0.23874056726260093</v>
      </c>
      <c r="D284" s="47">
        <v>2.4402148028942014E-2</v>
      </c>
    </row>
    <row r="285" spans="1:4" ht="14.25" customHeight="1">
      <c r="A285" s="85">
        <v>70701</v>
      </c>
      <c r="B285" s="45" t="s">
        <v>293</v>
      </c>
      <c r="C285" s="46">
        <v>0.25104016768072457</v>
      </c>
      <c r="D285" s="47">
        <v>2.3588912707803313E-2</v>
      </c>
    </row>
    <row r="286" spans="1:4" ht="14.25" customHeight="1">
      <c r="A286" s="85">
        <v>60502</v>
      </c>
      <c r="B286" s="45" t="s">
        <v>272</v>
      </c>
      <c r="C286" s="46">
        <v>0.13930757649632866</v>
      </c>
      <c r="D286" s="47">
        <v>2.3363332164041451E-2</v>
      </c>
    </row>
    <row r="287" spans="1:4" ht="14.25" customHeight="1">
      <c r="A287" s="85">
        <v>50801</v>
      </c>
      <c r="B287" s="45" t="s">
        <v>244</v>
      </c>
      <c r="C287" s="46">
        <v>0.13269847424701239</v>
      </c>
      <c r="D287" s="47">
        <v>2.331063573103186E-2</v>
      </c>
    </row>
    <row r="288" spans="1:4" ht="14.25" customHeight="1">
      <c r="A288" s="85">
        <v>70704</v>
      </c>
      <c r="B288" s="45" t="s">
        <v>296</v>
      </c>
      <c r="C288" s="46">
        <v>0.23935379541818069</v>
      </c>
      <c r="D288" s="47">
        <v>2.2691550495187989E-2</v>
      </c>
    </row>
    <row r="289" spans="1:4" ht="14.25" customHeight="1">
      <c r="A289" s="85">
        <v>60303</v>
      </c>
      <c r="B289" s="45" t="s">
        <v>268</v>
      </c>
      <c r="C289" s="46">
        <v>0.10024110105309608</v>
      </c>
      <c r="D289" s="47">
        <v>2.247675177164634E-2</v>
      </c>
    </row>
    <row r="290" spans="1:4" ht="14.25" customHeight="1">
      <c r="A290" s="85">
        <v>20607</v>
      </c>
      <c r="B290" s="45" t="s">
        <v>89</v>
      </c>
      <c r="C290" s="46">
        <v>0.11478833033183472</v>
      </c>
      <c r="D290" s="47">
        <v>2.2018785340031901E-2</v>
      </c>
    </row>
    <row r="291" spans="1:4" ht="14.25" customHeight="1">
      <c r="A291" s="85">
        <v>71005</v>
      </c>
      <c r="B291" s="45" t="s">
        <v>238</v>
      </c>
      <c r="C291" s="46">
        <v>0.11515593314185724</v>
      </c>
      <c r="D291" s="47">
        <v>2.181097761722078E-2</v>
      </c>
    </row>
    <row r="292" spans="1:4" ht="14.25" customHeight="1">
      <c r="A292" s="85">
        <v>70102</v>
      </c>
      <c r="B292" s="45" t="s">
        <v>274</v>
      </c>
      <c r="C292" s="46">
        <v>0.10105465024637168</v>
      </c>
      <c r="D292" s="47">
        <v>2.1693527843200635E-2</v>
      </c>
    </row>
    <row r="293" spans="1:4" ht="14.25" customHeight="1">
      <c r="A293" s="85">
        <v>20801</v>
      </c>
      <c r="B293" s="45" t="s">
        <v>93</v>
      </c>
      <c r="C293" s="46">
        <v>0.12702343070145902</v>
      </c>
      <c r="D293" s="47">
        <v>2.1674479957672962E-2</v>
      </c>
    </row>
    <row r="294" spans="1:4" ht="14.25" customHeight="1">
      <c r="A294" s="85">
        <v>30101</v>
      </c>
      <c r="B294" s="45" t="s">
        <v>16</v>
      </c>
      <c r="C294" s="46">
        <v>8.7622993134659544E-2</v>
      </c>
      <c r="D294" s="47">
        <v>2.1375627857183128E-2</v>
      </c>
    </row>
    <row r="295" spans="1:4" ht="14.25" customHeight="1">
      <c r="A295" s="85">
        <v>70503</v>
      </c>
      <c r="B295" s="45" t="s">
        <v>289</v>
      </c>
      <c r="C295" s="46">
        <v>9.380871768111082E-2</v>
      </c>
      <c r="D295" s="47">
        <v>2.1318451184561313E-2</v>
      </c>
    </row>
    <row r="296" spans="1:4" ht="14.25" customHeight="1">
      <c r="A296" s="85">
        <v>30904</v>
      </c>
      <c r="B296" s="45" t="s">
        <v>166</v>
      </c>
      <c r="C296" s="46">
        <v>0.10918735523994642</v>
      </c>
      <c r="D296" s="47">
        <v>2.1228603432426722E-2</v>
      </c>
    </row>
    <row r="297" spans="1:4" ht="14.25" customHeight="1">
      <c r="A297" s="85">
        <v>51501</v>
      </c>
      <c r="B297" s="45" t="s">
        <v>262</v>
      </c>
      <c r="C297" s="46">
        <v>0.11227866524316529</v>
      </c>
      <c r="D297" s="47">
        <v>2.1100755005964162E-2</v>
      </c>
    </row>
    <row r="298" spans="1:4" ht="14.25" customHeight="1">
      <c r="A298" s="85">
        <v>71104</v>
      </c>
      <c r="B298" s="45" t="s">
        <v>316</v>
      </c>
      <c r="C298" s="46">
        <v>0.1518839424116408</v>
      </c>
      <c r="D298" s="47">
        <v>2.104754836707165E-2</v>
      </c>
    </row>
    <row r="299" spans="1:4" ht="14.25" customHeight="1">
      <c r="A299" s="85">
        <v>31404</v>
      </c>
      <c r="B299" s="45" t="s">
        <v>185</v>
      </c>
      <c r="C299" s="46">
        <v>0.19478738540208632</v>
      </c>
      <c r="D299" s="47">
        <v>2.097417274707937E-2</v>
      </c>
    </row>
    <row r="300" spans="1:4" ht="14.25" customHeight="1">
      <c r="A300" s="85">
        <v>70401</v>
      </c>
      <c r="B300" s="45" t="s">
        <v>283</v>
      </c>
      <c r="C300" s="46">
        <v>0.13495546156874111</v>
      </c>
      <c r="D300" s="47">
        <v>2.0916744194693075E-2</v>
      </c>
    </row>
    <row r="301" spans="1:4" ht="14.25" customHeight="1">
      <c r="A301" s="85">
        <v>20206</v>
      </c>
      <c r="B301" s="45" t="s">
        <v>66</v>
      </c>
      <c r="C301" s="46">
        <v>0.14894833475228691</v>
      </c>
      <c r="D301" s="47">
        <v>2.0836092878013177E-2</v>
      </c>
    </row>
    <row r="302" spans="1:4" ht="14.25" customHeight="1">
      <c r="A302" s="85">
        <v>40702</v>
      </c>
      <c r="B302" s="45" t="s">
        <v>208</v>
      </c>
      <c r="C302" s="46">
        <v>9.8406003314986001E-2</v>
      </c>
      <c r="D302" s="47">
        <v>2.0295102246717458E-2</v>
      </c>
    </row>
    <row r="303" spans="1:4" ht="14.25" customHeight="1">
      <c r="A303" s="85">
        <v>21103</v>
      </c>
      <c r="B303" s="45" t="s">
        <v>113</v>
      </c>
      <c r="C303" s="46">
        <v>0.10869019699816244</v>
      </c>
      <c r="D303" s="47">
        <v>2.0252444030977364E-2</v>
      </c>
    </row>
    <row r="304" spans="1:4" ht="14.25" customHeight="1">
      <c r="A304" s="85">
        <v>21402</v>
      </c>
      <c r="B304" s="45" t="s">
        <v>128</v>
      </c>
      <c r="C304" s="46">
        <v>8.6414601541842329E-2</v>
      </c>
      <c r="D304" s="47">
        <v>2.0163245259925053E-2</v>
      </c>
    </row>
    <row r="305" spans="1:4" ht="14.25" customHeight="1">
      <c r="A305" s="85">
        <v>70603</v>
      </c>
      <c r="B305" s="45" t="s">
        <v>292</v>
      </c>
      <c r="C305" s="46">
        <v>0.13324428459084836</v>
      </c>
      <c r="D305" s="47">
        <v>2.0130851083384967E-2</v>
      </c>
    </row>
    <row r="306" spans="1:4" ht="14.25" customHeight="1">
      <c r="A306" s="85">
        <v>71106</v>
      </c>
      <c r="B306" s="45" t="s">
        <v>318</v>
      </c>
      <c r="C306" s="46">
        <v>0.11718136671525776</v>
      </c>
      <c r="D306" s="47">
        <v>1.9913444399942581E-2</v>
      </c>
    </row>
    <row r="307" spans="1:4" ht="14.25" customHeight="1">
      <c r="A307" s="85">
        <v>71003</v>
      </c>
      <c r="B307" s="45" t="s">
        <v>311</v>
      </c>
      <c r="C307" s="46">
        <v>0.14927901677210928</v>
      </c>
      <c r="D307" s="47">
        <v>1.9789366115873435E-2</v>
      </c>
    </row>
    <row r="308" spans="1:4" ht="14.25" customHeight="1">
      <c r="A308" s="85">
        <v>31001</v>
      </c>
      <c r="B308" s="45" t="s">
        <v>168</v>
      </c>
      <c r="C308" s="46">
        <v>9.5543801171037293E-2</v>
      </c>
      <c r="D308" s="47">
        <v>1.9667848234076593E-2</v>
      </c>
    </row>
    <row r="309" spans="1:4" ht="14.25" customHeight="1">
      <c r="A309" s="85">
        <v>71402</v>
      </c>
      <c r="B309" s="45" t="s">
        <v>323</v>
      </c>
      <c r="C309" s="46">
        <v>0.10468343208628449</v>
      </c>
      <c r="D309" s="47">
        <v>1.9508156919801373E-2</v>
      </c>
    </row>
    <row r="310" spans="1:4" ht="14.25" customHeight="1">
      <c r="A310" s="85">
        <v>21101</v>
      </c>
      <c r="B310" s="45" t="s">
        <v>111</v>
      </c>
      <c r="C310" s="46">
        <v>0.1143446407536101</v>
      </c>
      <c r="D310" s="47">
        <v>1.949242491061887E-2</v>
      </c>
    </row>
    <row r="311" spans="1:4" ht="14.25" customHeight="1">
      <c r="A311" s="85">
        <v>90101</v>
      </c>
      <c r="B311" s="45" t="s">
        <v>343</v>
      </c>
      <c r="C311" s="46">
        <v>0.11237211904187175</v>
      </c>
      <c r="D311" s="47">
        <v>1.9217761827537622E-2</v>
      </c>
    </row>
    <row r="312" spans="1:4" ht="14.25" customHeight="1">
      <c r="A312" s="85">
        <v>31401</v>
      </c>
      <c r="B312" s="45" t="s">
        <v>182</v>
      </c>
      <c r="C312" s="46">
        <v>5.9130914578908594E-2</v>
      </c>
      <c r="D312" s="47">
        <v>1.8935996248311202E-2</v>
      </c>
    </row>
    <row r="313" spans="1:4" ht="14.25" customHeight="1">
      <c r="A313" s="85">
        <v>60302</v>
      </c>
      <c r="B313" s="45" t="s">
        <v>267</v>
      </c>
      <c r="C313" s="46">
        <v>7.3948866321021225E-2</v>
      </c>
      <c r="D313" s="47">
        <v>1.8104459942618271E-2</v>
      </c>
    </row>
    <row r="314" spans="1:4" ht="14.25" customHeight="1">
      <c r="A314" s="85">
        <v>70105</v>
      </c>
      <c r="B314" s="45" t="s">
        <v>277</v>
      </c>
      <c r="C314" s="46">
        <v>0.12870693369673192</v>
      </c>
      <c r="D314" s="47">
        <v>1.8066765521397042E-2</v>
      </c>
    </row>
    <row r="315" spans="1:4" ht="14.25" customHeight="1">
      <c r="A315" s="85">
        <v>50802</v>
      </c>
      <c r="B315" s="45" t="s">
        <v>245</v>
      </c>
      <c r="C315" s="46">
        <v>8.3246927008319094E-2</v>
      </c>
      <c r="D315" s="47">
        <v>1.7899216271513235E-2</v>
      </c>
    </row>
    <row r="316" spans="1:4" ht="14.25" customHeight="1">
      <c r="A316" s="85">
        <v>60301</v>
      </c>
      <c r="B316" s="45" t="s">
        <v>266</v>
      </c>
      <c r="C316" s="46">
        <v>7.3010202669074695E-2</v>
      </c>
      <c r="D316" s="47">
        <v>1.7687581030481261E-2</v>
      </c>
    </row>
    <row r="317" spans="1:4" ht="14.25" customHeight="1">
      <c r="A317" s="85">
        <v>31403</v>
      </c>
      <c r="B317" s="45" t="s">
        <v>184</v>
      </c>
      <c r="C317" s="46">
        <v>9.3049124916287682E-2</v>
      </c>
      <c r="D317" s="47">
        <v>1.7631812740352856E-2</v>
      </c>
    </row>
    <row r="318" spans="1:4" ht="14.25" customHeight="1">
      <c r="A318" s="85">
        <v>71401</v>
      </c>
      <c r="B318" s="45" t="s">
        <v>322</v>
      </c>
      <c r="C318" s="46">
        <v>9.2823663750093016E-2</v>
      </c>
      <c r="D318" s="47">
        <v>1.6901967643854859E-2</v>
      </c>
    </row>
    <row r="319" spans="1:4" ht="14.25" customHeight="1">
      <c r="A319" s="85">
        <v>70201</v>
      </c>
      <c r="B319" s="45" t="s">
        <v>278</v>
      </c>
      <c r="C319" s="46">
        <v>0.10296420505394388</v>
      </c>
      <c r="D319" s="47">
        <v>1.6759539704642272E-2</v>
      </c>
    </row>
    <row r="320" spans="1:4" ht="14.25" customHeight="1">
      <c r="A320" s="85">
        <v>51401</v>
      </c>
      <c r="B320" s="45" t="s">
        <v>260</v>
      </c>
      <c r="C320" s="46">
        <v>0.2368883371278363</v>
      </c>
      <c r="D320" s="47">
        <v>1.6602179302819483E-2</v>
      </c>
    </row>
    <row r="321" spans="1:4" ht="14.25" customHeight="1">
      <c r="A321" s="85">
        <v>71001</v>
      </c>
      <c r="B321" s="45" t="s">
        <v>309</v>
      </c>
      <c r="C321" s="46">
        <v>8.3881338436376573E-2</v>
      </c>
      <c r="D321" s="47">
        <v>1.5256994390341847E-2</v>
      </c>
    </row>
    <row r="322" spans="1:4" ht="14.25" customHeight="1">
      <c r="A322" s="85">
        <v>70801</v>
      </c>
      <c r="B322" s="45" t="s">
        <v>300</v>
      </c>
      <c r="C322" s="46">
        <v>0.14101241406024029</v>
      </c>
      <c r="D322" s="47">
        <v>1.5226484433288967E-2</v>
      </c>
    </row>
    <row r="323" spans="1:4" ht="14.25" customHeight="1">
      <c r="A323" s="85">
        <v>30903</v>
      </c>
      <c r="B323" s="45" t="s">
        <v>165</v>
      </c>
      <c r="C323" s="46">
        <v>9.9644497503547313E-2</v>
      </c>
      <c r="D323" s="47">
        <v>1.4913901195190472E-2</v>
      </c>
    </row>
    <row r="324" spans="1:4" ht="14.25" customHeight="1">
      <c r="A324" s="85">
        <v>30901</v>
      </c>
      <c r="B324" s="45" t="s">
        <v>163</v>
      </c>
      <c r="C324" s="46">
        <v>6.4104815650105951E-2</v>
      </c>
      <c r="D324" s="47">
        <v>1.4281321450405782E-2</v>
      </c>
    </row>
    <row r="325" spans="1:4" ht="14.25" customHeight="1">
      <c r="A325" s="85">
        <v>20804</v>
      </c>
      <c r="B325" s="45" t="s">
        <v>96</v>
      </c>
      <c r="C325" s="46">
        <v>0.10044918546372303</v>
      </c>
      <c r="D325" s="47">
        <v>1.3640202444637465E-2</v>
      </c>
    </row>
    <row r="326" spans="1:4" ht="14.25" customHeight="1">
      <c r="A326" s="85">
        <v>10101</v>
      </c>
      <c r="B326" s="45" t="s">
        <v>11</v>
      </c>
      <c r="C326" s="46">
        <v>7.063020638551426E-2</v>
      </c>
      <c r="D326" s="47">
        <v>1.3534304796142893E-2</v>
      </c>
    </row>
    <row r="327" spans="1:4" ht="14.25" customHeight="1">
      <c r="A327" s="85">
        <v>70103</v>
      </c>
      <c r="B327" s="45" t="s">
        <v>275</v>
      </c>
      <c r="C327" s="46">
        <v>0.13210476032709401</v>
      </c>
      <c r="D327" s="47">
        <v>1.3449041061964165E-2</v>
      </c>
    </row>
    <row r="328" spans="1:4" ht="14.25" customHeight="1">
      <c r="A328" s="85">
        <v>70601</v>
      </c>
      <c r="B328" s="45" t="s">
        <v>290</v>
      </c>
      <c r="C328" s="46">
        <v>9.0687493576546249E-2</v>
      </c>
      <c r="D328" s="47">
        <v>1.2911945124327461E-2</v>
      </c>
    </row>
    <row r="329" spans="1:4" ht="14.25" customHeight="1">
      <c r="A329" s="85">
        <v>70202</v>
      </c>
      <c r="B329" s="45" t="s">
        <v>279</v>
      </c>
      <c r="C329" s="46">
        <v>0.1078096942249876</v>
      </c>
      <c r="D329" s="47">
        <v>1.2811464340900204E-2</v>
      </c>
    </row>
    <row r="330" spans="1:4" ht="14.25" customHeight="1">
      <c r="A330" s="85">
        <v>70706</v>
      </c>
      <c r="B330" s="45" t="s">
        <v>298</v>
      </c>
      <c r="C330" s="46">
        <v>6.685487798625861E-2</v>
      </c>
      <c r="D330" s="47">
        <v>1.2645331754910779E-2</v>
      </c>
    </row>
    <row r="331" spans="1:4" ht="14.25" customHeight="1">
      <c r="A331" s="85">
        <v>50101</v>
      </c>
      <c r="B331" s="45" t="s">
        <v>20</v>
      </c>
      <c r="C331" s="46">
        <v>5.1293606113623796E-2</v>
      </c>
      <c r="D331" s="47">
        <v>1.2494685172518866E-2</v>
      </c>
    </row>
    <row r="332" spans="1:4" ht="14.25" customHeight="1">
      <c r="A332" s="85">
        <v>40701</v>
      </c>
      <c r="B332" s="45" t="s">
        <v>207</v>
      </c>
      <c r="C332" s="46">
        <v>7.4412726526128195E-2</v>
      </c>
      <c r="D332" s="47">
        <v>1.1679341980988221E-2</v>
      </c>
    </row>
    <row r="333" spans="1:4" ht="14.25" customHeight="1">
      <c r="A333" s="85">
        <v>70104</v>
      </c>
      <c r="B333" s="45" t="s">
        <v>276</v>
      </c>
      <c r="C333" s="46">
        <v>9.1974367595470619E-2</v>
      </c>
      <c r="D333" s="47">
        <v>1.1412439184156796E-2</v>
      </c>
    </row>
    <row r="334" spans="1:4" ht="14.25" customHeight="1">
      <c r="A334" s="85">
        <v>60202</v>
      </c>
      <c r="B334" s="45" t="s">
        <v>265</v>
      </c>
      <c r="C334" s="46">
        <v>5.2998507898869986E-2</v>
      </c>
      <c r="D334" s="47">
        <v>1.0825220068651234E-2</v>
      </c>
    </row>
    <row r="335" spans="1:4" ht="14.25" customHeight="1">
      <c r="A335" s="85">
        <v>40504</v>
      </c>
      <c r="B335" s="45" t="s">
        <v>202</v>
      </c>
      <c r="C335" s="46">
        <v>0.25449426655183754</v>
      </c>
      <c r="D335" s="47">
        <v>1.0666666984558105E-2</v>
      </c>
    </row>
    <row r="336" spans="1:4" ht="14.25" customHeight="1">
      <c r="A336" s="85">
        <v>60101</v>
      </c>
      <c r="B336" s="45" t="s">
        <v>22</v>
      </c>
      <c r="C336" s="46">
        <v>4.5239228734723448E-2</v>
      </c>
      <c r="D336" s="47">
        <v>1.0205449629477803E-2</v>
      </c>
    </row>
    <row r="337" spans="1:4" ht="14.25" customHeight="1">
      <c r="A337" s="85">
        <v>40501</v>
      </c>
      <c r="B337" s="45" t="s">
        <v>199</v>
      </c>
      <c r="C337" s="46">
        <v>2.5987007137181339E-2</v>
      </c>
      <c r="D337" s="47">
        <v>8.4206204726634953E-3</v>
      </c>
    </row>
    <row r="338" spans="1:4" ht="14.25" customHeight="1">
      <c r="A338" s="85">
        <v>40101</v>
      </c>
      <c r="B338" s="45" t="s">
        <v>18</v>
      </c>
      <c r="C338" s="46">
        <v>4.6345273563571543E-2</v>
      </c>
      <c r="D338" s="47">
        <v>7.4208927273082875E-3</v>
      </c>
    </row>
    <row r="339" spans="1:4" ht="14.25" customHeight="1">
      <c r="A339" s="85">
        <v>30801</v>
      </c>
      <c r="B339" s="45" t="s">
        <v>160</v>
      </c>
      <c r="C339" s="46">
        <v>5.8842747222025669E-2</v>
      </c>
      <c r="D339" s="47">
        <v>7.4049480646048568E-3</v>
      </c>
    </row>
    <row r="340" spans="1:4" ht="14.25" customHeight="1">
      <c r="A340" s="85">
        <v>70101</v>
      </c>
      <c r="B340" s="45" t="s">
        <v>273</v>
      </c>
      <c r="C340" s="46">
        <v>5.1061883507701147E-2</v>
      </c>
      <c r="D340" s="47">
        <v>5.9381945717203949E-3</v>
      </c>
    </row>
    <row r="341" spans="1:4" ht="14.25" customHeight="1">
      <c r="A341" s="85">
        <v>70802</v>
      </c>
      <c r="B341" s="45" t="s">
        <v>301</v>
      </c>
      <c r="C341" s="46">
        <v>9.5490293041926244E-2</v>
      </c>
      <c r="D341" s="47">
        <v>5.6593097075946465E-3</v>
      </c>
    </row>
    <row r="342" spans="1:4" ht="14.25" customHeight="1">
      <c r="A342" s="85">
        <v>20105</v>
      </c>
      <c r="B342" s="45" t="s">
        <v>60</v>
      </c>
      <c r="C342" s="46">
        <v>5.3281489826848286E-2</v>
      </c>
      <c r="D342" s="47">
        <v>5.5888749659766136E-3</v>
      </c>
    </row>
    <row r="343" spans="1:4" ht="14.25" customHeight="1">
      <c r="A343" s="85">
        <v>30905</v>
      </c>
      <c r="B343" s="45" t="s">
        <v>167</v>
      </c>
      <c r="C343" s="46">
        <v>3.9015223827265244E-2</v>
      </c>
      <c r="D343" s="47">
        <v>5.4117815209096965E-3</v>
      </c>
    </row>
    <row r="344" spans="1:4" ht="14.25" customHeight="1">
      <c r="A344" s="85">
        <v>20101</v>
      </c>
      <c r="B344" s="45" t="s">
        <v>56</v>
      </c>
      <c r="C344" s="46">
        <v>1.7618269886789304E-2</v>
      </c>
      <c r="D344" s="47">
        <v>2.6261830068218641E-3</v>
      </c>
    </row>
    <row r="345" spans="1:4" ht="14.25" customHeight="1"/>
    <row r="346" spans="1:4" ht="14.25" customHeight="1">
      <c r="A346" s="79"/>
      <c r="B346" s="48"/>
      <c r="C346" s="49"/>
      <c r="D346" s="49"/>
    </row>
    <row r="347" spans="1:4" ht="14.25" customHeight="1">
      <c r="A347" s="79"/>
      <c r="B347" s="48"/>
      <c r="C347" s="49"/>
      <c r="D347" s="49"/>
    </row>
    <row r="348" spans="1:4" ht="14.25" customHeight="1">
      <c r="A348" s="79"/>
      <c r="B348" s="48"/>
      <c r="C348" s="49"/>
      <c r="D348" s="49"/>
    </row>
    <row r="349" spans="1:4" ht="14.25" customHeight="1">
      <c r="A349" s="79"/>
      <c r="B349" s="48"/>
      <c r="C349" s="49"/>
      <c r="D349" s="49"/>
    </row>
    <row r="350" spans="1:4" ht="14.25" customHeight="1">
      <c r="A350" s="79"/>
      <c r="B350" s="48"/>
      <c r="C350" s="49"/>
      <c r="D350" s="49"/>
    </row>
    <row r="351" spans="1:4" ht="14.25" customHeight="1">
      <c r="A351" s="79"/>
      <c r="B351" s="48"/>
      <c r="C351" s="49"/>
      <c r="D351" s="49"/>
    </row>
    <row r="352" spans="1:4" ht="14.25" customHeight="1">
      <c r="A352" s="79"/>
      <c r="B352" s="48"/>
      <c r="C352" s="49"/>
      <c r="D352" s="49"/>
    </row>
    <row r="353" spans="1:4" ht="14.25" customHeight="1">
      <c r="A353" s="79"/>
      <c r="B353" s="48"/>
      <c r="C353" s="49"/>
      <c r="D353" s="49"/>
    </row>
    <row r="354" spans="1:4" ht="14.25" customHeight="1">
      <c r="A354" s="79"/>
      <c r="B354" s="48"/>
      <c r="C354" s="49"/>
      <c r="D354" s="49"/>
    </row>
    <row r="355" spans="1:4" ht="14.25" customHeight="1">
      <c r="A355" s="79"/>
      <c r="B355" s="48"/>
      <c r="C355" s="49"/>
      <c r="D355" s="49"/>
    </row>
    <row r="356" spans="1:4" ht="14.25" customHeight="1">
      <c r="A356" s="79"/>
      <c r="B356" s="48"/>
      <c r="C356" s="49"/>
      <c r="D356" s="49"/>
    </row>
    <row r="357" spans="1:4" ht="14.25" customHeight="1">
      <c r="A357" s="79"/>
      <c r="B357" s="48"/>
      <c r="C357" s="49"/>
      <c r="D357" s="49"/>
    </row>
    <row r="358" spans="1:4" ht="14.25" customHeight="1">
      <c r="A358" s="79"/>
      <c r="B358" s="48"/>
      <c r="C358" s="49"/>
      <c r="D358" s="49"/>
    </row>
    <row r="359" spans="1:4" ht="14.25" customHeight="1">
      <c r="A359" s="79"/>
      <c r="B359" s="48"/>
      <c r="C359" s="49"/>
      <c r="D359" s="49"/>
    </row>
    <row r="360" spans="1:4" ht="14.25" customHeight="1">
      <c r="A360" s="79"/>
      <c r="B360" s="48"/>
      <c r="C360" s="49"/>
      <c r="D360" s="49"/>
    </row>
    <row r="361" spans="1:4" ht="14.25" customHeight="1">
      <c r="A361" s="79"/>
      <c r="B361" s="48"/>
      <c r="C361" s="49"/>
      <c r="D361" s="49"/>
    </row>
    <row r="362" spans="1:4" ht="14.25" customHeight="1">
      <c r="A362" s="79"/>
      <c r="B362" s="48"/>
      <c r="C362" s="49"/>
      <c r="D362" s="49"/>
    </row>
    <row r="363" spans="1:4" ht="14.25" customHeight="1">
      <c r="A363" s="79"/>
      <c r="B363" s="48"/>
      <c r="C363" s="49"/>
      <c r="D363" s="49"/>
    </row>
    <row r="364" spans="1:4" ht="14.25" customHeight="1">
      <c r="A364" s="79"/>
      <c r="B364" s="48"/>
      <c r="C364" s="49"/>
      <c r="D364" s="49"/>
    </row>
    <row r="365" spans="1:4" ht="14.25" customHeight="1">
      <c r="A365" s="79"/>
      <c r="B365" s="48"/>
      <c r="C365" s="49"/>
      <c r="D365" s="49"/>
    </row>
    <row r="366" spans="1:4" ht="14.25" customHeight="1">
      <c r="A366" s="79"/>
      <c r="B366" s="48"/>
      <c r="C366" s="49"/>
      <c r="D366" s="49"/>
    </row>
    <row r="367" spans="1:4" ht="14.25" customHeight="1">
      <c r="A367" s="79"/>
      <c r="B367" s="48"/>
      <c r="C367" s="49"/>
      <c r="D367" s="49"/>
    </row>
    <row r="368" spans="1:4" ht="14.25" customHeight="1">
      <c r="A368" s="79"/>
      <c r="B368" s="48"/>
      <c r="C368" s="49"/>
      <c r="D368" s="49"/>
    </row>
    <row r="369" spans="1:4" ht="14.25" customHeight="1">
      <c r="A369" s="79"/>
      <c r="B369" s="48"/>
      <c r="C369" s="49"/>
      <c r="D369" s="49"/>
    </row>
    <row r="370" spans="1:4" ht="14.25" customHeight="1">
      <c r="A370" s="79"/>
      <c r="B370" s="48"/>
      <c r="C370" s="49"/>
      <c r="D370" s="49"/>
    </row>
    <row r="371" spans="1:4" ht="14.25" customHeight="1">
      <c r="A371" s="79"/>
      <c r="B371" s="48"/>
      <c r="C371" s="49"/>
      <c r="D371" s="49"/>
    </row>
    <row r="372" spans="1:4" ht="14.25" customHeight="1">
      <c r="A372" s="79"/>
      <c r="B372" s="48"/>
      <c r="C372" s="49"/>
      <c r="D372" s="49"/>
    </row>
    <row r="373" spans="1:4" ht="14.25" customHeight="1">
      <c r="A373" s="79"/>
      <c r="B373" s="48"/>
      <c r="C373" s="49"/>
      <c r="D373" s="49"/>
    </row>
    <row r="374" spans="1:4" ht="14.25" customHeight="1">
      <c r="A374" s="79"/>
      <c r="B374" s="48"/>
      <c r="C374" s="49"/>
      <c r="D374" s="49"/>
    </row>
    <row r="375" spans="1:4" ht="14.25" customHeight="1">
      <c r="A375" s="79"/>
      <c r="B375" s="48"/>
      <c r="C375" s="49"/>
      <c r="D375" s="49"/>
    </row>
    <row r="376" spans="1:4" ht="14.25" customHeight="1">
      <c r="A376" s="79"/>
      <c r="B376" s="48"/>
      <c r="C376" s="49"/>
      <c r="D376" s="49"/>
    </row>
    <row r="377" spans="1:4" ht="14.25" customHeight="1">
      <c r="A377" s="79"/>
      <c r="B377" s="48"/>
      <c r="C377" s="49"/>
      <c r="D377" s="49"/>
    </row>
    <row r="378" spans="1:4" ht="14.25" customHeight="1">
      <c r="A378" s="79"/>
      <c r="B378" s="48"/>
      <c r="C378" s="49"/>
      <c r="D378" s="49"/>
    </row>
    <row r="379" spans="1:4" ht="14.25" customHeight="1">
      <c r="A379" s="79"/>
      <c r="B379" s="48"/>
      <c r="C379" s="49"/>
      <c r="D379" s="49"/>
    </row>
    <row r="380" spans="1:4" ht="14.25" customHeight="1">
      <c r="A380" s="79"/>
      <c r="B380" s="48"/>
      <c r="C380" s="49"/>
      <c r="D380" s="49"/>
    </row>
    <row r="381" spans="1:4" ht="14.25" customHeight="1">
      <c r="A381" s="79"/>
      <c r="B381" s="48"/>
      <c r="C381" s="49"/>
      <c r="D381" s="49"/>
    </row>
    <row r="382" spans="1:4" ht="14.25" customHeight="1">
      <c r="A382" s="79"/>
      <c r="B382" s="48"/>
      <c r="C382" s="49"/>
      <c r="D382" s="49"/>
    </row>
    <row r="383" spans="1:4" ht="14.25" customHeight="1">
      <c r="A383" s="79"/>
      <c r="B383" s="48"/>
      <c r="C383" s="49"/>
      <c r="D383" s="49"/>
    </row>
    <row r="384" spans="1:4" ht="14.25" customHeight="1">
      <c r="A384" s="79"/>
      <c r="B384" s="48"/>
      <c r="C384" s="49"/>
      <c r="D384" s="49"/>
    </row>
    <row r="385" spans="1:4" ht="14.25" customHeight="1">
      <c r="A385" s="79"/>
      <c r="B385" s="48"/>
      <c r="C385" s="49"/>
      <c r="D385" s="49"/>
    </row>
    <row r="386" spans="1:4" ht="14.25" customHeight="1">
      <c r="A386" s="79"/>
      <c r="B386" s="48"/>
      <c r="C386" s="49"/>
      <c r="D386" s="49"/>
    </row>
    <row r="387" spans="1:4" ht="14.25" customHeight="1">
      <c r="A387" s="79"/>
      <c r="B387" s="48"/>
      <c r="C387" s="49"/>
      <c r="D387" s="49"/>
    </row>
    <row r="388" spans="1:4" ht="14.25" customHeight="1">
      <c r="A388" s="79"/>
      <c r="B388" s="48"/>
      <c r="C388" s="49"/>
      <c r="D388" s="49"/>
    </row>
    <row r="389" spans="1:4" ht="14.25" customHeight="1">
      <c r="A389" s="79"/>
      <c r="B389" s="48"/>
      <c r="C389" s="49"/>
      <c r="D389" s="49"/>
    </row>
    <row r="390" spans="1:4" ht="14.25" customHeight="1">
      <c r="A390" s="79"/>
      <c r="B390" s="48"/>
      <c r="C390" s="49"/>
      <c r="D390" s="49"/>
    </row>
    <row r="391" spans="1:4" ht="14.25" customHeight="1">
      <c r="A391" s="79"/>
      <c r="B391" s="48"/>
      <c r="C391" s="49"/>
      <c r="D391" s="49"/>
    </row>
    <row r="392" spans="1:4" ht="14.25" customHeight="1">
      <c r="A392" s="79"/>
      <c r="B392" s="48"/>
      <c r="C392" s="49"/>
      <c r="D392" s="49"/>
    </row>
    <row r="393" spans="1:4" ht="14.25" customHeight="1">
      <c r="A393" s="79"/>
      <c r="B393" s="48"/>
      <c r="C393" s="49"/>
      <c r="D393" s="49"/>
    </row>
    <row r="394" spans="1:4" ht="14.25" customHeight="1">
      <c r="A394" s="79"/>
      <c r="B394" s="48"/>
      <c r="C394" s="49"/>
      <c r="D394" s="49"/>
    </row>
    <row r="395" spans="1:4" ht="14.25" customHeight="1">
      <c r="A395" s="79"/>
      <c r="B395" s="48"/>
      <c r="C395" s="49"/>
      <c r="D395" s="49"/>
    </row>
    <row r="396" spans="1:4" ht="14.25" customHeight="1">
      <c r="A396" s="79"/>
      <c r="B396" s="48"/>
      <c r="C396" s="49"/>
      <c r="D396" s="49"/>
    </row>
    <row r="397" spans="1:4" ht="14.25" customHeight="1">
      <c r="A397" s="79"/>
      <c r="B397" s="48"/>
      <c r="C397" s="49"/>
      <c r="D397" s="49"/>
    </row>
    <row r="398" spans="1:4" ht="14.25" customHeight="1">
      <c r="A398" s="79"/>
      <c r="B398" s="48"/>
      <c r="C398" s="49"/>
      <c r="D398" s="49"/>
    </row>
    <row r="399" spans="1:4" ht="14.25" customHeight="1">
      <c r="A399" s="79"/>
      <c r="B399" s="48"/>
      <c r="C399" s="49"/>
      <c r="D399" s="49"/>
    </row>
    <row r="400" spans="1:4" ht="14.25" customHeight="1">
      <c r="A400" s="79"/>
      <c r="B400" s="48"/>
      <c r="C400" s="49"/>
      <c r="D400" s="49"/>
    </row>
    <row r="401" spans="1:4" ht="14.25" customHeight="1">
      <c r="A401" s="79"/>
      <c r="B401" s="48"/>
      <c r="C401" s="49"/>
      <c r="D401" s="49"/>
    </row>
    <row r="402" spans="1:4" ht="14.25" customHeight="1">
      <c r="A402" s="79"/>
      <c r="B402" s="48"/>
      <c r="C402" s="49"/>
      <c r="D402" s="49"/>
    </row>
    <row r="403" spans="1:4" ht="14.25" customHeight="1">
      <c r="A403" s="79"/>
      <c r="B403" s="48"/>
      <c r="C403" s="49"/>
      <c r="D403" s="49"/>
    </row>
    <row r="404" spans="1:4" ht="14.25" customHeight="1">
      <c r="A404" s="79"/>
      <c r="B404" s="48"/>
      <c r="C404" s="49"/>
      <c r="D404" s="49"/>
    </row>
    <row r="405" spans="1:4" ht="14.25" customHeight="1">
      <c r="A405" s="79"/>
      <c r="B405" s="48"/>
      <c r="C405" s="49"/>
      <c r="D405" s="49"/>
    </row>
    <row r="406" spans="1:4" ht="14.25" customHeight="1">
      <c r="A406" s="79"/>
      <c r="B406" s="48"/>
      <c r="C406" s="49"/>
      <c r="D406" s="49"/>
    </row>
    <row r="407" spans="1:4" ht="14.25" customHeight="1">
      <c r="A407" s="79"/>
      <c r="B407" s="48"/>
      <c r="C407" s="49"/>
      <c r="D407" s="49"/>
    </row>
    <row r="408" spans="1:4" ht="14.25" customHeight="1">
      <c r="A408" s="79"/>
      <c r="B408" s="48"/>
      <c r="C408" s="49"/>
      <c r="D408" s="49"/>
    </row>
    <row r="409" spans="1:4" ht="14.25" customHeight="1">
      <c r="A409" s="79"/>
      <c r="B409" s="48"/>
      <c r="C409" s="49"/>
      <c r="D409" s="49"/>
    </row>
    <row r="410" spans="1:4" ht="14.25" customHeight="1">
      <c r="A410" s="79"/>
      <c r="B410" s="48"/>
      <c r="C410" s="49"/>
      <c r="D410" s="49"/>
    </row>
    <row r="411" spans="1:4" ht="14.25" customHeight="1">
      <c r="A411" s="79"/>
      <c r="B411" s="48"/>
      <c r="C411" s="49"/>
      <c r="D411" s="49"/>
    </row>
    <row r="412" spans="1:4" ht="14.25" customHeight="1">
      <c r="A412" s="79"/>
      <c r="B412" s="48"/>
      <c r="C412" s="49"/>
      <c r="D412" s="49"/>
    </row>
    <row r="413" spans="1:4" ht="14.25" customHeight="1">
      <c r="A413" s="79"/>
      <c r="B413" s="48"/>
      <c r="C413" s="49"/>
      <c r="D413" s="49"/>
    </row>
    <row r="414" spans="1:4" ht="14.25" customHeight="1">
      <c r="A414" s="79"/>
      <c r="B414" s="48"/>
      <c r="C414" s="49"/>
      <c r="D414" s="49"/>
    </row>
    <row r="415" spans="1:4" ht="14.25" customHeight="1">
      <c r="A415" s="79"/>
      <c r="B415" s="48"/>
      <c r="C415" s="49"/>
      <c r="D415" s="49"/>
    </row>
    <row r="416" spans="1:4" ht="14.25" customHeight="1">
      <c r="A416" s="79"/>
      <c r="B416" s="48"/>
      <c r="C416" s="49"/>
      <c r="D416" s="49"/>
    </row>
    <row r="417" spans="1:4" ht="14.25" customHeight="1">
      <c r="A417" s="79"/>
      <c r="B417" s="48"/>
      <c r="C417" s="49"/>
      <c r="D417" s="49"/>
    </row>
    <row r="418" spans="1:4" ht="14.25" customHeight="1">
      <c r="A418" s="79"/>
      <c r="B418" s="48"/>
      <c r="C418" s="49"/>
      <c r="D418" s="49"/>
    </row>
    <row r="419" spans="1:4" ht="14.25" customHeight="1">
      <c r="A419" s="79"/>
      <c r="B419" s="48"/>
      <c r="C419" s="49"/>
      <c r="D419" s="49"/>
    </row>
    <row r="420" spans="1:4" ht="14.25" customHeight="1">
      <c r="A420" s="79"/>
      <c r="B420" s="48"/>
      <c r="C420" s="49"/>
      <c r="D420" s="49"/>
    </row>
    <row r="421" spans="1:4" ht="14.25" customHeight="1">
      <c r="A421" s="79"/>
      <c r="B421" s="48"/>
      <c r="C421" s="49"/>
      <c r="D421" s="49"/>
    </row>
    <row r="422" spans="1:4" ht="14.25" customHeight="1">
      <c r="A422" s="79"/>
      <c r="B422" s="48"/>
      <c r="C422" s="49"/>
      <c r="D422" s="49"/>
    </row>
    <row r="423" spans="1:4" ht="14.25" customHeight="1">
      <c r="A423" s="79"/>
      <c r="B423" s="48"/>
      <c r="C423" s="49"/>
      <c r="D423" s="49"/>
    </row>
    <row r="424" spans="1:4" ht="14.25" customHeight="1">
      <c r="A424" s="79"/>
      <c r="B424" s="48"/>
      <c r="C424" s="49"/>
      <c r="D424" s="49"/>
    </row>
    <row r="425" spans="1:4" ht="14.25" customHeight="1">
      <c r="A425" s="79"/>
      <c r="B425" s="48"/>
      <c r="C425" s="49"/>
      <c r="D425" s="49"/>
    </row>
    <row r="426" spans="1:4" ht="14.25" customHeight="1">
      <c r="A426" s="79"/>
      <c r="B426" s="48"/>
      <c r="C426" s="49"/>
      <c r="D426" s="49"/>
    </row>
    <row r="427" spans="1:4" ht="14.25" customHeight="1">
      <c r="A427" s="79"/>
      <c r="B427" s="48"/>
      <c r="C427" s="49"/>
      <c r="D427" s="49"/>
    </row>
    <row r="428" spans="1:4" ht="14.25" customHeight="1">
      <c r="A428" s="79"/>
      <c r="B428" s="48"/>
      <c r="C428" s="49"/>
      <c r="D428" s="49"/>
    </row>
    <row r="429" spans="1:4" ht="14.25" customHeight="1">
      <c r="A429" s="79"/>
      <c r="B429" s="48"/>
      <c r="C429" s="49"/>
      <c r="D429" s="49"/>
    </row>
    <row r="430" spans="1:4" ht="14.25" customHeight="1">
      <c r="A430" s="79"/>
      <c r="B430" s="48"/>
      <c r="C430" s="49"/>
      <c r="D430" s="49"/>
    </row>
    <row r="431" spans="1:4" ht="14.25" customHeight="1">
      <c r="A431" s="79"/>
      <c r="B431" s="48"/>
      <c r="C431" s="49"/>
      <c r="D431" s="49"/>
    </row>
    <row r="432" spans="1:4" ht="14.25" customHeight="1">
      <c r="A432" s="79"/>
      <c r="B432" s="48"/>
      <c r="C432" s="49"/>
      <c r="D432" s="49"/>
    </row>
    <row r="433" spans="1:4" ht="14.25" customHeight="1">
      <c r="A433" s="79"/>
      <c r="B433" s="48"/>
      <c r="C433" s="49"/>
      <c r="D433" s="49"/>
    </row>
    <row r="434" spans="1:4" ht="14.25" customHeight="1">
      <c r="A434" s="79"/>
      <c r="B434" s="48"/>
      <c r="C434" s="49"/>
      <c r="D434" s="49"/>
    </row>
    <row r="435" spans="1:4" ht="14.25" customHeight="1">
      <c r="A435" s="79"/>
      <c r="B435" s="48"/>
      <c r="C435" s="49"/>
      <c r="D435" s="49"/>
    </row>
    <row r="436" spans="1:4" ht="14.25" customHeight="1">
      <c r="A436" s="79"/>
      <c r="B436" s="48"/>
      <c r="C436" s="49"/>
      <c r="D436" s="49"/>
    </row>
    <row r="437" spans="1:4" ht="14.25" customHeight="1">
      <c r="A437" s="79"/>
      <c r="B437" s="48"/>
      <c r="C437" s="49"/>
      <c r="D437" s="49"/>
    </row>
    <row r="438" spans="1:4" ht="14.25" customHeight="1">
      <c r="A438" s="79"/>
      <c r="B438" s="48"/>
      <c r="C438" s="49"/>
      <c r="D438" s="49"/>
    </row>
    <row r="439" spans="1:4" ht="14.25" customHeight="1">
      <c r="A439" s="79"/>
      <c r="B439" s="48"/>
      <c r="C439" s="49"/>
      <c r="D439" s="49"/>
    </row>
    <row r="440" spans="1:4" ht="14.25" customHeight="1">
      <c r="A440" s="79"/>
      <c r="B440" s="48"/>
      <c r="C440" s="49"/>
      <c r="D440" s="49"/>
    </row>
    <row r="441" spans="1:4" ht="14.25" customHeight="1">
      <c r="A441" s="79"/>
      <c r="B441" s="48"/>
      <c r="C441" s="49"/>
      <c r="D441" s="49"/>
    </row>
    <row r="442" spans="1:4" ht="14.25" customHeight="1">
      <c r="A442" s="79"/>
      <c r="B442" s="48"/>
      <c r="C442" s="49"/>
      <c r="D442" s="49"/>
    </row>
    <row r="443" spans="1:4" ht="14.25" customHeight="1">
      <c r="A443" s="79"/>
      <c r="B443" s="48"/>
      <c r="C443" s="49"/>
      <c r="D443" s="49"/>
    </row>
    <row r="444" spans="1:4" ht="14.25" customHeight="1">
      <c r="A444" s="79"/>
      <c r="B444" s="48"/>
      <c r="C444" s="49"/>
      <c r="D444" s="49"/>
    </row>
    <row r="445" spans="1:4" ht="14.25" customHeight="1">
      <c r="A445" s="79"/>
      <c r="B445" s="48"/>
      <c r="C445" s="49"/>
      <c r="D445" s="49"/>
    </row>
    <row r="446" spans="1:4" ht="14.25" customHeight="1">
      <c r="A446" s="79"/>
      <c r="B446" s="48"/>
      <c r="C446" s="49"/>
      <c r="D446" s="49"/>
    </row>
    <row r="447" spans="1:4" ht="14.25" customHeight="1">
      <c r="A447" s="79"/>
      <c r="B447" s="48"/>
      <c r="C447" s="49"/>
      <c r="D447" s="49"/>
    </row>
    <row r="448" spans="1:4" ht="14.25" customHeight="1">
      <c r="A448" s="79"/>
      <c r="B448" s="48"/>
      <c r="C448" s="49"/>
      <c r="D448" s="49"/>
    </row>
    <row r="449" spans="1:4" ht="14.25" customHeight="1">
      <c r="A449" s="79"/>
      <c r="B449" s="48"/>
      <c r="C449" s="49"/>
      <c r="D449" s="49"/>
    </row>
    <row r="450" spans="1:4" ht="14.25" customHeight="1">
      <c r="A450" s="79"/>
      <c r="B450" s="48"/>
      <c r="C450" s="49"/>
      <c r="D450" s="49"/>
    </row>
    <row r="451" spans="1:4" ht="14.25" customHeight="1">
      <c r="A451" s="79"/>
      <c r="B451" s="48"/>
      <c r="C451" s="49"/>
      <c r="D451" s="49"/>
    </row>
    <row r="452" spans="1:4" ht="14.25" customHeight="1">
      <c r="A452" s="79"/>
      <c r="B452" s="48"/>
      <c r="C452" s="49"/>
      <c r="D452" s="49"/>
    </row>
    <row r="453" spans="1:4" ht="14.25" customHeight="1">
      <c r="A453" s="79"/>
      <c r="B453" s="48"/>
      <c r="C453" s="49"/>
      <c r="D453" s="49"/>
    </row>
    <row r="454" spans="1:4" ht="14.25" customHeight="1">
      <c r="A454" s="79"/>
      <c r="B454" s="48"/>
      <c r="C454" s="49"/>
      <c r="D454" s="49"/>
    </row>
    <row r="455" spans="1:4" ht="14.25" customHeight="1">
      <c r="A455" s="79"/>
      <c r="B455" s="48"/>
      <c r="C455" s="49"/>
      <c r="D455" s="49"/>
    </row>
    <row r="456" spans="1:4" ht="14.25" customHeight="1">
      <c r="A456" s="79"/>
      <c r="B456" s="48"/>
      <c r="C456" s="49"/>
      <c r="D456" s="49"/>
    </row>
    <row r="457" spans="1:4" ht="14.25" customHeight="1">
      <c r="A457" s="79"/>
      <c r="B457" s="48"/>
      <c r="C457" s="49"/>
      <c r="D457" s="49"/>
    </row>
    <row r="458" spans="1:4" ht="14.25" customHeight="1">
      <c r="A458" s="79"/>
      <c r="B458" s="48"/>
      <c r="C458" s="49"/>
      <c r="D458" s="49"/>
    </row>
    <row r="459" spans="1:4" ht="14.25" customHeight="1">
      <c r="A459" s="79"/>
      <c r="B459" s="48"/>
      <c r="C459" s="49"/>
      <c r="D459" s="49"/>
    </row>
    <row r="460" spans="1:4" ht="14.25" customHeight="1">
      <c r="A460" s="79"/>
      <c r="B460" s="48"/>
      <c r="C460" s="49"/>
      <c r="D460" s="49"/>
    </row>
    <row r="461" spans="1:4" ht="14.25" customHeight="1">
      <c r="A461" s="79"/>
      <c r="B461" s="48"/>
      <c r="C461" s="49"/>
      <c r="D461" s="49"/>
    </row>
    <row r="462" spans="1:4" ht="14.25" customHeight="1">
      <c r="A462" s="79"/>
      <c r="B462" s="48"/>
      <c r="C462" s="49"/>
      <c r="D462" s="49"/>
    </row>
    <row r="463" spans="1:4" ht="14.25" customHeight="1">
      <c r="A463" s="79"/>
      <c r="B463" s="48"/>
      <c r="C463" s="49"/>
      <c r="D463" s="49"/>
    </row>
    <row r="464" spans="1:4" ht="14.25" customHeight="1">
      <c r="A464" s="79"/>
      <c r="B464" s="48"/>
      <c r="C464" s="49"/>
      <c r="D464" s="49"/>
    </row>
    <row r="465" spans="1:4" ht="14.25" customHeight="1">
      <c r="A465" s="79"/>
      <c r="B465" s="48"/>
      <c r="C465" s="49"/>
      <c r="D465" s="49"/>
    </row>
    <row r="466" spans="1:4" ht="14.25" customHeight="1">
      <c r="A466" s="79"/>
      <c r="B466" s="48"/>
      <c r="C466" s="49"/>
      <c r="D466" s="49"/>
    </row>
    <row r="467" spans="1:4" ht="14.25" customHeight="1">
      <c r="A467" s="79"/>
      <c r="B467" s="48"/>
      <c r="C467" s="49"/>
      <c r="D467" s="49"/>
    </row>
    <row r="468" spans="1:4" ht="14.25" customHeight="1">
      <c r="A468" s="79"/>
      <c r="B468" s="48"/>
      <c r="C468" s="49"/>
      <c r="D468" s="49"/>
    </row>
    <row r="469" spans="1:4" ht="14.25" customHeight="1">
      <c r="A469" s="79"/>
      <c r="B469" s="48"/>
      <c r="C469" s="49"/>
      <c r="D469" s="49"/>
    </row>
    <row r="470" spans="1:4" ht="14.25" customHeight="1">
      <c r="A470" s="79"/>
      <c r="B470" s="48"/>
      <c r="C470" s="49"/>
      <c r="D470" s="49"/>
    </row>
    <row r="471" spans="1:4" ht="14.25" customHeight="1">
      <c r="A471" s="79"/>
      <c r="B471" s="48"/>
      <c r="C471" s="49"/>
      <c r="D471" s="49"/>
    </row>
    <row r="472" spans="1:4" ht="14.25" customHeight="1">
      <c r="A472" s="79"/>
      <c r="B472" s="48"/>
      <c r="C472" s="49"/>
      <c r="D472" s="49"/>
    </row>
    <row r="473" spans="1:4" ht="14.25" customHeight="1">
      <c r="A473" s="79"/>
      <c r="B473" s="48"/>
      <c r="C473" s="49"/>
      <c r="D473" s="49"/>
    </row>
    <row r="474" spans="1:4" ht="14.25" customHeight="1">
      <c r="A474" s="79"/>
      <c r="B474" s="48"/>
      <c r="C474" s="49"/>
      <c r="D474" s="49"/>
    </row>
    <row r="475" spans="1:4" ht="14.25" customHeight="1">
      <c r="A475" s="79"/>
      <c r="B475" s="48"/>
      <c r="C475" s="49"/>
      <c r="D475" s="49"/>
    </row>
    <row r="476" spans="1:4" ht="14.25" customHeight="1">
      <c r="A476" s="79"/>
      <c r="B476" s="48"/>
      <c r="C476" s="49"/>
      <c r="D476" s="49"/>
    </row>
    <row r="477" spans="1:4" ht="14.25" customHeight="1">
      <c r="A477" s="79"/>
      <c r="B477" s="48"/>
      <c r="C477" s="49"/>
      <c r="D477" s="49"/>
    </row>
    <row r="478" spans="1:4" ht="14.25" customHeight="1">
      <c r="A478" s="79"/>
      <c r="B478" s="48"/>
      <c r="C478" s="49"/>
      <c r="D478" s="49"/>
    </row>
    <row r="479" spans="1:4" ht="14.25" customHeight="1">
      <c r="A479" s="79"/>
      <c r="B479" s="48"/>
      <c r="C479" s="49"/>
      <c r="D479" s="49"/>
    </row>
    <row r="480" spans="1:4" ht="14.25" customHeight="1">
      <c r="A480" s="79"/>
      <c r="B480" s="48"/>
      <c r="C480" s="49"/>
      <c r="D480" s="49"/>
    </row>
    <row r="481" spans="1:4" ht="14.25" customHeight="1">
      <c r="A481" s="79"/>
      <c r="B481" s="48"/>
      <c r="C481" s="49"/>
      <c r="D481" s="49"/>
    </row>
    <row r="482" spans="1:4" ht="14.25" customHeight="1">
      <c r="A482" s="79"/>
      <c r="B482" s="48"/>
      <c r="C482" s="49"/>
      <c r="D482" s="49"/>
    </row>
    <row r="483" spans="1:4" ht="14.25" customHeight="1">
      <c r="A483" s="79"/>
      <c r="B483" s="48"/>
      <c r="C483" s="49"/>
      <c r="D483" s="49"/>
    </row>
    <row r="484" spans="1:4" ht="14.25" customHeight="1">
      <c r="A484" s="79"/>
      <c r="B484" s="48"/>
      <c r="C484" s="49"/>
      <c r="D484" s="49"/>
    </row>
    <row r="485" spans="1:4" ht="14.25" customHeight="1">
      <c r="A485" s="79"/>
      <c r="B485" s="48"/>
      <c r="C485" s="49"/>
      <c r="D485" s="49"/>
    </row>
    <row r="486" spans="1:4" ht="14.25" customHeight="1">
      <c r="A486" s="79"/>
      <c r="B486" s="48"/>
      <c r="C486" s="49"/>
      <c r="D486" s="49"/>
    </row>
    <row r="487" spans="1:4" ht="14.25" customHeight="1">
      <c r="A487" s="79"/>
      <c r="B487" s="48"/>
      <c r="C487" s="49"/>
      <c r="D487" s="49"/>
    </row>
    <row r="488" spans="1:4" ht="14.25" customHeight="1">
      <c r="A488" s="79"/>
      <c r="B488" s="48"/>
      <c r="C488" s="49"/>
      <c r="D488" s="49"/>
    </row>
    <row r="489" spans="1:4" ht="14.25" customHeight="1">
      <c r="A489" s="79"/>
      <c r="B489" s="48"/>
      <c r="C489" s="49"/>
      <c r="D489" s="49"/>
    </row>
    <row r="490" spans="1:4" ht="14.25" customHeight="1">
      <c r="A490" s="79"/>
      <c r="B490" s="48"/>
      <c r="C490" s="49"/>
      <c r="D490" s="49"/>
    </row>
    <row r="491" spans="1:4" ht="14.25" customHeight="1">
      <c r="A491" s="79"/>
      <c r="B491" s="48"/>
      <c r="C491" s="49"/>
      <c r="D491" s="49"/>
    </row>
    <row r="492" spans="1:4" ht="14.25" customHeight="1">
      <c r="A492" s="79"/>
      <c r="B492" s="48"/>
      <c r="C492" s="49"/>
      <c r="D492" s="49"/>
    </row>
    <row r="493" spans="1:4" ht="14.25" customHeight="1">
      <c r="A493" s="79"/>
      <c r="B493" s="48"/>
      <c r="C493" s="49"/>
      <c r="D493" s="49"/>
    </row>
    <row r="494" spans="1:4" ht="14.25" customHeight="1">
      <c r="A494" s="79"/>
      <c r="B494" s="48"/>
      <c r="C494" s="49"/>
      <c r="D494" s="49"/>
    </row>
    <row r="495" spans="1:4" ht="14.25" customHeight="1">
      <c r="A495" s="79"/>
      <c r="B495" s="48"/>
      <c r="C495" s="49"/>
      <c r="D495" s="49"/>
    </row>
    <row r="496" spans="1:4" ht="14.25" customHeight="1">
      <c r="A496" s="79"/>
      <c r="B496" s="48"/>
      <c r="C496" s="49"/>
      <c r="D496" s="49"/>
    </row>
    <row r="497" spans="1:4" ht="14.25" customHeight="1">
      <c r="A497" s="79"/>
      <c r="B497" s="48"/>
      <c r="C497" s="49"/>
      <c r="D497" s="49"/>
    </row>
    <row r="498" spans="1:4" ht="14.25" customHeight="1">
      <c r="A498" s="79"/>
      <c r="B498" s="48"/>
      <c r="C498" s="49"/>
      <c r="D498" s="49"/>
    </row>
    <row r="499" spans="1:4" ht="14.25" customHeight="1">
      <c r="A499" s="79"/>
      <c r="B499" s="48"/>
      <c r="C499" s="49"/>
      <c r="D499" s="49"/>
    </row>
    <row r="500" spans="1:4" ht="14.25" customHeight="1">
      <c r="A500" s="79"/>
      <c r="B500" s="48"/>
      <c r="C500" s="49"/>
      <c r="D500" s="49"/>
    </row>
    <row r="501" spans="1:4" ht="14.25" customHeight="1">
      <c r="A501" s="79"/>
      <c r="B501" s="48"/>
      <c r="C501" s="49"/>
      <c r="D501" s="49"/>
    </row>
    <row r="502" spans="1:4" ht="14.25" customHeight="1">
      <c r="A502" s="79"/>
      <c r="B502" s="48"/>
      <c r="C502" s="49"/>
      <c r="D502" s="49"/>
    </row>
    <row r="503" spans="1:4" ht="14.25" customHeight="1">
      <c r="A503" s="79"/>
      <c r="B503" s="48"/>
      <c r="C503" s="49"/>
      <c r="D503" s="49"/>
    </row>
    <row r="504" spans="1:4" ht="14.25" customHeight="1">
      <c r="A504" s="79"/>
      <c r="B504" s="48"/>
      <c r="C504" s="49"/>
      <c r="D504" s="49"/>
    </row>
    <row r="505" spans="1:4" ht="14.25" customHeight="1">
      <c r="A505" s="79"/>
      <c r="B505" s="48"/>
      <c r="C505" s="49"/>
      <c r="D505" s="49"/>
    </row>
    <row r="506" spans="1:4" ht="14.25" customHeight="1">
      <c r="A506" s="79"/>
      <c r="B506" s="48"/>
      <c r="C506" s="49"/>
      <c r="D506" s="49"/>
    </row>
    <row r="507" spans="1:4" ht="14.25" customHeight="1">
      <c r="A507" s="79"/>
      <c r="B507" s="48"/>
      <c r="C507" s="49"/>
      <c r="D507" s="49"/>
    </row>
    <row r="508" spans="1:4" ht="14.25" customHeight="1">
      <c r="A508" s="79"/>
      <c r="B508" s="48"/>
      <c r="C508" s="49"/>
      <c r="D508" s="49"/>
    </row>
    <row r="509" spans="1:4" ht="14.25" customHeight="1">
      <c r="A509" s="79"/>
      <c r="B509" s="48"/>
      <c r="C509" s="49"/>
      <c r="D509" s="49"/>
    </row>
    <row r="510" spans="1:4" ht="14.25" customHeight="1">
      <c r="A510" s="79"/>
      <c r="B510" s="48"/>
      <c r="C510" s="49"/>
      <c r="D510" s="49"/>
    </row>
    <row r="511" spans="1:4" ht="14.25" customHeight="1">
      <c r="A511" s="79"/>
      <c r="B511" s="48"/>
      <c r="C511" s="49"/>
      <c r="D511" s="49"/>
    </row>
    <row r="512" spans="1:4" ht="14.25" customHeight="1">
      <c r="A512" s="79"/>
      <c r="B512" s="48"/>
      <c r="C512" s="49"/>
      <c r="D512" s="49"/>
    </row>
    <row r="513" spans="1:4" ht="14.25" customHeight="1">
      <c r="A513" s="79"/>
      <c r="B513" s="48"/>
      <c r="C513" s="49"/>
      <c r="D513" s="49"/>
    </row>
    <row r="514" spans="1:4" ht="14.25" customHeight="1">
      <c r="A514" s="79"/>
      <c r="B514" s="48"/>
      <c r="C514" s="49"/>
      <c r="D514" s="49"/>
    </row>
    <row r="515" spans="1:4" ht="14.25" customHeight="1">
      <c r="A515" s="79"/>
      <c r="B515" s="48"/>
      <c r="C515" s="49"/>
      <c r="D515" s="49"/>
    </row>
    <row r="516" spans="1:4" ht="14.25" customHeight="1">
      <c r="A516" s="79"/>
      <c r="B516" s="48"/>
      <c r="C516" s="49"/>
      <c r="D516" s="49"/>
    </row>
    <row r="517" spans="1:4" ht="14.25" customHeight="1">
      <c r="A517" s="79"/>
      <c r="B517" s="48"/>
      <c r="C517" s="49"/>
      <c r="D517" s="49"/>
    </row>
    <row r="518" spans="1:4" ht="14.25" customHeight="1">
      <c r="A518" s="79"/>
      <c r="B518" s="48"/>
      <c r="C518" s="49"/>
      <c r="D518" s="49"/>
    </row>
    <row r="519" spans="1:4" ht="14.25" customHeight="1">
      <c r="A519" s="79"/>
      <c r="B519" s="48"/>
      <c r="C519" s="49"/>
      <c r="D519" s="49"/>
    </row>
    <row r="520" spans="1:4" ht="14.25" customHeight="1">
      <c r="A520" s="79"/>
      <c r="B520" s="48"/>
      <c r="C520" s="49"/>
      <c r="D520" s="49"/>
    </row>
    <row r="521" spans="1:4" ht="14.25" customHeight="1">
      <c r="A521" s="79"/>
      <c r="B521" s="48"/>
      <c r="C521" s="49"/>
      <c r="D521" s="49"/>
    </row>
    <row r="522" spans="1:4" ht="14.25" customHeight="1">
      <c r="A522" s="79"/>
      <c r="B522" s="48"/>
      <c r="C522" s="49"/>
      <c r="D522" s="49"/>
    </row>
    <row r="523" spans="1:4" ht="14.25" customHeight="1">
      <c r="A523" s="79"/>
      <c r="B523" s="48"/>
      <c r="C523" s="49"/>
      <c r="D523" s="49"/>
    </row>
    <row r="524" spans="1:4" ht="14.25" customHeight="1">
      <c r="A524" s="79"/>
      <c r="B524" s="48"/>
      <c r="C524" s="49"/>
      <c r="D524" s="49"/>
    </row>
    <row r="525" spans="1:4" ht="14.25" customHeight="1">
      <c r="A525" s="79"/>
      <c r="B525" s="48"/>
      <c r="C525" s="49"/>
      <c r="D525" s="49"/>
    </row>
    <row r="526" spans="1:4" ht="14.25" customHeight="1">
      <c r="A526" s="79"/>
      <c r="B526" s="48"/>
      <c r="C526" s="49"/>
      <c r="D526" s="49"/>
    </row>
    <row r="527" spans="1:4" ht="14.25" customHeight="1">
      <c r="A527" s="79"/>
      <c r="B527" s="48"/>
      <c r="C527" s="49"/>
      <c r="D527" s="49"/>
    </row>
    <row r="528" spans="1:4" ht="14.25" customHeight="1">
      <c r="A528" s="79"/>
      <c r="B528" s="48"/>
      <c r="C528" s="49"/>
      <c r="D528" s="49"/>
    </row>
    <row r="529" spans="1:4" ht="14.25" customHeight="1">
      <c r="A529" s="79"/>
      <c r="B529" s="48"/>
      <c r="C529" s="49"/>
      <c r="D529" s="49"/>
    </row>
    <row r="530" spans="1:4" ht="14.25" customHeight="1">
      <c r="A530" s="79"/>
      <c r="B530" s="48"/>
      <c r="C530" s="49"/>
      <c r="D530" s="49"/>
    </row>
    <row r="531" spans="1:4" ht="14.25" customHeight="1">
      <c r="A531" s="79"/>
      <c r="B531" s="48"/>
      <c r="C531" s="49"/>
      <c r="D531" s="49"/>
    </row>
    <row r="532" spans="1:4" ht="14.25" customHeight="1">
      <c r="A532" s="79"/>
      <c r="B532" s="48"/>
      <c r="C532" s="49"/>
      <c r="D532" s="49"/>
    </row>
    <row r="533" spans="1:4" ht="14.25" customHeight="1">
      <c r="A533" s="79"/>
      <c r="B533" s="48"/>
      <c r="C533" s="49"/>
      <c r="D533" s="49"/>
    </row>
    <row r="534" spans="1:4" ht="14.25" customHeight="1">
      <c r="A534" s="79"/>
      <c r="B534" s="48"/>
      <c r="C534" s="49"/>
      <c r="D534" s="49"/>
    </row>
    <row r="535" spans="1:4" ht="14.25" customHeight="1">
      <c r="A535" s="79"/>
      <c r="B535" s="48"/>
      <c r="C535" s="49"/>
      <c r="D535" s="49"/>
    </row>
    <row r="536" spans="1:4" ht="14.25" customHeight="1">
      <c r="A536" s="79"/>
      <c r="B536" s="48"/>
      <c r="C536" s="49"/>
      <c r="D536" s="49"/>
    </row>
    <row r="537" spans="1:4" ht="14.25" customHeight="1">
      <c r="A537" s="79"/>
      <c r="B537" s="48"/>
      <c r="C537" s="49"/>
      <c r="D537" s="49"/>
    </row>
    <row r="538" spans="1:4" ht="14.25" customHeight="1">
      <c r="A538" s="79"/>
      <c r="B538" s="48"/>
      <c r="C538" s="49"/>
      <c r="D538" s="49"/>
    </row>
    <row r="539" spans="1:4" ht="14.25" customHeight="1">
      <c r="A539" s="79"/>
      <c r="B539" s="48"/>
      <c r="C539" s="49"/>
      <c r="D539" s="49"/>
    </row>
    <row r="540" spans="1:4" ht="14.25" customHeight="1">
      <c r="A540" s="79"/>
      <c r="B540" s="48"/>
      <c r="C540" s="49"/>
      <c r="D540" s="49"/>
    </row>
    <row r="541" spans="1:4" ht="14.25" customHeight="1">
      <c r="A541" s="79"/>
      <c r="B541" s="48"/>
      <c r="C541" s="49"/>
      <c r="D541" s="49"/>
    </row>
    <row r="542" spans="1:4" ht="14.25" customHeight="1">
      <c r="A542" s="79"/>
      <c r="B542" s="48"/>
      <c r="C542" s="49"/>
      <c r="D542" s="49"/>
    </row>
    <row r="543" spans="1:4" ht="14.25" customHeight="1">
      <c r="A543" s="79"/>
      <c r="B543" s="48"/>
      <c r="C543" s="49"/>
      <c r="D543" s="49"/>
    </row>
    <row r="544" spans="1:4" ht="14.25" customHeight="1">
      <c r="A544" s="79"/>
      <c r="B544" s="48"/>
      <c r="C544" s="49"/>
      <c r="D544" s="49"/>
    </row>
    <row r="545" spans="1:4" ht="14.25" customHeight="1">
      <c r="A545" s="79"/>
      <c r="B545" s="48"/>
      <c r="C545" s="49"/>
      <c r="D545" s="49"/>
    </row>
    <row r="546" spans="1:4" ht="14.25" customHeight="1">
      <c r="A546" s="79"/>
      <c r="B546" s="48"/>
      <c r="C546" s="49"/>
      <c r="D546" s="49"/>
    </row>
    <row r="547" spans="1:4" ht="14.25" customHeight="1">
      <c r="A547" s="79"/>
      <c r="B547" s="48"/>
      <c r="C547" s="49"/>
      <c r="D547" s="49"/>
    </row>
    <row r="548" spans="1:4" ht="14.25" customHeight="1">
      <c r="A548" s="79"/>
      <c r="B548" s="48"/>
      <c r="C548" s="49"/>
      <c r="D548" s="49"/>
    </row>
    <row r="549" spans="1:4" ht="14.25" customHeight="1">
      <c r="A549" s="79"/>
      <c r="B549" s="48"/>
      <c r="C549" s="49"/>
      <c r="D549" s="49"/>
    </row>
    <row r="550" spans="1:4" ht="14.25" customHeight="1">
      <c r="A550" s="79"/>
      <c r="B550" s="48"/>
      <c r="C550" s="49"/>
      <c r="D550" s="49"/>
    </row>
    <row r="551" spans="1:4" ht="14.25" customHeight="1">
      <c r="A551" s="79"/>
      <c r="B551" s="48"/>
      <c r="C551" s="49"/>
      <c r="D551" s="49"/>
    </row>
    <row r="552" spans="1:4" ht="14.25" customHeight="1">
      <c r="A552" s="79"/>
      <c r="B552" s="48"/>
      <c r="C552" s="49"/>
      <c r="D552" s="49"/>
    </row>
    <row r="553" spans="1:4" ht="14.25" customHeight="1">
      <c r="A553" s="79"/>
      <c r="B553" s="48"/>
      <c r="C553" s="49"/>
      <c r="D553" s="49"/>
    </row>
    <row r="554" spans="1:4" ht="14.25" customHeight="1">
      <c r="A554" s="79"/>
      <c r="B554" s="48"/>
      <c r="C554" s="49"/>
      <c r="D554" s="49"/>
    </row>
    <row r="555" spans="1:4" ht="14.25" customHeight="1">
      <c r="A555" s="79"/>
      <c r="B555" s="48"/>
      <c r="C555" s="49"/>
      <c r="D555" s="49"/>
    </row>
    <row r="556" spans="1:4" ht="14.25" customHeight="1">
      <c r="A556" s="79"/>
      <c r="B556" s="48"/>
      <c r="C556" s="49"/>
      <c r="D556" s="49"/>
    </row>
    <row r="557" spans="1:4" ht="14.25" customHeight="1">
      <c r="A557" s="79"/>
      <c r="B557" s="48"/>
      <c r="C557" s="49"/>
      <c r="D557" s="49"/>
    </row>
    <row r="558" spans="1:4" ht="14.25" customHeight="1">
      <c r="A558" s="79"/>
      <c r="B558" s="48"/>
      <c r="C558" s="49"/>
      <c r="D558" s="49"/>
    </row>
    <row r="559" spans="1:4" ht="14.25" customHeight="1">
      <c r="A559" s="79"/>
      <c r="B559" s="48"/>
      <c r="C559" s="49"/>
      <c r="D559" s="49"/>
    </row>
    <row r="560" spans="1:4" ht="14.25" customHeight="1">
      <c r="A560" s="79"/>
      <c r="B560" s="48"/>
      <c r="C560" s="49"/>
      <c r="D560" s="49"/>
    </row>
    <row r="561" spans="1:4" ht="14.25" customHeight="1">
      <c r="A561" s="79"/>
      <c r="B561" s="48"/>
      <c r="C561" s="49"/>
      <c r="D561" s="49"/>
    </row>
    <row r="562" spans="1:4" ht="14.25" customHeight="1">
      <c r="A562" s="79"/>
      <c r="B562" s="48"/>
      <c r="C562" s="49"/>
      <c r="D562" s="49"/>
    </row>
    <row r="563" spans="1:4" ht="14.25" customHeight="1">
      <c r="A563" s="79"/>
      <c r="B563" s="48"/>
      <c r="C563" s="49"/>
      <c r="D563" s="49"/>
    </row>
    <row r="564" spans="1:4" ht="14.25" customHeight="1">
      <c r="A564" s="79"/>
      <c r="B564" s="48"/>
      <c r="C564" s="49"/>
      <c r="D564" s="49"/>
    </row>
    <row r="565" spans="1:4" ht="14.25" customHeight="1">
      <c r="A565" s="79"/>
      <c r="B565" s="48"/>
      <c r="C565" s="49"/>
      <c r="D565" s="49"/>
    </row>
    <row r="566" spans="1:4" ht="14.25" customHeight="1">
      <c r="A566" s="79"/>
      <c r="B566" s="48"/>
      <c r="C566" s="49"/>
      <c r="D566" s="49"/>
    </row>
    <row r="567" spans="1:4" ht="14.25" customHeight="1">
      <c r="A567" s="79"/>
      <c r="B567" s="48"/>
      <c r="C567" s="49"/>
      <c r="D567" s="49"/>
    </row>
    <row r="568" spans="1:4" ht="14.25" customHeight="1">
      <c r="A568" s="79"/>
      <c r="B568" s="48"/>
      <c r="C568" s="49"/>
      <c r="D568" s="49"/>
    </row>
    <row r="569" spans="1:4" ht="14.25" customHeight="1">
      <c r="A569" s="79"/>
      <c r="B569" s="48"/>
      <c r="C569" s="49"/>
      <c r="D569" s="49"/>
    </row>
    <row r="570" spans="1:4" ht="14.25" customHeight="1">
      <c r="A570" s="79"/>
      <c r="B570" s="48"/>
      <c r="C570" s="49"/>
      <c r="D570" s="49"/>
    </row>
    <row r="571" spans="1:4" ht="14.25" customHeight="1">
      <c r="A571" s="79"/>
      <c r="B571" s="48"/>
      <c r="C571" s="49"/>
      <c r="D571" s="49"/>
    </row>
    <row r="572" spans="1:4" ht="14.25" customHeight="1">
      <c r="A572" s="79"/>
      <c r="B572" s="48"/>
      <c r="C572" s="49"/>
      <c r="D572" s="49"/>
    </row>
    <row r="573" spans="1:4" ht="14.25" customHeight="1">
      <c r="A573" s="79"/>
      <c r="B573" s="48"/>
      <c r="C573" s="49"/>
      <c r="D573" s="49"/>
    </row>
    <row r="574" spans="1:4" ht="14.25" customHeight="1">
      <c r="A574" s="79"/>
      <c r="B574" s="48"/>
      <c r="C574" s="49"/>
      <c r="D574" s="49"/>
    </row>
    <row r="575" spans="1:4" ht="14.25" customHeight="1">
      <c r="A575" s="79"/>
      <c r="B575" s="48"/>
      <c r="C575" s="49"/>
      <c r="D575" s="49"/>
    </row>
    <row r="576" spans="1:4" ht="14.25" customHeight="1">
      <c r="A576" s="79"/>
      <c r="B576" s="48"/>
      <c r="C576" s="49"/>
      <c r="D576" s="49"/>
    </row>
    <row r="577" spans="1:4" ht="14.25" customHeight="1">
      <c r="A577" s="79"/>
      <c r="B577" s="48"/>
      <c r="C577" s="49"/>
      <c r="D577" s="49"/>
    </row>
    <row r="578" spans="1:4" ht="14.25" customHeight="1">
      <c r="A578" s="79"/>
      <c r="B578" s="48"/>
      <c r="C578" s="49"/>
      <c r="D578" s="49"/>
    </row>
    <row r="579" spans="1:4" ht="14.25" customHeight="1">
      <c r="A579" s="79"/>
      <c r="B579" s="48"/>
      <c r="C579" s="49"/>
      <c r="D579" s="49"/>
    </row>
    <row r="580" spans="1:4" ht="14.25" customHeight="1">
      <c r="A580" s="79"/>
      <c r="B580" s="48"/>
      <c r="C580" s="49"/>
      <c r="D580" s="49"/>
    </row>
    <row r="581" spans="1:4" ht="14.25" customHeight="1">
      <c r="A581" s="79"/>
      <c r="B581" s="48"/>
      <c r="C581" s="49"/>
      <c r="D581" s="49"/>
    </row>
    <row r="582" spans="1:4" ht="14.25" customHeight="1">
      <c r="A582" s="79"/>
      <c r="B582" s="48"/>
      <c r="C582" s="49"/>
      <c r="D582" s="49"/>
    </row>
    <row r="583" spans="1:4" ht="14.25" customHeight="1">
      <c r="A583" s="79"/>
      <c r="B583" s="48"/>
      <c r="C583" s="49"/>
      <c r="D583" s="49"/>
    </row>
    <row r="584" spans="1:4" ht="14.25" customHeight="1">
      <c r="A584" s="79"/>
      <c r="B584" s="48"/>
      <c r="C584" s="49"/>
      <c r="D584" s="49"/>
    </row>
    <row r="585" spans="1:4" ht="14.25" customHeight="1">
      <c r="A585" s="79"/>
      <c r="B585" s="48"/>
      <c r="C585" s="49"/>
      <c r="D585" s="49"/>
    </row>
    <row r="586" spans="1:4" ht="14.25" customHeight="1">
      <c r="A586" s="79"/>
      <c r="B586" s="48"/>
      <c r="C586" s="49"/>
      <c r="D586" s="49"/>
    </row>
    <row r="587" spans="1:4" ht="14.25" customHeight="1">
      <c r="A587" s="79"/>
      <c r="B587" s="48"/>
      <c r="C587" s="49"/>
      <c r="D587" s="49"/>
    </row>
    <row r="588" spans="1:4" ht="14.25" customHeight="1">
      <c r="A588" s="79"/>
      <c r="B588" s="48"/>
      <c r="C588" s="49"/>
      <c r="D588" s="49"/>
    </row>
    <row r="589" spans="1:4" ht="14.25" customHeight="1">
      <c r="A589" s="79"/>
      <c r="B589" s="48"/>
      <c r="C589" s="49"/>
      <c r="D589" s="49"/>
    </row>
    <row r="590" spans="1:4" ht="14.25" customHeight="1">
      <c r="A590" s="79"/>
      <c r="B590" s="48"/>
      <c r="C590" s="49"/>
      <c r="D590" s="49"/>
    </row>
    <row r="591" spans="1:4" ht="14.25" customHeight="1">
      <c r="A591" s="79"/>
      <c r="B591" s="48"/>
      <c r="C591" s="49"/>
      <c r="D591" s="49"/>
    </row>
    <row r="592" spans="1:4" ht="14.25" customHeight="1">
      <c r="A592" s="79"/>
      <c r="B592" s="48"/>
      <c r="C592" s="49"/>
      <c r="D592" s="49"/>
    </row>
    <row r="593" spans="1:4" ht="14.25" customHeight="1">
      <c r="A593" s="79"/>
      <c r="B593" s="48"/>
      <c r="C593" s="49"/>
      <c r="D593" s="49"/>
    </row>
    <row r="594" spans="1:4" ht="14.25" customHeight="1">
      <c r="A594" s="79"/>
      <c r="B594" s="48"/>
      <c r="C594" s="49"/>
      <c r="D594" s="49"/>
    </row>
    <row r="595" spans="1:4" ht="14.25" customHeight="1">
      <c r="A595" s="79"/>
      <c r="B595" s="48"/>
      <c r="C595" s="49"/>
      <c r="D595" s="49"/>
    </row>
    <row r="596" spans="1:4" ht="14.25" customHeight="1">
      <c r="A596" s="79"/>
      <c r="B596" s="48"/>
      <c r="C596" s="49"/>
      <c r="D596" s="49"/>
    </row>
    <row r="597" spans="1:4" ht="14.25" customHeight="1">
      <c r="A597" s="79"/>
      <c r="B597" s="48"/>
      <c r="C597" s="49"/>
      <c r="D597" s="49"/>
    </row>
    <row r="598" spans="1:4" ht="14.25" customHeight="1">
      <c r="A598" s="79"/>
      <c r="B598" s="48"/>
      <c r="C598" s="49"/>
      <c r="D598" s="49"/>
    </row>
    <row r="599" spans="1:4" ht="14.25" customHeight="1">
      <c r="A599" s="79"/>
      <c r="B599" s="48"/>
      <c r="C599" s="49"/>
      <c r="D599" s="49"/>
    </row>
    <row r="600" spans="1:4" ht="14.25" customHeight="1">
      <c r="A600" s="79"/>
      <c r="B600" s="48"/>
      <c r="C600" s="49"/>
      <c r="D600" s="49"/>
    </row>
    <row r="601" spans="1:4" ht="14.25" customHeight="1">
      <c r="A601" s="79"/>
      <c r="B601" s="48"/>
      <c r="C601" s="49"/>
      <c r="D601" s="49"/>
    </row>
    <row r="602" spans="1:4" ht="14.25" customHeight="1">
      <c r="A602" s="79"/>
      <c r="B602" s="48"/>
      <c r="C602" s="49"/>
      <c r="D602" s="49"/>
    </row>
    <row r="603" spans="1:4" ht="14.25" customHeight="1">
      <c r="A603" s="79"/>
      <c r="B603" s="48"/>
      <c r="C603" s="49"/>
      <c r="D603" s="49"/>
    </row>
    <row r="604" spans="1:4" ht="14.25" customHeight="1">
      <c r="A604" s="79"/>
      <c r="B604" s="48"/>
      <c r="C604" s="49"/>
      <c r="D604" s="49"/>
    </row>
    <row r="605" spans="1:4" ht="14.25" customHeight="1">
      <c r="A605" s="79"/>
      <c r="B605" s="48"/>
      <c r="C605" s="49"/>
      <c r="D605" s="49"/>
    </row>
    <row r="606" spans="1:4" ht="14.25" customHeight="1">
      <c r="A606" s="79"/>
      <c r="B606" s="48"/>
      <c r="C606" s="49"/>
      <c r="D606" s="49"/>
    </row>
    <row r="607" spans="1:4" ht="14.25" customHeight="1">
      <c r="A607" s="79"/>
      <c r="B607" s="48"/>
      <c r="C607" s="49"/>
      <c r="D607" s="49"/>
    </row>
    <row r="608" spans="1:4" ht="14.25" customHeight="1">
      <c r="A608" s="79"/>
      <c r="B608" s="48"/>
      <c r="C608" s="49"/>
      <c r="D608" s="49"/>
    </row>
    <row r="609" spans="1:4" ht="14.25" customHeight="1">
      <c r="A609" s="79"/>
      <c r="B609" s="48"/>
      <c r="C609" s="49"/>
      <c r="D609" s="49"/>
    </row>
    <row r="610" spans="1:4" ht="14.25" customHeight="1">
      <c r="A610" s="79"/>
      <c r="B610" s="48"/>
      <c r="C610" s="49"/>
      <c r="D610" s="49"/>
    </row>
    <row r="611" spans="1:4" ht="14.25" customHeight="1">
      <c r="A611" s="79"/>
      <c r="B611" s="48"/>
      <c r="C611" s="49"/>
      <c r="D611" s="49"/>
    </row>
    <row r="612" spans="1:4" ht="14.25" customHeight="1">
      <c r="A612" s="79"/>
      <c r="B612" s="48"/>
      <c r="C612" s="49"/>
      <c r="D612" s="49"/>
    </row>
    <row r="613" spans="1:4" ht="14.25" customHeight="1">
      <c r="A613" s="79"/>
      <c r="B613" s="48"/>
      <c r="C613" s="49"/>
      <c r="D613" s="49"/>
    </row>
    <row r="614" spans="1:4" ht="14.25" customHeight="1">
      <c r="A614" s="79"/>
      <c r="B614" s="48"/>
      <c r="C614" s="49"/>
      <c r="D614" s="49"/>
    </row>
    <row r="615" spans="1:4" ht="14.25" customHeight="1">
      <c r="A615" s="79"/>
      <c r="B615" s="48"/>
      <c r="C615" s="49"/>
      <c r="D615" s="49"/>
    </row>
    <row r="616" spans="1:4" ht="14.25" customHeight="1">
      <c r="A616" s="79"/>
      <c r="B616" s="48"/>
      <c r="C616" s="49"/>
      <c r="D616" s="49"/>
    </row>
    <row r="617" spans="1:4" ht="14.25" customHeight="1">
      <c r="A617" s="79"/>
      <c r="B617" s="48"/>
      <c r="C617" s="49"/>
      <c r="D617" s="49"/>
    </row>
    <row r="618" spans="1:4" ht="14.25" customHeight="1">
      <c r="A618" s="79"/>
      <c r="B618" s="48"/>
      <c r="C618" s="49"/>
      <c r="D618" s="49"/>
    </row>
    <row r="619" spans="1:4" ht="14.25" customHeight="1">
      <c r="A619" s="79"/>
      <c r="B619" s="48"/>
      <c r="C619" s="49"/>
      <c r="D619" s="49"/>
    </row>
    <row r="620" spans="1:4" ht="14.25" customHeight="1">
      <c r="A620" s="79"/>
      <c r="B620" s="48"/>
      <c r="C620" s="49"/>
      <c r="D620" s="49"/>
    </row>
    <row r="621" spans="1:4" ht="14.25" customHeight="1">
      <c r="A621" s="79"/>
      <c r="B621" s="48"/>
      <c r="C621" s="49"/>
      <c r="D621" s="49"/>
    </row>
    <row r="622" spans="1:4" ht="14.25" customHeight="1">
      <c r="A622" s="79"/>
      <c r="B622" s="48"/>
      <c r="C622" s="49"/>
      <c r="D622" s="49"/>
    </row>
    <row r="623" spans="1:4" ht="14.25" customHeight="1">
      <c r="A623" s="79"/>
      <c r="B623" s="48"/>
      <c r="C623" s="49"/>
      <c r="D623" s="49"/>
    </row>
    <row r="624" spans="1:4" ht="14.25" customHeight="1">
      <c r="A624" s="79"/>
      <c r="B624" s="48"/>
      <c r="C624" s="49"/>
      <c r="D624" s="49"/>
    </row>
    <row r="625" spans="1:4" ht="14.25" customHeight="1">
      <c r="A625" s="79"/>
      <c r="B625" s="48"/>
      <c r="C625" s="49"/>
      <c r="D625" s="49"/>
    </row>
    <row r="626" spans="1:4" ht="14.25" customHeight="1">
      <c r="A626" s="79"/>
      <c r="B626" s="48"/>
      <c r="C626" s="49"/>
      <c r="D626" s="49"/>
    </row>
    <row r="627" spans="1:4" ht="14.25" customHeight="1">
      <c r="A627" s="79"/>
      <c r="B627" s="48"/>
      <c r="C627" s="49"/>
      <c r="D627" s="49"/>
    </row>
    <row r="628" spans="1:4" ht="14.25" customHeight="1">
      <c r="A628" s="79"/>
      <c r="B628" s="48"/>
      <c r="C628" s="49"/>
      <c r="D628" s="49"/>
    </row>
    <row r="629" spans="1:4" ht="14.25" customHeight="1">
      <c r="A629" s="79"/>
      <c r="B629" s="48"/>
      <c r="C629" s="49"/>
      <c r="D629" s="49"/>
    </row>
    <row r="630" spans="1:4" ht="14.25" customHeight="1">
      <c r="A630" s="79"/>
      <c r="B630" s="48"/>
      <c r="C630" s="49"/>
      <c r="D630" s="49"/>
    </row>
    <row r="631" spans="1:4" ht="14.25" customHeight="1">
      <c r="A631" s="79"/>
      <c r="B631" s="48"/>
      <c r="C631" s="49"/>
      <c r="D631" s="49"/>
    </row>
    <row r="632" spans="1:4" ht="14.25" customHeight="1">
      <c r="A632" s="79"/>
      <c r="B632" s="48"/>
      <c r="C632" s="49"/>
      <c r="D632" s="49"/>
    </row>
    <row r="633" spans="1:4" ht="14.25" customHeight="1">
      <c r="A633" s="79"/>
      <c r="B633" s="48"/>
      <c r="C633" s="49"/>
      <c r="D633" s="49"/>
    </row>
    <row r="634" spans="1:4" ht="14.25" customHeight="1">
      <c r="A634" s="79"/>
      <c r="B634" s="48"/>
      <c r="C634" s="49"/>
      <c r="D634" s="49"/>
    </row>
    <row r="635" spans="1:4" ht="14.25" customHeight="1">
      <c r="A635" s="79"/>
      <c r="B635" s="48"/>
      <c r="C635" s="49"/>
      <c r="D635" s="49"/>
    </row>
    <row r="636" spans="1:4" ht="14.25" customHeight="1">
      <c r="A636" s="79"/>
      <c r="B636" s="48"/>
      <c r="C636" s="49"/>
      <c r="D636" s="49"/>
    </row>
    <row r="637" spans="1:4" ht="14.25" customHeight="1">
      <c r="A637" s="79"/>
      <c r="B637" s="48"/>
      <c r="C637" s="49"/>
      <c r="D637" s="49"/>
    </row>
    <row r="638" spans="1:4" ht="14.25" customHeight="1">
      <c r="A638" s="79"/>
      <c r="B638" s="48"/>
      <c r="C638" s="49"/>
      <c r="D638" s="49"/>
    </row>
    <row r="639" spans="1:4" ht="14.25" customHeight="1">
      <c r="A639" s="79"/>
      <c r="B639" s="48"/>
      <c r="C639" s="49"/>
      <c r="D639" s="49"/>
    </row>
    <row r="640" spans="1:4" ht="14.25" customHeight="1">
      <c r="A640" s="79"/>
      <c r="B640" s="48"/>
      <c r="C640" s="49"/>
      <c r="D640" s="49"/>
    </row>
    <row r="641" spans="1:4" ht="14.25" customHeight="1">
      <c r="A641" s="79"/>
      <c r="B641" s="48"/>
      <c r="C641" s="49"/>
      <c r="D641" s="49"/>
    </row>
    <row r="642" spans="1:4" ht="14.25" customHeight="1">
      <c r="A642" s="79"/>
      <c r="B642" s="48"/>
      <c r="C642" s="49"/>
      <c r="D642" s="49"/>
    </row>
    <row r="643" spans="1:4" ht="14.25" customHeight="1">
      <c r="A643" s="79"/>
      <c r="B643" s="48"/>
      <c r="C643" s="49"/>
      <c r="D643" s="49"/>
    </row>
    <row r="644" spans="1:4" ht="14.25" customHeight="1">
      <c r="A644" s="79"/>
      <c r="B644" s="48"/>
      <c r="C644" s="49"/>
      <c r="D644" s="49"/>
    </row>
    <row r="645" spans="1:4" ht="14.25" customHeight="1">
      <c r="A645" s="79"/>
      <c r="B645" s="48"/>
      <c r="C645" s="49"/>
      <c r="D645" s="49"/>
    </row>
    <row r="646" spans="1:4" ht="14.25" customHeight="1">
      <c r="A646" s="79"/>
      <c r="B646" s="48"/>
      <c r="C646" s="49"/>
      <c r="D646" s="49"/>
    </row>
    <row r="647" spans="1:4" ht="14.25" customHeight="1">
      <c r="A647" s="79"/>
      <c r="B647" s="48"/>
      <c r="C647" s="49"/>
      <c r="D647" s="49"/>
    </row>
    <row r="648" spans="1:4" ht="14.25" customHeight="1">
      <c r="A648" s="79"/>
      <c r="B648" s="48"/>
      <c r="C648" s="49"/>
      <c r="D648" s="49"/>
    </row>
    <row r="649" spans="1:4" ht="14.25" customHeight="1">
      <c r="A649" s="79"/>
      <c r="B649" s="48"/>
      <c r="C649" s="49"/>
      <c r="D649" s="49"/>
    </row>
    <row r="650" spans="1:4" ht="14.25" customHeight="1">
      <c r="A650" s="79"/>
      <c r="B650" s="48"/>
      <c r="C650" s="49"/>
      <c r="D650" s="49"/>
    </row>
    <row r="651" spans="1:4" ht="14.25" customHeight="1">
      <c r="A651" s="79"/>
      <c r="B651" s="48"/>
      <c r="C651" s="49"/>
      <c r="D651" s="49"/>
    </row>
    <row r="652" spans="1:4" ht="14.25" customHeight="1">
      <c r="A652" s="79"/>
      <c r="B652" s="48"/>
      <c r="C652" s="49"/>
      <c r="D652" s="49"/>
    </row>
    <row r="653" spans="1:4" ht="14.25" customHeight="1">
      <c r="A653" s="79"/>
      <c r="B653" s="48"/>
      <c r="C653" s="49"/>
      <c r="D653" s="49"/>
    </row>
    <row r="654" spans="1:4" ht="14.25" customHeight="1">
      <c r="A654" s="79"/>
      <c r="B654" s="48"/>
      <c r="C654" s="49"/>
      <c r="D654" s="49"/>
    </row>
    <row r="655" spans="1:4" ht="14.25" customHeight="1">
      <c r="A655" s="79"/>
      <c r="B655" s="48"/>
      <c r="C655" s="49"/>
      <c r="D655" s="49"/>
    </row>
    <row r="656" spans="1:4" ht="14.25" customHeight="1">
      <c r="A656" s="79"/>
      <c r="B656" s="48"/>
      <c r="C656" s="49"/>
      <c r="D656" s="49"/>
    </row>
    <row r="657" spans="1:4" ht="14.25" customHeight="1">
      <c r="A657" s="79"/>
      <c r="B657" s="48"/>
      <c r="C657" s="49"/>
      <c r="D657" s="49"/>
    </row>
    <row r="658" spans="1:4" ht="14.25" customHeight="1">
      <c r="A658" s="79"/>
      <c r="B658" s="48"/>
      <c r="C658" s="49"/>
      <c r="D658" s="49"/>
    </row>
    <row r="659" spans="1:4" ht="14.25" customHeight="1">
      <c r="A659" s="79"/>
      <c r="B659" s="48"/>
      <c r="C659" s="49"/>
      <c r="D659" s="49"/>
    </row>
    <row r="660" spans="1:4" ht="14.25" customHeight="1">
      <c r="A660" s="79"/>
      <c r="B660" s="48"/>
      <c r="C660" s="49"/>
      <c r="D660" s="49"/>
    </row>
    <row r="661" spans="1:4" ht="14.25" customHeight="1">
      <c r="A661" s="79"/>
      <c r="B661" s="48"/>
      <c r="C661" s="49"/>
      <c r="D661" s="49"/>
    </row>
    <row r="662" spans="1:4" ht="14.25" customHeight="1">
      <c r="A662" s="79"/>
      <c r="B662" s="48"/>
      <c r="C662" s="49"/>
      <c r="D662" s="49"/>
    </row>
    <row r="663" spans="1:4" ht="14.25" customHeight="1">
      <c r="A663" s="79"/>
      <c r="B663" s="48"/>
      <c r="C663" s="49"/>
      <c r="D663" s="49"/>
    </row>
    <row r="664" spans="1:4" ht="14.25" customHeight="1">
      <c r="A664" s="79"/>
      <c r="B664" s="48"/>
      <c r="C664" s="49"/>
      <c r="D664" s="49"/>
    </row>
    <row r="665" spans="1:4" ht="14.25" customHeight="1">
      <c r="A665" s="79"/>
      <c r="B665" s="48"/>
      <c r="C665" s="49"/>
      <c r="D665" s="49"/>
    </row>
    <row r="666" spans="1:4" ht="14.25" customHeight="1">
      <c r="A666" s="79"/>
      <c r="B666" s="48"/>
      <c r="C666" s="49"/>
      <c r="D666" s="49"/>
    </row>
    <row r="667" spans="1:4" ht="14.25" customHeight="1">
      <c r="A667" s="79"/>
      <c r="B667" s="48"/>
      <c r="C667" s="49"/>
      <c r="D667" s="49"/>
    </row>
    <row r="668" spans="1:4" ht="14.25" customHeight="1">
      <c r="A668" s="79"/>
      <c r="B668" s="48"/>
      <c r="C668" s="49"/>
      <c r="D668" s="49"/>
    </row>
    <row r="669" spans="1:4" ht="14.25" customHeight="1">
      <c r="A669" s="79"/>
      <c r="B669" s="48"/>
      <c r="C669" s="49"/>
      <c r="D669" s="49"/>
    </row>
    <row r="670" spans="1:4" ht="14.25" customHeight="1">
      <c r="A670" s="79"/>
      <c r="B670" s="48"/>
      <c r="C670" s="49"/>
      <c r="D670" s="49"/>
    </row>
    <row r="671" spans="1:4" ht="14.25" customHeight="1">
      <c r="A671" s="79"/>
      <c r="B671" s="48"/>
      <c r="C671" s="49"/>
      <c r="D671" s="49"/>
    </row>
    <row r="672" spans="1:4" ht="14.25" customHeight="1">
      <c r="A672" s="79"/>
      <c r="B672" s="48"/>
      <c r="C672" s="49"/>
      <c r="D672" s="49"/>
    </row>
    <row r="673" spans="1:4" ht="14.25" customHeight="1">
      <c r="A673" s="79"/>
      <c r="B673" s="48"/>
      <c r="C673" s="49"/>
      <c r="D673" s="49"/>
    </row>
    <row r="674" spans="1:4" ht="14.25" customHeight="1">
      <c r="A674" s="79"/>
      <c r="B674" s="48"/>
      <c r="C674" s="49"/>
      <c r="D674" s="49"/>
    </row>
    <row r="675" spans="1:4" ht="14.25" customHeight="1">
      <c r="A675" s="79"/>
      <c r="B675" s="48"/>
      <c r="C675" s="49"/>
      <c r="D675" s="49"/>
    </row>
    <row r="676" spans="1:4" ht="14.25" customHeight="1">
      <c r="A676" s="79"/>
      <c r="B676" s="48"/>
      <c r="C676" s="49"/>
      <c r="D676" s="49"/>
    </row>
    <row r="677" spans="1:4" ht="14.25" customHeight="1">
      <c r="A677" s="79"/>
      <c r="B677" s="48"/>
      <c r="C677" s="49"/>
      <c r="D677" s="49"/>
    </row>
    <row r="678" spans="1:4" ht="14.25" customHeight="1">
      <c r="A678" s="79"/>
      <c r="B678" s="48"/>
      <c r="C678" s="49"/>
      <c r="D678" s="49"/>
    </row>
    <row r="679" spans="1:4" ht="14.25" customHeight="1">
      <c r="A679" s="79"/>
      <c r="B679" s="48"/>
      <c r="C679" s="49"/>
      <c r="D679" s="49"/>
    </row>
    <row r="680" spans="1:4" ht="14.25" customHeight="1">
      <c r="A680" s="79"/>
      <c r="B680" s="48"/>
      <c r="C680" s="49"/>
      <c r="D680" s="49"/>
    </row>
    <row r="681" spans="1:4" ht="14.25" customHeight="1">
      <c r="A681" s="79"/>
      <c r="B681" s="48"/>
      <c r="C681" s="49"/>
      <c r="D681" s="49"/>
    </row>
    <row r="682" spans="1:4" ht="14.25" customHeight="1">
      <c r="A682" s="79"/>
      <c r="B682" s="48"/>
      <c r="C682" s="49"/>
      <c r="D682" s="49"/>
    </row>
    <row r="683" spans="1:4" ht="14.25" customHeight="1">
      <c r="A683" s="79"/>
      <c r="B683" s="48"/>
      <c r="C683" s="49"/>
      <c r="D683" s="49"/>
    </row>
    <row r="684" spans="1:4" ht="14.25" customHeight="1">
      <c r="A684" s="79"/>
      <c r="B684" s="48"/>
      <c r="C684" s="49"/>
      <c r="D684" s="49"/>
    </row>
    <row r="685" spans="1:4" ht="14.25" customHeight="1">
      <c r="A685" s="79"/>
      <c r="B685" s="48"/>
      <c r="C685" s="49"/>
      <c r="D685" s="49"/>
    </row>
    <row r="686" spans="1:4" ht="14.25" customHeight="1">
      <c r="A686" s="79"/>
      <c r="B686" s="48"/>
      <c r="C686" s="49"/>
      <c r="D686" s="49"/>
    </row>
    <row r="687" spans="1:4" ht="14.25" customHeight="1">
      <c r="A687" s="79"/>
      <c r="B687" s="48"/>
      <c r="C687" s="49"/>
      <c r="D687" s="49"/>
    </row>
    <row r="688" spans="1:4" ht="14.25" customHeight="1">
      <c r="A688" s="79"/>
      <c r="B688" s="48"/>
      <c r="C688" s="49"/>
      <c r="D688" s="49"/>
    </row>
    <row r="689" spans="1:4" ht="14.25" customHeight="1">
      <c r="A689" s="79"/>
      <c r="B689" s="48"/>
      <c r="C689" s="49"/>
      <c r="D689" s="49"/>
    </row>
    <row r="690" spans="1:4" ht="14.25" customHeight="1">
      <c r="A690" s="79"/>
      <c r="B690" s="48"/>
      <c r="C690" s="49"/>
      <c r="D690" s="49"/>
    </row>
    <row r="691" spans="1:4" ht="14.25" customHeight="1">
      <c r="A691" s="79"/>
      <c r="B691" s="48"/>
      <c r="C691" s="49"/>
      <c r="D691" s="49"/>
    </row>
    <row r="692" spans="1:4" ht="14.25" customHeight="1">
      <c r="A692" s="79"/>
      <c r="B692" s="48"/>
      <c r="C692" s="49"/>
      <c r="D692" s="49"/>
    </row>
    <row r="693" spans="1:4" ht="14.25" customHeight="1">
      <c r="A693" s="79"/>
      <c r="B693" s="48"/>
      <c r="C693" s="49"/>
      <c r="D693" s="49"/>
    </row>
    <row r="694" spans="1:4" ht="14.25" customHeight="1">
      <c r="A694" s="79"/>
      <c r="B694" s="48"/>
      <c r="C694" s="49"/>
      <c r="D694" s="49"/>
    </row>
    <row r="695" spans="1:4" ht="14.25" customHeight="1">
      <c r="A695" s="79"/>
      <c r="B695" s="48"/>
      <c r="C695" s="49"/>
      <c r="D695" s="49"/>
    </row>
    <row r="696" spans="1:4" ht="14.25" customHeight="1">
      <c r="A696" s="79"/>
      <c r="B696" s="48"/>
      <c r="C696" s="49"/>
      <c r="D696" s="49"/>
    </row>
    <row r="697" spans="1:4" ht="14.25" customHeight="1">
      <c r="A697" s="79"/>
      <c r="B697" s="48"/>
      <c r="C697" s="49"/>
      <c r="D697" s="49"/>
    </row>
    <row r="698" spans="1:4" ht="14.25" customHeight="1">
      <c r="A698" s="79"/>
      <c r="B698" s="48"/>
      <c r="C698" s="49"/>
      <c r="D698" s="49"/>
    </row>
    <row r="699" spans="1:4" ht="14.25" customHeight="1">
      <c r="A699" s="79"/>
      <c r="B699" s="48"/>
      <c r="C699" s="49"/>
      <c r="D699" s="49"/>
    </row>
    <row r="700" spans="1:4" ht="14.25" customHeight="1">
      <c r="A700" s="79"/>
      <c r="B700" s="48"/>
      <c r="C700" s="49"/>
      <c r="D700" s="49"/>
    </row>
    <row r="701" spans="1:4" ht="14.25" customHeight="1">
      <c r="A701" s="79"/>
      <c r="B701" s="48"/>
      <c r="C701" s="49"/>
      <c r="D701" s="49"/>
    </row>
    <row r="702" spans="1:4" ht="14.25" customHeight="1">
      <c r="A702" s="79"/>
      <c r="B702" s="48"/>
      <c r="C702" s="49"/>
      <c r="D702" s="49"/>
    </row>
    <row r="703" spans="1:4" ht="14.25" customHeight="1">
      <c r="A703" s="79"/>
      <c r="B703" s="48"/>
      <c r="C703" s="49"/>
      <c r="D703" s="49"/>
    </row>
    <row r="704" spans="1:4" ht="14.25" customHeight="1">
      <c r="A704" s="79"/>
      <c r="B704" s="48"/>
      <c r="C704" s="49"/>
      <c r="D704" s="49"/>
    </row>
    <row r="705" spans="1:4" ht="14.25" customHeight="1">
      <c r="A705" s="79"/>
      <c r="B705" s="48"/>
      <c r="C705" s="49"/>
      <c r="D705" s="49"/>
    </row>
    <row r="706" spans="1:4" ht="14.25" customHeight="1">
      <c r="A706" s="79"/>
      <c r="B706" s="48"/>
      <c r="C706" s="49"/>
      <c r="D706" s="49"/>
    </row>
    <row r="707" spans="1:4" ht="14.25" customHeight="1">
      <c r="A707" s="79"/>
      <c r="B707" s="48"/>
      <c r="C707" s="49"/>
      <c r="D707" s="49"/>
    </row>
    <row r="708" spans="1:4" ht="14.25" customHeight="1">
      <c r="A708" s="79"/>
      <c r="B708" s="48"/>
      <c r="C708" s="49"/>
      <c r="D708" s="49"/>
    </row>
    <row r="709" spans="1:4" ht="14.25" customHeight="1">
      <c r="A709" s="79"/>
      <c r="B709" s="48"/>
      <c r="C709" s="49"/>
      <c r="D709" s="49"/>
    </row>
    <row r="710" spans="1:4" ht="14.25" customHeight="1">
      <c r="A710" s="79"/>
      <c r="B710" s="48"/>
      <c r="C710" s="49"/>
      <c r="D710" s="49"/>
    </row>
    <row r="711" spans="1:4" ht="14.25" customHeight="1">
      <c r="A711" s="79"/>
      <c r="B711" s="48"/>
      <c r="C711" s="49"/>
      <c r="D711" s="49"/>
    </row>
    <row r="712" spans="1:4" ht="14.25" customHeight="1">
      <c r="A712" s="79"/>
      <c r="B712" s="48"/>
      <c r="C712" s="49"/>
      <c r="D712" s="49"/>
    </row>
    <row r="713" spans="1:4" ht="14.25" customHeight="1">
      <c r="A713" s="79"/>
      <c r="B713" s="48"/>
      <c r="C713" s="49"/>
      <c r="D713" s="49"/>
    </row>
    <row r="714" spans="1:4" ht="14.25" customHeight="1">
      <c r="A714" s="79"/>
      <c r="B714" s="48"/>
      <c r="C714" s="49"/>
      <c r="D714" s="49"/>
    </row>
    <row r="715" spans="1:4" ht="14.25" customHeight="1">
      <c r="A715" s="79"/>
      <c r="B715" s="48"/>
      <c r="C715" s="49"/>
      <c r="D715" s="49"/>
    </row>
    <row r="716" spans="1:4" ht="14.25" customHeight="1">
      <c r="A716" s="79"/>
      <c r="B716" s="48"/>
      <c r="C716" s="49"/>
      <c r="D716" s="49"/>
    </row>
    <row r="717" spans="1:4" ht="14.25" customHeight="1">
      <c r="A717" s="79"/>
      <c r="B717" s="48"/>
      <c r="C717" s="49"/>
      <c r="D717" s="49"/>
    </row>
    <row r="718" spans="1:4" ht="14.25" customHeight="1">
      <c r="A718" s="79"/>
      <c r="B718" s="48"/>
      <c r="C718" s="49"/>
      <c r="D718" s="49"/>
    </row>
    <row r="719" spans="1:4" ht="14.25" customHeight="1">
      <c r="A719" s="79"/>
      <c r="B719" s="48"/>
      <c r="C719" s="49"/>
      <c r="D719" s="49"/>
    </row>
    <row r="720" spans="1:4" ht="14.25" customHeight="1">
      <c r="A720" s="79"/>
      <c r="B720" s="48"/>
      <c r="C720" s="49"/>
      <c r="D720" s="49"/>
    </row>
    <row r="721" spans="1:4" ht="14.25" customHeight="1">
      <c r="A721" s="79"/>
      <c r="B721" s="48"/>
      <c r="C721" s="49"/>
      <c r="D721" s="49"/>
    </row>
    <row r="722" spans="1:4" ht="14.25" customHeight="1">
      <c r="A722" s="79"/>
      <c r="B722" s="48"/>
      <c r="C722" s="49"/>
      <c r="D722" s="49"/>
    </row>
    <row r="723" spans="1:4" ht="14.25" customHeight="1">
      <c r="A723" s="79"/>
      <c r="B723" s="48"/>
      <c r="C723" s="49"/>
      <c r="D723" s="49"/>
    </row>
    <row r="724" spans="1:4" ht="14.25" customHeight="1">
      <c r="A724" s="79"/>
      <c r="B724" s="48"/>
      <c r="C724" s="49"/>
      <c r="D724" s="49"/>
    </row>
    <row r="725" spans="1:4" ht="14.25" customHeight="1">
      <c r="A725" s="79"/>
      <c r="B725" s="48"/>
      <c r="C725" s="49"/>
      <c r="D725" s="49"/>
    </row>
    <row r="726" spans="1:4" ht="14.25" customHeight="1">
      <c r="A726" s="79"/>
      <c r="B726" s="48"/>
      <c r="C726" s="49"/>
      <c r="D726" s="49"/>
    </row>
    <row r="727" spans="1:4" ht="14.25" customHeight="1">
      <c r="A727" s="79"/>
      <c r="B727" s="48"/>
      <c r="C727" s="49"/>
      <c r="D727" s="49"/>
    </row>
    <row r="728" spans="1:4" ht="14.25" customHeight="1">
      <c r="A728" s="79"/>
      <c r="B728" s="48"/>
      <c r="C728" s="49"/>
      <c r="D728" s="49"/>
    </row>
    <row r="729" spans="1:4" ht="14.25" customHeight="1">
      <c r="A729" s="79"/>
      <c r="B729" s="48"/>
      <c r="C729" s="49"/>
      <c r="D729" s="49"/>
    </row>
    <row r="730" spans="1:4" ht="14.25" customHeight="1">
      <c r="A730" s="79"/>
      <c r="B730" s="48"/>
      <c r="C730" s="49"/>
      <c r="D730" s="49"/>
    </row>
    <row r="731" spans="1:4" ht="14.25" customHeight="1">
      <c r="A731" s="79"/>
      <c r="B731" s="48"/>
      <c r="C731" s="49"/>
      <c r="D731" s="49"/>
    </row>
    <row r="732" spans="1:4" ht="14.25" customHeight="1">
      <c r="A732" s="79"/>
      <c r="B732" s="48"/>
      <c r="C732" s="49"/>
      <c r="D732" s="49"/>
    </row>
    <row r="733" spans="1:4" ht="14.25" customHeight="1">
      <c r="A733" s="79"/>
      <c r="B733" s="48"/>
      <c r="C733" s="49"/>
      <c r="D733" s="49"/>
    </row>
    <row r="734" spans="1:4" ht="14.25" customHeight="1">
      <c r="A734" s="79"/>
      <c r="B734" s="48"/>
      <c r="C734" s="49"/>
      <c r="D734" s="49"/>
    </row>
    <row r="735" spans="1:4" ht="14.25" customHeight="1">
      <c r="A735" s="79"/>
      <c r="B735" s="48"/>
      <c r="C735" s="49"/>
      <c r="D735" s="49"/>
    </row>
    <row r="736" spans="1:4" ht="14.25" customHeight="1">
      <c r="A736" s="79"/>
      <c r="B736" s="48"/>
      <c r="C736" s="49"/>
      <c r="D736" s="49"/>
    </row>
    <row r="737" spans="1:4" ht="14.25" customHeight="1">
      <c r="A737" s="79"/>
      <c r="B737" s="48"/>
      <c r="C737" s="49"/>
      <c r="D737" s="49"/>
    </row>
    <row r="738" spans="1:4" ht="14.25" customHeight="1">
      <c r="A738" s="79"/>
      <c r="B738" s="48"/>
      <c r="C738" s="49"/>
      <c r="D738" s="49"/>
    </row>
    <row r="739" spans="1:4" ht="14.25" customHeight="1">
      <c r="A739" s="79"/>
      <c r="B739" s="48"/>
      <c r="C739" s="49"/>
      <c r="D739" s="49"/>
    </row>
    <row r="740" spans="1:4" ht="14.25" customHeight="1">
      <c r="A740" s="79"/>
      <c r="B740" s="48"/>
      <c r="C740" s="49"/>
      <c r="D740" s="49"/>
    </row>
    <row r="741" spans="1:4" ht="14.25" customHeight="1">
      <c r="A741" s="79"/>
      <c r="B741" s="48"/>
      <c r="C741" s="49"/>
      <c r="D741" s="49"/>
    </row>
    <row r="742" spans="1:4" ht="14.25" customHeight="1">
      <c r="A742" s="79"/>
      <c r="B742" s="48"/>
      <c r="C742" s="49"/>
      <c r="D742" s="49"/>
    </row>
    <row r="743" spans="1:4" ht="14.25" customHeight="1">
      <c r="A743" s="79"/>
      <c r="B743" s="48"/>
      <c r="C743" s="49"/>
      <c r="D743" s="49"/>
    </row>
    <row r="744" spans="1:4" ht="14.25" customHeight="1">
      <c r="A744" s="79"/>
      <c r="B744" s="48"/>
      <c r="C744" s="49"/>
      <c r="D744" s="49"/>
    </row>
    <row r="745" spans="1:4" ht="14.25" customHeight="1">
      <c r="A745" s="79"/>
      <c r="B745" s="48"/>
      <c r="C745" s="49"/>
      <c r="D745" s="49"/>
    </row>
    <row r="746" spans="1:4" ht="14.25" customHeight="1">
      <c r="A746" s="79"/>
      <c r="B746" s="48"/>
      <c r="C746" s="49"/>
      <c r="D746" s="49"/>
    </row>
    <row r="747" spans="1:4" ht="14.25" customHeight="1">
      <c r="A747" s="79"/>
      <c r="B747" s="48"/>
      <c r="C747" s="49"/>
      <c r="D747" s="49"/>
    </row>
    <row r="748" spans="1:4" ht="14.25" customHeight="1">
      <c r="A748" s="79"/>
      <c r="B748" s="48"/>
      <c r="C748" s="49"/>
      <c r="D748" s="49"/>
    </row>
    <row r="749" spans="1:4" ht="14.25" customHeight="1">
      <c r="A749" s="79"/>
      <c r="B749" s="48"/>
      <c r="C749" s="49"/>
      <c r="D749" s="49"/>
    </row>
    <row r="750" spans="1:4" ht="14.25" customHeight="1">
      <c r="A750" s="79"/>
      <c r="B750" s="48"/>
      <c r="C750" s="49"/>
      <c r="D750" s="49"/>
    </row>
    <row r="751" spans="1:4" ht="14.25" customHeight="1">
      <c r="A751" s="79"/>
      <c r="B751" s="48"/>
      <c r="C751" s="49"/>
      <c r="D751" s="49"/>
    </row>
    <row r="752" spans="1:4" ht="14.25" customHeight="1">
      <c r="A752" s="79"/>
      <c r="B752" s="48"/>
      <c r="C752" s="49"/>
      <c r="D752" s="49"/>
    </row>
    <row r="753" spans="1:4" ht="14.25" customHeight="1">
      <c r="A753" s="79"/>
      <c r="B753" s="48"/>
      <c r="C753" s="49"/>
      <c r="D753" s="49"/>
    </row>
    <row r="754" spans="1:4" ht="14.25" customHeight="1">
      <c r="A754" s="79"/>
      <c r="B754" s="48"/>
      <c r="C754" s="49"/>
      <c r="D754" s="49"/>
    </row>
    <row r="755" spans="1:4" ht="14.25" customHeight="1">
      <c r="A755" s="79"/>
      <c r="B755" s="48"/>
      <c r="C755" s="49"/>
      <c r="D755" s="49"/>
    </row>
    <row r="756" spans="1:4" ht="14.25" customHeight="1">
      <c r="A756" s="79"/>
      <c r="B756" s="48"/>
      <c r="C756" s="49"/>
      <c r="D756" s="49"/>
    </row>
    <row r="757" spans="1:4" ht="14.25" customHeight="1">
      <c r="A757" s="79"/>
      <c r="B757" s="48"/>
      <c r="C757" s="49"/>
      <c r="D757" s="49"/>
    </row>
    <row r="758" spans="1:4" ht="14.25" customHeight="1">
      <c r="A758" s="79"/>
      <c r="B758" s="48"/>
      <c r="C758" s="49"/>
      <c r="D758" s="49"/>
    </row>
    <row r="759" spans="1:4" ht="14.25" customHeight="1">
      <c r="A759" s="79"/>
      <c r="B759" s="48"/>
      <c r="C759" s="49"/>
      <c r="D759" s="49"/>
    </row>
    <row r="760" spans="1:4" ht="14.25" customHeight="1">
      <c r="A760" s="79"/>
      <c r="B760" s="48"/>
      <c r="C760" s="49"/>
      <c r="D760" s="49"/>
    </row>
    <row r="761" spans="1:4" ht="14.25" customHeight="1">
      <c r="A761" s="79"/>
      <c r="B761" s="48"/>
      <c r="C761" s="49"/>
      <c r="D761" s="49"/>
    </row>
    <row r="762" spans="1:4" ht="14.25" customHeight="1">
      <c r="A762" s="79"/>
      <c r="B762" s="48"/>
      <c r="C762" s="49"/>
      <c r="D762" s="49"/>
    </row>
    <row r="763" spans="1:4" ht="14.25" customHeight="1">
      <c r="A763" s="79"/>
      <c r="B763" s="48"/>
      <c r="C763" s="49"/>
      <c r="D763" s="49"/>
    </row>
    <row r="764" spans="1:4" ht="14.25" customHeight="1">
      <c r="A764" s="79"/>
      <c r="B764" s="48"/>
      <c r="C764" s="49"/>
      <c r="D764" s="49"/>
    </row>
    <row r="765" spans="1:4" ht="14.25" customHeight="1">
      <c r="A765" s="79"/>
      <c r="B765" s="48"/>
      <c r="C765" s="49"/>
      <c r="D765" s="49"/>
    </row>
    <row r="766" spans="1:4" ht="14.25" customHeight="1">
      <c r="A766" s="79"/>
      <c r="B766" s="48"/>
      <c r="C766" s="49"/>
      <c r="D766" s="49"/>
    </row>
    <row r="767" spans="1:4" ht="14.25" customHeight="1">
      <c r="A767" s="79"/>
      <c r="B767" s="48"/>
      <c r="C767" s="49"/>
      <c r="D767" s="49"/>
    </row>
    <row r="768" spans="1:4" ht="14.25" customHeight="1">
      <c r="A768" s="79"/>
      <c r="B768" s="48"/>
      <c r="C768" s="49"/>
      <c r="D768" s="49"/>
    </row>
    <row r="769" spans="1:4" ht="14.25" customHeight="1">
      <c r="A769" s="79"/>
      <c r="B769" s="48"/>
      <c r="C769" s="49"/>
      <c r="D769" s="49"/>
    </row>
    <row r="770" spans="1:4" ht="14.25" customHeight="1">
      <c r="A770" s="79"/>
      <c r="B770" s="48"/>
      <c r="C770" s="49"/>
      <c r="D770" s="49"/>
    </row>
    <row r="771" spans="1:4" ht="14.25" customHeight="1">
      <c r="A771" s="79"/>
      <c r="B771" s="48"/>
      <c r="C771" s="49"/>
      <c r="D771" s="49"/>
    </row>
    <row r="772" spans="1:4" ht="14.25" customHeight="1">
      <c r="A772" s="79"/>
      <c r="B772" s="48"/>
      <c r="C772" s="49"/>
      <c r="D772" s="49"/>
    </row>
    <row r="773" spans="1:4" ht="14.25" customHeight="1">
      <c r="A773" s="79"/>
      <c r="B773" s="48"/>
      <c r="C773" s="49"/>
      <c r="D773" s="49"/>
    </row>
    <row r="774" spans="1:4" ht="14.25" customHeight="1">
      <c r="A774" s="79"/>
      <c r="B774" s="48"/>
      <c r="C774" s="49"/>
      <c r="D774" s="49"/>
    </row>
    <row r="775" spans="1:4" ht="14.25" customHeight="1">
      <c r="A775" s="79"/>
      <c r="B775" s="48"/>
      <c r="C775" s="49"/>
      <c r="D775" s="49"/>
    </row>
    <row r="776" spans="1:4" ht="14.25" customHeight="1">
      <c r="A776" s="79"/>
      <c r="B776" s="48"/>
      <c r="C776" s="49"/>
      <c r="D776" s="49"/>
    </row>
    <row r="777" spans="1:4" ht="14.25" customHeight="1">
      <c r="A777" s="79"/>
      <c r="B777" s="48"/>
      <c r="C777" s="49"/>
      <c r="D777" s="49"/>
    </row>
    <row r="778" spans="1:4" ht="14.25" customHeight="1">
      <c r="A778" s="79"/>
      <c r="B778" s="48"/>
      <c r="C778" s="49"/>
      <c r="D778" s="49"/>
    </row>
    <row r="779" spans="1:4" ht="14.25" customHeight="1">
      <c r="A779" s="79"/>
      <c r="B779" s="48"/>
      <c r="C779" s="49"/>
      <c r="D779" s="49"/>
    </row>
    <row r="780" spans="1:4" ht="14.25" customHeight="1">
      <c r="A780" s="79"/>
      <c r="B780" s="48"/>
      <c r="C780" s="49"/>
      <c r="D780" s="49"/>
    </row>
    <row r="781" spans="1:4" ht="14.25" customHeight="1">
      <c r="A781" s="79"/>
      <c r="B781" s="48"/>
      <c r="C781" s="49"/>
      <c r="D781" s="49"/>
    </row>
    <row r="782" spans="1:4" ht="14.25" customHeight="1">
      <c r="A782" s="79"/>
      <c r="B782" s="48"/>
      <c r="C782" s="49"/>
      <c r="D782" s="49"/>
    </row>
    <row r="783" spans="1:4" ht="14.25" customHeight="1">
      <c r="A783" s="79"/>
      <c r="B783" s="48"/>
      <c r="C783" s="49"/>
      <c r="D783" s="49"/>
    </row>
    <row r="784" spans="1:4" ht="14.25" customHeight="1">
      <c r="A784" s="79"/>
      <c r="B784" s="48"/>
      <c r="C784" s="49"/>
      <c r="D784" s="49"/>
    </row>
    <row r="785" spans="1:4" ht="14.25" customHeight="1">
      <c r="A785" s="79"/>
      <c r="B785" s="48"/>
      <c r="C785" s="49"/>
      <c r="D785" s="49"/>
    </row>
    <row r="786" spans="1:4" ht="14.25" customHeight="1">
      <c r="A786" s="79"/>
      <c r="B786" s="48"/>
      <c r="C786" s="49"/>
      <c r="D786" s="49"/>
    </row>
    <row r="787" spans="1:4" ht="14.25" customHeight="1">
      <c r="A787" s="79"/>
      <c r="B787" s="48"/>
      <c r="C787" s="49"/>
      <c r="D787" s="49"/>
    </row>
    <row r="788" spans="1:4" ht="14.25" customHeight="1">
      <c r="A788" s="79"/>
      <c r="B788" s="48"/>
      <c r="C788" s="49"/>
      <c r="D788" s="49"/>
    </row>
    <row r="789" spans="1:4" ht="14.25" customHeight="1">
      <c r="A789" s="79"/>
      <c r="B789" s="48"/>
      <c r="C789" s="49"/>
      <c r="D789" s="49"/>
    </row>
    <row r="790" spans="1:4" ht="14.25" customHeight="1">
      <c r="A790" s="79"/>
      <c r="B790" s="48"/>
      <c r="C790" s="49"/>
      <c r="D790" s="49"/>
    </row>
    <row r="791" spans="1:4" ht="14.25" customHeight="1">
      <c r="A791" s="79"/>
      <c r="B791" s="48"/>
      <c r="C791" s="49"/>
      <c r="D791" s="49"/>
    </row>
    <row r="792" spans="1:4" ht="14.25" customHeight="1">
      <c r="A792" s="79"/>
      <c r="B792" s="48"/>
      <c r="C792" s="49"/>
      <c r="D792" s="49"/>
    </row>
    <row r="793" spans="1:4" ht="14.25" customHeight="1">
      <c r="A793" s="79"/>
      <c r="B793" s="48"/>
      <c r="C793" s="49"/>
      <c r="D793" s="49"/>
    </row>
    <row r="794" spans="1:4" ht="14.25" customHeight="1">
      <c r="A794" s="79"/>
      <c r="B794" s="48"/>
      <c r="C794" s="49"/>
      <c r="D794" s="49"/>
    </row>
    <row r="795" spans="1:4" ht="14.25" customHeight="1">
      <c r="A795" s="79"/>
      <c r="B795" s="48"/>
      <c r="C795" s="49"/>
      <c r="D795" s="49"/>
    </row>
    <row r="796" spans="1:4" ht="14.25" customHeight="1">
      <c r="A796" s="79"/>
      <c r="B796" s="48"/>
      <c r="C796" s="49"/>
      <c r="D796" s="49"/>
    </row>
    <row r="797" spans="1:4" ht="14.25" customHeight="1">
      <c r="A797" s="79"/>
      <c r="B797" s="48"/>
      <c r="C797" s="49"/>
      <c r="D797" s="49"/>
    </row>
    <row r="798" spans="1:4" ht="14.25" customHeight="1">
      <c r="A798" s="79"/>
      <c r="B798" s="48"/>
      <c r="C798" s="49"/>
      <c r="D798" s="49"/>
    </row>
    <row r="799" spans="1:4" ht="14.25" customHeight="1">
      <c r="A799" s="79"/>
      <c r="B799" s="48"/>
      <c r="C799" s="49"/>
      <c r="D799" s="49"/>
    </row>
    <row r="800" spans="1:4" ht="14.25" customHeight="1">
      <c r="A800" s="79"/>
      <c r="B800" s="48"/>
      <c r="C800" s="49"/>
      <c r="D800" s="49"/>
    </row>
    <row r="801" spans="1:4" ht="14.25" customHeight="1">
      <c r="A801" s="79"/>
      <c r="B801" s="48"/>
      <c r="C801" s="49"/>
      <c r="D801" s="49"/>
    </row>
    <row r="802" spans="1:4" ht="14.25" customHeight="1">
      <c r="A802" s="79"/>
      <c r="B802" s="48"/>
      <c r="C802" s="49"/>
      <c r="D802" s="49"/>
    </row>
    <row r="803" spans="1:4" ht="14.25" customHeight="1">
      <c r="A803" s="79"/>
      <c r="B803" s="48"/>
      <c r="C803" s="49"/>
      <c r="D803" s="49"/>
    </row>
    <row r="804" spans="1:4" ht="14.25" customHeight="1">
      <c r="A804" s="79"/>
      <c r="B804" s="48"/>
      <c r="C804" s="49"/>
      <c r="D804" s="49"/>
    </row>
    <row r="805" spans="1:4" ht="14.25" customHeight="1">
      <c r="A805" s="79"/>
      <c r="B805" s="48"/>
      <c r="C805" s="49"/>
      <c r="D805" s="49"/>
    </row>
    <row r="806" spans="1:4" ht="14.25" customHeight="1">
      <c r="A806" s="79"/>
      <c r="B806" s="48"/>
      <c r="C806" s="49"/>
      <c r="D806" s="49"/>
    </row>
    <row r="807" spans="1:4" ht="14.25" customHeight="1">
      <c r="A807" s="79"/>
      <c r="B807" s="48"/>
      <c r="C807" s="49"/>
      <c r="D807" s="49"/>
    </row>
    <row r="808" spans="1:4" ht="14.25" customHeight="1">
      <c r="A808" s="79"/>
      <c r="B808" s="48"/>
      <c r="C808" s="49"/>
      <c r="D808" s="49"/>
    </row>
    <row r="809" spans="1:4" ht="14.25" customHeight="1">
      <c r="A809" s="79"/>
      <c r="B809" s="48"/>
      <c r="C809" s="49"/>
      <c r="D809" s="49"/>
    </row>
    <row r="810" spans="1:4" ht="14.25" customHeight="1">
      <c r="A810" s="79"/>
      <c r="B810" s="48"/>
      <c r="C810" s="49"/>
      <c r="D810" s="49"/>
    </row>
    <row r="811" spans="1:4" ht="14.25" customHeight="1">
      <c r="A811" s="79"/>
      <c r="B811" s="48"/>
      <c r="C811" s="49"/>
      <c r="D811" s="49"/>
    </row>
    <row r="812" spans="1:4" ht="14.25" customHeight="1">
      <c r="A812" s="79"/>
      <c r="B812" s="48"/>
      <c r="C812" s="49"/>
      <c r="D812" s="49"/>
    </row>
    <row r="813" spans="1:4" ht="14.25" customHeight="1">
      <c r="A813" s="79"/>
      <c r="B813" s="48"/>
      <c r="C813" s="49"/>
      <c r="D813" s="49"/>
    </row>
    <row r="814" spans="1:4" ht="14.25" customHeight="1">
      <c r="A814" s="79"/>
      <c r="B814" s="48"/>
      <c r="C814" s="49"/>
      <c r="D814" s="49"/>
    </row>
    <row r="815" spans="1:4" ht="14.25" customHeight="1">
      <c r="A815" s="79"/>
      <c r="B815" s="48"/>
      <c r="C815" s="49"/>
      <c r="D815" s="49"/>
    </row>
    <row r="816" spans="1:4" ht="14.25" customHeight="1">
      <c r="A816" s="79"/>
      <c r="B816" s="48"/>
      <c r="C816" s="49"/>
      <c r="D816" s="49"/>
    </row>
    <row r="817" spans="1:4" ht="14.25" customHeight="1">
      <c r="A817" s="79"/>
      <c r="B817" s="48"/>
      <c r="C817" s="49"/>
      <c r="D817" s="49"/>
    </row>
    <row r="818" spans="1:4" ht="14.25" customHeight="1">
      <c r="A818" s="79"/>
      <c r="B818" s="48"/>
      <c r="C818" s="49"/>
      <c r="D818" s="49"/>
    </row>
    <row r="819" spans="1:4" ht="14.25" customHeight="1">
      <c r="A819" s="79"/>
      <c r="B819" s="48"/>
      <c r="C819" s="49"/>
      <c r="D819" s="49"/>
    </row>
    <row r="820" spans="1:4" ht="14.25" customHeight="1">
      <c r="A820" s="79"/>
      <c r="B820" s="48"/>
      <c r="C820" s="49"/>
      <c r="D820" s="49"/>
    </row>
    <row r="821" spans="1:4" ht="14.25" customHeight="1">
      <c r="A821" s="79"/>
      <c r="B821" s="48"/>
      <c r="C821" s="49"/>
      <c r="D821" s="49"/>
    </row>
    <row r="822" spans="1:4" ht="14.25" customHeight="1">
      <c r="A822" s="79"/>
      <c r="B822" s="48"/>
      <c r="C822" s="49"/>
      <c r="D822" s="49"/>
    </row>
    <row r="823" spans="1:4" ht="14.25" customHeight="1">
      <c r="A823" s="79"/>
      <c r="B823" s="48"/>
      <c r="C823" s="49"/>
      <c r="D823" s="49"/>
    </row>
    <row r="824" spans="1:4" ht="14.25" customHeight="1">
      <c r="A824" s="79"/>
      <c r="B824" s="48"/>
      <c r="C824" s="49"/>
      <c r="D824" s="49"/>
    </row>
    <row r="825" spans="1:4" ht="14.25" customHeight="1">
      <c r="A825" s="79"/>
      <c r="B825" s="48"/>
      <c r="C825" s="49"/>
      <c r="D825" s="49"/>
    </row>
    <row r="826" spans="1:4" ht="14.25" customHeight="1">
      <c r="A826" s="79"/>
      <c r="B826" s="48"/>
      <c r="C826" s="49"/>
      <c r="D826" s="49"/>
    </row>
    <row r="827" spans="1:4" ht="14.25" customHeight="1">
      <c r="A827" s="79"/>
      <c r="B827" s="48"/>
      <c r="C827" s="49"/>
      <c r="D827" s="49"/>
    </row>
    <row r="828" spans="1:4" ht="14.25" customHeight="1">
      <c r="A828" s="79"/>
      <c r="B828" s="48"/>
      <c r="C828" s="49"/>
      <c r="D828" s="49"/>
    </row>
    <row r="829" spans="1:4" ht="14.25" customHeight="1">
      <c r="A829" s="79"/>
      <c r="B829" s="48"/>
      <c r="C829" s="49"/>
      <c r="D829" s="49"/>
    </row>
    <row r="830" spans="1:4" ht="14.25" customHeight="1">
      <c r="A830" s="79"/>
      <c r="B830" s="48"/>
      <c r="C830" s="49"/>
      <c r="D830" s="49"/>
    </row>
    <row r="831" spans="1:4" ht="14.25" customHeight="1">
      <c r="A831" s="79"/>
      <c r="B831" s="48"/>
      <c r="C831" s="49"/>
      <c r="D831" s="49"/>
    </row>
    <row r="832" spans="1:4" ht="14.25" customHeight="1">
      <c r="A832" s="79"/>
      <c r="B832" s="48"/>
      <c r="C832" s="49"/>
      <c r="D832" s="49"/>
    </row>
    <row r="833" spans="1:4" ht="14.25" customHeight="1">
      <c r="A833" s="79"/>
      <c r="B833" s="48"/>
      <c r="C833" s="49"/>
      <c r="D833" s="49"/>
    </row>
    <row r="834" spans="1:4" ht="14.25" customHeight="1">
      <c r="A834" s="79"/>
      <c r="B834" s="48"/>
      <c r="C834" s="49"/>
      <c r="D834" s="49"/>
    </row>
    <row r="835" spans="1:4" ht="14.25" customHeight="1">
      <c r="A835" s="79"/>
      <c r="B835" s="48"/>
      <c r="C835" s="49"/>
      <c r="D835" s="49"/>
    </row>
    <row r="836" spans="1:4" ht="14.25" customHeight="1">
      <c r="A836" s="79"/>
      <c r="B836" s="48"/>
      <c r="C836" s="49"/>
      <c r="D836" s="49"/>
    </row>
    <row r="837" spans="1:4" ht="14.25" customHeight="1">
      <c r="A837" s="79"/>
      <c r="B837" s="48"/>
      <c r="C837" s="49"/>
      <c r="D837" s="49"/>
    </row>
    <row r="838" spans="1:4" ht="14.25" customHeight="1">
      <c r="A838" s="79"/>
      <c r="B838" s="48"/>
      <c r="C838" s="49"/>
      <c r="D838" s="49"/>
    </row>
    <row r="839" spans="1:4" ht="14.25" customHeight="1">
      <c r="A839" s="79"/>
      <c r="B839" s="48"/>
      <c r="C839" s="49"/>
      <c r="D839" s="49"/>
    </row>
    <row r="840" spans="1:4" ht="14.25" customHeight="1">
      <c r="A840" s="79"/>
      <c r="B840" s="48"/>
      <c r="C840" s="49"/>
      <c r="D840" s="49"/>
    </row>
    <row r="841" spans="1:4" ht="14.25" customHeight="1">
      <c r="A841" s="79"/>
      <c r="B841" s="48"/>
      <c r="C841" s="49"/>
      <c r="D841" s="49"/>
    </row>
    <row r="842" spans="1:4" ht="14.25" customHeight="1">
      <c r="A842" s="79"/>
      <c r="B842" s="48"/>
      <c r="C842" s="49"/>
      <c r="D842" s="49"/>
    </row>
    <row r="843" spans="1:4" ht="14.25" customHeight="1">
      <c r="A843" s="79"/>
      <c r="B843" s="48"/>
      <c r="C843" s="49"/>
      <c r="D843" s="49"/>
    </row>
    <row r="844" spans="1:4" ht="14.25" customHeight="1">
      <c r="A844" s="79"/>
      <c r="B844" s="48"/>
      <c r="C844" s="49"/>
      <c r="D844" s="49"/>
    </row>
    <row r="845" spans="1:4" ht="14.25" customHeight="1">
      <c r="A845" s="79"/>
      <c r="B845" s="48"/>
      <c r="C845" s="49"/>
      <c r="D845" s="49"/>
    </row>
    <row r="846" spans="1:4" ht="14.25" customHeight="1">
      <c r="A846" s="79"/>
      <c r="B846" s="48"/>
      <c r="C846" s="49"/>
      <c r="D846" s="49"/>
    </row>
    <row r="847" spans="1:4" ht="14.25" customHeight="1">
      <c r="A847" s="79"/>
      <c r="B847" s="48"/>
      <c r="C847" s="49"/>
      <c r="D847" s="49"/>
    </row>
    <row r="848" spans="1:4" ht="14.25" customHeight="1">
      <c r="A848" s="79"/>
      <c r="B848" s="48"/>
      <c r="C848" s="49"/>
      <c r="D848" s="49"/>
    </row>
    <row r="849" spans="1:4" ht="14.25" customHeight="1">
      <c r="A849" s="79"/>
      <c r="B849" s="48"/>
      <c r="C849" s="49"/>
      <c r="D849" s="49"/>
    </row>
    <row r="850" spans="1:4" ht="14.25" customHeight="1">
      <c r="A850" s="79"/>
      <c r="B850" s="48"/>
      <c r="C850" s="49"/>
      <c r="D850" s="49"/>
    </row>
    <row r="851" spans="1:4" ht="14.25" customHeight="1">
      <c r="A851" s="79"/>
      <c r="B851" s="48"/>
      <c r="C851" s="49"/>
      <c r="D851" s="49"/>
    </row>
    <row r="852" spans="1:4" ht="14.25" customHeight="1">
      <c r="A852" s="79"/>
      <c r="B852" s="48"/>
      <c r="C852" s="49"/>
      <c r="D852" s="49"/>
    </row>
    <row r="853" spans="1:4" ht="14.25" customHeight="1">
      <c r="A853" s="79"/>
      <c r="B853" s="48"/>
      <c r="C853" s="49"/>
      <c r="D853" s="49"/>
    </row>
    <row r="854" spans="1:4" ht="14.25" customHeight="1">
      <c r="A854" s="79"/>
      <c r="B854" s="48"/>
      <c r="C854" s="49"/>
      <c r="D854" s="49"/>
    </row>
    <row r="855" spans="1:4" ht="14.25" customHeight="1">
      <c r="A855" s="79"/>
      <c r="B855" s="48"/>
      <c r="C855" s="49"/>
      <c r="D855" s="49"/>
    </row>
    <row r="856" spans="1:4" ht="14.25" customHeight="1">
      <c r="A856" s="79"/>
      <c r="B856" s="48"/>
      <c r="C856" s="49"/>
      <c r="D856" s="49"/>
    </row>
    <row r="857" spans="1:4" ht="14.25" customHeight="1">
      <c r="A857" s="79"/>
      <c r="B857" s="48"/>
      <c r="C857" s="49"/>
      <c r="D857" s="49"/>
    </row>
    <row r="858" spans="1:4" ht="14.25" customHeight="1">
      <c r="A858" s="79"/>
      <c r="B858" s="48"/>
      <c r="C858" s="49"/>
      <c r="D858" s="49"/>
    </row>
    <row r="859" spans="1:4" ht="14.25" customHeight="1">
      <c r="A859" s="79"/>
      <c r="B859" s="48"/>
      <c r="C859" s="49"/>
      <c r="D859" s="49"/>
    </row>
    <row r="860" spans="1:4" ht="14.25" customHeight="1">
      <c r="A860" s="79"/>
      <c r="B860" s="48"/>
      <c r="C860" s="49"/>
      <c r="D860" s="49"/>
    </row>
    <row r="861" spans="1:4" ht="14.25" customHeight="1">
      <c r="A861" s="79"/>
      <c r="B861" s="48"/>
      <c r="C861" s="49"/>
      <c r="D861" s="49"/>
    </row>
    <row r="862" spans="1:4" ht="14.25" customHeight="1">
      <c r="A862" s="79"/>
      <c r="B862" s="48"/>
      <c r="C862" s="49"/>
      <c r="D862" s="49"/>
    </row>
    <row r="863" spans="1:4" ht="14.25" customHeight="1">
      <c r="A863" s="79"/>
      <c r="B863" s="48"/>
      <c r="C863" s="49"/>
      <c r="D863" s="49"/>
    </row>
    <row r="864" spans="1:4" ht="14.25" customHeight="1">
      <c r="A864" s="79"/>
      <c r="B864" s="48"/>
      <c r="C864" s="49"/>
      <c r="D864" s="49"/>
    </row>
    <row r="865" spans="1:4" ht="14.25" customHeight="1">
      <c r="A865" s="79"/>
      <c r="B865" s="48"/>
      <c r="C865" s="49"/>
      <c r="D865" s="49"/>
    </row>
    <row r="866" spans="1:4" ht="14.25" customHeight="1">
      <c r="A866" s="79"/>
      <c r="B866" s="48"/>
      <c r="C866" s="49"/>
      <c r="D866" s="49"/>
    </row>
    <row r="867" spans="1:4" ht="14.25" customHeight="1">
      <c r="A867" s="79"/>
      <c r="B867" s="48"/>
      <c r="C867" s="49"/>
      <c r="D867" s="49"/>
    </row>
    <row r="868" spans="1:4" ht="14.25" customHeight="1">
      <c r="A868" s="79"/>
      <c r="B868" s="48"/>
      <c r="C868" s="49"/>
      <c r="D868" s="49"/>
    </row>
    <row r="869" spans="1:4" ht="14.25" customHeight="1">
      <c r="A869" s="79"/>
      <c r="B869" s="48"/>
      <c r="C869" s="49"/>
      <c r="D869" s="49"/>
    </row>
    <row r="870" spans="1:4" ht="14.25" customHeight="1">
      <c r="A870" s="79"/>
      <c r="B870" s="48"/>
      <c r="C870" s="49"/>
      <c r="D870" s="49"/>
    </row>
    <row r="871" spans="1:4" ht="14.25" customHeight="1">
      <c r="A871" s="79"/>
      <c r="B871" s="48"/>
      <c r="C871" s="49"/>
      <c r="D871" s="49"/>
    </row>
    <row r="872" spans="1:4" ht="14.25" customHeight="1">
      <c r="A872" s="79"/>
      <c r="B872" s="48"/>
      <c r="C872" s="49"/>
      <c r="D872" s="49"/>
    </row>
    <row r="873" spans="1:4" ht="14.25" customHeight="1">
      <c r="A873" s="79"/>
      <c r="B873" s="48"/>
      <c r="C873" s="49"/>
      <c r="D873" s="49"/>
    </row>
    <row r="874" spans="1:4" ht="14.25" customHeight="1">
      <c r="A874" s="79"/>
      <c r="B874" s="48"/>
      <c r="C874" s="49"/>
      <c r="D874" s="49"/>
    </row>
    <row r="875" spans="1:4" ht="14.25" customHeight="1">
      <c r="A875" s="79"/>
      <c r="B875" s="48"/>
      <c r="C875" s="49"/>
      <c r="D875" s="49"/>
    </row>
    <row r="876" spans="1:4" ht="14.25" customHeight="1">
      <c r="A876" s="79"/>
      <c r="B876" s="48"/>
      <c r="C876" s="49"/>
      <c r="D876" s="49"/>
    </row>
    <row r="877" spans="1:4" ht="14.25" customHeight="1">
      <c r="A877" s="79"/>
      <c r="B877" s="48"/>
      <c r="C877" s="49"/>
      <c r="D877" s="49"/>
    </row>
    <row r="878" spans="1:4" ht="14.25" customHeight="1">
      <c r="A878" s="79"/>
      <c r="B878" s="48"/>
      <c r="C878" s="49"/>
      <c r="D878" s="49"/>
    </row>
    <row r="879" spans="1:4" ht="14.25" customHeight="1">
      <c r="A879" s="79"/>
      <c r="B879" s="48"/>
      <c r="C879" s="49"/>
      <c r="D879" s="49"/>
    </row>
    <row r="880" spans="1:4" ht="14.25" customHeight="1">
      <c r="A880" s="79"/>
      <c r="B880" s="48"/>
      <c r="C880" s="49"/>
      <c r="D880" s="49"/>
    </row>
    <row r="881" spans="1:4" ht="14.25" customHeight="1">
      <c r="A881" s="79"/>
      <c r="B881" s="48"/>
      <c r="C881" s="49"/>
      <c r="D881" s="49"/>
    </row>
    <row r="882" spans="1:4" ht="14.25" customHeight="1">
      <c r="A882" s="79"/>
      <c r="B882" s="48"/>
      <c r="C882" s="49"/>
      <c r="D882" s="49"/>
    </row>
    <row r="883" spans="1:4" ht="14.25" customHeight="1">
      <c r="A883" s="79"/>
      <c r="B883" s="48"/>
      <c r="C883" s="49"/>
      <c r="D883" s="49"/>
    </row>
    <row r="884" spans="1:4" ht="14.25" customHeight="1">
      <c r="A884" s="79"/>
      <c r="B884" s="48"/>
      <c r="C884" s="49"/>
      <c r="D884" s="49"/>
    </row>
    <row r="885" spans="1:4" ht="14.25" customHeight="1">
      <c r="A885" s="79"/>
      <c r="B885" s="48"/>
      <c r="C885" s="49"/>
      <c r="D885" s="49"/>
    </row>
    <row r="886" spans="1:4" ht="14.25" customHeight="1">
      <c r="A886" s="79"/>
      <c r="B886" s="48"/>
      <c r="C886" s="49"/>
      <c r="D886" s="49"/>
    </row>
    <row r="887" spans="1:4" ht="14.25" customHeight="1">
      <c r="A887" s="79"/>
      <c r="B887" s="48"/>
      <c r="C887" s="49"/>
      <c r="D887" s="49"/>
    </row>
    <row r="888" spans="1:4" ht="14.25" customHeight="1">
      <c r="A888" s="79"/>
      <c r="B888" s="48"/>
      <c r="C888" s="49"/>
      <c r="D888" s="49"/>
    </row>
    <row r="889" spans="1:4" ht="14.25" customHeight="1">
      <c r="A889" s="79"/>
      <c r="B889" s="48"/>
      <c r="C889" s="49"/>
      <c r="D889" s="49"/>
    </row>
    <row r="890" spans="1:4" ht="14.25" customHeight="1">
      <c r="A890" s="79"/>
      <c r="B890" s="48"/>
      <c r="C890" s="49"/>
      <c r="D890" s="49"/>
    </row>
    <row r="891" spans="1:4" ht="14.25" customHeight="1">
      <c r="A891" s="79"/>
      <c r="B891" s="48"/>
      <c r="C891" s="49"/>
      <c r="D891" s="49"/>
    </row>
    <row r="892" spans="1:4" ht="14.25" customHeight="1">
      <c r="A892" s="79"/>
      <c r="B892" s="48"/>
      <c r="C892" s="49"/>
      <c r="D892" s="49"/>
    </row>
    <row r="893" spans="1:4" ht="14.25" customHeight="1">
      <c r="A893" s="79"/>
      <c r="B893" s="48"/>
      <c r="C893" s="49"/>
      <c r="D893" s="49"/>
    </row>
    <row r="894" spans="1:4" ht="14.25" customHeight="1">
      <c r="A894" s="79"/>
      <c r="B894" s="48"/>
      <c r="C894" s="49"/>
      <c r="D894" s="49"/>
    </row>
    <row r="895" spans="1:4" ht="14.25" customHeight="1">
      <c r="A895" s="79"/>
      <c r="B895" s="48"/>
      <c r="C895" s="49"/>
      <c r="D895" s="49"/>
    </row>
    <row r="896" spans="1:4" ht="14.25" customHeight="1">
      <c r="A896" s="79"/>
      <c r="B896" s="48"/>
      <c r="C896" s="49"/>
      <c r="D896" s="49"/>
    </row>
    <row r="897" spans="1:4" ht="14.25" customHeight="1">
      <c r="A897" s="79"/>
      <c r="B897" s="48"/>
      <c r="C897" s="49"/>
      <c r="D897" s="49"/>
    </row>
    <row r="898" spans="1:4" ht="14.25" customHeight="1">
      <c r="A898" s="79"/>
      <c r="B898" s="48"/>
      <c r="C898" s="49"/>
      <c r="D898" s="49"/>
    </row>
    <row r="899" spans="1:4" ht="14.25" customHeight="1">
      <c r="A899" s="79"/>
      <c r="B899" s="48"/>
      <c r="C899" s="49"/>
      <c r="D899" s="49"/>
    </row>
    <row r="900" spans="1:4" ht="14.25" customHeight="1">
      <c r="A900" s="79"/>
      <c r="B900" s="48"/>
      <c r="C900" s="49"/>
      <c r="D900" s="49"/>
    </row>
    <row r="901" spans="1:4" ht="14.25" customHeight="1">
      <c r="A901" s="79"/>
      <c r="B901" s="48"/>
      <c r="C901" s="49"/>
      <c r="D901" s="49"/>
    </row>
    <row r="902" spans="1:4" ht="14.25" customHeight="1">
      <c r="A902" s="79"/>
      <c r="B902" s="48"/>
      <c r="C902" s="49"/>
      <c r="D902" s="49"/>
    </row>
    <row r="903" spans="1:4" ht="14.25" customHeight="1">
      <c r="A903" s="79"/>
      <c r="B903" s="48"/>
      <c r="C903" s="49"/>
      <c r="D903" s="49"/>
    </row>
    <row r="904" spans="1:4" ht="14.25" customHeight="1">
      <c r="A904" s="79"/>
      <c r="B904" s="48"/>
      <c r="C904" s="49"/>
      <c r="D904" s="49"/>
    </row>
    <row r="905" spans="1:4" ht="14.25" customHeight="1">
      <c r="A905" s="79"/>
      <c r="B905" s="48"/>
      <c r="C905" s="49"/>
      <c r="D905" s="49"/>
    </row>
    <row r="906" spans="1:4" ht="14.25" customHeight="1">
      <c r="A906" s="79"/>
      <c r="B906" s="48"/>
      <c r="C906" s="49"/>
      <c r="D906" s="49"/>
    </row>
    <row r="907" spans="1:4" ht="14.25" customHeight="1">
      <c r="A907" s="79"/>
      <c r="B907" s="48"/>
      <c r="C907" s="49"/>
      <c r="D907" s="49"/>
    </row>
    <row r="908" spans="1:4" ht="14.25" customHeight="1">
      <c r="A908" s="79"/>
      <c r="B908" s="48"/>
      <c r="C908" s="49"/>
      <c r="D908" s="49"/>
    </row>
    <row r="909" spans="1:4" ht="14.25" customHeight="1">
      <c r="A909" s="79"/>
      <c r="B909" s="48"/>
      <c r="C909" s="49"/>
      <c r="D909" s="49"/>
    </row>
    <row r="910" spans="1:4" ht="14.25" customHeight="1">
      <c r="A910" s="79"/>
      <c r="B910" s="48"/>
      <c r="C910" s="49"/>
      <c r="D910" s="49"/>
    </row>
    <row r="911" spans="1:4" ht="14.25" customHeight="1">
      <c r="A911" s="79"/>
      <c r="B911" s="48"/>
      <c r="C911" s="49"/>
      <c r="D911" s="49"/>
    </row>
    <row r="912" spans="1:4" ht="14.25" customHeight="1">
      <c r="A912" s="79"/>
      <c r="B912" s="48"/>
      <c r="C912" s="49"/>
      <c r="D912" s="49"/>
    </row>
    <row r="913" spans="1:4" ht="14.25" customHeight="1">
      <c r="A913" s="79"/>
      <c r="B913" s="48"/>
      <c r="C913" s="49"/>
      <c r="D913" s="49"/>
    </row>
    <row r="914" spans="1:4" ht="14.25" customHeight="1">
      <c r="A914" s="79"/>
      <c r="B914" s="48"/>
      <c r="C914" s="49"/>
      <c r="D914" s="49"/>
    </row>
    <row r="915" spans="1:4" ht="14.25" customHeight="1">
      <c r="A915" s="79"/>
      <c r="B915" s="48"/>
      <c r="C915" s="49"/>
      <c r="D915" s="49"/>
    </row>
    <row r="916" spans="1:4" ht="14.25" customHeight="1">
      <c r="A916" s="79"/>
      <c r="B916" s="48"/>
      <c r="C916" s="49"/>
      <c r="D916" s="49"/>
    </row>
    <row r="917" spans="1:4" ht="14.25" customHeight="1">
      <c r="A917" s="79"/>
      <c r="B917" s="48"/>
      <c r="C917" s="49"/>
      <c r="D917" s="49"/>
    </row>
    <row r="918" spans="1:4" ht="14.25" customHeight="1">
      <c r="A918" s="79"/>
      <c r="B918" s="48"/>
      <c r="C918" s="49"/>
      <c r="D918" s="49"/>
    </row>
    <row r="919" spans="1:4" ht="14.25" customHeight="1">
      <c r="A919" s="79"/>
      <c r="B919" s="48"/>
      <c r="C919" s="49"/>
      <c r="D919" s="49"/>
    </row>
    <row r="920" spans="1:4" ht="14.25" customHeight="1">
      <c r="A920" s="79"/>
      <c r="B920" s="48"/>
      <c r="C920" s="49"/>
      <c r="D920" s="49"/>
    </row>
    <row r="921" spans="1:4" ht="14.25" customHeight="1">
      <c r="A921" s="79"/>
      <c r="B921" s="48"/>
      <c r="C921" s="49"/>
      <c r="D921" s="49"/>
    </row>
    <row r="922" spans="1:4" ht="14.25" customHeight="1">
      <c r="A922" s="79"/>
      <c r="B922" s="48"/>
      <c r="C922" s="49"/>
      <c r="D922" s="49"/>
    </row>
    <row r="923" spans="1:4" ht="14.25" customHeight="1">
      <c r="A923" s="79"/>
      <c r="B923" s="48"/>
      <c r="C923" s="49"/>
      <c r="D923" s="49"/>
    </row>
    <row r="924" spans="1:4" ht="14.25" customHeight="1">
      <c r="A924" s="79"/>
      <c r="B924" s="48"/>
      <c r="C924" s="49"/>
      <c r="D924" s="49"/>
    </row>
    <row r="925" spans="1:4" ht="14.25" customHeight="1">
      <c r="A925" s="79"/>
      <c r="B925" s="48"/>
      <c r="C925" s="49"/>
      <c r="D925" s="49"/>
    </row>
    <row r="926" spans="1:4" ht="14.25" customHeight="1">
      <c r="A926" s="79"/>
      <c r="B926" s="48"/>
      <c r="C926" s="49"/>
      <c r="D926" s="49"/>
    </row>
    <row r="927" spans="1:4" ht="14.25" customHeight="1">
      <c r="A927" s="79"/>
      <c r="B927" s="48"/>
      <c r="C927" s="49"/>
      <c r="D927" s="49"/>
    </row>
    <row r="928" spans="1:4" ht="14.25" customHeight="1">
      <c r="A928" s="79"/>
      <c r="B928" s="48"/>
      <c r="C928" s="49"/>
      <c r="D928" s="49"/>
    </row>
    <row r="929" spans="1:4" ht="14.25" customHeight="1">
      <c r="A929" s="79"/>
      <c r="B929" s="48"/>
      <c r="C929" s="49"/>
      <c r="D929" s="49"/>
    </row>
    <row r="930" spans="1:4" ht="14.25" customHeight="1">
      <c r="A930" s="79"/>
      <c r="B930" s="48"/>
      <c r="C930" s="49"/>
      <c r="D930" s="49"/>
    </row>
    <row r="931" spans="1:4" ht="14.25" customHeight="1">
      <c r="A931" s="79"/>
      <c r="B931" s="48"/>
      <c r="C931" s="49"/>
      <c r="D931" s="49"/>
    </row>
    <row r="932" spans="1:4" ht="14.25" customHeight="1">
      <c r="A932" s="79"/>
      <c r="B932" s="48"/>
      <c r="C932" s="49"/>
      <c r="D932" s="49"/>
    </row>
    <row r="933" spans="1:4" ht="14.25" customHeight="1">
      <c r="A933" s="79"/>
      <c r="B933" s="48"/>
      <c r="C933" s="49"/>
      <c r="D933" s="49"/>
    </row>
    <row r="934" spans="1:4" ht="14.25" customHeight="1">
      <c r="A934" s="79"/>
      <c r="B934" s="48"/>
      <c r="C934" s="49"/>
      <c r="D934" s="49"/>
    </row>
    <row r="935" spans="1:4" ht="14.25" customHeight="1">
      <c r="A935" s="79"/>
      <c r="B935" s="48"/>
      <c r="C935" s="49"/>
      <c r="D935" s="49"/>
    </row>
    <row r="936" spans="1:4" ht="14.25" customHeight="1">
      <c r="A936" s="79"/>
      <c r="B936" s="48"/>
      <c r="C936" s="49"/>
      <c r="D936" s="49"/>
    </row>
    <row r="937" spans="1:4" ht="14.25" customHeight="1">
      <c r="A937" s="79"/>
      <c r="B937" s="48"/>
      <c r="C937" s="49"/>
      <c r="D937" s="49"/>
    </row>
    <row r="938" spans="1:4" ht="14.25" customHeight="1">
      <c r="A938" s="79"/>
      <c r="B938" s="48"/>
      <c r="C938" s="49"/>
      <c r="D938" s="49"/>
    </row>
    <row r="939" spans="1:4" ht="14.25" customHeight="1">
      <c r="A939" s="79"/>
      <c r="B939" s="48"/>
      <c r="C939" s="49"/>
      <c r="D939" s="49"/>
    </row>
    <row r="940" spans="1:4" ht="14.25" customHeight="1">
      <c r="A940" s="79"/>
      <c r="B940" s="48"/>
      <c r="C940" s="49"/>
      <c r="D940" s="49"/>
    </row>
    <row r="941" spans="1:4" ht="14.25" customHeight="1">
      <c r="A941" s="79"/>
      <c r="B941" s="48"/>
      <c r="C941" s="49"/>
      <c r="D941" s="49"/>
    </row>
    <row r="942" spans="1:4" ht="14.25" customHeight="1">
      <c r="A942" s="79"/>
      <c r="B942" s="48"/>
      <c r="C942" s="49"/>
      <c r="D942" s="49"/>
    </row>
    <row r="943" spans="1:4" ht="14.25" customHeight="1">
      <c r="A943" s="79"/>
      <c r="B943" s="48"/>
      <c r="C943" s="49"/>
      <c r="D943" s="49"/>
    </row>
    <row r="944" spans="1:4" ht="14.25" customHeight="1">
      <c r="A944" s="79"/>
      <c r="B944" s="48"/>
      <c r="C944" s="49"/>
      <c r="D944" s="49"/>
    </row>
    <row r="945" spans="1:4" ht="14.25" customHeight="1">
      <c r="A945" s="79"/>
      <c r="B945" s="48"/>
      <c r="C945" s="49"/>
      <c r="D945" s="49"/>
    </row>
    <row r="946" spans="1:4" ht="14.25" customHeight="1">
      <c r="A946" s="79"/>
      <c r="B946" s="48"/>
      <c r="C946" s="49"/>
      <c r="D946" s="49"/>
    </row>
    <row r="947" spans="1:4" ht="14.25" customHeight="1">
      <c r="A947" s="79"/>
      <c r="B947" s="48"/>
      <c r="C947" s="49"/>
      <c r="D947" s="49"/>
    </row>
    <row r="948" spans="1:4" ht="14.25" customHeight="1">
      <c r="A948" s="79"/>
      <c r="B948" s="48"/>
      <c r="C948" s="49"/>
      <c r="D948" s="49"/>
    </row>
    <row r="949" spans="1:4" ht="14.25" customHeight="1">
      <c r="A949" s="79"/>
      <c r="B949" s="48"/>
      <c r="C949" s="49"/>
      <c r="D949" s="49"/>
    </row>
    <row r="950" spans="1:4" ht="14.25" customHeight="1">
      <c r="A950" s="79"/>
      <c r="B950" s="48"/>
      <c r="C950" s="49"/>
      <c r="D950" s="49"/>
    </row>
    <row r="951" spans="1:4" ht="14.25" customHeight="1">
      <c r="A951" s="79"/>
      <c r="B951" s="48"/>
      <c r="C951" s="49"/>
      <c r="D951" s="49"/>
    </row>
    <row r="952" spans="1:4" ht="14.25" customHeight="1">
      <c r="A952" s="79"/>
      <c r="B952" s="48"/>
      <c r="C952" s="49"/>
      <c r="D952" s="49"/>
    </row>
    <row r="953" spans="1:4" ht="14.25" customHeight="1">
      <c r="A953" s="79"/>
      <c r="B953" s="48"/>
      <c r="C953" s="49"/>
      <c r="D953" s="49"/>
    </row>
    <row r="954" spans="1:4" ht="14.25" customHeight="1">
      <c r="A954" s="79"/>
      <c r="B954" s="48"/>
      <c r="C954" s="49"/>
      <c r="D954" s="49"/>
    </row>
    <row r="955" spans="1:4" ht="14.25" customHeight="1">
      <c r="A955" s="79"/>
      <c r="B955" s="48"/>
      <c r="C955" s="49"/>
      <c r="D955" s="49"/>
    </row>
    <row r="956" spans="1:4" ht="14.25" customHeight="1">
      <c r="A956" s="79"/>
      <c r="B956" s="48"/>
      <c r="C956" s="49"/>
      <c r="D956" s="49"/>
    </row>
    <row r="957" spans="1:4" ht="14.25" customHeight="1">
      <c r="A957" s="79"/>
      <c r="B957" s="48"/>
      <c r="C957" s="49"/>
      <c r="D957" s="49"/>
    </row>
    <row r="958" spans="1:4" ht="14.25" customHeight="1">
      <c r="A958" s="79"/>
      <c r="B958" s="48"/>
      <c r="C958" s="49"/>
      <c r="D958" s="49"/>
    </row>
    <row r="959" spans="1:4" ht="14.25" customHeight="1">
      <c r="A959" s="79"/>
      <c r="B959" s="48"/>
      <c r="C959" s="49"/>
      <c r="D959" s="49"/>
    </row>
    <row r="960" spans="1:4" ht="14.25" customHeight="1">
      <c r="A960" s="79"/>
      <c r="B960" s="48"/>
      <c r="C960" s="49"/>
      <c r="D960" s="49"/>
    </row>
    <row r="961" spans="1:4" ht="14.25" customHeight="1">
      <c r="A961" s="79"/>
      <c r="B961" s="48"/>
      <c r="C961" s="49"/>
      <c r="D961" s="49"/>
    </row>
    <row r="962" spans="1:4" ht="14.25" customHeight="1">
      <c r="A962" s="79"/>
      <c r="B962" s="48"/>
      <c r="C962" s="49"/>
      <c r="D962" s="49"/>
    </row>
    <row r="963" spans="1:4" ht="14.25" customHeight="1">
      <c r="A963" s="79"/>
      <c r="B963" s="48"/>
      <c r="C963" s="49"/>
      <c r="D963" s="49"/>
    </row>
    <row r="964" spans="1:4" ht="14.25" customHeight="1">
      <c r="A964" s="79"/>
      <c r="B964" s="48"/>
      <c r="C964" s="49"/>
      <c r="D964" s="49"/>
    </row>
    <row r="965" spans="1:4" ht="14.25" customHeight="1">
      <c r="A965" s="79"/>
      <c r="B965" s="48"/>
      <c r="C965" s="49"/>
      <c r="D965" s="49"/>
    </row>
    <row r="966" spans="1:4" ht="14.25" customHeight="1">
      <c r="A966" s="79"/>
      <c r="B966" s="48"/>
      <c r="C966" s="49"/>
      <c r="D966" s="49"/>
    </row>
    <row r="967" spans="1:4" ht="14.25" customHeight="1">
      <c r="A967" s="79"/>
      <c r="B967" s="48"/>
      <c r="C967" s="49"/>
      <c r="D967" s="49"/>
    </row>
    <row r="968" spans="1:4" ht="14.25" customHeight="1">
      <c r="A968" s="79"/>
      <c r="B968" s="48"/>
      <c r="C968" s="49"/>
      <c r="D968" s="49"/>
    </row>
    <row r="969" spans="1:4" ht="14.25" customHeight="1">
      <c r="A969" s="79"/>
      <c r="B969" s="48"/>
      <c r="C969" s="49"/>
      <c r="D969" s="49"/>
    </row>
    <row r="970" spans="1:4" ht="14.25" customHeight="1">
      <c r="A970" s="79"/>
      <c r="B970" s="48"/>
      <c r="C970" s="49"/>
      <c r="D970" s="49"/>
    </row>
    <row r="971" spans="1:4" ht="14.25" customHeight="1">
      <c r="A971" s="79"/>
      <c r="B971" s="48"/>
      <c r="C971" s="49"/>
      <c r="D971" s="49"/>
    </row>
    <row r="972" spans="1:4" ht="14.25" customHeight="1">
      <c r="A972" s="79"/>
      <c r="B972" s="48"/>
      <c r="C972" s="49"/>
      <c r="D972" s="49"/>
    </row>
    <row r="973" spans="1:4" ht="14.25" customHeight="1">
      <c r="A973" s="79"/>
      <c r="B973" s="48"/>
      <c r="C973" s="49"/>
      <c r="D973" s="49"/>
    </row>
    <row r="974" spans="1:4" ht="14.25" customHeight="1">
      <c r="A974" s="79"/>
      <c r="B974" s="48"/>
      <c r="C974" s="49"/>
      <c r="D974" s="49"/>
    </row>
    <row r="975" spans="1:4" ht="14.25" customHeight="1">
      <c r="A975" s="79"/>
      <c r="B975" s="48"/>
      <c r="C975" s="49"/>
      <c r="D975" s="49"/>
    </row>
    <row r="976" spans="1:4" ht="14.25" customHeight="1">
      <c r="A976" s="79"/>
      <c r="B976" s="48"/>
      <c r="C976" s="49"/>
      <c r="D976" s="49"/>
    </row>
    <row r="977" spans="1:4" ht="14.25" customHeight="1">
      <c r="A977" s="79"/>
      <c r="B977" s="48"/>
      <c r="C977" s="49"/>
      <c r="D977" s="49"/>
    </row>
    <row r="978" spans="1:4" ht="14.25" customHeight="1">
      <c r="A978" s="79"/>
      <c r="B978" s="48"/>
      <c r="C978" s="49"/>
      <c r="D978" s="49"/>
    </row>
    <row r="979" spans="1:4" ht="14.25" customHeight="1">
      <c r="A979" s="79"/>
      <c r="B979" s="48"/>
      <c r="C979" s="49"/>
      <c r="D979" s="49"/>
    </row>
    <row r="980" spans="1:4" ht="14.25" customHeight="1">
      <c r="A980" s="79"/>
      <c r="B980" s="48"/>
      <c r="C980" s="49"/>
      <c r="D980" s="49"/>
    </row>
    <row r="981" spans="1:4" ht="14.25" customHeight="1">
      <c r="A981" s="79"/>
      <c r="B981" s="48"/>
      <c r="C981" s="49"/>
      <c r="D981" s="49"/>
    </row>
    <row r="982" spans="1:4" ht="14.25" customHeight="1">
      <c r="A982" s="79"/>
      <c r="B982" s="48"/>
      <c r="C982" s="49"/>
      <c r="D982" s="49"/>
    </row>
    <row r="983" spans="1:4" ht="14.25" customHeight="1">
      <c r="A983" s="79"/>
      <c r="B983" s="48"/>
      <c r="C983" s="49"/>
      <c r="D983" s="49"/>
    </row>
    <row r="984" spans="1:4" ht="14.25" customHeight="1">
      <c r="A984" s="79"/>
      <c r="B984" s="48"/>
      <c r="C984" s="49"/>
      <c r="D984" s="49"/>
    </row>
    <row r="985" spans="1:4" ht="14.25" customHeight="1">
      <c r="A985" s="79"/>
      <c r="B985" s="48"/>
      <c r="C985" s="49"/>
      <c r="D985" s="49"/>
    </row>
    <row r="986" spans="1:4" ht="14.25" customHeight="1">
      <c r="A986" s="79"/>
      <c r="B986" s="48"/>
      <c r="C986" s="49"/>
      <c r="D986" s="49"/>
    </row>
    <row r="987" spans="1:4" ht="14.25" customHeight="1">
      <c r="A987" s="79"/>
      <c r="B987" s="48"/>
      <c r="C987" s="49"/>
      <c r="D987" s="49"/>
    </row>
    <row r="988" spans="1:4" ht="14.25" customHeight="1">
      <c r="A988" s="79"/>
      <c r="B988" s="48"/>
      <c r="C988" s="49"/>
      <c r="D988" s="49"/>
    </row>
    <row r="989" spans="1:4" ht="14.25" customHeight="1">
      <c r="A989" s="79"/>
      <c r="B989" s="48"/>
      <c r="C989" s="49"/>
      <c r="D989" s="49"/>
    </row>
    <row r="990" spans="1:4" ht="14.25" customHeight="1">
      <c r="A990" s="79"/>
      <c r="B990" s="48"/>
      <c r="C990" s="49"/>
      <c r="D990" s="49"/>
    </row>
    <row r="991" spans="1:4" ht="14.25" customHeight="1">
      <c r="A991" s="79"/>
      <c r="B991" s="48"/>
      <c r="C991" s="49"/>
      <c r="D991" s="49"/>
    </row>
    <row r="992" spans="1:4" ht="14.25" customHeight="1">
      <c r="A992" s="79"/>
      <c r="B992" s="48"/>
      <c r="C992" s="49"/>
      <c r="D992" s="49"/>
    </row>
    <row r="993" spans="1:4" ht="14.25" customHeight="1">
      <c r="A993" s="79"/>
      <c r="B993" s="48"/>
      <c r="C993" s="49"/>
      <c r="D993" s="49"/>
    </row>
    <row r="994" spans="1:4" ht="14.25" customHeight="1">
      <c r="A994" s="79"/>
      <c r="B994" s="48"/>
      <c r="C994" s="49"/>
      <c r="D994" s="49"/>
    </row>
    <row r="995" spans="1:4" ht="14.25" customHeight="1">
      <c r="A995" s="79"/>
      <c r="B995" s="48"/>
      <c r="C995" s="49"/>
      <c r="D995" s="49"/>
    </row>
    <row r="996" spans="1:4" ht="14.25" customHeight="1">
      <c r="A996" s="79"/>
      <c r="B996" s="48"/>
      <c r="C996" s="49"/>
      <c r="D996" s="49"/>
    </row>
    <row r="997" spans="1:4" ht="14.25" customHeight="1">
      <c r="A997" s="79"/>
      <c r="B997" s="48"/>
      <c r="C997" s="49"/>
      <c r="D997" s="49"/>
    </row>
    <row r="998" spans="1:4" ht="14.25" customHeight="1">
      <c r="A998" s="79"/>
      <c r="B998" s="48"/>
      <c r="C998" s="49"/>
      <c r="D998" s="49"/>
    </row>
    <row r="999" spans="1:4" ht="14.25" customHeight="1">
      <c r="A999" s="79"/>
      <c r="B999" s="48"/>
      <c r="C999" s="49"/>
      <c r="D999" s="49"/>
    </row>
    <row r="1000" spans="1:4" ht="14.25" customHeight="1">
      <c r="A1000" s="79"/>
      <c r="B1000" s="48"/>
      <c r="C1000" s="49"/>
      <c r="D1000" s="49"/>
    </row>
    <row r="1001" spans="1:4" ht="14.25" customHeight="1">
      <c r="A1001" s="79"/>
      <c r="B1001" s="48"/>
      <c r="C1001" s="49"/>
      <c r="D1001" s="49"/>
    </row>
    <row r="1002" spans="1:4" ht="14.25" customHeight="1">
      <c r="A1002" s="79"/>
      <c r="B1002" s="48"/>
      <c r="C1002" s="49"/>
      <c r="D1002" s="49"/>
    </row>
    <row r="1003" spans="1:4" ht="14.25" customHeight="1">
      <c r="A1003" s="79"/>
      <c r="B1003" s="48"/>
      <c r="C1003" s="49"/>
      <c r="D1003" s="49"/>
    </row>
    <row r="1004" spans="1:4" ht="14.25" customHeight="1">
      <c r="A1004" s="79"/>
      <c r="B1004" s="48"/>
      <c r="C1004" s="49"/>
      <c r="D1004" s="49"/>
    </row>
    <row r="1005" spans="1:4" ht="14.25" customHeight="1">
      <c r="A1005" s="79"/>
      <c r="B1005" s="48"/>
      <c r="C1005" s="49"/>
      <c r="D1005" s="49"/>
    </row>
    <row r="1006" spans="1:4" ht="14.25" customHeight="1">
      <c r="A1006" s="79"/>
      <c r="B1006" s="48"/>
      <c r="C1006" s="49"/>
      <c r="D1006" s="49"/>
    </row>
    <row r="1007" spans="1:4" ht="14.25" customHeight="1">
      <c r="A1007" s="79"/>
      <c r="B1007" s="48"/>
      <c r="C1007" s="49"/>
      <c r="D1007" s="49"/>
    </row>
    <row r="1008" spans="1:4" ht="14.25" customHeight="1">
      <c r="A1008" s="79"/>
      <c r="B1008" s="48"/>
      <c r="C1008" s="49"/>
      <c r="D1008" s="49"/>
    </row>
    <row r="1009" spans="1:4" ht="14.25" customHeight="1">
      <c r="A1009" s="79"/>
      <c r="B1009" s="48"/>
      <c r="C1009" s="49"/>
      <c r="D1009" s="49"/>
    </row>
    <row r="1010" spans="1:4" ht="14.25" customHeight="1">
      <c r="A1010" s="79"/>
      <c r="B1010" s="48"/>
      <c r="C1010" s="49"/>
      <c r="D1010" s="49"/>
    </row>
    <row r="1011" spans="1:4" ht="14.25" customHeight="1">
      <c r="A1011" s="79"/>
      <c r="B1011" s="48"/>
      <c r="C1011" s="49"/>
      <c r="D1011" s="49"/>
    </row>
    <row r="1012" spans="1:4" ht="15" customHeight="1">
      <c r="A1012" s="79"/>
      <c r="B1012" s="48"/>
      <c r="C1012" s="49"/>
      <c r="D1012" s="49"/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16"/>
  <sheetViews>
    <sheetView workbookViewId="0">
      <selection activeCell="A9" sqref="A9"/>
    </sheetView>
  </sheetViews>
  <sheetFormatPr baseColWidth="10" defaultColWidth="14.44140625" defaultRowHeight="15" customHeight="1"/>
  <cols>
    <col min="1" max="1" width="16.33203125" style="80" customWidth="1"/>
    <col min="2" max="2" width="15.109375" customWidth="1"/>
    <col min="3" max="3" width="8.88671875" customWidth="1"/>
    <col min="4" max="4" width="15.5546875" customWidth="1"/>
    <col min="5" max="26" width="8.88671875" customWidth="1"/>
  </cols>
  <sheetData>
    <row r="1" spans="1:26" ht="14.25" customHeight="1">
      <c r="A1" s="81" t="s">
        <v>8</v>
      </c>
      <c r="B1" s="50" t="s">
        <v>9</v>
      </c>
      <c r="C1" s="51" t="s">
        <v>369</v>
      </c>
      <c r="D1" s="51" t="s">
        <v>370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>
      <c r="A2" s="82">
        <v>1</v>
      </c>
      <c r="B2" s="52" t="s">
        <v>12</v>
      </c>
      <c r="C2" s="14">
        <v>0.22160613904587953</v>
      </c>
      <c r="D2" s="53">
        <v>5.835769754412129E-2</v>
      </c>
    </row>
    <row r="3" spans="1:26" ht="14.25" customHeight="1">
      <c r="A3" s="82">
        <v>2</v>
      </c>
      <c r="B3" s="52" t="s">
        <v>14</v>
      </c>
      <c r="C3" s="14">
        <v>0.10984024587868928</v>
      </c>
      <c r="D3" s="53">
        <v>2.7360930303940031E-2</v>
      </c>
    </row>
    <row r="4" spans="1:26" ht="14.25" customHeight="1">
      <c r="A4" s="82">
        <v>3</v>
      </c>
      <c r="B4" s="52" t="s">
        <v>16</v>
      </c>
      <c r="C4" s="14">
        <v>0.14182934425371055</v>
      </c>
      <c r="D4" s="53">
        <v>3.8254272015466995E-2</v>
      </c>
    </row>
    <row r="5" spans="1:26" ht="14.25" customHeight="1">
      <c r="A5" s="82">
        <v>4</v>
      </c>
      <c r="B5" s="52" t="s">
        <v>18</v>
      </c>
      <c r="C5" s="14">
        <v>0.12985164249555672</v>
      </c>
      <c r="D5" s="53">
        <v>3.751945019588647E-2</v>
      </c>
    </row>
    <row r="6" spans="1:26" ht="14.25" customHeight="1">
      <c r="A6" s="82">
        <v>5</v>
      </c>
      <c r="B6" s="52" t="s">
        <v>20</v>
      </c>
      <c r="C6" s="14">
        <v>0.22515940345245286</v>
      </c>
      <c r="D6" s="53">
        <v>6.3575495309830102E-2</v>
      </c>
    </row>
    <row r="7" spans="1:26" ht="14.25" customHeight="1">
      <c r="A7" s="82">
        <v>6</v>
      </c>
      <c r="B7" s="52" t="s">
        <v>22</v>
      </c>
      <c r="C7" s="14">
        <v>7.9218140113454322E-2</v>
      </c>
      <c r="D7" s="53">
        <v>1.7763805410363969E-2</v>
      </c>
    </row>
    <row r="8" spans="1:26" ht="14.25" customHeight="1">
      <c r="A8" s="82">
        <v>7</v>
      </c>
      <c r="B8" s="52" t="s">
        <v>24</v>
      </c>
      <c r="C8" s="14">
        <v>9.4728522989088751E-2</v>
      </c>
      <c r="D8" s="53">
        <v>1.7080721460879422E-2</v>
      </c>
    </row>
    <row r="9" spans="1:26" ht="14.25" customHeight="1">
      <c r="A9" s="82">
        <v>8</v>
      </c>
      <c r="B9" s="52" t="s">
        <v>26</v>
      </c>
      <c r="C9" s="14">
        <v>0.22875990415389341</v>
      </c>
      <c r="D9" s="53">
        <v>7.2824811258536293E-2</v>
      </c>
    </row>
    <row r="10" spans="1:26" ht="14.25" customHeight="1">
      <c r="A10" s="82">
        <v>9</v>
      </c>
      <c r="B10" s="52" t="s">
        <v>28</v>
      </c>
      <c r="C10" s="14">
        <v>0.23724774043369357</v>
      </c>
      <c r="D10" s="53">
        <v>4.9432890774919261E-2</v>
      </c>
    </row>
    <row r="11" spans="1:26" ht="14.25" customHeight="1">
      <c r="A11" s="82">
        <v>10</v>
      </c>
      <c r="B11" s="52" t="s">
        <v>30</v>
      </c>
      <c r="C11" s="14">
        <v>8.0504987167910616E-2</v>
      </c>
      <c r="D11" s="53">
        <v>1.9107846746968523E-2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4.25" customHeight="1">
      <c r="A12" s="82">
        <v>11</v>
      </c>
      <c r="B12" s="52" t="s">
        <v>32</v>
      </c>
      <c r="C12" s="14">
        <v>0.13331640171095777</v>
      </c>
      <c r="D12" s="53">
        <v>3.3132580070679533E-2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4.25" customHeight="1">
      <c r="A13" s="83"/>
      <c r="B13" s="55"/>
      <c r="C13" s="56"/>
      <c r="D13" s="56"/>
    </row>
    <row r="14" spans="1:26" ht="14.25" customHeight="1">
      <c r="A14" s="83"/>
      <c r="B14" s="55"/>
      <c r="C14" s="56"/>
      <c r="D14" s="56"/>
    </row>
    <row r="15" spans="1:26" ht="14.25" customHeight="1">
      <c r="A15" s="83"/>
      <c r="B15" s="55"/>
      <c r="C15" s="56"/>
      <c r="D15" s="56"/>
    </row>
    <row r="16" spans="1:26" ht="14.25" customHeight="1">
      <c r="A16" s="83"/>
      <c r="B16" s="55"/>
      <c r="C16" s="56"/>
      <c r="D16" s="56"/>
    </row>
    <row r="17" spans="1:4" ht="14.25" customHeight="1">
      <c r="A17" s="83"/>
      <c r="B17" s="55"/>
      <c r="C17" s="56"/>
      <c r="D17" s="56"/>
    </row>
    <row r="18" spans="1:4" ht="14.25" customHeight="1">
      <c r="A18" s="83"/>
      <c r="B18" s="55"/>
      <c r="C18" s="56"/>
      <c r="D18" s="56"/>
    </row>
    <row r="19" spans="1:4" ht="14.25" customHeight="1">
      <c r="A19" s="83"/>
      <c r="B19" s="55"/>
      <c r="C19" s="56"/>
      <c r="D19" s="56"/>
    </row>
    <row r="20" spans="1:4" ht="14.25" customHeight="1">
      <c r="A20" s="83"/>
      <c r="B20" s="55"/>
      <c r="C20" s="56"/>
      <c r="D20" s="56"/>
    </row>
    <row r="21" spans="1:4" ht="14.25" customHeight="1">
      <c r="A21" s="83"/>
      <c r="B21" s="55"/>
      <c r="C21" s="56"/>
      <c r="D21" s="56"/>
    </row>
    <row r="22" spans="1:4" ht="14.25" customHeight="1">
      <c r="A22" s="83"/>
      <c r="B22" s="55"/>
      <c r="C22" s="56"/>
      <c r="D22" s="56"/>
    </row>
    <row r="23" spans="1:4" ht="14.25" customHeight="1">
      <c r="A23" s="83"/>
      <c r="B23" s="55"/>
      <c r="C23" s="56"/>
      <c r="D23" s="56"/>
    </row>
    <row r="24" spans="1:4" ht="14.25" customHeight="1">
      <c r="A24" s="83"/>
      <c r="B24" s="55"/>
      <c r="C24" s="56"/>
      <c r="D24" s="56"/>
    </row>
    <row r="25" spans="1:4" ht="14.25" customHeight="1">
      <c r="A25" s="83"/>
      <c r="B25" s="55"/>
      <c r="C25" s="56"/>
      <c r="D25" s="56"/>
    </row>
    <row r="26" spans="1:4" ht="14.25" customHeight="1">
      <c r="A26" s="83"/>
      <c r="B26" s="55"/>
      <c r="C26" s="56"/>
      <c r="D26" s="56"/>
    </row>
    <row r="27" spans="1:4" ht="14.25" customHeight="1">
      <c r="A27" s="83"/>
      <c r="B27" s="55"/>
      <c r="C27" s="56"/>
      <c r="D27" s="56"/>
    </row>
    <row r="28" spans="1:4" ht="14.25" customHeight="1">
      <c r="A28" s="83"/>
      <c r="B28" s="55"/>
      <c r="C28" s="56"/>
      <c r="D28" s="56"/>
    </row>
    <row r="29" spans="1:4" ht="14.25" customHeight="1">
      <c r="A29" s="83"/>
      <c r="B29" s="55"/>
      <c r="C29" s="56"/>
      <c r="D29" s="56"/>
    </row>
    <row r="30" spans="1:4" ht="14.25" customHeight="1">
      <c r="A30" s="83"/>
      <c r="B30" s="55"/>
      <c r="C30" s="56"/>
      <c r="D30" s="56"/>
    </row>
    <row r="31" spans="1:4" ht="14.25" customHeight="1">
      <c r="A31" s="83"/>
      <c r="B31" s="55"/>
      <c r="C31" s="56"/>
      <c r="D31" s="56"/>
    </row>
    <row r="32" spans="1:4" ht="14.25" customHeight="1">
      <c r="A32" s="83"/>
      <c r="B32" s="55"/>
      <c r="C32" s="56"/>
      <c r="D32" s="56"/>
    </row>
    <row r="33" spans="1:4" ht="14.25" customHeight="1">
      <c r="A33" s="83"/>
      <c r="B33" s="55"/>
      <c r="C33" s="56"/>
      <c r="D33" s="56"/>
    </row>
    <row r="34" spans="1:4" ht="14.25" customHeight="1">
      <c r="A34" s="83"/>
      <c r="B34" s="55"/>
      <c r="C34" s="56"/>
      <c r="D34" s="56"/>
    </row>
    <row r="35" spans="1:4" ht="14.25" customHeight="1">
      <c r="A35" s="83"/>
      <c r="B35" s="55"/>
      <c r="C35" s="56"/>
      <c r="D35" s="56"/>
    </row>
    <row r="36" spans="1:4" ht="14.25" customHeight="1">
      <c r="A36" s="83"/>
      <c r="B36" s="55"/>
      <c r="C36" s="56"/>
      <c r="D36" s="56"/>
    </row>
    <row r="37" spans="1:4" ht="14.25" customHeight="1">
      <c r="A37" s="83"/>
      <c r="B37" s="55"/>
      <c r="C37" s="56"/>
      <c r="D37" s="56"/>
    </row>
    <row r="38" spans="1:4" ht="14.25" customHeight="1">
      <c r="A38" s="83"/>
      <c r="B38" s="55"/>
      <c r="C38" s="56"/>
      <c r="D38" s="56"/>
    </row>
    <row r="39" spans="1:4" ht="14.25" customHeight="1">
      <c r="A39" s="83"/>
      <c r="B39" s="55"/>
      <c r="C39" s="56"/>
      <c r="D39" s="56"/>
    </row>
    <row r="40" spans="1:4" ht="14.25" customHeight="1">
      <c r="A40" s="83"/>
      <c r="B40" s="55"/>
      <c r="C40" s="56"/>
      <c r="D40" s="56"/>
    </row>
    <row r="41" spans="1:4" ht="14.25" customHeight="1">
      <c r="A41" s="83"/>
      <c r="B41" s="55"/>
      <c r="C41" s="56"/>
      <c r="D41" s="56"/>
    </row>
    <row r="42" spans="1:4" ht="14.25" customHeight="1">
      <c r="A42" s="83"/>
      <c r="B42" s="55"/>
      <c r="C42" s="56"/>
      <c r="D42" s="56"/>
    </row>
    <row r="43" spans="1:4" ht="14.25" customHeight="1">
      <c r="A43" s="83"/>
      <c r="B43" s="55"/>
      <c r="C43" s="56"/>
      <c r="D43" s="56"/>
    </row>
    <row r="44" spans="1:4" ht="14.25" customHeight="1">
      <c r="A44" s="83"/>
      <c r="B44" s="55"/>
      <c r="C44" s="56"/>
      <c r="D44" s="56"/>
    </row>
    <row r="45" spans="1:4" ht="14.25" customHeight="1">
      <c r="A45" s="83"/>
      <c r="B45" s="55"/>
      <c r="C45" s="56"/>
      <c r="D45" s="56"/>
    </row>
    <row r="46" spans="1:4" ht="14.25" customHeight="1">
      <c r="A46" s="83"/>
      <c r="B46" s="55"/>
      <c r="C46" s="56"/>
      <c r="D46" s="56"/>
    </row>
    <row r="47" spans="1:4" ht="14.25" customHeight="1">
      <c r="A47" s="83"/>
      <c r="B47" s="55"/>
      <c r="C47" s="56"/>
      <c r="D47" s="56"/>
    </row>
    <row r="48" spans="1:4" ht="14.25" customHeight="1">
      <c r="A48" s="83"/>
      <c r="B48" s="55"/>
      <c r="C48" s="56"/>
      <c r="D48" s="56"/>
    </row>
    <row r="49" spans="1:4" ht="14.25" customHeight="1">
      <c r="A49" s="83"/>
      <c r="B49" s="55"/>
      <c r="C49" s="56"/>
      <c r="D49" s="56"/>
    </row>
    <row r="50" spans="1:4" ht="14.25" customHeight="1">
      <c r="A50" s="83"/>
      <c r="B50" s="55"/>
      <c r="C50" s="56"/>
      <c r="D50" s="56"/>
    </row>
    <row r="51" spans="1:4" ht="14.25" customHeight="1">
      <c r="A51" s="83"/>
      <c r="B51" s="55"/>
      <c r="C51" s="56"/>
      <c r="D51" s="56"/>
    </row>
    <row r="52" spans="1:4" ht="14.25" customHeight="1">
      <c r="A52" s="83"/>
      <c r="B52" s="55"/>
      <c r="C52" s="56"/>
      <c r="D52" s="56"/>
    </row>
    <row r="53" spans="1:4" ht="14.25" customHeight="1">
      <c r="A53" s="83"/>
      <c r="B53" s="55"/>
      <c r="C53" s="56"/>
      <c r="D53" s="56"/>
    </row>
    <row r="54" spans="1:4" ht="14.25" customHeight="1">
      <c r="A54" s="83"/>
      <c r="B54" s="55"/>
      <c r="C54" s="56"/>
      <c r="D54" s="56"/>
    </row>
    <row r="55" spans="1:4" ht="14.25" customHeight="1">
      <c r="A55" s="83"/>
      <c r="B55" s="55"/>
      <c r="C55" s="56"/>
      <c r="D55" s="56"/>
    </row>
    <row r="56" spans="1:4" ht="14.25" customHeight="1">
      <c r="A56" s="83"/>
      <c r="B56" s="55"/>
      <c r="C56" s="56"/>
      <c r="D56" s="56"/>
    </row>
    <row r="57" spans="1:4" ht="14.25" customHeight="1">
      <c r="A57" s="83"/>
      <c r="B57" s="55"/>
      <c r="C57" s="56"/>
      <c r="D57" s="56"/>
    </row>
    <row r="58" spans="1:4" ht="14.25" customHeight="1">
      <c r="A58" s="83"/>
      <c r="B58" s="55"/>
      <c r="C58" s="56"/>
      <c r="D58" s="56"/>
    </row>
    <row r="59" spans="1:4" ht="14.25" customHeight="1">
      <c r="A59" s="83"/>
      <c r="B59" s="55"/>
      <c r="C59" s="56"/>
      <c r="D59" s="56"/>
    </row>
    <row r="60" spans="1:4" ht="14.25" customHeight="1">
      <c r="A60" s="83"/>
      <c r="B60" s="55"/>
      <c r="C60" s="56"/>
      <c r="D60" s="56"/>
    </row>
    <row r="61" spans="1:4" ht="14.25" customHeight="1">
      <c r="A61" s="83"/>
      <c r="B61" s="55"/>
      <c r="C61" s="56"/>
      <c r="D61" s="56"/>
    </row>
    <row r="62" spans="1:4" ht="14.25" customHeight="1">
      <c r="A62" s="83"/>
      <c r="B62" s="55"/>
      <c r="C62" s="56"/>
      <c r="D62" s="56"/>
    </row>
    <row r="63" spans="1:4" ht="14.25" customHeight="1">
      <c r="A63" s="83"/>
      <c r="B63" s="55"/>
      <c r="C63" s="56"/>
      <c r="D63" s="56"/>
    </row>
    <row r="64" spans="1:4" ht="14.25" customHeight="1">
      <c r="A64" s="83"/>
      <c r="B64" s="55"/>
      <c r="C64" s="56"/>
      <c r="D64" s="56"/>
    </row>
    <row r="65" spans="1:4" ht="14.25" customHeight="1">
      <c r="A65" s="83"/>
      <c r="B65" s="55"/>
      <c r="C65" s="56"/>
      <c r="D65" s="56"/>
    </row>
    <row r="66" spans="1:4" ht="14.25" customHeight="1">
      <c r="A66" s="83"/>
      <c r="B66" s="55"/>
      <c r="C66" s="56"/>
      <c r="D66" s="56"/>
    </row>
    <row r="67" spans="1:4" ht="14.25" customHeight="1">
      <c r="A67" s="83"/>
      <c r="B67" s="55"/>
      <c r="C67" s="56"/>
      <c r="D67" s="56"/>
    </row>
    <row r="68" spans="1:4" ht="14.25" customHeight="1">
      <c r="A68" s="83"/>
      <c r="B68" s="55"/>
      <c r="C68" s="56"/>
      <c r="D68" s="56"/>
    </row>
    <row r="69" spans="1:4" ht="14.25" customHeight="1">
      <c r="A69" s="83"/>
      <c r="B69" s="55"/>
      <c r="C69" s="56"/>
      <c r="D69" s="56"/>
    </row>
    <row r="70" spans="1:4" ht="14.25" customHeight="1">
      <c r="A70" s="83"/>
      <c r="B70" s="55"/>
      <c r="C70" s="56"/>
      <c r="D70" s="56"/>
    </row>
    <row r="71" spans="1:4" ht="14.25" customHeight="1">
      <c r="A71" s="83"/>
      <c r="B71" s="55"/>
      <c r="C71" s="56"/>
      <c r="D71" s="56"/>
    </row>
    <row r="72" spans="1:4" ht="14.25" customHeight="1">
      <c r="A72" s="83"/>
      <c r="B72" s="55"/>
      <c r="C72" s="56"/>
      <c r="D72" s="56"/>
    </row>
    <row r="73" spans="1:4" ht="14.25" customHeight="1">
      <c r="A73" s="83"/>
      <c r="B73" s="55"/>
      <c r="C73" s="56"/>
      <c r="D73" s="56"/>
    </row>
    <row r="74" spans="1:4" ht="14.25" customHeight="1">
      <c r="A74" s="83"/>
      <c r="B74" s="55"/>
      <c r="C74" s="56"/>
      <c r="D74" s="56"/>
    </row>
    <row r="75" spans="1:4" ht="14.25" customHeight="1">
      <c r="A75" s="83"/>
      <c r="B75" s="55"/>
      <c r="C75" s="56"/>
      <c r="D75" s="56"/>
    </row>
    <row r="76" spans="1:4" ht="14.25" customHeight="1">
      <c r="A76" s="83"/>
      <c r="B76" s="55"/>
      <c r="C76" s="56"/>
      <c r="D76" s="56"/>
    </row>
    <row r="77" spans="1:4" ht="14.25" customHeight="1">
      <c r="A77" s="83"/>
      <c r="B77" s="55"/>
      <c r="C77" s="56"/>
      <c r="D77" s="56"/>
    </row>
    <row r="78" spans="1:4" ht="14.25" customHeight="1">
      <c r="A78" s="83"/>
      <c r="B78" s="55"/>
      <c r="C78" s="56"/>
      <c r="D78" s="56"/>
    </row>
    <row r="79" spans="1:4" ht="14.25" customHeight="1">
      <c r="A79" s="83"/>
      <c r="B79" s="55"/>
      <c r="C79" s="56"/>
      <c r="D79" s="56"/>
    </row>
    <row r="80" spans="1:4" ht="14.25" customHeight="1">
      <c r="A80" s="83"/>
      <c r="B80" s="55"/>
      <c r="C80" s="56"/>
      <c r="D80" s="56"/>
    </row>
    <row r="81" spans="1:4" ht="14.25" customHeight="1">
      <c r="A81" s="83"/>
      <c r="B81" s="55"/>
      <c r="C81" s="56"/>
      <c r="D81" s="56"/>
    </row>
    <row r="82" spans="1:4" ht="14.25" customHeight="1">
      <c r="A82" s="83"/>
      <c r="B82" s="55"/>
      <c r="C82" s="56"/>
      <c r="D82" s="56"/>
    </row>
    <row r="83" spans="1:4" ht="14.25" customHeight="1">
      <c r="A83" s="83"/>
      <c r="B83" s="55"/>
      <c r="C83" s="56"/>
      <c r="D83" s="56"/>
    </row>
    <row r="84" spans="1:4" ht="14.25" customHeight="1">
      <c r="A84" s="83"/>
      <c r="B84" s="55"/>
      <c r="C84" s="56"/>
      <c r="D84" s="56"/>
    </row>
    <row r="85" spans="1:4" ht="14.25" customHeight="1">
      <c r="A85" s="83"/>
      <c r="B85" s="55"/>
      <c r="C85" s="56"/>
      <c r="D85" s="56"/>
    </row>
    <row r="86" spans="1:4" ht="14.25" customHeight="1">
      <c r="A86" s="83"/>
      <c r="B86" s="55"/>
      <c r="C86" s="56"/>
      <c r="D86" s="56"/>
    </row>
    <row r="87" spans="1:4" ht="14.25" customHeight="1">
      <c r="A87" s="83"/>
      <c r="B87" s="55"/>
      <c r="C87" s="56"/>
      <c r="D87" s="56"/>
    </row>
    <row r="88" spans="1:4" ht="14.25" customHeight="1">
      <c r="A88" s="83"/>
      <c r="B88" s="55"/>
      <c r="C88" s="56"/>
      <c r="D88" s="56"/>
    </row>
    <row r="89" spans="1:4" ht="14.25" customHeight="1">
      <c r="A89" s="83"/>
      <c r="B89" s="55"/>
      <c r="C89" s="56"/>
      <c r="D89" s="56"/>
    </row>
    <row r="90" spans="1:4" ht="14.25" customHeight="1">
      <c r="A90" s="83"/>
      <c r="B90" s="55"/>
      <c r="C90" s="56"/>
      <c r="D90" s="56"/>
    </row>
    <row r="91" spans="1:4" ht="14.25" customHeight="1">
      <c r="A91" s="83"/>
      <c r="B91" s="55"/>
      <c r="C91" s="56"/>
      <c r="D91" s="56"/>
    </row>
    <row r="92" spans="1:4" ht="14.25" customHeight="1">
      <c r="A92" s="83"/>
      <c r="B92" s="55"/>
      <c r="C92" s="56"/>
      <c r="D92" s="56"/>
    </row>
    <row r="93" spans="1:4" ht="14.25" customHeight="1">
      <c r="A93" s="83"/>
      <c r="B93" s="55"/>
      <c r="C93" s="56"/>
      <c r="D93" s="56"/>
    </row>
    <row r="94" spans="1:4" ht="14.25" customHeight="1">
      <c r="A94" s="83"/>
      <c r="B94" s="55"/>
      <c r="C94" s="56"/>
      <c r="D94" s="56"/>
    </row>
    <row r="95" spans="1:4" ht="14.25" customHeight="1">
      <c r="A95" s="83"/>
      <c r="B95" s="55"/>
      <c r="C95" s="56"/>
      <c r="D95" s="56"/>
    </row>
    <row r="96" spans="1:4" ht="14.25" customHeight="1">
      <c r="A96" s="83"/>
      <c r="B96" s="55"/>
      <c r="C96" s="56"/>
      <c r="D96" s="56"/>
    </row>
    <row r="97" spans="1:4" ht="14.25" customHeight="1">
      <c r="A97" s="83"/>
      <c r="B97" s="55"/>
      <c r="C97" s="56"/>
      <c r="D97" s="56"/>
    </row>
    <row r="98" spans="1:4" ht="14.25" customHeight="1">
      <c r="A98" s="83"/>
      <c r="B98" s="55"/>
      <c r="C98" s="56"/>
      <c r="D98" s="56"/>
    </row>
    <row r="99" spans="1:4" ht="14.25" customHeight="1">
      <c r="A99" s="83"/>
      <c r="B99" s="55"/>
      <c r="C99" s="56"/>
      <c r="D99" s="56"/>
    </row>
    <row r="100" spans="1:4" ht="14.25" customHeight="1">
      <c r="A100" s="83"/>
      <c r="B100" s="55"/>
      <c r="C100" s="56"/>
      <c r="D100" s="56"/>
    </row>
    <row r="101" spans="1:4" ht="14.25" customHeight="1">
      <c r="A101" s="83"/>
      <c r="B101" s="55"/>
      <c r="C101" s="56"/>
      <c r="D101" s="56"/>
    </row>
    <row r="102" spans="1:4" ht="14.25" customHeight="1">
      <c r="A102" s="83"/>
      <c r="B102" s="55"/>
      <c r="C102" s="56"/>
      <c r="D102" s="56"/>
    </row>
    <row r="103" spans="1:4" ht="14.25" customHeight="1">
      <c r="A103" s="83"/>
      <c r="B103" s="55"/>
      <c r="C103" s="56"/>
      <c r="D103" s="56"/>
    </row>
    <row r="104" spans="1:4" ht="14.25" customHeight="1">
      <c r="A104" s="83"/>
      <c r="B104" s="55"/>
      <c r="C104" s="56"/>
      <c r="D104" s="56"/>
    </row>
    <row r="105" spans="1:4" ht="14.25" customHeight="1">
      <c r="A105" s="83"/>
      <c r="B105" s="55"/>
      <c r="C105" s="56"/>
      <c r="D105" s="56"/>
    </row>
    <row r="106" spans="1:4" ht="14.25" customHeight="1">
      <c r="A106" s="83"/>
      <c r="B106" s="55"/>
      <c r="C106" s="56"/>
      <c r="D106" s="56"/>
    </row>
    <row r="107" spans="1:4" ht="14.25" customHeight="1">
      <c r="A107" s="83"/>
      <c r="B107" s="55"/>
      <c r="C107" s="56"/>
      <c r="D107" s="56"/>
    </row>
    <row r="108" spans="1:4" ht="14.25" customHeight="1">
      <c r="A108" s="83"/>
      <c r="B108" s="55"/>
      <c r="C108" s="56"/>
      <c r="D108" s="56"/>
    </row>
    <row r="109" spans="1:4" ht="14.25" customHeight="1">
      <c r="A109" s="83"/>
      <c r="B109" s="55"/>
      <c r="C109" s="56"/>
      <c r="D109" s="56"/>
    </row>
    <row r="110" spans="1:4" ht="14.25" customHeight="1">
      <c r="A110" s="83"/>
      <c r="B110" s="55"/>
      <c r="C110" s="56"/>
      <c r="D110" s="56"/>
    </row>
    <row r="111" spans="1:4" ht="14.25" customHeight="1">
      <c r="A111" s="83"/>
      <c r="B111" s="55"/>
      <c r="C111" s="56"/>
      <c r="D111" s="56"/>
    </row>
    <row r="112" spans="1:4" ht="14.25" customHeight="1">
      <c r="A112" s="83"/>
      <c r="B112" s="55"/>
      <c r="C112" s="56"/>
      <c r="D112" s="56"/>
    </row>
    <row r="113" spans="1:4" ht="14.25" customHeight="1">
      <c r="A113" s="83"/>
      <c r="B113" s="55"/>
      <c r="C113" s="56"/>
      <c r="D113" s="56"/>
    </row>
    <row r="114" spans="1:4" ht="14.25" customHeight="1">
      <c r="A114" s="83"/>
      <c r="B114" s="55"/>
      <c r="C114" s="56"/>
      <c r="D114" s="56"/>
    </row>
    <row r="115" spans="1:4" ht="14.25" customHeight="1">
      <c r="A115" s="83"/>
      <c r="B115" s="55"/>
      <c r="C115" s="56"/>
      <c r="D115" s="56"/>
    </row>
    <row r="116" spans="1:4" ht="14.25" customHeight="1">
      <c r="A116" s="83"/>
      <c r="B116" s="55"/>
      <c r="C116" s="56"/>
      <c r="D116" s="56"/>
    </row>
    <row r="117" spans="1:4" ht="14.25" customHeight="1">
      <c r="A117" s="83"/>
      <c r="B117" s="55"/>
      <c r="C117" s="56"/>
      <c r="D117" s="56"/>
    </row>
    <row r="118" spans="1:4" ht="14.25" customHeight="1">
      <c r="A118" s="83"/>
      <c r="B118" s="55"/>
      <c r="C118" s="56"/>
      <c r="D118" s="56"/>
    </row>
    <row r="119" spans="1:4" ht="14.25" customHeight="1">
      <c r="A119" s="83"/>
      <c r="B119" s="55"/>
      <c r="C119" s="56"/>
      <c r="D119" s="56"/>
    </row>
    <row r="120" spans="1:4" ht="14.25" customHeight="1">
      <c r="A120" s="83"/>
      <c r="B120" s="55"/>
      <c r="C120" s="56"/>
      <c r="D120" s="56"/>
    </row>
    <row r="121" spans="1:4" ht="14.25" customHeight="1">
      <c r="A121" s="83"/>
      <c r="B121" s="55"/>
      <c r="C121" s="56"/>
      <c r="D121" s="56"/>
    </row>
    <row r="122" spans="1:4" ht="14.25" customHeight="1">
      <c r="A122" s="83"/>
      <c r="B122" s="55"/>
      <c r="C122" s="56"/>
      <c r="D122" s="56"/>
    </row>
    <row r="123" spans="1:4" ht="14.25" customHeight="1">
      <c r="A123" s="83"/>
      <c r="B123" s="55"/>
      <c r="C123" s="56"/>
      <c r="D123" s="56"/>
    </row>
    <row r="124" spans="1:4" ht="14.25" customHeight="1">
      <c r="A124" s="83"/>
      <c r="B124" s="55"/>
      <c r="C124" s="56"/>
      <c r="D124" s="56"/>
    </row>
    <row r="125" spans="1:4" ht="14.25" customHeight="1">
      <c r="A125" s="83"/>
      <c r="B125" s="55"/>
      <c r="C125" s="56"/>
      <c r="D125" s="56"/>
    </row>
    <row r="126" spans="1:4" ht="14.25" customHeight="1">
      <c r="A126" s="83"/>
      <c r="B126" s="55"/>
      <c r="C126" s="56"/>
      <c r="D126" s="56"/>
    </row>
    <row r="127" spans="1:4" ht="14.25" customHeight="1">
      <c r="A127" s="83"/>
      <c r="B127" s="55"/>
      <c r="C127" s="56"/>
      <c r="D127" s="56"/>
    </row>
    <row r="128" spans="1:4" ht="14.25" customHeight="1">
      <c r="A128" s="83"/>
      <c r="B128" s="55"/>
      <c r="C128" s="56"/>
      <c r="D128" s="56"/>
    </row>
    <row r="129" spans="1:4" ht="14.25" customHeight="1">
      <c r="A129" s="83"/>
      <c r="B129" s="55"/>
      <c r="C129" s="56"/>
      <c r="D129" s="56"/>
    </row>
    <row r="130" spans="1:4" ht="14.25" customHeight="1">
      <c r="A130" s="83"/>
      <c r="B130" s="55"/>
      <c r="C130" s="56"/>
      <c r="D130" s="56"/>
    </row>
    <row r="131" spans="1:4" ht="14.25" customHeight="1">
      <c r="A131" s="83"/>
      <c r="B131" s="55"/>
      <c r="C131" s="56"/>
      <c r="D131" s="56"/>
    </row>
    <row r="132" spans="1:4" ht="14.25" customHeight="1">
      <c r="A132" s="83"/>
      <c r="B132" s="55"/>
      <c r="C132" s="56"/>
      <c r="D132" s="56"/>
    </row>
    <row r="133" spans="1:4" ht="14.25" customHeight="1">
      <c r="A133" s="83"/>
      <c r="B133" s="55"/>
      <c r="C133" s="56"/>
      <c r="D133" s="56"/>
    </row>
    <row r="134" spans="1:4" ht="14.25" customHeight="1">
      <c r="A134" s="83"/>
      <c r="B134" s="55"/>
      <c r="C134" s="56"/>
      <c r="D134" s="56"/>
    </row>
    <row r="135" spans="1:4" ht="14.25" customHeight="1">
      <c r="A135" s="83"/>
      <c r="B135" s="55"/>
      <c r="C135" s="56"/>
      <c r="D135" s="56"/>
    </row>
    <row r="136" spans="1:4" ht="14.25" customHeight="1">
      <c r="A136" s="83"/>
      <c r="B136" s="55"/>
      <c r="C136" s="56"/>
      <c r="D136" s="56"/>
    </row>
    <row r="137" spans="1:4" ht="14.25" customHeight="1">
      <c r="A137" s="83"/>
      <c r="B137" s="55"/>
      <c r="C137" s="56"/>
      <c r="D137" s="56"/>
    </row>
    <row r="138" spans="1:4" ht="14.25" customHeight="1">
      <c r="A138" s="83"/>
      <c r="B138" s="55"/>
      <c r="C138" s="56"/>
      <c r="D138" s="56"/>
    </row>
    <row r="139" spans="1:4" ht="14.25" customHeight="1">
      <c r="A139" s="83"/>
      <c r="B139" s="55"/>
      <c r="C139" s="56"/>
      <c r="D139" s="56"/>
    </row>
    <row r="140" spans="1:4" ht="14.25" customHeight="1">
      <c r="A140" s="83"/>
      <c r="B140" s="55"/>
      <c r="C140" s="56"/>
      <c r="D140" s="56"/>
    </row>
    <row r="141" spans="1:4" ht="14.25" customHeight="1">
      <c r="A141" s="83"/>
      <c r="B141" s="55"/>
      <c r="C141" s="56"/>
      <c r="D141" s="56"/>
    </row>
    <row r="142" spans="1:4" ht="14.25" customHeight="1">
      <c r="A142" s="83"/>
      <c r="B142" s="55"/>
      <c r="C142" s="56"/>
      <c r="D142" s="56"/>
    </row>
    <row r="143" spans="1:4" ht="14.25" customHeight="1">
      <c r="A143" s="83"/>
      <c r="B143" s="55"/>
      <c r="C143" s="56"/>
      <c r="D143" s="56"/>
    </row>
    <row r="144" spans="1:4" ht="14.25" customHeight="1">
      <c r="A144" s="83"/>
      <c r="B144" s="55"/>
      <c r="C144" s="56"/>
      <c r="D144" s="56"/>
    </row>
    <row r="145" spans="1:4" ht="14.25" customHeight="1">
      <c r="A145" s="83"/>
      <c r="B145" s="55"/>
      <c r="C145" s="56"/>
      <c r="D145" s="56"/>
    </row>
    <row r="146" spans="1:4" ht="14.25" customHeight="1">
      <c r="A146" s="83"/>
      <c r="B146" s="55"/>
      <c r="C146" s="56"/>
      <c r="D146" s="56"/>
    </row>
    <row r="147" spans="1:4" ht="14.25" customHeight="1">
      <c r="A147" s="83"/>
      <c r="B147" s="55"/>
      <c r="C147" s="56"/>
      <c r="D147" s="56"/>
    </row>
    <row r="148" spans="1:4" ht="14.25" customHeight="1">
      <c r="A148" s="83"/>
      <c r="B148" s="55"/>
      <c r="C148" s="56"/>
      <c r="D148" s="56"/>
    </row>
    <row r="149" spans="1:4" ht="14.25" customHeight="1">
      <c r="A149" s="83"/>
      <c r="B149" s="55"/>
      <c r="C149" s="56"/>
      <c r="D149" s="56"/>
    </row>
    <row r="150" spans="1:4" ht="14.25" customHeight="1">
      <c r="A150" s="83"/>
      <c r="B150" s="55"/>
      <c r="C150" s="56"/>
      <c r="D150" s="56"/>
    </row>
    <row r="151" spans="1:4" ht="14.25" customHeight="1">
      <c r="A151" s="83"/>
      <c r="B151" s="55"/>
      <c r="C151" s="56"/>
      <c r="D151" s="56"/>
    </row>
    <row r="152" spans="1:4" ht="14.25" customHeight="1">
      <c r="A152" s="83"/>
      <c r="B152" s="55"/>
      <c r="C152" s="56"/>
      <c r="D152" s="56"/>
    </row>
    <row r="153" spans="1:4" ht="14.25" customHeight="1">
      <c r="A153" s="83"/>
      <c r="B153" s="55"/>
      <c r="C153" s="56"/>
      <c r="D153" s="56"/>
    </row>
    <row r="154" spans="1:4" ht="14.25" customHeight="1">
      <c r="A154" s="83"/>
      <c r="B154" s="55"/>
      <c r="C154" s="56"/>
      <c r="D154" s="56"/>
    </row>
    <row r="155" spans="1:4" ht="14.25" customHeight="1">
      <c r="A155" s="83"/>
      <c r="B155" s="55"/>
      <c r="C155" s="56"/>
      <c r="D155" s="56"/>
    </row>
    <row r="156" spans="1:4" ht="14.25" customHeight="1">
      <c r="A156" s="83"/>
      <c r="B156" s="55"/>
      <c r="C156" s="56"/>
      <c r="D156" s="56"/>
    </row>
    <row r="157" spans="1:4" ht="14.25" customHeight="1">
      <c r="A157" s="83"/>
      <c r="B157" s="55"/>
      <c r="C157" s="56"/>
      <c r="D157" s="56"/>
    </row>
    <row r="158" spans="1:4" ht="14.25" customHeight="1">
      <c r="A158" s="83"/>
      <c r="B158" s="55"/>
      <c r="C158" s="56"/>
      <c r="D158" s="56"/>
    </row>
    <row r="159" spans="1:4" ht="14.25" customHeight="1">
      <c r="A159" s="83"/>
      <c r="B159" s="55"/>
      <c r="C159" s="56"/>
      <c r="D159" s="56"/>
    </row>
    <row r="160" spans="1:4" ht="14.25" customHeight="1">
      <c r="A160" s="83"/>
      <c r="B160" s="55"/>
      <c r="C160" s="56"/>
      <c r="D160" s="56"/>
    </row>
    <row r="161" spans="1:4" ht="14.25" customHeight="1">
      <c r="A161" s="83"/>
      <c r="B161" s="55"/>
      <c r="C161" s="56"/>
      <c r="D161" s="56"/>
    </row>
    <row r="162" spans="1:4" ht="14.25" customHeight="1">
      <c r="A162" s="83"/>
      <c r="B162" s="55"/>
      <c r="C162" s="56"/>
      <c r="D162" s="56"/>
    </row>
    <row r="163" spans="1:4" ht="14.25" customHeight="1">
      <c r="A163" s="83"/>
      <c r="B163" s="55"/>
      <c r="C163" s="56"/>
      <c r="D163" s="56"/>
    </row>
    <row r="164" spans="1:4" ht="14.25" customHeight="1">
      <c r="A164" s="83"/>
      <c r="B164" s="55"/>
      <c r="C164" s="56"/>
      <c r="D164" s="56"/>
    </row>
    <row r="165" spans="1:4" ht="14.25" customHeight="1">
      <c r="A165" s="83"/>
      <c r="B165" s="55"/>
      <c r="C165" s="56"/>
      <c r="D165" s="56"/>
    </row>
    <row r="166" spans="1:4" ht="14.25" customHeight="1">
      <c r="A166" s="83"/>
      <c r="B166" s="55"/>
      <c r="C166" s="56"/>
      <c r="D166" s="56"/>
    </row>
    <row r="167" spans="1:4" ht="14.25" customHeight="1">
      <c r="A167" s="83"/>
      <c r="B167" s="55"/>
      <c r="C167" s="56"/>
      <c r="D167" s="56"/>
    </row>
    <row r="168" spans="1:4" ht="14.25" customHeight="1">
      <c r="A168" s="83"/>
      <c r="B168" s="55"/>
      <c r="C168" s="56"/>
      <c r="D168" s="56"/>
    </row>
    <row r="169" spans="1:4" ht="14.25" customHeight="1">
      <c r="A169" s="83"/>
      <c r="B169" s="55"/>
      <c r="C169" s="56"/>
      <c r="D169" s="56"/>
    </row>
    <row r="170" spans="1:4" ht="14.25" customHeight="1">
      <c r="A170" s="83"/>
      <c r="B170" s="55"/>
      <c r="C170" s="56"/>
      <c r="D170" s="56"/>
    </row>
    <row r="171" spans="1:4" ht="14.25" customHeight="1">
      <c r="A171" s="83"/>
      <c r="B171" s="55"/>
      <c r="C171" s="56"/>
      <c r="D171" s="56"/>
    </row>
    <row r="172" spans="1:4" ht="14.25" customHeight="1">
      <c r="A172" s="83"/>
      <c r="B172" s="55"/>
      <c r="C172" s="56"/>
      <c r="D172" s="56"/>
    </row>
    <row r="173" spans="1:4" ht="14.25" customHeight="1">
      <c r="A173" s="83"/>
      <c r="B173" s="55"/>
      <c r="C173" s="56"/>
      <c r="D173" s="56"/>
    </row>
    <row r="174" spans="1:4" ht="14.25" customHeight="1">
      <c r="A174" s="83"/>
      <c r="B174" s="55"/>
      <c r="C174" s="56"/>
      <c r="D174" s="56"/>
    </row>
    <row r="175" spans="1:4" ht="14.25" customHeight="1">
      <c r="A175" s="83"/>
      <c r="B175" s="55"/>
      <c r="C175" s="56"/>
      <c r="D175" s="56"/>
    </row>
    <row r="176" spans="1:4" ht="14.25" customHeight="1">
      <c r="A176" s="83"/>
      <c r="B176" s="55"/>
      <c r="C176" s="56"/>
      <c r="D176" s="56"/>
    </row>
    <row r="177" spans="1:4" ht="14.25" customHeight="1">
      <c r="A177" s="83"/>
      <c r="B177" s="55"/>
      <c r="C177" s="56"/>
      <c r="D177" s="56"/>
    </row>
    <row r="178" spans="1:4" ht="14.25" customHeight="1">
      <c r="A178" s="83"/>
      <c r="B178" s="55"/>
      <c r="C178" s="56"/>
      <c r="D178" s="56"/>
    </row>
    <row r="179" spans="1:4" ht="14.25" customHeight="1">
      <c r="A179" s="83"/>
      <c r="B179" s="55"/>
      <c r="C179" s="56"/>
      <c r="D179" s="56"/>
    </row>
    <row r="180" spans="1:4" ht="14.25" customHeight="1">
      <c r="A180" s="83"/>
      <c r="B180" s="55"/>
      <c r="C180" s="56"/>
      <c r="D180" s="56"/>
    </row>
    <row r="181" spans="1:4" ht="14.25" customHeight="1">
      <c r="A181" s="83"/>
      <c r="B181" s="55"/>
      <c r="C181" s="56"/>
      <c r="D181" s="56"/>
    </row>
    <row r="182" spans="1:4" ht="14.25" customHeight="1">
      <c r="A182" s="83"/>
      <c r="B182" s="55"/>
      <c r="C182" s="56"/>
      <c r="D182" s="56"/>
    </row>
    <row r="183" spans="1:4" ht="14.25" customHeight="1">
      <c r="A183" s="83"/>
      <c r="B183" s="55"/>
      <c r="C183" s="56"/>
      <c r="D183" s="56"/>
    </row>
    <row r="184" spans="1:4" ht="14.25" customHeight="1">
      <c r="A184" s="83"/>
      <c r="B184" s="55"/>
      <c r="C184" s="56"/>
      <c r="D184" s="56"/>
    </row>
    <row r="185" spans="1:4" ht="14.25" customHeight="1">
      <c r="A185" s="83"/>
      <c r="B185" s="55"/>
      <c r="C185" s="56"/>
      <c r="D185" s="56"/>
    </row>
    <row r="186" spans="1:4" ht="14.25" customHeight="1">
      <c r="A186" s="83"/>
      <c r="B186" s="55"/>
      <c r="C186" s="56"/>
      <c r="D186" s="56"/>
    </row>
    <row r="187" spans="1:4" ht="14.25" customHeight="1">
      <c r="A187" s="83"/>
      <c r="B187" s="55"/>
      <c r="C187" s="56"/>
      <c r="D187" s="56"/>
    </row>
    <row r="188" spans="1:4" ht="14.25" customHeight="1">
      <c r="A188" s="83"/>
      <c r="B188" s="55"/>
      <c r="C188" s="56"/>
      <c r="D188" s="56"/>
    </row>
    <row r="189" spans="1:4" ht="14.25" customHeight="1">
      <c r="A189" s="83"/>
      <c r="B189" s="55"/>
      <c r="C189" s="56"/>
      <c r="D189" s="56"/>
    </row>
    <row r="190" spans="1:4" ht="14.25" customHeight="1">
      <c r="A190" s="83"/>
      <c r="B190" s="55"/>
      <c r="C190" s="56"/>
      <c r="D190" s="56"/>
    </row>
    <row r="191" spans="1:4" ht="14.25" customHeight="1">
      <c r="A191" s="83"/>
      <c r="B191" s="55"/>
      <c r="C191" s="56"/>
      <c r="D191" s="56"/>
    </row>
    <row r="192" spans="1:4" ht="14.25" customHeight="1">
      <c r="A192" s="83"/>
      <c r="B192" s="55"/>
      <c r="C192" s="56"/>
      <c r="D192" s="56"/>
    </row>
    <row r="193" spans="1:4" ht="14.25" customHeight="1">
      <c r="A193" s="83"/>
      <c r="B193" s="55"/>
      <c r="C193" s="56"/>
      <c r="D193" s="56"/>
    </row>
    <row r="194" spans="1:4" ht="14.25" customHeight="1">
      <c r="A194" s="83"/>
      <c r="B194" s="55"/>
      <c r="C194" s="56"/>
      <c r="D194" s="56"/>
    </row>
    <row r="195" spans="1:4" ht="14.25" customHeight="1">
      <c r="A195" s="83"/>
      <c r="B195" s="55"/>
      <c r="C195" s="56"/>
      <c r="D195" s="56"/>
    </row>
    <row r="196" spans="1:4" ht="14.25" customHeight="1">
      <c r="A196" s="83"/>
      <c r="B196" s="55"/>
      <c r="C196" s="56"/>
      <c r="D196" s="56"/>
    </row>
    <row r="197" spans="1:4" ht="14.25" customHeight="1">
      <c r="A197" s="83"/>
      <c r="B197" s="55"/>
      <c r="C197" s="56"/>
      <c r="D197" s="56"/>
    </row>
    <row r="198" spans="1:4" ht="14.25" customHeight="1">
      <c r="A198" s="83"/>
      <c r="B198" s="55"/>
      <c r="C198" s="56"/>
      <c r="D198" s="56"/>
    </row>
    <row r="199" spans="1:4" ht="14.25" customHeight="1">
      <c r="A199" s="83"/>
      <c r="B199" s="55"/>
      <c r="C199" s="56"/>
      <c r="D199" s="56"/>
    </row>
    <row r="200" spans="1:4" ht="14.25" customHeight="1">
      <c r="A200" s="83"/>
      <c r="B200" s="55"/>
      <c r="C200" s="56"/>
      <c r="D200" s="56"/>
    </row>
    <row r="201" spans="1:4" ht="14.25" customHeight="1">
      <c r="A201" s="83"/>
      <c r="B201" s="55"/>
      <c r="C201" s="56"/>
      <c r="D201" s="56"/>
    </row>
    <row r="202" spans="1:4" ht="14.25" customHeight="1">
      <c r="A202" s="83"/>
      <c r="B202" s="55"/>
      <c r="C202" s="56"/>
      <c r="D202" s="56"/>
    </row>
    <row r="203" spans="1:4" ht="14.25" customHeight="1">
      <c r="A203" s="83"/>
      <c r="B203" s="55"/>
      <c r="C203" s="56"/>
      <c r="D203" s="56"/>
    </row>
    <row r="204" spans="1:4" ht="14.25" customHeight="1">
      <c r="A204" s="83"/>
      <c r="B204" s="55"/>
      <c r="C204" s="56"/>
      <c r="D204" s="56"/>
    </row>
    <row r="205" spans="1:4" ht="14.25" customHeight="1">
      <c r="A205" s="83"/>
      <c r="B205" s="55"/>
      <c r="C205" s="56"/>
      <c r="D205" s="56"/>
    </row>
    <row r="206" spans="1:4" ht="14.25" customHeight="1">
      <c r="A206" s="83"/>
      <c r="B206" s="55"/>
      <c r="C206" s="56"/>
      <c r="D206" s="56"/>
    </row>
    <row r="207" spans="1:4" ht="14.25" customHeight="1">
      <c r="A207" s="83"/>
      <c r="B207" s="55"/>
      <c r="C207" s="56"/>
      <c r="D207" s="56"/>
    </row>
    <row r="208" spans="1:4" ht="14.25" customHeight="1">
      <c r="A208" s="83"/>
      <c r="B208" s="55"/>
      <c r="C208" s="56"/>
      <c r="D208" s="56"/>
    </row>
    <row r="209" spans="1:4" ht="14.25" customHeight="1">
      <c r="A209" s="83"/>
      <c r="B209" s="55"/>
      <c r="C209" s="56"/>
      <c r="D209" s="56"/>
    </row>
    <row r="210" spans="1:4" ht="14.25" customHeight="1">
      <c r="A210" s="83"/>
      <c r="B210" s="55"/>
      <c r="C210" s="56"/>
      <c r="D210" s="56"/>
    </row>
    <row r="211" spans="1:4" ht="14.25" customHeight="1">
      <c r="A211" s="83"/>
      <c r="B211" s="55"/>
      <c r="C211" s="56"/>
      <c r="D211" s="56"/>
    </row>
    <row r="212" spans="1:4" ht="14.25" customHeight="1">
      <c r="A212" s="83"/>
      <c r="B212" s="55"/>
      <c r="C212" s="56"/>
      <c r="D212" s="56"/>
    </row>
    <row r="213" spans="1:4" ht="14.25" customHeight="1">
      <c r="A213" s="83"/>
      <c r="B213" s="55"/>
      <c r="C213" s="56"/>
      <c r="D213" s="56"/>
    </row>
    <row r="214" spans="1:4" ht="14.25" customHeight="1">
      <c r="A214" s="83"/>
      <c r="B214" s="55"/>
      <c r="C214" s="56"/>
      <c r="D214" s="56"/>
    </row>
    <row r="215" spans="1:4" ht="14.25" customHeight="1">
      <c r="A215" s="83"/>
      <c r="B215" s="55"/>
      <c r="C215" s="56"/>
      <c r="D215" s="56"/>
    </row>
    <row r="216" spans="1:4" ht="14.25" customHeight="1">
      <c r="A216" s="83"/>
      <c r="B216" s="55"/>
      <c r="C216" s="56"/>
      <c r="D216" s="56"/>
    </row>
    <row r="217" spans="1:4" ht="14.25" customHeight="1">
      <c r="A217" s="83"/>
      <c r="B217" s="55"/>
      <c r="C217" s="56"/>
      <c r="D217" s="56"/>
    </row>
    <row r="218" spans="1:4" ht="14.25" customHeight="1">
      <c r="A218" s="83"/>
      <c r="B218" s="55"/>
      <c r="C218" s="56"/>
      <c r="D218" s="56"/>
    </row>
    <row r="219" spans="1:4" ht="14.25" customHeight="1">
      <c r="A219" s="83"/>
      <c r="B219" s="55"/>
      <c r="C219" s="56"/>
      <c r="D219" s="56"/>
    </row>
    <row r="220" spans="1:4" ht="14.25" customHeight="1">
      <c r="A220" s="83"/>
      <c r="B220" s="55"/>
      <c r="C220" s="56"/>
      <c r="D220" s="56"/>
    </row>
    <row r="221" spans="1:4" ht="14.25" customHeight="1">
      <c r="A221" s="83"/>
      <c r="B221" s="55"/>
      <c r="C221" s="56"/>
      <c r="D221" s="56"/>
    </row>
    <row r="222" spans="1:4" ht="14.25" customHeight="1">
      <c r="A222" s="83"/>
      <c r="B222" s="55"/>
      <c r="C222" s="56"/>
      <c r="D222" s="56"/>
    </row>
    <row r="223" spans="1:4" ht="14.25" customHeight="1">
      <c r="A223" s="83"/>
      <c r="B223" s="55"/>
      <c r="C223" s="56"/>
      <c r="D223" s="56"/>
    </row>
    <row r="224" spans="1:4" ht="14.25" customHeight="1">
      <c r="A224" s="83"/>
      <c r="B224" s="55"/>
      <c r="C224" s="56"/>
      <c r="D224" s="56"/>
    </row>
    <row r="225" spans="1:4" ht="14.25" customHeight="1">
      <c r="A225" s="83"/>
      <c r="B225" s="55"/>
      <c r="C225" s="56"/>
      <c r="D225" s="56"/>
    </row>
    <row r="226" spans="1:4" ht="14.25" customHeight="1">
      <c r="A226" s="83"/>
      <c r="B226" s="55"/>
      <c r="C226" s="56"/>
      <c r="D226" s="56"/>
    </row>
    <row r="227" spans="1:4" ht="14.25" customHeight="1">
      <c r="A227" s="83"/>
      <c r="B227" s="55"/>
      <c r="C227" s="56"/>
      <c r="D227" s="56"/>
    </row>
    <row r="228" spans="1:4" ht="14.25" customHeight="1">
      <c r="A228" s="83"/>
      <c r="B228" s="55"/>
      <c r="C228" s="56"/>
      <c r="D228" s="56"/>
    </row>
    <row r="229" spans="1:4" ht="14.25" customHeight="1">
      <c r="A229" s="83"/>
      <c r="B229" s="55"/>
      <c r="C229" s="56"/>
      <c r="D229" s="56"/>
    </row>
    <row r="230" spans="1:4" ht="14.25" customHeight="1">
      <c r="A230" s="83"/>
      <c r="B230" s="55"/>
      <c r="C230" s="56"/>
      <c r="D230" s="56"/>
    </row>
    <row r="231" spans="1:4" ht="14.25" customHeight="1">
      <c r="A231" s="83"/>
      <c r="B231" s="55"/>
      <c r="C231" s="56"/>
      <c r="D231" s="56"/>
    </row>
    <row r="232" spans="1:4" ht="14.25" customHeight="1">
      <c r="A232" s="83"/>
      <c r="B232" s="55"/>
      <c r="C232" s="56"/>
      <c r="D232" s="56"/>
    </row>
    <row r="233" spans="1:4" ht="14.25" customHeight="1">
      <c r="A233" s="83"/>
      <c r="B233" s="55"/>
      <c r="C233" s="56"/>
      <c r="D233" s="56"/>
    </row>
    <row r="234" spans="1:4" ht="14.25" customHeight="1">
      <c r="A234" s="83"/>
      <c r="B234" s="55"/>
      <c r="C234" s="56"/>
      <c r="D234" s="56"/>
    </row>
    <row r="235" spans="1:4" ht="14.25" customHeight="1">
      <c r="A235" s="83"/>
      <c r="B235" s="55"/>
      <c r="C235" s="56"/>
      <c r="D235" s="56"/>
    </row>
    <row r="236" spans="1:4" ht="14.25" customHeight="1">
      <c r="A236" s="83"/>
      <c r="B236" s="55"/>
      <c r="C236" s="56"/>
      <c r="D236" s="56"/>
    </row>
    <row r="237" spans="1:4" ht="14.25" customHeight="1">
      <c r="A237" s="83"/>
      <c r="B237" s="55"/>
      <c r="C237" s="56"/>
      <c r="D237" s="56"/>
    </row>
    <row r="238" spans="1:4" ht="14.25" customHeight="1">
      <c r="A238" s="83"/>
      <c r="B238" s="55"/>
      <c r="C238" s="56"/>
      <c r="D238" s="56"/>
    </row>
    <row r="239" spans="1:4" ht="14.25" customHeight="1">
      <c r="A239" s="83"/>
      <c r="B239" s="55"/>
      <c r="C239" s="56"/>
      <c r="D239" s="56"/>
    </row>
    <row r="240" spans="1:4" ht="14.25" customHeight="1">
      <c r="A240" s="83"/>
      <c r="B240" s="55"/>
      <c r="C240" s="56"/>
      <c r="D240" s="56"/>
    </row>
    <row r="241" spans="1:4" ht="14.25" customHeight="1">
      <c r="A241" s="83"/>
      <c r="B241" s="55"/>
      <c r="C241" s="56"/>
      <c r="D241" s="56"/>
    </row>
    <row r="242" spans="1:4" ht="14.25" customHeight="1">
      <c r="A242" s="83"/>
      <c r="B242" s="55"/>
      <c r="C242" s="56"/>
      <c r="D242" s="56"/>
    </row>
    <row r="243" spans="1:4" ht="14.25" customHeight="1">
      <c r="A243" s="83"/>
      <c r="B243" s="55"/>
      <c r="C243" s="56"/>
      <c r="D243" s="56"/>
    </row>
    <row r="244" spans="1:4" ht="14.25" customHeight="1">
      <c r="A244" s="83"/>
      <c r="B244" s="55"/>
      <c r="C244" s="56"/>
      <c r="D244" s="56"/>
    </row>
    <row r="245" spans="1:4" ht="14.25" customHeight="1">
      <c r="A245" s="83"/>
      <c r="B245" s="55"/>
      <c r="C245" s="56"/>
      <c r="D245" s="56"/>
    </row>
    <row r="246" spans="1:4" ht="14.25" customHeight="1">
      <c r="A246" s="83"/>
      <c r="B246" s="55"/>
      <c r="C246" s="56"/>
      <c r="D246" s="56"/>
    </row>
    <row r="247" spans="1:4" ht="14.25" customHeight="1">
      <c r="A247" s="83"/>
      <c r="B247" s="55"/>
      <c r="C247" s="56"/>
      <c r="D247" s="56"/>
    </row>
    <row r="248" spans="1:4" ht="14.25" customHeight="1">
      <c r="A248" s="83"/>
      <c r="B248" s="55"/>
      <c r="C248" s="56"/>
      <c r="D248" s="56"/>
    </row>
    <row r="249" spans="1:4" ht="14.25" customHeight="1">
      <c r="A249" s="83"/>
      <c r="B249" s="55"/>
      <c r="C249" s="56"/>
      <c r="D249" s="56"/>
    </row>
    <row r="250" spans="1:4" ht="14.25" customHeight="1">
      <c r="A250" s="83"/>
      <c r="B250" s="55"/>
      <c r="C250" s="56"/>
      <c r="D250" s="56"/>
    </row>
    <row r="251" spans="1:4" ht="14.25" customHeight="1">
      <c r="A251" s="83"/>
      <c r="B251" s="55"/>
      <c r="C251" s="56"/>
      <c r="D251" s="56"/>
    </row>
    <row r="252" spans="1:4" ht="14.25" customHeight="1">
      <c r="A252" s="83"/>
      <c r="B252" s="55"/>
      <c r="C252" s="56"/>
      <c r="D252" s="56"/>
    </row>
    <row r="253" spans="1:4" ht="14.25" customHeight="1">
      <c r="A253" s="83"/>
      <c r="B253" s="55"/>
      <c r="C253" s="56"/>
      <c r="D253" s="56"/>
    </row>
    <row r="254" spans="1:4" ht="14.25" customHeight="1">
      <c r="A254" s="83"/>
      <c r="B254" s="55"/>
      <c r="C254" s="56"/>
      <c r="D254" s="56"/>
    </row>
    <row r="255" spans="1:4" ht="14.25" customHeight="1">
      <c r="A255" s="83"/>
      <c r="B255" s="55"/>
      <c r="C255" s="56"/>
      <c r="D255" s="56"/>
    </row>
    <row r="256" spans="1:4" ht="14.25" customHeight="1">
      <c r="A256" s="83"/>
      <c r="B256" s="55"/>
      <c r="C256" s="56"/>
      <c r="D256" s="56"/>
    </row>
    <row r="257" spans="1:4" ht="14.25" customHeight="1">
      <c r="A257" s="83"/>
      <c r="B257" s="55"/>
      <c r="C257" s="56"/>
      <c r="D257" s="56"/>
    </row>
    <row r="258" spans="1:4" ht="14.25" customHeight="1">
      <c r="A258" s="83"/>
      <c r="B258" s="55"/>
      <c r="C258" s="56"/>
      <c r="D258" s="56"/>
    </row>
    <row r="259" spans="1:4" ht="14.25" customHeight="1">
      <c r="A259" s="83"/>
      <c r="B259" s="55"/>
      <c r="C259" s="56"/>
      <c r="D259" s="56"/>
    </row>
    <row r="260" spans="1:4" ht="14.25" customHeight="1">
      <c r="A260" s="83"/>
      <c r="B260" s="55"/>
      <c r="C260" s="56"/>
      <c r="D260" s="56"/>
    </row>
    <row r="261" spans="1:4" ht="14.25" customHeight="1">
      <c r="A261" s="83"/>
      <c r="B261" s="55"/>
      <c r="C261" s="56"/>
      <c r="D261" s="56"/>
    </row>
    <row r="262" spans="1:4" ht="14.25" customHeight="1">
      <c r="A262" s="83"/>
      <c r="B262" s="55"/>
      <c r="C262" s="56"/>
      <c r="D262" s="56"/>
    </row>
    <row r="263" spans="1:4" ht="14.25" customHeight="1">
      <c r="A263" s="83"/>
      <c r="B263" s="55"/>
      <c r="C263" s="56"/>
      <c r="D263" s="56"/>
    </row>
    <row r="264" spans="1:4" ht="14.25" customHeight="1">
      <c r="A264" s="83"/>
      <c r="B264" s="55"/>
      <c r="C264" s="56"/>
      <c r="D264" s="56"/>
    </row>
    <row r="265" spans="1:4" ht="14.25" customHeight="1">
      <c r="A265" s="83"/>
      <c r="B265" s="55"/>
      <c r="C265" s="56"/>
      <c r="D265" s="56"/>
    </row>
    <row r="266" spans="1:4" ht="14.25" customHeight="1">
      <c r="A266" s="83"/>
      <c r="B266" s="55"/>
      <c r="C266" s="56"/>
      <c r="D266" s="56"/>
    </row>
    <row r="267" spans="1:4" ht="14.25" customHeight="1">
      <c r="A267" s="83"/>
      <c r="B267" s="55"/>
      <c r="C267" s="56"/>
      <c r="D267" s="56"/>
    </row>
    <row r="268" spans="1:4" ht="14.25" customHeight="1">
      <c r="A268" s="83"/>
      <c r="B268" s="55"/>
      <c r="C268" s="56"/>
      <c r="D268" s="56"/>
    </row>
    <row r="269" spans="1:4" ht="14.25" customHeight="1">
      <c r="A269" s="83"/>
      <c r="B269" s="55"/>
      <c r="C269" s="56"/>
      <c r="D269" s="56"/>
    </row>
    <row r="270" spans="1:4" ht="14.25" customHeight="1">
      <c r="A270" s="83"/>
      <c r="B270" s="55"/>
      <c r="C270" s="56"/>
      <c r="D270" s="56"/>
    </row>
    <row r="271" spans="1:4" ht="14.25" customHeight="1">
      <c r="A271" s="83"/>
      <c r="B271" s="55"/>
      <c r="C271" s="56"/>
      <c r="D271" s="56"/>
    </row>
    <row r="272" spans="1:4" ht="14.25" customHeight="1">
      <c r="A272" s="83"/>
      <c r="B272" s="55"/>
      <c r="C272" s="56"/>
      <c r="D272" s="56"/>
    </row>
    <row r="273" spans="1:4" ht="14.25" customHeight="1">
      <c r="A273" s="83"/>
      <c r="B273" s="55"/>
      <c r="C273" s="56"/>
      <c r="D273" s="56"/>
    </row>
    <row r="274" spans="1:4" ht="14.25" customHeight="1">
      <c r="A274" s="83"/>
      <c r="B274" s="55"/>
      <c r="C274" s="56"/>
      <c r="D274" s="56"/>
    </row>
    <row r="275" spans="1:4" ht="14.25" customHeight="1">
      <c r="A275" s="83"/>
      <c r="B275" s="55"/>
      <c r="C275" s="56"/>
      <c r="D275" s="56"/>
    </row>
    <row r="276" spans="1:4" ht="14.25" customHeight="1">
      <c r="A276" s="83"/>
      <c r="B276" s="55"/>
      <c r="C276" s="56"/>
      <c r="D276" s="56"/>
    </row>
    <row r="277" spans="1:4" ht="14.25" customHeight="1">
      <c r="A277" s="83"/>
      <c r="B277" s="55"/>
      <c r="C277" s="56"/>
      <c r="D277" s="56"/>
    </row>
    <row r="278" spans="1:4" ht="14.25" customHeight="1">
      <c r="A278" s="83"/>
      <c r="B278" s="55"/>
      <c r="C278" s="56"/>
      <c r="D278" s="56"/>
    </row>
    <row r="279" spans="1:4" ht="14.25" customHeight="1">
      <c r="A279" s="83"/>
      <c r="B279" s="55"/>
      <c r="C279" s="56"/>
      <c r="D279" s="56"/>
    </row>
    <row r="280" spans="1:4" ht="14.25" customHeight="1">
      <c r="A280" s="83"/>
      <c r="B280" s="55"/>
      <c r="C280" s="56"/>
      <c r="D280" s="56"/>
    </row>
    <row r="281" spans="1:4" ht="14.25" customHeight="1">
      <c r="A281" s="83"/>
      <c r="B281" s="55"/>
      <c r="C281" s="56"/>
      <c r="D281" s="56"/>
    </row>
    <row r="282" spans="1:4" ht="14.25" customHeight="1">
      <c r="A282" s="83"/>
      <c r="B282" s="55"/>
      <c r="C282" s="56"/>
      <c r="D282" s="56"/>
    </row>
    <row r="283" spans="1:4" ht="14.25" customHeight="1">
      <c r="A283" s="83"/>
      <c r="B283" s="55"/>
      <c r="C283" s="56"/>
      <c r="D283" s="56"/>
    </row>
    <row r="284" spans="1:4" ht="14.25" customHeight="1">
      <c r="A284" s="83"/>
      <c r="B284" s="55"/>
      <c r="C284" s="56"/>
      <c r="D284" s="56"/>
    </row>
    <row r="285" spans="1:4" ht="14.25" customHeight="1">
      <c r="A285" s="83"/>
      <c r="B285" s="55"/>
      <c r="C285" s="56"/>
      <c r="D285" s="56"/>
    </row>
    <row r="286" spans="1:4" ht="14.25" customHeight="1">
      <c r="A286" s="83"/>
      <c r="B286" s="55"/>
      <c r="C286" s="56"/>
      <c r="D286" s="56"/>
    </row>
    <row r="287" spans="1:4" ht="14.25" customHeight="1">
      <c r="A287" s="83"/>
      <c r="B287" s="55"/>
      <c r="C287" s="56"/>
      <c r="D287" s="56"/>
    </row>
    <row r="288" spans="1:4" ht="14.25" customHeight="1">
      <c r="A288" s="83"/>
      <c r="B288" s="55"/>
      <c r="C288" s="56"/>
      <c r="D288" s="56"/>
    </row>
    <row r="289" spans="1:4" ht="14.25" customHeight="1">
      <c r="A289" s="83"/>
      <c r="B289" s="55"/>
      <c r="C289" s="56"/>
      <c r="D289" s="56"/>
    </row>
    <row r="290" spans="1:4" ht="14.25" customHeight="1">
      <c r="A290" s="83"/>
      <c r="B290" s="55"/>
      <c r="C290" s="56"/>
      <c r="D290" s="56"/>
    </row>
    <row r="291" spans="1:4" ht="14.25" customHeight="1">
      <c r="A291" s="83"/>
      <c r="B291" s="55"/>
      <c r="C291" s="56"/>
      <c r="D291" s="56"/>
    </row>
    <row r="292" spans="1:4" ht="14.25" customHeight="1">
      <c r="A292" s="83"/>
      <c r="B292" s="55"/>
      <c r="C292" s="56"/>
      <c r="D292" s="56"/>
    </row>
    <row r="293" spans="1:4" ht="14.25" customHeight="1">
      <c r="A293" s="83"/>
      <c r="B293" s="55"/>
      <c r="C293" s="56"/>
      <c r="D293" s="56"/>
    </row>
    <row r="294" spans="1:4" ht="14.25" customHeight="1">
      <c r="A294" s="83"/>
      <c r="B294" s="55"/>
      <c r="C294" s="56"/>
      <c r="D294" s="56"/>
    </row>
    <row r="295" spans="1:4" ht="14.25" customHeight="1">
      <c r="A295" s="83"/>
      <c r="B295" s="55"/>
      <c r="C295" s="56"/>
      <c r="D295" s="56"/>
    </row>
    <row r="296" spans="1:4" ht="14.25" customHeight="1">
      <c r="A296" s="83"/>
      <c r="B296" s="55"/>
      <c r="C296" s="56"/>
      <c r="D296" s="56"/>
    </row>
    <row r="297" spans="1:4" ht="14.25" customHeight="1">
      <c r="A297" s="83"/>
      <c r="B297" s="55"/>
      <c r="C297" s="56"/>
      <c r="D297" s="56"/>
    </row>
    <row r="298" spans="1:4" ht="14.25" customHeight="1">
      <c r="A298" s="83"/>
      <c r="B298" s="55"/>
      <c r="C298" s="56"/>
      <c r="D298" s="56"/>
    </row>
    <row r="299" spans="1:4" ht="14.25" customHeight="1">
      <c r="A299" s="83"/>
      <c r="B299" s="55"/>
      <c r="C299" s="56"/>
      <c r="D299" s="56"/>
    </row>
    <row r="300" spans="1:4" ht="14.25" customHeight="1">
      <c r="A300" s="83"/>
      <c r="B300" s="55"/>
      <c r="C300" s="56"/>
      <c r="D300" s="56"/>
    </row>
    <row r="301" spans="1:4" ht="14.25" customHeight="1">
      <c r="A301" s="83"/>
      <c r="B301" s="55"/>
      <c r="C301" s="56"/>
      <c r="D301" s="56"/>
    </row>
    <row r="302" spans="1:4" ht="14.25" customHeight="1">
      <c r="A302" s="83"/>
      <c r="B302" s="55"/>
      <c r="C302" s="56"/>
      <c r="D302" s="56"/>
    </row>
    <row r="303" spans="1:4" ht="14.25" customHeight="1">
      <c r="A303" s="83"/>
      <c r="B303" s="55"/>
      <c r="C303" s="56"/>
      <c r="D303" s="56"/>
    </row>
    <row r="304" spans="1:4" ht="14.25" customHeight="1">
      <c r="A304" s="83"/>
      <c r="B304" s="55"/>
      <c r="C304" s="56"/>
      <c r="D304" s="56"/>
    </row>
    <row r="305" spans="1:4" ht="14.25" customHeight="1">
      <c r="A305" s="83"/>
      <c r="B305" s="55"/>
      <c r="C305" s="56"/>
      <c r="D305" s="56"/>
    </row>
    <row r="306" spans="1:4" ht="14.25" customHeight="1">
      <c r="A306" s="83"/>
      <c r="B306" s="55"/>
      <c r="C306" s="56"/>
      <c r="D306" s="56"/>
    </row>
    <row r="307" spans="1:4" ht="14.25" customHeight="1">
      <c r="A307" s="83"/>
      <c r="B307" s="55"/>
      <c r="C307" s="56"/>
      <c r="D307" s="56"/>
    </row>
    <row r="308" spans="1:4" ht="14.25" customHeight="1">
      <c r="A308" s="83"/>
      <c r="B308" s="55"/>
      <c r="C308" s="56"/>
      <c r="D308" s="56"/>
    </row>
    <row r="309" spans="1:4" ht="14.25" customHeight="1">
      <c r="A309" s="83"/>
      <c r="B309" s="55"/>
      <c r="C309" s="56"/>
      <c r="D309" s="56"/>
    </row>
    <row r="310" spans="1:4" ht="14.25" customHeight="1">
      <c r="A310" s="83"/>
      <c r="B310" s="55"/>
      <c r="C310" s="56"/>
      <c r="D310" s="56"/>
    </row>
    <row r="311" spans="1:4" ht="14.25" customHeight="1">
      <c r="A311" s="83"/>
      <c r="B311" s="55"/>
      <c r="C311" s="56"/>
      <c r="D311" s="56"/>
    </row>
    <row r="312" spans="1:4" ht="14.25" customHeight="1">
      <c r="A312" s="83"/>
      <c r="B312" s="55"/>
      <c r="C312" s="56"/>
      <c r="D312" s="56"/>
    </row>
    <row r="313" spans="1:4" ht="14.25" customHeight="1">
      <c r="A313" s="83"/>
      <c r="B313" s="55"/>
      <c r="C313" s="56"/>
      <c r="D313" s="56"/>
    </row>
    <row r="314" spans="1:4" ht="14.25" customHeight="1">
      <c r="A314" s="83"/>
      <c r="B314" s="55"/>
      <c r="C314" s="56"/>
      <c r="D314" s="56"/>
    </row>
    <row r="315" spans="1:4" ht="14.25" customHeight="1">
      <c r="A315" s="83"/>
      <c r="B315" s="55"/>
      <c r="C315" s="56"/>
      <c r="D315" s="56"/>
    </row>
    <row r="316" spans="1:4" ht="14.25" customHeight="1">
      <c r="A316" s="83"/>
      <c r="B316" s="55"/>
      <c r="C316" s="56"/>
      <c r="D316" s="56"/>
    </row>
    <row r="317" spans="1:4" ht="14.25" customHeight="1">
      <c r="A317" s="83"/>
      <c r="B317" s="55"/>
      <c r="C317" s="56"/>
      <c r="D317" s="56"/>
    </row>
    <row r="318" spans="1:4" ht="14.25" customHeight="1">
      <c r="A318" s="83"/>
      <c r="B318" s="55"/>
      <c r="C318" s="56"/>
      <c r="D318" s="56"/>
    </row>
    <row r="319" spans="1:4" ht="14.25" customHeight="1">
      <c r="A319" s="83"/>
      <c r="B319" s="55"/>
      <c r="C319" s="56"/>
      <c r="D319" s="56"/>
    </row>
    <row r="320" spans="1:4" ht="14.25" customHeight="1">
      <c r="A320" s="83"/>
      <c r="B320" s="55"/>
      <c r="C320" s="56"/>
      <c r="D320" s="56"/>
    </row>
    <row r="321" spans="1:4" ht="14.25" customHeight="1">
      <c r="A321" s="83"/>
      <c r="B321" s="55"/>
      <c r="C321" s="56"/>
      <c r="D321" s="56"/>
    </row>
    <row r="322" spans="1:4" ht="14.25" customHeight="1">
      <c r="A322" s="83"/>
      <c r="B322" s="55"/>
      <c r="C322" s="56"/>
      <c r="D322" s="56"/>
    </row>
    <row r="323" spans="1:4" ht="14.25" customHeight="1">
      <c r="A323" s="83"/>
      <c r="B323" s="55"/>
      <c r="C323" s="56"/>
      <c r="D323" s="56"/>
    </row>
    <row r="324" spans="1:4" ht="14.25" customHeight="1">
      <c r="A324" s="83"/>
      <c r="B324" s="55"/>
      <c r="C324" s="56"/>
      <c r="D324" s="56"/>
    </row>
    <row r="325" spans="1:4" ht="14.25" customHeight="1">
      <c r="A325" s="83"/>
      <c r="B325" s="55"/>
      <c r="C325" s="56"/>
      <c r="D325" s="56"/>
    </row>
    <row r="326" spans="1:4" ht="14.25" customHeight="1">
      <c r="A326" s="83"/>
      <c r="B326" s="55"/>
      <c r="C326" s="56"/>
      <c r="D326" s="56"/>
    </row>
    <row r="327" spans="1:4" ht="14.25" customHeight="1">
      <c r="A327" s="83"/>
      <c r="B327" s="55"/>
      <c r="C327" s="56"/>
      <c r="D327" s="56"/>
    </row>
    <row r="328" spans="1:4" ht="14.25" customHeight="1">
      <c r="A328" s="83"/>
      <c r="B328" s="55"/>
      <c r="C328" s="56"/>
      <c r="D328" s="56"/>
    </row>
    <row r="329" spans="1:4" ht="14.25" customHeight="1">
      <c r="A329" s="83"/>
      <c r="B329" s="55"/>
      <c r="C329" s="56"/>
      <c r="D329" s="56"/>
    </row>
    <row r="330" spans="1:4" ht="14.25" customHeight="1">
      <c r="A330" s="83"/>
      <c r="B330" s="55"/>
      <c r="C330" s="56"/>
      <c r="D330" s="56"/>
    </row>
    <row r="331" spans="1:4" ht="14.25" customHeight="1">
      <c r="A331" s="83"/>
      <c r="B331" s="55"/>
      <c r="C331" s="56"/>
      <c r="D331" s="56"/>
    </row>
    <row r="332" spans="1:4" ht="14.25" customHeight="1">
      <c r="A332" s="83"/>
      <c r="B332" s="55"/>
      <c r="C332" s="56"/>
      <c r="D332" s="56"/>
    </row>
    <row r="333" spans="1:4" ht="14.25" customHeight="1">
      <c r="A333" s="83"/>
      <c r="B333" s="55"/>
      <c r="C333" s="56"/>
      <c r="D333" s="56"/>
    </row>
    <row r="334" spans="1:4" ht="14.25" customHeight="1">
      <c r="A334" s="83"/>
      <c r="B334" s="55"/>
      <c r="C334" s="56"/>
      <c r="D334" s="56"/>
    </row>
    <row r="335" spans="1:4" ht="14.25" customHeight="1">
      <c r="A335" s="83"/>
      <c r="B335" s="55"/>
      <c r="C335" s="56"/>
      <c r="D335" s="56"/>
    </row>
    <row r="336" spans="1:4" ht="14.25" customHeight="1">
      <c r="A336" s="83"/>
      <c r="B336" s="55"/>
      <c r="C336" s="56"/>
      <c r="D336" s="56"/>
    </row>
    <row r="337" spans="1:4" ht="14.25" customHeight="1">
      <c r="A337" s="83"/>
      <c r="B337" s="55"/>
      <c r="C337" s="56"/>
      <c r="D337" s="56"/>
    </row>
    <row r="338" spans="1:4" ht="14.25" customHeight="1">
      <c r="A338" s="83"/>
      <c r="B338" s="55"/>
      <c r="C338" s="56"/>
      <c r="D338" s="56"/>
    </row>
    <row r="339" spans="1:4" ht="14.25" customHeight="1">
      <c r="A339" s="83"/>
      <c r="B339" s="55"/>
      <c r="C339" s="56"/>
      <c r="D339" s="56"/>
    </row>
    <row r="340" spans="1:4" ht="14.25" customHeight="1">
      <c r="A340" s="83"/>
      <c r="B340" s="55"/>
      <c r="C340" s="56"/>
      <c r="D340" s="56"/>
    </row>
    <row r="341" spans="1:4" ht="14.25" customHeight="1">
      <c r="A341" s="83"/>
      <c r="B341" s="55"/>
      <c r="C341" s="56"/>
      <c r="D341" s="56"/>
    </row>
    <row r="342" spans="1:4" ht="14.25" customHeight="1">
      <c r="A342" s="83"/>
      <c r="B342" s="55"/>
      <c r="C342" s="56"/>
      <c r="D342" s="56"/>
    </row>
    <row r="343" spans="1:4" ht="14.25" customHeight="1">
      <c r="A343" s="83"/>
      <c r="B343" s="55"/>
      <c r="C343" s="56"/>
      <c r="D343" s="56"/>
    </row>
    <row r="344" spans="1:4" ht="14.25" customHeight="1">
      <c r="A344" s="83"/>
      <c r="B344" s="55"/>
      <c r="C344" s="56"/>
      <c r="D344" s="56"/>
    </row>
    <row r="345" spans="1:4" ht="14.25" customHeight="1">
      <c r="A345" s="83"/>
      <c r="B345" s="55"/>
      <c r="C345" s="56"/>
      <c r="D345" s="56"/>
    </row>
    <row r="346" spans="1:4" ht="14.25" customHeight="1">
      <c r="A346" s="83"/>
      <c r="B346" s="55"/>
      <c r="C346" s="56"/>
      <c r="D346" s="56"/>
    </row>
    <row r="347" spans="1:4" ht="14.25" customHeight="1">
      <c r="A347" s="83"/>
      <c r="B347" s="55"/>
      <c r="C347" s="56"/>
      <c r="D347" s="56"/>
    </row>
    <row r="348" spans="1:4" ht="14.25" customHeight="1">
      <c r="A348" s="83"/>
      <c r="B348" s="55"/>
      <c r="C348" s="56"/>
      <c r="D348" s="56"/>
    </row>
    <row r="349" spans="1:4" ht="14.25" customHeight="1">
      <c r="A349" s="83"/>
      <c r="B349" s="55"/>
      <c r="C349" s="56"/>
      <c r="D349" s="56"/>
    </row>
    <row r="350" spans="1:4" ht="14.25" customHeight="1">
      <c r="A350" s="83"/>
      <c r="B350" s="55"/>
      <c r="C350" s="56"/>
      <c r="D350" s="56"/>
    </row>
    <row r="351" spans="1:4" ht="14.25" customHeight="1">
      <c r="A351" s="83"/>
      <c r="B351" s="55"/>
      <c r="C351" s="56"/>
      <c r="D351" s="56"/>
    </row>
    <row r="352" spans="1:4" ht="14.25" customHeight="1">
      <c r="A352" s="83"/>
      <c r="B352" s="55"/>
      <c r="C352" s="56"/>
      <c r="D352" s="56"/>
    </row>
    <row r="353" spans="1:4" ht="14.25" customHeight="1">
      <c r="A353" s="83"/>
      <c r="B353" s="55"/>
      <c r="C353" s="56"/>
      <c r="D353" s="56"/>
    </row>
    <row r="354" spans="1:4" ht="14.25" customHeight="1">
      <c r="A354" s="83"/>
      <c r="B354" s="55"/>
      <c r="C354" s="56"/>
      <c r="D354" s="56"/>
    </row>
    <row r="355" spans="1:4" ht="14.25" customHeight="1">
      <c r="A355" s="83"/>
      <c r="B355" s="55"/>
      <c r="C355" s="56"/>
      <c r="D355" s="56"/>
    </row>
    <row r="356" spans="1:4" ht="14.25" customHeight="1">
      <c r="A356" s="83"/>
      <c r="B356" s="55"/>
      <c r="C356" s="56"/>
      <c r="D356" s="56"/>
    </row>
    <row r="357" spans="1:4" ht="14.25" customHeight="1">
      <c r="A357" s="83"/>
      <c r="B357" s="55"/>
      <c r="C357" s="56"/>
      <c r="D357" s="56"/>
    </row>
    <row r="358" spans="1:4" ht="14.25" customHeight="1">
      <c r="A358" s="83"/>
      <c r="B358" s="55"/>
      <c r="C358" s="56"/>
      <c r="D358" s="56"/>
    </row>
    <row r="359" spans="1:4" ht="14.25" customHeight="1">
      <c r="A359" s="83"/>
      <c r="B359" s="55"/>
      <c r="C359" s="56"/>
      <c r="D359" s="56"/>
    </row>
    <row r="360" spans="1:4" ht="14.25" customHeight="1">
      <c r="A360" s="83"/>
      <c r="B360" s="55"/>
      <c r="C360" s="56"/>
      <c r="D360" s="56"/>
    </row>
    <row r="361" spans="1:4" ht="14.25" customHeight="1">
      <c r="A361" s="83"/>
      <c r="B361" s="55"/>
      <c r="C361" s="56"/>
      <c r="D361" s="56"/>
    </row>
    <row r="362" spans="1:4" ht="14.25" customHeight="1">
      <c r="A362" s="83"/>
      <c r="B362" s="55"/>
      <c r="C362" s="56"/>
      <c r="D362" s="56"/>
    </row>
    <row r="363" spans="1:4" ht="14.25" customHeight="1">
      <c r="A363" s="83"/>
      <c r="B363" s="55"/>
      <c r="C363" s="56"/>
      <c r="D363" s="56"/>
    </row>
    <row r="364" spans="1:4" ht="14.25" customHeight="1">
      <c r="A364" s="83"/>
      <c r="B364" s="55"/>
      <c r="C364" s="56"/>
      <c r="D364" s="56"/>
    </row>
    <row r="365" spans="1:4" ht="14.25" customHeight="1">
      <c r="A365" s="83"/>
      <c r="B365" s="55"/>
      <c r="C365" s="56"/>
      <c r="D365" s="56"/>
    </row>
    <row r="366" spans="1:4" ht="14.25" customHeight="1">
      <c r="A366" s="83"/>
      <c r="B366" s="55"/>
      <c r="C366" s="56"/>
      <c r="D366" s="56"/>
    </row>
    <row r="367" spans="1:4" ht="14.25" customHeight="1">
      <c r="A367" s="83"/>
      <c r="B367" s="55"/>
      <c r="C367" s="56"/>
      <c r="D367" s="56"/>
    </row>
    <row r="368" spans="1:4" ht="14.25" customHeight="1">
      <c r="A368" s="83"/>
      <c r="B368" s="55"/>
      <c r="C368" s="56"/>
      <c r="D368" s="56"/>
    </row>
    <row r="369" spans="1:4" ht="14.25" customHeight="1">
      <c r="A369" s="83"/>
      <c r="B369" s="55"/>
      <c r="C369" s="56"/>
      <c r="D369" s="56"/>
    </row>
    <row r="370" spans="1:4" ht="14.25" customHeight="1">
      <c r="A370" s="83"/>
      <c r="B370" s="55"/>
      <c r="C370" s="56"/>
      <c r="D370" s="56"/>
    </row>
    <row r="371" spans="1:4" ht="14.25" customHeight="1">
      <c r="A371" s="83"/>
      <c r="B371" s="55"/>
      <c r="C371" s="56"/>
      <c r="D371" s="56"/>
    </row>
    <row r="372" spans="1:4" ht="14.25" customHeight="1">
      <c r="A372" s="83"/>
      <c r="B372" s="55"/>
      <c r="C372" s="56"/>
      <c r="D372" s="56"/>
    </row>
    <row r="373" spans="1:4" ht="14.25" customHeight="1">
      <c r="A373" s="83"/>
      <c r="B373" s="55"/>
      <c r="C373" s="56"/>
      <c r="D373" s="56"/>
    </row>
    <row r="374" spans="1:4" ht="14.25" customHeight="1">
      <c r="A374" s="83"/>
      <c r="B374" s="55"/>
      <c r="C374" s="56"/>
      <c r="D374" s="56"/>
    </row>
    <row r="375" spans="1:4" ht="14.25" customHeight="1">
      <c r="A375" s="83"/>
      <c r="B375" s="55"/>
      <c r="C375" s="56"/>
      <c r="D375" s="56"/>
    </row>
    <row r="376" spans="1:4" ht="14.25" customHeight="1">
      <c r="A376" s="83"/>
      <c r="B376" s="55"/>
      <c r="C376" s="56"/>
      <c r="D376" s="56"/>
    </row>
    <row r="377" spans="1:4" ht="14.25" customHeight="1">
      <c r="A377" s="83"/>
      <c r="B377" s="55"/>
      <c r="C377" s="56"/>
      <c r="D377" s="56"/>
    </row>
    <row r="378" spans="1:4" ht="14.25" customHeight="1">
      <c r="A378" s="83"/>
      <c r="B378" s="55"/>
      <c r="C378" s="56"/>
      <c r="D378" s="56"/>
    </row>
    <row r="379" spans="1:4" ht="14.25" customHeight="1">
      <c r="A379" s="83"/>
      <c r="B379" s="55"/>
      <c r="C379" s="56"/>
      <c r="D379" s="56"/>
    </row>
    <row r="380" spans="1:4" ht="14.25" customHeight="1">
      <c r="A380" s="83"/>
      <c r="B380" s="55"/>
      <c r="C380" s="56"/>
      <c r="D380" s="56"/>
    </row>
    <row r="381" spans="1:4" ht="14.25" customHeight="1">
      <c r="A381" s="83"/>
      <c r="B381" s="55"/>
      <c r="C381" s="56"/>
      <c r="D381" s="56"/>
    </row>
    <row r="382" spans="1:4" ht="14.25" customHeight="1">
      <c r="A382" s="83"/>
      <c r="B382" s="55"/>
      <c r="C382" s="56"/>
      <c r="D382" s="56"/>
    </row>
    <row r="383" spans="1:4" ht="14.25" customHeight="1">
      <c r="A383" s="83"/>
      <c r="B383" s="55"/>
      <c r="C383" s="56"/>
      <c r="D383" s="56"/>
    </row>
    <row r="384" spans="1:4" ht="14.25" customHeight="1">
      <c r="A384" s="83"/>
      <c r="B384" s="55"/>
      <c r="C384" s="56"/>
      <c r="D384" s="56"/>
    </row>
    <row r="385" spans="1:4" ht="14.25" customHeight="1">
      <c r="A385" s="83"/>
      <c r="B385" s="55"/>
      <c r="C385" s="56"/>
      <c r="D385" s="56"/>
    </row>
    <row r="386" spans="1:4" ht="14.25" customHeight="1">
      <c r="A386" s="83"/>
      <c r="B386" s="55"/>
      <c r="C386" s="56"/>
      <c r="D386" s="56"/>
    </row>
    <row r="387" spans="1:4" ht="14.25" customHeight="1">
      <c r="A387" s="83"/>
      <c r="B387" s="55"/>
      <c r="C387" s="56"/>
      <c r="D387" s="56"/>
    </row>
    <row r="388" spans="1:4" ht="14.25" customHeight="1">
      <c r="A388" s="83"/>
      <c r="B388" s="55"/>
      <c r="C388" s="56"/>
      <c r="D388" s="56"/>
    </row>
    <row r="389" spans="1:4" ht="14.25" customHeight="1">
      <c r="A389" s="83"/>
      <c r="B389" s="55"/>
      <c r="C389" s="56"/>
      <c r="D389" s="56"/>
    </row>
    <row r="390" spans="1:4" ht="14.25" customHeight="1">
      <c r="A390" s="83"/>
      <c r="B390" s="55"/>
      <c r="C390" s="56"/>
      <c r="D390" s="56"/>
    </row>
    <row r="391" spans="1:4" ht="14.25" customHeight="1">
      <c r="A391" s="83"/>
      <c r="B391" s="55"/>
      <c r="C391" s="56"/>
      <c r="D391" s="56"/>
    </row>
    <row r="392" spans="1:4" ht="14.25" customHeight="1">
      <c r="A392" s="83"/>
      <c r="B392" s="55"/>
      <c r="C392" s="56"/>
      <c r="D392" s="56"/>
    </row>
    <row r="393" spans="1:4" ht="14.25" customHeight="1">
      <c r="A393" s="83"/>
      <c r="B393" s="55"/>
      <c r="C393" s="56"/>
      <c r="D393" s="56"/>
    </row>
    <row r="394" spans="1:4" ht="14.25" customHeight="1">
      <c r="A394" s="83"/>
      <c r="B394" s="55"/>
      <c r="C394" s="56"/>
      <c r="D394" s="56"/>
    </row>
    <row r="395" spans="1:4" ht="14.25" customHeight="1">
      <c r="A395" s="83"/>
      <c r="B395" s="55"/>
      <c r="C395" s="56"/>
      <c r="D395" s="56"/>
    </row>
    <row r="396" spans="1:4" ht="14.25" customHeight="1">
      <c r="A396" s="83"/>
      <c r="B396" s="55"/>
      <c r="C396" s="56"/>
      <c r="D396" s="56"/>
    </row>
    <row r="397" spans="1:4" ht="14.25" customHeight="1">
      <c r="A397" s="83"/>
      <c r="B397" s="55"/>
      <c r="C397" s="56"/>
      <c r="D397" s="56"/>
    </row>
    <row r="398" spans="1:4" ht="14.25" customHeight="1">
      <c r="A398" s="83"/>
      <c r="B398" s="55"/>
      <c r="C398" s="56"/>
      <c r="D398" s="56"/>
    </row>
    <row r="399" spans="1:4" ht="14.25" customHeight="1">
      <c r="A399" s="83"/>
      <c r="B399" s="55"/>
      <c r="C399" s="56"/>
      <c r="D399" s="56"/>
    </row>
    <row r="400" spans="1:4" ht="14.25" customHeight="1">
      <c r="A400" s="83"/>
      <c r="B400" s="55"/>
      <c r="C400" s="56"/>
      <c r="D400" s="56"/>
    </row>
    <row r="401" spans="1:4" ht="14.25" customHeight="1">
      <c r="A401" s="83"/>
      <c r="B401" s="55"/>
      <c r="C401" s="56"/>
      <c r="D401" s="56"/>
    </row>
    <row r="402" spans="1:4" ht="14.25" customHeight="1">
      <c r="A402" s="83"/>
      <c r="B402" s="55"/>
      <c r="C402" s="56"/>
      <c r="D402" s="56"/>
    </row>
    <row r="403" spans="1:4" ht="14.25" customHeight="1">
      <c r="A403" s="83"/>
      <c r="B403" s="55"/>
      <c r="C403" s="56"/>
      <c r="D403" s="56"/>
    </row>
    <row r="404" spans="1:4" ht="14.25" customHeight="1">
      <c r="A404" s="83"/>
      <c r="B404" s="55"/>
      <c r="C404" s="56"/>
      <c r="D404" s="56"/>
    </row>
    <row r="405" spans="1:4" ht="14.25" customHeight="1">
      <c r="A405" s="83"/>
      <c r="B405" s="55"/>
      <c r="C405" s="56"/>
      <c r="D405" s="56"/>
    </row>
    <row r="406" spans="1:4" ht="14.25" customHeight="1">
      <c r="A406" s="83"/>
      <c r="B406" s="55"/>
      <c r="C406" s="56"/>
      <c r="D406" s="56"/>
    </row>
    <row r="407" spans="1:4" ht="14.25" customHeight="1">
      <c r="A407" s="83"/>
      <c r="B407" s="55"/>
      <c r="C407" s="56"/>
      <c r="D407" s="56"/>
    </row>
    <row r="408" spans="1:4" ht="14.25" customHeight="1">
      <c r="A408" s="83"/>
      <c r="B408" s="55"/>
      <c r="C408" s="56"/>
      <c r="D408" s="56"/>
    </row>
    <row r="409" spans="1:4" ht="14.25" customHeight="1">
      <c r="A409" s="83"/>
      <c r="B409" s="55"/>
      <c r="C409" s="56"/>
      <c r="D409" s="56"/>
    </row>
    <row r="410" spans="1:4" ht="14.25" customHeight="1">
      <c r="A410" s="83"/>
      <c r="B410" s="55"/>
      <c r="C410" s="56"/>
      <c r="D410" s="56"/>
    </row>
    <row r="411" spans="1:4" ht="14.25" customHeight="1">
      <c r="A411" s="83"/>
      <c r="B411" s="55"/>
      <c r="C411" s="56"/>
      <c r="D411" s="56"/>
    </row>
    <row r="412" spans="1:4" ht="14.25" customHeight="1">
      <c r="A412" s="83"/>
      <c r="B412" s="55"/>
      <c r="C412" s="56"/>
      <c r="D412" s="56"/>
    </row>
    <row r="413" spans="1:4" ht="14.25" customHeight="1">
      <c r="A413" s="83"/>
      <c r="B413" s="55"/>
      <c r="C413" s="56"/>
      <c r="D413" s="56"/>
    </row>
    <row r="414" spans="1:4" ht="14.25" customHeight="1">
      <c r="A414" s="83"/>
      <c r="B414" s="55"/>
      <c r="C414" s="56"/>
      <c r="D414" s="56"/>
    </row>
    <row r="415" spans="1:4" ht="14.25" customHeight="1">
      <c r="A415" s="83"/>
      <c r="B415" s="55"/>
      <c r="C415" s="56"/>
      <c r="D415" s="56"/>
    </row>
    <row r="416" spans="1:4" ht="14.25" customHeight="1">
      <c r="A416" s="83"/>
      <c r="B416" s="55"/>
      <c r="C416" s="56"/>
      <c r="D416" s="56"/>
    </row>
    <row r="417" spans="1:4" ht="14.25" customHeight="1">
      <c r="A417" s="83"/>
      <c r="B417" s="55"/>
      <c r="C417" s="56"/>
      <c r="D417" s="56"/>
    </row>
    <row r="418" spans="1:4" ht="14.25" customHeight="1">
      <c r="A418" s="83"/>
      <c r="B418" s="55"/>
      <c r="C418" s="56"/>
      <c r="D418" s="56"/>
    </row>
    <row r="419" spans="1:4" ht="14.25" customHeight="1">
      <c r="A419" s="83"/>
      <c r="B419" s="55"/>
      <c r="C419" s="56"/>
      <c r="D419" s="56"/>
    </row>
    <row r="420" spans="1:4" ht="14.25" customHeight="1">
      <c r="A420" s="83"/>
      <c r="B420" s="55"/>
      <c r="C420" s="56"/>
      <c r="D420" s="56"/>
    </row>
    <row r="421" spans="1:4" ht="14.25" customHeight="1">
      <c r="A421" s="83"/>
      <c r="B421" s="55"/>
      <c r="C421" s="56"/>
      <c r="D421" s="56"/>
    </row>
    <row r="422" spans="1:4" ht="14.25" customHeight="1">
      <c r="A422" s="83"/>
      <c r="B422" s="55"/>
      <c r="C422" s="56"/>
      <c r="D422" s="56"/>
    </row>
    <row r="423" spans="1:4" ht="14.25" customHeight="1">
      <c r="A423" s="83"/>
      <c r="B423" s="55"/>
      <c r="C423" s="56"/>
      <c r="D423" s="56"/>
    </row>
    <row r="424" spans="1:4" ht="14.25" customHeight="1">
      <c r="A424" s="83"/>
      <c r="B424" s="55"/>
      <c r="C424" s="56"/>
      <c r="D424" s="56"/>
    </row>
    <row r="425" spans="1:4" ht="14.25" customHeight="1">
      <c r="A425" s="83"/>
      <c r="B425" s="55"/>
      <c r="C425" s="56"/>
      <c r="D425" s="56"/>
    </row>
    <row r="426" spans="1:4" ht="14.25" customHeight="1">
      <c r="A426" s="83"/>
      <c r="B426" s="55"/>
      <c r="C426" s="56"/>
      <c r="D426" s="56"/>
    </row>
    <row r="427" spans="1:4" ht="14.25" customHeight="1">
      <c r="A427" s="83"/>
      <c r="B427" s="55"/>
      <c r="C427" s="56"/>
      <c r="D427" s="56"/>
    </row>
    <row r="428" spans="1:4" ht="14.25" customHeight="1">
      <c r="A428" s="83"/>
      <c r="B428" s="55"/>
      <c r="C428" s="56"/>
      <c r="D428" s="56"/>
    </row>
    <row r="429" spans="1:4" ht="14.25" customHeight="1">
      <c r="A429" s="83"/>
      <c r="B429" s="55"/>
      <c r="C429" s="56"/>
      <c r="D429" s="56"/>
    </row>
    <row r="430" spans="1:4" ht="14.25" customHeight="1">
      <c r="A430" s="83"/>
      <c r="B430" s="55"/>
      <c r="C430" s="56"/>
      <c r="D430" s="56"/>
    </row>
    <row r="431" spans="1:4" ht="14.25" customHeight="1">
      <c r="A431" s="83"/>
      <c r="B431" s="55"/>
      <c r="C431" s="56"/>
      <c r="D431" s="56"/>
    </row>
    <row r="432" spans="1:4" ht="14.25" customHeight="1">
      <c r="A432" s="83"/>
      <c r="B432" s="55"/>
      <c r="C432" s="56"/>
      <c r="D432" s="56"/>
    </row>
    <row r="433" spans="1:4" ht="14.25" customHeight="1">
      <c r="A433" s="83"/>
      <c r="B433" s="55"/>
      <c r="C433" s="56"/>
      <c r="D433" s="56"/>
    </row>
    <row r="434" spans="1:4" ht="14.25" customHeight="1">
      <c r="A434" s="83"/>
      <c r="B434" s="55"/>
      <c r="C434" s="56"/>
      <c r="D434" s="56"/>
    </row>
    <row r="435" spans="1:4" ht="14.25" customHeight="1">
      <c r="A435" s="83"/>
      <c r="B435" s="55"/>
      <c r="C435" s="56"/>
      <c r="D435" s="56"/>
    </row>
    <row r="436" spans="1:4" ht="14.25" customHeight="1">
      <c r="A436" s="83"/>
      <c r="B436" s="55"/>
      <c r="C436" s="56"/>
      <c r="D436" s="56"/>
    </row>
    <row r="437" spans="1:4" ht="14.25" customHeight="1">
      <c r="A437" s="83"/>
      <c r="B437" s="55"/>
      <c r="C437" s="56"/>
      <c r="D437" s="56"/>
    </row>
    <row r="438" spans="1:4" ht="14.25" customHeight="1">
      <c r="A438" s="83"/>
      <c r="B438" s="55"/>
      <c r="C438" s="56"/>
      <c r="D438" s="56"/>
    </row>
    <row r="439" spans="1:4" ht="14.25" customHeight="1">
      <c r="A439" s="83"/>
      <c r="B439" s="55"/>
      <c r="C439" s="56"/>
      <c r="D439" s="56"/>
    </row>
    <row r="440" spans="1:4" ht="14.25" customHeight="1">
      <c r="A440" s="83"/>
      <c r="B440" s="55"/>
      <c r="C440" s="56"/>
      <c r="D440" s="56"/>
    </row>
    <row r="441" spans="1:4" ht="14.25" customHeight="1">
      <c r="A441" s="83"/>
      <c r="B441" s="55"/>
      <c r="C441" s="56"/>
      <c r="D441" s="56"/>
    </row>
    <row r="442" spans="1:4" ht="14.25" customHeight="1">
      <c r="A442" s="83"/>
      <c r="B442" s="55"/>
      <c r="C442" s="56"/>
      <c r="D442" s="56"/>
    </row>
    <row r="443" spans="1:4" ht="14.25" customHeight="1">
      <c r="A443" s="83"/>
      <c r="B443" s="55"/>
      <c r="C443" s="56"/>
      <c r="D443" s="56"/>
    </row>
    <row r="444" spans="1:4" ht="14.25" customHeight="1">
      <c r="A444" s="83"/>
      <c r="B444" s="55"/>
      <c r="C444" s="56"/>
      <c r="D444" s="56"/>
    </row>
    <row r="445" spans="1:4" ht="14.25" customHeight="1">
      <c r="A445" s="83"/>
      <c r="B445" s="55"/>
      <c r="C445" s="56"/>
      <c r="D445" s="56"/>
    </row>
    <row r="446" spans="1:4" ht="14.25" customHeight="1">
      <c r="A446" s="83"/>
      <c r="B446" s="55"/>
      <c r="C446" s="56"/>
      <c r="D446" s="56"/>
    </row>
    <row r="447" spans="1:4" ht="14.25" customHeight="1">
      <c r="A447" s="83"/>
      <c r="B447" s="55"/>
      <c r="C447" s="56"/>
      <c r="D447" s="56"/>
    </row>
    <row r="448" spans="1:4" ht="14.25" customHeight="1">
      <c r="A448" s="83"/>
      <c r="B448" s="55"/>
      <c r="C448" s="56"/>
      <c r="D448" s="56"/>
    </row>
    <row r="449" spans="1:4" ht="14.25" customHeight="1">
      <c r="A449" s="83"/>
      <c r="B449" s="55"/>
      <c r="C449" s="56"/>
      <c r="D449" s="56"/>
    </row>
    <row r="450" spans="1:4" ht="14.25" customHeight="1">
      <c r="A450" s="83"/>
      <c r="B450" s="55"/>
      <c r="C450" s="56"/>
      <c r="D450" s="56"/>
    </row>
    <row r="451" spans="1:4" ht="14.25" customHeight="1">
      <c r="A451" s="83"/>
      <c r="B451" s="55"/>
      <c r="C451" s="56"/>
      <c r="D451" s="56"/>
    </row>
    <row r="452" spans="1:4" ht="14.25" customHeight="1">
      <c r="A452" s="83"/>
      <c r="B452" s="55"/>
      <c r="C452" s="56"/>
      <c r="D452" s="56"/>
    </row>
    <row r="453" spans="1:4" ht="14.25" customHeight="1">
      <c r="A453" s="83"/>
      <c r="B453" s="55"/>
      <c r="C453" s="56"/>
      <c r="D453" s="56"/>
    </row>
    <row r="454" spans="1:4" ht="14.25" customHeight="1">
      <c r="A454" s="83"/>
      <c r="B454" s="55"/>
      <c r="C454" s="56"/>
      <c r="D454" s="56"/>
    </row>
    <row r="455" spans="1:4" ht="14.25" customHeight="1">
      <c r="A455" s="83"/>
      <c r="B455" s="55"/>
      <c r="C455" s="56"/>
      <c r="D455" s="56"/>
    </row>
    <row r="456" spans="1:4" ht="14.25" customHeight="1">
      <c r="A456" s="83"/>
      <c r="B456" s="55"/>
      <c r="C456" s="56"/>
      <c r="D456" s="56"/>
    </row>
    <row r="457" spans="1:4" ht="14.25" customHeight="1">
      <c r="A457" s="83"/>
      <c r="B457" s="55"/>
      <c r="C457" s="56"/>
      <c r="D457" s="56"/>
    </row>
    <row r="458" spans="1:4" ht="14.25" customHeight="1">
      <c r="A458" s="83"/>
      <c r="B458" s="55"/>
      <c r="C458" s="56"/>
      <c r="D458" s="56"/>
    </row>
    <row r="459" spans="1:4" ht="14.25" customHeight="1">
      <c r="A459" s="83"/>
      <c r="B459" s="55"/>
      <c r="C459" s="56"/>
      <c r="D459" s="56"/>
    </row>
    <row r="460" spans="1:4" ht="14.25" customHeight="1">
      <c r="A460" s="83"/>
      <c r="B460" s="55"/>
      <c r="C460" s="56"/>
      <c r="D460" s="56"/>
    </row>
    <row r="461" spans="1:4" ht="14.25" customHeight="1">
      <c r="A461" s="83"/>
      <c r="B461" s="55"/>
      <c r="C461" s="56"/>
      <c r="D461" s="56"/>
    </row>
    <row r="462" spans="1:4" ht="14.25" customHeight="1">
      <c r="A462" s="83"/>
      <c r="B462" s="55"/>
      <c r="C462" s="56"/>
      <c r="D462" s="56"/>
    </row>
    <row r="463" spans="1:4" ht="14.25" customHeight="1">
      <c r="A463" s="83"/>
      <c r="B463" s="55"/>
      <c r="C463" s="56"/>
      <c r="D463" s="56"/>
    </row>
    <row r="464" spans="1:4" ht="14.25" customHeight="1">
      <c r="A464" s="83"/>
      <c r="B464" s="55"/>
      <c r="C464" s="56"/>
      <c r="D464" s="56"/>
    </row>
    <row r="465" spans="1:4" ht="14.25" customHeight="1">
      <c r="A465" s="83"/>
      <c r="B465" s="55"/>
      <c r="C465" s="56"/>
      <c r="D465" s="56"/>
    </row>
    <row r="466" spans="1:4" ht="14.25" customHeight="1">
      <c r="A466" s="83"/>
      <c r="B466" s="55"/>
      <c r="C466" s="56"/>
      <c r="D466" s="56"/>
    </row>
    <row r="467" spans="1:4" ht="14.25" customHeight="1">
      <c r="A467" s="83"/>
      <c r="B467" s="55"/>
      <c r="C467" s="56"/>
      <c r="D467" s="56"/>
    </row>
    <row r="468" spans="1:4" ht="14.25" customHeight="1">
      <c r="A468" s="83"/>
      <c r="B468" s="55"/>
      <c r="C468" s="56"/>
      <c r="D468" s="56"/>
    </row>
    <row r="469" spans="1:4" ht="14.25" customHeight="1">
      <c r="A469" s="83"/>
      <c r="B469" s="55"/>
      <c r="C469" s="56"/>
      <c r="D469" s="56"/>
    </row>
    <row r="470" spans="1:4" ht="14.25" customHeight="1">
      <c r="A470" s="83"/>
      <c r="B470" s="55"/>
      <c r="C470" s="56"/>
      <c r="D470" s="56"/>
    </row>
    <row r="471" spans="1:4" ht="14.25" customHeight="1">
      <c r="A471" s="83"/>
      <c r="B471" s="55"/>
      <c r="C471" s="56"/>
      <c r="D471" s="56"/>
    </row>
    <row r="472" spans="1:4" ht="14.25" customHeight="1">
      <c r="A472" s="83"/>
      <c r="B472" s="55"/>
      <c r="C472" s="56"/>
      <c r="D472" s="56"/>
    </row>
    <row r="473" spans="1:4" ht="14.25" customHeight="1">
      <c r="A473" s="83"/>
      <c r="B473" s="55"/>
      <c r="C473" s="56"/>
      <c r="D473" s="56"/>
    </row>
    <row r="474" spans="1:4" ht="14.25" customHeight="1">
      <c r="A474" s="83"/>
      <c r="B474" s="55"/>
      <c r="C474" s="56"/>
      <c r="D474" s="56"/>
    </row>
    <row r="475" spans="1:4" ht="14.25" customHeight="1">
      <c r="A475" s="83"/>
      <c r="B475" s="55"/>
      <c r="C475" s="56"/>
      <c r="D475" s="56"/>
    </row>
    <row r="476" spans="1:4" ht="14.25" customHeight="1">
      <c r="A476" s="83"/>
      <c r="B476" s="55"/>
      <c r="C476" s="56"/>
      <c r="D476" s="56"/>
    </row>
    <row r="477" spans="1:4" ht="14.25" customHeight="1">
      <c r="A477" s="83"/>
      <c r="B477" s="55"/>
      <c r="C477" s="56"/>
      <c r="D477" s="56"/>
    </row>
    <row r="478" spans="1:4" ht="14.25" customHeight="1">
      <c r="A478" s="83"/>
      <c r="B478" s="55"/>
      <c r="C478" s="56"/>
      <c r="D478" s="56"/>
    </row>
    <row r="479" spans="1:4" ht="14.25" customHeight="1">
      <c r="A479" s="83"/>
      <c r="B479" s="55"/>
      <c r="C479" s="56"/>
      <c r="D479" s="56"/>
    </row>
    <row r="480" spans="1:4" ht="14.25" customHeight="1">
      <c r="A480" s="83"/>
      <c r="B480" s="55"/>
      <c r="C480" s="56"/>
      <c r="D480" s="56"/>
    </row>
    <row r="481" spans="1:4" ht="14.25" customHeight="1">
      <c r="A481" s="83"/>
      <c r="B481" s="55"/>
      <c r="C481" s="56"/>
      <c r="D481" s="56"/>
    </row>
    <row r="482" spans="1:4" ht="14.25" customHeight="1">
      <c r="A482" s="83"/>
      <c r="B482" s="55"/>
      <c r="C482" s="56"/>
      <c r="D482" s="56"/>
    </row>
    <row r="483" spans="1:4" ht="14.25" customHeight="1">
      <c r="A483" s="83"/>
      <c r="B483" s="55"/>
      <c r="C483" s="56"/>
      <c r="D483" s="56"/>
    </row>
    <row r="484" spans="1:4" ht="14.25" customHeight="1">
      <c r="A484" s="83"/>
      <c r="B484" s="55"/>
      <c r="C484" s="56"/>
      <c r="D484" s="56"/>
    </row>
    <row r="485" spans="1:4" ht="14.25" customHeight="1">
      <c r="A485" s="83"/>
      <c r="B485" s="55"/>
      <c r="C485" s="56"/>
      <c r="D485" s="56"/>
    </row>
    <row r="486" spans="1:4" ht="14.25" customHeight="1">
      <c r="A486" s="83"/>
      <c r="B486" s="55"/>
      <c r="C486" s="56"/>
      <c r="D486" s="56"/>
    </row>
    <row r="487" spans="1:4" ht="14.25" customHeight="1">
      <c r="A487" s="83"/>
      <c r="B487" s="55"/>
      <c r="C487" s="56"/>
      <c r="D487" s="56"/>
    </row>
    <row r="488" spans="1:4" ht="14.25" customHeight="1">
      <c r="A488" s="83"/>
      <c r="B488" s="55"/>
      <c r="C488" s="56"/>
      <c r="D488" s="56"/>
    </row>
    <row r="489" spans="1:4" ht="14.25" customHeight="1">
      <c r="A489" s="83"/>
      <c r="B489" s="55"/>
      <c r="C489" s="56"/>
      <c r="D489" s="56"/>
    </row>
    <row r="490" spans="1:4" ht="14.25" customHeight="1">
      <c r="A490" s="83"/>
      <c r="B490" s="55"/>
      <c r="C490" s="56"/>
      <c r="D490" s="56"/>
    </row>
    <row r="491" spans="1:4" ht="14.25" customHeight="1">
      <c r="A491" s="83"/>
      <c r="B491" s="55"/>
      <c r="C491" s="56"/>
      <c r="D491" s="56"/>
    </row>
    <row r="492" spans="1:4" ht="14.25" customHeight="1">
      <c r="A492" s="83"/>
      <c r="B492" s="55"/>
      <c r="C492" s="56"/>
      <c r="D492" s="56"/>
    </row>
    <row r="493" spans="1:4" ht="14.25" customHeight="1">
      <c r="A493" s="83"/>
      <c r="B493" s="55"/>
      <c r="C493" s="56"/>
      <c r="D493" s="56"/>
    </row>
    <row r="494" spans="1:4" ht="14.25" customHeight="1">
      <c r="A494" s="83"/>
      <c r="B494" s="55"/>
      <c r="C494" s="56"/>
      <c r="D494" s="56"/>
    </row>
    <row r="495" spans="1:4" ht="14.25" customHeight="1">
      <c r="A495" s="83"/>
      <c r="B495" s="55"/>
      <c r="C495" s="56"/>
      <c r="D495" s="56"/>
    </row>
    <row r="496" spans="1:4" ht="14.25" customHeight="1">
      <c r="A496" s="83"/>
      <c r="B496" s="55"/>
      <c r="C496" s="56"/>
      <c r="D496" s="56"/>
    </row>
    <row r="497" spans="1:4" ht="14.25" customHeight="1">
      <c r="A497" s="83"/>
      <c r="B497" s="55"/>
      <c r="C497" s="56"/>
      <c r="D497" s="56"/>
    </row>
    <row r="498" spans="1:4" ht="14.25" customHeight="1">
      <c r="A498" s="83"/>
      <c r="B498" s="55"/>
      <c r="C498" s="56"/>
      <c r="D498" s="56"/>
    </row>
    <row r="499" spans="1:4" ht="14.25" customHeight="1">
      <c r="A499" s="83"/>
      <c r="B499" s="55"/>
      <c r="C499" s="56"/>
      <c r="D499" s="56"/>
    </row>
    <row r="500" spans="1:4" ht="14.25" customHeight="1">
      <c r="A500" s="83"/>
      <c r="B500" s="55"/>
      <c r="C500" s="56"/>
      <c r="D500" s="56"/>
    </row>
    <row r="501" spans="1:4" ht="14.25" customHeight="1">
      <c r="A501" s="83"/>
      <c r="B501" s="55"/>
      <c r="C501" s="56"/>
      <c r="D501" s="56"/>
    </row>
    <row r="502" spans="1:4" ht="14.25" customHeight="1">
      <c r="A502" s="83"/>
      <c r="B502" s="55"/>
      <c r="C502" s="56"/>
      <c r="D502" s="56"/>
    </row>
    <row r="503" spans="1:4" ht="14.25" customHeight="1">
      <c r="A503" s="83"/>
      <c r="B503" s="55"/>
      <c r="C503" s="56"/>
      <c r="D503" s="56"/>
    </row>
    <row r="504" spans="1:4" ht="14.25" customHeight="1">
      <c r="A504" s="83"/>
      <c r="B504" s="55"/>
      <c r="C504" s="56"/>
      <c r="D504" s="56"/>
    </row>
    <row r="505" spans="1:4" ht="14.25" customHeight="1">
      <c r="A505" s="83"/>
      <c r="B505" s="55"/>
      <c r="C505" s="56"/>
      <c r="D505" s="56"/>
    </row>
    <row r="506" spans="1:4" ht="14.25" customHeight="1">
      <c r="A506" s="83"/>
      <c r="B506" s="55"/>
      <c r="C506" s="56"/>
      <c r="D506" s="56"/>
    </row>
    <row r="507" spans="1:4" ht="14.25" customHeight="1">
      <c r="A507" s="83"/>
      <c r="B507" s="55"/>
      <c r="C507" s="56"/>
      <c r="D507" s="56"/>
    </row>
    <row r="508" spans="1:4" ht="14.25" customHeight="1">
      <c r="A508" s="83"/>
      <c r="B508" s="55"/>
      <c r="C508" s="56"/>
      <c r="D508" s="56"/>
    </row>
    <row r="509" spans="1:4" ht="14.25" customHeight="1">
      <c r="A509" s="83"/>
      <c r="B509" s="55"/>
      <c r="C509" s="56"/>
      <c r="D509" s="56"/>
    </row>
    <row r="510" spans="1:4" ht="14.25" customHeight="1">
      <c r="A510" s="83"/>
      <c r="B510" s="55"/>
      <c r="C510" s="56"/>
      <c r="D510" s="56"/>
    </row>
    <row r="511" spans="1:4" ht="14.25" customHeight="1">
      <c r="A511" s="83"/>
      <c r="B511" s="55"/>
      <c r="C511" s="56"/>
      <c r="D511" s="56"/>
    </row>
    <row r="512" spans="1:4" ht="14.25" customHeight="1">
      <c r="A512" s="83"/>
      <c r="B512" s="55"/>
      <c r="C512" s="56"/>
      <c r="D512" s="56"/>
    </row>
    <row r="513" spans="1:4" ht="14.25" customHeight="1">
      <c r="A513" s="83"/>
      <c r="B513" s="55"/>
      <c r="C513" s="56"/>
      <c r="D513" s="56"/>
    </row>
    <row r="514" spans="1:4" ht="14.25" customHeight="1">
      <c r="A514" s="83"/>
      <c r="B514" s="55"/>
      <c r="C514" s="56"/>
      <c r="D514" s="56"/>
    </row>
    <row r="515" spans="1:4" ht="14.25" customHeight="1">
      <c r="A515" s="83"/>
      <c r="B515" s="55"/>
      <c r="C515" s="56"/>
      <c r="D515" s="56"/>
    </row>
    <row r="516" spans="1:4" ht="14.25" customHeight="1">
      <c r="A516" s="83"/>
      <c r="B516" s="55"/>
      <c r="C516" s="56"/>
      <c r="D516" s="56"/>
    </row>
    <row r="517" spans="1:4" ht="14.25" customHeight="1">
      <c r="A517" s="83"/>
      <c r="B517" s="55"/>
      <c r="C517" s="56"/>
      <c r="D517" s="56"/>
    </row>
    <row r="518" spans="1:4" ht="14.25" customHeight="1">
      <c r="A518" s="83"/>
      <c r="B518" s="55"/>
      <c r="C518" s="56"/>
      <c r="D518" s="56"/>
    </row>
    <row r="519" spans="1:4" ht="14.25" customHeight="1">
      <c r="A519" s="83"/>
      <c r="B519" s="55"/>
      <c r="C519" s="56"/>
      <c r="D519" s="56"/>
    </row>
    <row r="520" spans="1:4" ht="14.25" customHeight="1">
      <c r="A520" s="83"/>
      <c r="B520" s="55"/>
      <c r="C520" s="56"/>
      <c r="D520" s="56"/>
    </row>
    <row r="521" spans="1:4" ht="14.25" customHeight="1">
      <c r="A521" s="83"/>
      <c r="B521" s="55"/>
      <c r="C521" s="56"/>
      <c r="D521" s="56"/>
    </row>
    <row r="522" spans="1:4" ht="14.25" customHeight="1">
      <c r="A522" s="83"/>
      <c r="B522" s="55"/>
      <c r="C522" s="56"/>
      <c r="D522" s="56"/>
    </row>
    <row r="523" spans="1:4" ht="14.25" customHeight="1">
      <c r="A523" s="83"/>
      <c r="B523" s="55"/>
      <c r="C523" s="56"/>
      <c r="D523" s="56"/>
    </row>
    <row r="524" spans="1:4" ht="14.25" customHeight="1">
      <c r="A524" s="83"/>
      <c r="B524" s="55"/>
      <c r="C524" s="56"/>
      <c r="D524" s="56"/>
    </row>
    <row r="525" spans="1:4" ht="14.25" customHeight="1">
      <c r="A525" s="83"/>
      <c r="B525" s="55"/>
      <c r="C525" s="56"/>
      <c r="D525" s="56"/>
    </row>
    <row r="526" spans="1:4" ht="14.25" customHeight="1">
      <c r="A526" s="83"/>
      <c r="B526" s="55"/>
      <c r="C526" s="56"/>
      <c r="D526" s="56"/>
    </row>
    <row r="527" spans="1:4" ht="14.25" customHeight="1">
      <c r="A527" s="83"/>
      <c r="B527" s="55"/>
      <c r="C527" s="56"/>
      <c r="D527" s="56"/>
    </row>
    <row r="528" spans="1:4" ht="14.25" customHeight="1">
      <c r="A528" s="83"/>
      <c r="B528" s="55"/>
      <c r="C528" s="56"/>
      <c r="D528" s="56"/>
    </row>
    <row r="529" spans="1:4" ht="14.25" customHeight="1">
      <c r="A529" s="83"/>
      <c r="B529" s="55"/>
      <c r="C529" s="56"/>
      <c r="D529" s="56"/>
    </row>
    <row r="530" spans="1:4" ht="14.25" customHeight="1">
      <c r="A530" s="83"/>
      <c r="B530" s="55"/>
      <c r="C530" s="56"/>
      <c r="D530" s="56"/>
    </row>
    <row r="531" spans="1:4" ht="14.25" customHeight="1">
      <c r="A531" s="83"/>
      <c r="B531" s="55"/>
      <c r="C531" s="56"/>
      <c r="D531" s="56"/>
    </row>
    <row r="532" spans="1:4" ht="14.25" customHeight="1">
      <c r="A532" s="83"/>
      <c r="B532" s="55"/>
      <c r="C532" s="56"/>
      <c r="D532" s="56"/>
    </row>
    <row r="533" spans="1:4" ht="14.25" customHeight="1">
      <c r="A533" s="83"/>
      <c r="B533" s="55"/>
      <c r="C533" s="56"/>
      <c r="D533" s="56"/>
    </row>
    <row r="534" spans="1:4" ht="14.25" customHeight="1">
      <c r="A534" s="83"/>
      <c r="B534" s="55"/>
      <c r="C534" s="56"/>
      <c r="D534" s="56"/>
    </row>
    <row r="535" spans="1:4" ht="14.25" customHeight="1">
      <c r="A535" s="83"/>
      <c r="B535" s="55"/>
      <c r="C535" s="56"/>
      <c r="D535" s="56"/>
    </row>
    <row r="536" spans="1:4" ht="14.25" customHeight="1">
      <c r="A536" s="83"/>
      <c r="B536" s="55"/>
      <c r="C536" s="56"/>
      <c r="D536" s="56"/>
    </row>
    <row r="537" spans="1:4" ht="14.25" customHeight="1">
      <c r="A537" s="83"/>
      <c r="B537" s="55"/>
      <c r="C537" s="56"/>
      <c r="D537" s="56"/>
    </row>
    <row r="538" spans="1:4" ht="14.25" customHeight="1">
      <c r="A538" s="83"/>
      <c r="B538" s="55"/>
      <c r="C538" s="56"/>
      <c r="D538" s="56"/>
    </row>
    <row r="539" spans="1:4" ht="14.25" customHeight="1">
      <c r="A539" s="83"/>
      <c r="B539" s="55"/>
      <c r="C539" s="56"/>
      <c r="D539" s="56"/>
    </row>
    <row r="540" spans="1:4" ht="14.25" customHeight="1">
      <c r="A540" s="83"/>
      <c r="B540" s="55"/>
      <c r="C540" s="56"/>
      <c r="D540" s="56"/>
    </row>
    <row r="541" spans="1:4" ht="14.25" customHeight="1">
      <c r="A541" s="83"/>
      <c r="B541" s="55"/>
      <c r="C541" s="56"/>
      <c r="D541" s="56"/>
    </row>
    <row r="542" spans="1:4" ht="14.25" customHeight="1">
      <c r="A542" s="83"/>
      <c r="B542" s="55"/>
      <c r="C542" s="56"/>
      <c r="D542" s="56"/>
    </row>
    <row r="543" spans="1:4" ht="14.25" customHeight="1">
      <c r="A543" s="83"/>
      <c r="B543" s="55"/>
      <c r="C543" s="56"/>
      <c r="D543" s="56"/>
    </row>
    <row r="544" spans="1:4" ht="14.25" customHeight="1">
      <c r="A544" s="83"/>
      <c r="B544" s="55"/>
      <c r="C544" s="56"/>
      <c r="D544" s="56"/>
    </row>
    <row r="545" spans="1:4" ht="14.25" customHeight="1">
      <c r="A545" s="83"/>
      <c r="B545" s="55"/>
      <c r="C545" s="56"/>
      <c r="D545" s="56"/>
    </row>
    <row r="546" spans="1:4" ht="14.25" customHeight="1">
      <c r="A546" s="83"/>
      <c r="B546" s="55"/>
      <c r="C546" s="56"/>
      <c r="D546" s="56"/>
    </row>
    <row r="547" spans="1:4" ht="14.25" customHeight="1">
      <c r="A547" s="83"/>
      <c r="B547" s="55"/>
      <c r="C547" s="56"/>
      <c r="D547" s="56"/>
    </row>
    <row r="548" spans="1:4" ht="14.25" customHeight="1">
      <c r="A548" s="83"/>
      <c r="B548" s="55"/>
      <c r="C548" s="56"/>
      <c r="D548" s="56"/>
    </row>
    <row r="549" spans="1:4" ht="14.25" customHeight="1">
      <c r="A549" s="83"/>
      <c r="B549" s="55"/>
      <c r="C549" s="56"/>
      <c r="D549" s="56"/>
    </row>
    <row r="550" spans="1:4" ht="14.25" customHeight="1">
      <c r="A550" s="83"/>
      <c r="B550" s="55"/>
      <c r="C550" s="56"/>
      <c r="D550" s="56"/>
    </row>
    <row r="551" spans="1:4" ht="14.25" customHeight="1">
      <c r="A551" s="83"/>
      <c r="B551" s="55"/>
      <c r="C551" s="56"/>
      <c r="D551" s="56"/>
    </row>
    <row r="552" spans="1:4" ht="14.25" customHeight="1">
      <c r="A552" s="83"/>
      <c r="B552" s="55"/>
      <c r="C552" s="56"/>
      <c r="D552" s="56"/>
    </row>
    <row r="553" spans="1:4" ht="14.25" customHeight="1">
      <c r="A553" s="83"/>
      <c r="B553" s="55"/>
      <c r="C553" s="56"/>
      <c r="D553" s="56"/>
    </row>
    <row r="554" spans="1:4" ht="14.25" customHeight="1">
      <c r="A554" s="83"/>
      <c r="B554" s="55"/>
      <c r="C554" s="56"/>
      <c r="D554" s="56"/>
    </row>
    <row r="555" spans="1:4" ht="14.25" customHeight="1">
      <c r="A555" s="83"/>
      <c r="B555" s="55"/>
      <c r="C555" s="56"/>
      <c r="D555" s="56"/>
    </row>
    <row r="556" spans="1:4" ht="14.25" customHeight="1">
      <c r="A556" s="83"/>
      <c r="B556" s="55"/>
      <c r="C556" s="56"/>
      <c r="D556" s="56"/>
    </row>
    <row r="557" spans="1:4" ht="14.25" customHeight="1">
      <c r="A557" s="83"/>
      <c r="B557" s="55"/>
      <c r="C557" s="56"/>
      <c r="D557" s="56"/>
    </row>
    <row r="558" spans="1:4" ht="14.25" customHeight="1">
      <c r="A558" s="83"/>
      <c r="B558" s="55"/>
      <c r="C558" s="56"/>
      <c r="D558" s="56"/>
    </row>
    <row r="559" spans="1:4" ht="14.25" customHeight="1">
      <c r="A559" s="83"/>
      <c r="B559" s="55"/>
      <c r="C559" s="56"/>
      <c r="D559" s="56"/>
    </row>
    <row r="560" spans="1:4" ht="14.25" customHeight="1">
      <c r="A560" s="83"/>
      <c r="B560" s="55"/>
      <c r="C560" s="56"/>
      <c r="D560" s="56"/>
    </row>
    <row r="561" spans="1:4" ht="14.25" customHeight="1">
      <c r="A561" s="83"/>
      <c r="B561" s="55"/>
      <c r="C561" s="56"/>
      <c r="D561" s="56"/>
    </row>
    <row r="562" spans="1:4" ht="14.25" customHeight="1">
      <c r="A562" s="83"/>
      <c r="B562" s="55"/>
      <c r="C562" s="56"/>
      <c r="D562" s="56"/>
    </row>
    <row r="563" spans="1:4" ht="14.25" customHeight="1">
      <c r="A563" s="83"/>
      <c r="B563" s="55"/>
      <c r="C563" s="56"/>
      <c r="D563" s="56"/>
    </row>
    <row r="564" spans="1:4" ht="14.25" customHeight="1">
      <c r="A564" s="83"/>
      <c r="B564" s="55"/>
      <c r="C564" s="56"/>
      <c r="D564" s="56"/>
    </row>
    <row r="565" spans="1:4" ht="14.25" customHeight="1">
      <c r="A565" s="83"/>
      <c r="B565" s="55"/>
      <c r="C565" s="56"/>
      <c r="D565" s="56"/>
    </row>
    <row r="566" spans="1:4" ht="14.25" customHeight="1">
      <c r="A566" s="83"/>
      <c r="B566" s="55"/>
      <c r="C566" s="56"/>
      <c r="D566" s="56"/>
    </row>
    <row r="567" spans="1:4" ht="14.25" customHeight="1">
      <c r="A567" s="83"/>
      <c r="B567" s="55"/>
      <c r="C567" s="56"/>
      <c r="D567" s="56"/>
    </row>
    <row r="568" spans="1:4" ht="14.25" customHeight="1">
      <c r="A568" s="83"/>
      <c r="B568" s="55"/>
      <c r="C568" s="56"/>
      <c r="D568" s="56"/>
    </row>
    <row r="569" spans="1:4" ht="14.25" customHeight="1">
      <c r="A569" s="83"/>
      <c r="B569" s="55"/>
      <c r="C569" s="56"/>
      <c r="D569" s="56"/>
    </row>
    <row r="570" spans="1:4" ht="14.25" customHeight="1">
      <c r="A570" s="83"/>
      <c r="B570" s="55"/>
      <c r="C570" s="56"/>
      <c r="D570" s="56"/>
    </row>
    <row r="571" spans="1:4" ht="14.25" customHeight="1">
      <c r="A571" s="83"/>
      <c r="B571" s="55"/>
      <c r="C571" s="56"/>
      <c r="D571" s="56"/>
    </row>
    <row r="572" spans="1:4" ht="14.25" customHeight="1">
      <c r="A572" s="83"/>
      <c r="B572" s="55"/>
      <c r="C572" s="56"/>
      <c r="D572" s="56"/>
    </row>
    <row r="573" spans="1:4" ht="14.25" customHeight="1">
      <c r="A573" s="83"/>
      <c r="B573" s="55"/>
      <c r="C573" s="56"/>
      <c r="D573" s="56"/>
    </row>
    <row r="574" spans="1:4" ht="14.25" customHeight="1">
      <c r="A574" s="83"/>
      <c r="B574" s="55"/>
      <c r="C574" s="56"/>
      <c r="D574" s="56"/>
    </row>
    <row r="575" spans="1:4" ht="14.25" customHeight="1">
      <c r="A575" s="83"/>
      <c r="B575" s="55"/>
      <c r="C575" s="56"/>
      <c r="D575" s="56"/>
    </row>
    <row r="576" spans="1:4" ht="14.25" customHeight="1">
      <c r="A576" s="83"/>
      <c r="B576" s="55"/>
      <c r="C576" s="56"/>
      <c r="D576" s="56"/>
    </row>
    <row r="577" spans="1:4" ht="14.25" customHeight="1">
      <c r="A577" s="83"/>
      <c r="B577" s="55"/>
      <c r="C577" s="56"/>
      <c r="D577" s="56"/>
    </row>
    <row r="578" spans="1:4" ht="14.25" customHeight="1">
      <c r="A578" s="83"/>
      <c r="B578" s="55"/>
      <c r="C578" s="56"/>
      <c r="D578" s="56"/>
    </row>
    <row r="579" spans="1:4" ht="14.25" customHeight="1">
      <c r="A579" s="83"/>
      <c r="B579" s="55"/>
      <c r="C579" s="56"/>
      <c r="D579" s="56"/>
    </row>
    <row r="580" spans="1:4" ht="14.25" customHeight="1">
      <c r="A580" s="83"/>
      <c r="B580" s="55"/>
      <c r="C580" s="56"/>
      <c r="D580" s="56"/>
    </row>
    <row r="581" spans="1:4" ht="14.25" customHeight="1">
      <c r="A581" s="83"/>
      <c r="B581" s="55"/>
      <c r="C581" s="56"/>
      <c r="D581" s="56"/>
    </row>
    <row r="582" spans="1:4" ht="14.25" customHeight="1">
      <c r="A582" s="83"/>
      <c r="B582" s="55"/>
      <c r="C582" s="56"/>
      <c r="D582" s="56"/>
    </row>
    <row r="583" spans="1:4" ht="14.25" customHeight="1">
      <c r="A583" s="83"/>
      <c r="B583" s="55"/>
      <c r="C583" s="56"/>
      <c r="D583" s="56"/>
    </row>
    <row r="584" spans="1:4" ht="14.25" customHeight="1">
      <c r="A584" s="83"/>
      <c r="B584" s="55"/>
      <c r="C584" s="56"/>
      <c r="D584" s="56"/>
    </row>
    <row r="585" spans="1:4" ht="14.25" customHeight="1">
      <c r="A585" s="83"/>
      <c r="B585" s="55"/>
      <c r="C585" s="56"/>
      <c r="D585" s="56"/>
    </row>
    <row r="586" spans="1:4" ht="14.25" customHeight="1">
      <c r="A586" s="83"/>
      <c r="B586" s="55"/>
      <c r="C586" s="56"/>
      <c r="D586" s="56"/>
    </row>
    <row r="587" spans="1:4" ht="14.25" customHeight="1">
      <c r="A587" s="83"/>
      <c r="B587" s="55"/>
      <c r="C587" s="56"/>
      <c r="D587" s="56"/>
    </row>
    <row r="588" spans="1:4" ht="14.25" customHeight="1">
      <c r="A588" s="83"/>
      <c r="B588" s="55"/>
      <c r="C588" s="56"/>
      <c r="D588" s="56"/>
    </row>
    <row r="589" spans="1:4" ht="14.25" customHeight="1">
      <c r="A589" s="83"/>
      <c r="B589" s="55"/>
      <c r="C589" s="56"/>
      <c r="D589" s="56"/>
    </row>
    <row r="590" spans="1:4" ht="14.25" customHeight="1">
      <c r="A590" s="83"/>
      <c r="B590" s="55"/>
      <c r="C590" s="56"/>
      <c r="D590" s="56"/>
    </row>
    <row r="591" spans="1:4" ht="14.25" customHeight="1">
      <c r="A591" s="83"/>
      <c r="B591" s="55"/>
      <c r="C591" s="56"/>
      <c r="D591" s="56"/>
    </row>
    <row r="592" spans="1:4" ht="14.25" customHeight="1">
      <c r="A592" s="83"/>
      <c r="B592" s="55"/>
      <c r="C592" s="56"/>
      <c r="D592" s="56"/>
    </row>
    <row r="593" spans="1:4" ht="14.25" customHeight="1">
      <c r="A593" s="83"/>
      <c r="B593" s="55"/>
      <c r="C593" s="56"/>
      <c r="D593" s="56"/>
    </row>
    <row r="594" spans="1:4" ht="14.25" customHeight="1">
      <c r="A594" s="83"/>
      <c r="B594" s="55"/>
      <c r="C594" s="56"/>
      <c r="D594" s="56"/>
    </row>
    <row r="595" spans="1:4" ht="14.25" customHeight="1">
      <c r="A595" s="83"/>
      <c r="B595" s="55"/>
      <c r="C595" s="56"/>
      <c r="D595" s="56"/>
    </row>
    <row r="596" spans="1:4" ht="14.25" customHeight="1">
      <c r="A596" s="83"/>
      <c r="B596" s="55"/>
      <c r="C596" s="56"/>
      <c r="D596" s="56"/>
    </row>
    <row r="597" spans="1:4" ht="14.25" customHeight="1">
      <c r="A597" s="83"/>
      <c r="B597" s="55"/>
      <c r="C597" s="56"/>
      <c r="D597" s="56"/>
    </row>
    <row r="598" spans="1:4" ht="14.25" customHeight="1">
      <c r="A598" s="83"/>
      <c r="B598" s="55"/>
      <c r="C598" s="56"/>
      <c r="D598" s="56"/>
    </row>
    <row r="599" spans="1:4" ht="14.25" customHeight="1">
      <c r="A599" s="83"/>
      <c r="B599" s="55"/>
      <c r="C599" s="56"/>
      <c r="D599" s="56"/>
    </row>
    <row r="600" spans="1:4" ht="14.25" customHeight="1">
      <c r="A600" s="83"/>
      <c r="B600" s="55"/>
      <c r="C600" s="56"/>
      <c r="D600" s="56"/>
    </row>
    <row r="601" spans="1:4" ht="14.25" customHeight="1">
      <c r="A601" s="83"/>
      <c r="B601" s="55"/>
      <c r="C601" s="56"/>
      <c r="D601" s="56"/>
    </row>
    <row r="602" spans="1:4" ht="14.25" customHeight="1">
      <c r="A602" s="83"/>
      <c r="B602" s="55"/>
      <c r="C602" s="56"/>
      <c r="D602" s="56"/>
    </row>
    <row r="603" spans="1:4" ht="14.25" customHeight="1">
      <c r="A603" s="83"/>
      <c r="B603" s="55"/>
      <c r="C603" s="56"/>
      <c r="D603" s="56"/>
    </row>
    <row r="604" spans="1:4" ht="14.25" customHeight="1">
      <c r="A604" s="83"/>
      <c r="B604" s="55"/>
      <c r="C604" s="56"/>
      <c r="D604" s="56"/>
    </row>
    <row r="605" spans="1:4" ht="14.25" customHeight="1">
      <c r="A605" s="83"/>
      <c r="B605" s="55"/>
      <c r="C605" s="56"/>
      <c r="D605" s="56"/>
    </row>
    <row r="606" spans="1:4" ht="14.25" customHeight="1">
      <c r="A606" s="83"/>
      <c r="B606" s="55"/>
      <c r="C606" s="56"/>
      <c r="D606" s="56"/>
    </row>
    <row r="607" spans="1:4" ht="14.25" customHeight="1">
      <c r="A607" s="83"/>
      <c r="B607" s="55"/>
      <c r="C607" s="56"/>
      <c r="D607" s="56"/>
    </row>
    <row r="608" spans="1:4" ht="14.25" customHeight="1">
      <c r="A608" s="83"/>
      <c r="B608" s="55"/>
      <c r="C608" s="56"/>
      <c r="D608" s="56"/>
    </row>
    <row r="609" spans="1:4" ht="14.25" customHeight="1">
      <c r="A609" s="83"/>
      <c r="B609" s="55"/>
      <c r="C609" s="56"/>
      <c r="D609" s="56"/>
    </row>
    <row r="610" spans="1:4" ht="14.25" customHeight="1">
      <c r="A610" s="83"/>
      <c r="B610" s="55"/>
      <c r="C610" s="56"/>
      <c r="D610" s="56"/>
    </row>
    <row r="611" spans="1:4" ht="14.25" customHeight="1">
      <c r="A611" s="83"/>
      <c r="B611" s="55"/>
      <c r="C611" s="56"/>
      <c r="D611" s="56"/>
    </row>
    <row r="612" spans="1:4" ht="14.25" customHeight="1">
      <c r="A612" s="83"/>
      <c r="B612" s="55"/>
      <c r="C612" s="56"/>
      <c r="D612" s="56"/>
    </row>
    <row r="613" spans="1:4" ht="14.25" customHeight="1">
      <c r="A613" s="83"/>
      <c r="B613" s="55"/>
      <c r="C613" s="56"/>
      <c r="D613" s="56"/>
    </row>
    <row r="614" spans="1:4" ht="14.25" customHeight="1">
      <c r="A614" s="83"/>
      <c r="B614" s="55"/>
      <c r="C614" s="56"/>
      <c r="D614" s="56"/>
    </row>
    <row r="615" spans="1:4" ht="14.25" customHeight="1">
      <c r="A615" s="83"/>
      <c r="B615" s="55"/>
      <c r="C615" s="56"/>
      <c r="D615" s="56"/>
    </row>
    <row r="616" spans="1:4" ht="14.25" customHeight="1">
      <c r="A616" s="83"/>
      <c r="B616" s="55"/>
      <c r="C616" s="56"/>
      <c r="D616" s="56"/>
    </row>
    <row r="617" spans="1:4" ht="14.25" customHeight="1">
      <c r="A617" s="83"/>
      <c r="B617" s="55"/>
      <c r="C617" s="56"/>
      <c r="D617" s="56"/>
    </row>
    <row r="618" spans="1:4" ht="14.25" customHeight="1">
      <c r="A618" s="83"/>
      <c r="B618" s="55"/>
      <c r="C618" s="56"/>
      <c r="D618" s="56"/>
    </row>
    <row r="619" spans="1:4" ht="14.25" customHeight="1">
      <c r="A619" s="83"/>
      <c r="B619" s="55"/>
      <c r="C619" s="56"/>
      <c r="D619" s="56"/>
    </row>
    <row r="620" spans="1:4" ht="14.25" customHeight="1">
      <c r="A620" s="83"/>
      <c r="B620" s="55"/>
      <c r="C620" s="56"/>
      <c r="D620" s="56"/>
    </row>
    <row r="621" spans="1:4" ht="14.25" customHeight="1">
      <c r="A621" s="83"/>
      <c r="B621" s="55"/>
      <c r="C621" s="56"/>
      <c r="D621" s="56"/>
    </row>
    <row r="622" spans="1:4" ht="14.25" customHeight="1">
      <c r="A622" s="83"/>
      <c r="B622" s="55"/>
      <c r="C622" s="56"/>
      <c r="D622" s="56"/>
    </row>
    <row r="623" spans="1:4" ht="14.25" customHeight="1">
      <c r="A623" s="83"/>
      <c r="B623" s="55"/>
      <c r="C623" s="56"/>
      <c r="D623" s="56"/>
    </row>
    <row r="624" spans="1:4" ht="14.25" customHeight="1">
      <c r="A624" s="83"/>
      <c r="B624" s="55"/>
      <c r="C624" s="56"/>
      <c r="D624" s="56"/>
    </row>
    <row r="625" spans="1:4" ht="14.25" customHeight="1">
      <c r="A625" s="83"/>
      <c r="B625" s="55"/>
      <c r="C625" s="56"/>
      <c r="D625" s="56"/>
    </row>
    <row r="626" spans="1:4" ht="14.25" customHeight="1">
      <c r="A626" s="83"/>
      <c r="B626" s="55"/>
      <c r="C626" s="56"/>
      <c r="D626" s="56"/>
    </row>
    <row r="627" spans="1:4" ht="14.25" customHeight="1">
      <c r="A627" s="83"/>
      <c r="B627" s="55"/>
      <c r="C627" s="56"/>
      <c r="D627" s="56"/>
    </row>
    <row r="628" spans="1:4" ht="14.25" customHeight="1">
      <c r="A628" s="83"/>
      <c r="B628" s="55"/>
      <c r="C628" s="56"/>
      <c r="D628" s="56"/>
    </row>
    <row r="629" spans="1:4" ht="14.25" customHeight="1">
      <c r="A629" s="83"/>
      <c r="B629" s="55"/>
      <c r="C629" s="56"/>
      <c r="D629" s="56"/>
    </row>
    <row r="630" spans="1:4" ht="14.25" customHeight="1">
      <c r="A630" s="83"/>
      <c r="B630" s="55"/>
      <c r="C630" s="56"/>
      <c r="D630" s="56"/>
    </row>
    <row r="631" spans="1:4" ht="14.25" customHeight="1">
      <c r="A631" s="83"/>
      <c r="B631" s="55"/>
      <c r="C631" s="56"/>
      <c r="D631" s="56"/>
    </row>
    <row r="632" spans="1:4" ht="14.25" customHeight="1">
      <c r="A632" s="83"/>
      <c r="B632" s="55"/>
      <c r="C632" s="56"/>
      <c r="D632" s="56"/>
    </row>
    <row r="633" spans="1:4" ht="14.25" customHeight="1">
      <c r="A633" s="83"/>
      <c r="B633" s="55"/>
      <c r="C633" s="56"/>
      <c r="D633" s="56"/>
    </row>
    <row r="634" spans="1:4" ht="14.25" customHeight="1">
      <c r="A634" s="83"/>
      <c r="B634" s="55"/>
      <c r="C634" s="56"/>
      <c r="D634" s="56"/>
    </row>
    <row r="635" spans="1:4" ht="14.25" customHeight="1">
      <c r="A635" s="83"/>
      <c r="B635" s="55"/>
      <c r="C635" s="56"/>
      <c r="D635" s="56"/>
    </row>
    <row r="636" spans="1:4" ht="14.25" customHeight="1">
      <c r="A636" s="83"/>
      <c r="B636" s="55"/>
      <c r="C636" s="56"/>
      <c r="D636" s="56"/>
    </row>
    <row r="637" spans="1:4" ht="14.25" customHeight="1">
      <c r="A637" s="83"/>
      <c r="B637" s="55"/>
      <c r="C637" s="56"/>
      <c r="D637" s="56"/>
    </row>
    <row r="638" spans="1:4" ht="14.25" customHeight="1">
      <c r="A638" s="83"/>
      <c r="B638" s="55"/>
      <c r="C638" s="56"/>
      <c r="D638" s="56"/>
    </row>
    <row r="639" spans="1:4" ht="14.25" customHeight="1">
      <c r="A639" s="83"/>
      <c r="B639" s="55"/>
      <c r="C639" s="56"/>
      <c r="D639" s="56"/>
    </row>
    <row r="640" spans="1:4" ht="14.25" customHeight="1">
      <c r="A640" s="83"/>
      <c r="B640" s="55"/>
      <c r="C640" s="56"/>
      <c r="D640" s="56"/>
    </row>
    <row r="641" spans="1:4" ht="14.25" customHeight="1">
      <c r="A641" s="83"/>
      <c r="B641" s="55"/>
      <c r="C641" s="56"/>
      <c r="D641" s="56"/>
    </row>
    <row r="642" spans="1:4" ht="14.25" customHeight="1">
      <c r="A642" s="83"/>
      <c r="B642" s="55"/>
      <c r="C642" s="56"/>
      <c r="D642" s="56"/>
    </row>
    <row r="643" spans="1:4" ht="14.25" customHeight="1">
      <c r="A643" s="83"/>
      <c r="B643" s="55"/>
      <c r="C643" s="56"/>
      <c r="D643" s="56"/>
    </row>
    <row r="644" spans="1:4" ht="14.25" customHeight="1">
      <c r="A644" s="83"/>
      <c r="B644" s="55"/>
      <c r="C644" s="56"/>
      <c r="D644" s="56"/>
    </row>
    <row r="645" spans="1:4" ht="14.25" customHeight="1">
      <c r="A645" s="83"/>
      <c r="B645" s="55"/>
      <c r="C645" s="56"/>
      <c r="D645" s="56"/>
    </row>
    <row r="646" spans="1:4" ht="14.25" customHeight="1">
      <c r="A646" s="83"/>
      <c r="B646" s="55"/>
      <c r="C646" s="56"/>
      <c r="D646" s="56"/>
    </row>
    <row r="647" spans="1:4" ht="14.25" customHeight="1">
      <c r="A647" s="83"/>
      <c r="B647" s="55"/>
      <c r="C647" s="56"/>
      <c r="D647" s="56"/>
    </row>
    <row r="648" spans="1:4" ht="14.25" customHeight="1">
      <c r="A648" s="83"/>
      <c r="B648" s="55"/>
      <c r="C648" s="56"/>
      <c r="D648" s="56"/>
    </row>
    <row r="649" spans="1:4" ht="14.25" customHeight="1">
      <c r="A649" s="83"/>
      <c r="B649" s="55"/>
      <c r="C649" s="56"/>
      <c r="D649" s="56"/>
    </row>
    <row r="650" spans="1:4" ht="14.25" customHeight="1">
      <c r="A650" s="83"/>
      <c r="B650" s="55"/>
      <c r="C650" s="56"/>
      <c r="D650" s="56"/>
    </row>
    <row r="651" spans="1:4" ht="14.25" customHeight="1">
      <c r="A651" s="83"/>
      <c r="B651" s="55"/>
      <c r="C651" s="56"/>
      <c r="D651" s="56"/>
    </row>
    <row r="652" spans="1:4" ht="14.25" customHeight="1">
      <c r="A652" s="83"/>
      <c r="B652" s="55"/>
      <c r="C652" s="56"/>
      <c r="D652" s="56"/>
    </row>
    <row r="653" spans="1:4" ht="14.25" customHeight="1">
      <c r="A653" s="83"/>
      <c r="B653" s="55"/>
      <c r="C653" s="56"/>
      <c r="D653" s="56"/>
    </row>
    <row r="654" spans="1:4" ht="14.25" customHeight="1">
      <c r="A654" s="83"/>
      <c r="B654" s="55"/>
      <c r="C654" s="56"/>
      <c r="D654" s="56"/>
    </row>
    <row r="655" spans="1:4" ht="14.25" customHeight="1">
      <c r="A655" s="83"/>
      <c r="B655" s="55"/>
      <c r="C655" s="56"/>
      <c r="D655" s="56"/>
    </row>
    <row r="656" spans="1:4" ht="14.25" customHeight="1">
      <c r="A656" s="83"/>
      <c r="B656" s="55"/>
      <c r="C656" s="56"/>
      <c r="D656" s="56"/>
    </row>
    <row r="657" spans="1:4" ht="14.25" customHeight="1">
      <c r="A657" s="83"/>
      <c r="B657" s="55"/>
      <c r="C657" s="56"/>
      <c r="D657" s="56"/>
    </row>
    <row r="658" spans="1:4" ht="14.25" customHeight="1">
      <c r="A658" s="83"/>
      <c r="B658" s="55"/>
      <c r="C658" s="56"/>
      <c r="D658" s="56"/>
    </row>
    <row r="659" spans="1:4" ht="14.25" customHeight="1">
      <c r="A659" s="83"/>
      <c r="B659" s="55"/>
      <c r="C659" s="56"/>
      <c r="D659" s="56"/>
    </row>
    <row r="660" spans="1:4" ht="14.25" customHeight="1">
      <c r="A660" s="83"/>
      <c r="B660" s="55"/>
      <c r="C660" s="56"/>
      <c r="D660" s="56"/>
    </row>
    <row r="661" spans="1:4" ht="14.25" customHeight="1">
      <c r="A661" s="83"/>
      <c r="B661" s="55"/>
      <c r="C661" s="56"/>
      <c r="D661" s="56"/>
    </row>
    <row r="662" spans="1:4" ht="14.25" customHeight="1">
      <c r="A662" s="83"/>
      <c r="B662" s="55"/>
      <c r="C662" s="56"/>
      <c r="D662" s="56"/>
    </row>
    <row r="663" spans="1:4" ht="14.25" customHeight="1">
      <c r="A663" s="83"/>
      <c r="B663" s="55"/>
      <c r="C663" s="56"/>
      <c r="D663" s="56"/>
    </row>
    <row r="664" spans="1:4" ht="14.25" customHeight="1">
      <c r="A664" s="83"/>
      <c r="B664" s="55"/>
      <c r="C664" s="56"/>
      <c r="D664" s="56"/>
    </row>
    <row r="665" spans="1:4" ht="14.25" customHeight="1">
      <c r="A665" s="83"/>
      <c r="B665" s="55"/>
      <c r="C665" s="56"/>
      <c r="D665" s="56"/>
    </row>
    <row r="666" spans="1:4" ht="14.25" customHeight="1">
      <c r="A666" s="83"/>
      <c r="B666" s="55"/>
      <c r="C666" s="56"/>
      <c r="D666" s="56"/>
    </row>
    <row r="667" spans="1:4" ht="14.25" customHeight="1">
      <c r="A667" s="83"/>
      <c r="B667" s="55"/>
      <c r="C667" s="56"/>
      <c r="D667" s="56"/>
    </row>
    <row r="668" spans="1:4" ht="14.25" customHeight="1">
      <c r="A668" s="83"/>
      <c r="B668" s="55"/>
      <c r="C668" s="56"/>
      <c r="D668" s="56"/>
    </row>
    <row r="669" spans="1:4" ht="14.25" customHeight="1">
      <c r="A669" s="83"/>
      <c r="B669" s="55"/>
      <c r="C669" s="56"/>
      <c r="D669" s="56"/>
    </row>
    <row r="670" spans="1:4" ht="14.25" customHeight="1">
      <c r="A670" s="83"/>
      <c r="B670" s="55"/>
      <c r="C670" s="56"/>
      <c r="D670" s="56"/>
    </row>
    <row r="671" spans="1:4" ht="14.25" customHeight="1">
      <c r="A671" s="83"/>
      <c r="B671" s="55"/>
      <c r="C671" s="56"/>
      <c r="D671" s="56"/>
    </row>
    <row r="672" spans="1:4" ht="14.25" customHeight="1">
      <c r="A672" s="83"/>
      <c r="B672" s="55"/>
      <c r="C672" s="56"/>
      <c r="D672" s="56"/>
    </row>
    <row r="673" spans="1:4" ht="14.25" customHeight="1">
      <c r="A673" s="83"/>
      <c r="B673" s="55"/>
      <c r="C673" s="56"/>
      <c r="D673" s="56"/>
    </row>
    <row r="674" spans="1:4" ht="14.25" customHeight="1">
      <c r="A674" s="83"/>
      <c r="B674" s="55"/>
      <c r="C674" s="56"/>
      <c r="D674" s="56"/>
    </row>
    <row r="675" spans="1:4" ht="14.25" customHeight="1">
      <c r="A675" s="83"/>
      <c r="B675" s="55"/>
      <c r="C675" s="56"/>
      <c r="D675" s="56"/>
    </row>
    <row r="676" spans="1:4" ht="14.25" customHeight="1">
      <c r="A676" s="83"/>
      <c r="B676" s="55"/>
      <c r="C676" s="56"/>
      <c r="D676" s="56"/>
    </row>
    <row r="677" spans="1:4" ht="14.25" customHeight="1">
      <c r="A677" s="83"/>
      <c r="B677" s="55"/>
      <c r="C677" s="56"/>
      <c r="D677" s="56"/>
    </row>
    <row r="678" spans="1:4" ht="14.25" customHeight="1">
      <c r="A678" s="83"/>
      <c r="B678" s="55"/>
      <c r="C678" s="56"/>
      <c r="D678" s="56"/>
    </row>
    <row r="679" spans="1:4" ht="14.25" customHeight="1">
      <c r="A679" s="83"/>
      <c r="B679" s="55"/>
      <c r="C679" s="56"/>
      <c r="D679" s="56"/>
    </row>
    <row r="680" spans="1:4" ht="14.25" customHeight="1">
      <c r="A680" s="83"/>
      <c r="B680" s="55"/>
      <c r="C680" s="56"/>
      <c r="D680" s="56"/>
    </row>
    <row r="681" spans="1:4" ht="14.25" customHeight="1">
      <c r="A681" s="83"/>
      <c r="B681" s="55"/>
      <c r="C681" s="56"/>
      <c r="D681" s="56"/>
    </row>
    <row r="682" spans="1:4" ht="14.25" customHeight="1">
      <c r="A682" s="83"/>
      <c r="B682" s="55"/>
      <c r="C682" s="56"/>
      <c r="D682" s="56"/>
    </row>
    <row r="683" spans="1:4" ht="14.25" customHeight="1">
      <c r="A683" s="83"/>
      <c r="B683" s="55"/>
      <c r="C683" s="56"/>
      <c r="D683" s="56"/>
    </row>
    <row r="684" spans="1:4" ht="14.25" customHeight="1">
      <c r="A684" s="83"/>
      <c r="B684" s="55"/>
      <c r="C684" s="56"/>
      <c r="D684" s="56"/>
    </row>
    <row r="685" spans="1:4" ht="14.25" customHeight="1">
      <c r="A685" s="83"/>
      <c r="B685" s="55"/>
      <c r="C685" s="56"/>
      <c r="D685" s="56"/>
    </row>
    <row r="686" spans="1:4" ht="14.25" customHeight="1">
      <c r="A686" s="83"/>
      <c r="B686" s="55"/>
      <c r="C686" s="56"/>
      <c r="D686" s="56"/>
    </row>
    <row r="687" spans="1:4" ht="14.25" customHeight="1">
      <c r="A687" s="83"/>
      <c r="B687" s="55"/>
      <c r="C687" s="56"/>
      <c r="D687" s="56"/>
    </row>
    <row r="688" spans="1:4" ht="14.25" customHeight="1">
      <c r="A688" s="83"/>
      <c r="B688" s="55"/>
      <c r="C688" s="56"/>
      <c r="D688" s="56"/>
    </row>
    <row r="689" spans="1:4" ht="14.25" customHeight="1">
      <c r="A689" s="83"/>
      <c r="B689" s="55"/>
      <c r="C689" s="56"/>
      <c r="D689" s="56"/>
    </row>
    <row r="690" spans="1:4" ht="14.25" customHeight="1">
      <c r="A690" s="83"/>
      <c r="B690" s="55"/>
      <c r="C690" s="56"/>
      <c r="D690" s="56"/>
    </row>
    <row r="691" spans="1:4" ht="14.25" customHeight="1">
      <c r="A691" s="83"/>
      <c r="B691" s="55"/>
      <c r="C691" s="56"/>
      <c r="D691" s="56"/>
    </row>
    <row r="692" spans="1:4" ht="14.25" customHeight="1">
      <c r="A692" s="83"/>
      <c r="B692" s="55"/>
      <c r="C692" s="56"/>
      <c r="D692" s="56"/>
    </row>
    <row r="693" spans="1:4" ht="14.25" customHeight="1">
      <c r="A693" s="83"/>
      <c r="B693" s="55"/>
      <c r="C693" s="56"/>
      <c r="D693" s="56"/>
    </row>
    <row r="694" spans="1:4" ht="14.25" customHeight="1">
      <c r="A694" s="83"/>
      <c r="B694" s="55"/>
      <c r="C694" s="56"/>
      <c r="D694" s="56"/>
    </row>
    <row r="695" spans="1:4" ht="14.25" customHeight="1">
      <c r="A695" s="83"/>
      <c r="B695" s="55"/>
      <c r="C695" s="56"/>
      <c r="D695" s="56"/>
    </row>
    <row r="696" spans="1:4" ht="14.25" customHeight="1">
      <c r="A696" s="83"/>
      <c r="B696" s="55"/>
      <c r="C696" s="56"/>
      <c r="D696" s="56"/>
    </row>
    <row r="697" spans="1:4" ht="14.25" customHeight="1">
      <c r="A697" s="83"/>
      <c r="B697" s="55"/>
      <c r="C697" s="56"/>
      <c r="D697" s="56"/>
    </row>
    <row r="698" spans="1:4" ht="14.25" customHeight="1">
      <c r="A698" s="83"/>
      <c r="B698" s="55"/>
      <c r="C698" s="56"/>
      <c r="D698" s="56"/>
    </row>
    <row r="699" spans="1:4" ht="14.25" customHeight="1">
      <c r="A699" s="83"/>
      <c r="B699" s="55"/>
      <c r="C699" s="56"/>
      <c r="D699" s="56"/>
    </row>
    <row r="700" spans="1:4" ht="14.25" customHeight="1">
      <c r="A700" s="83"/>
      <c r="B700" s="55"/>
      <c r="C700" s="56"/>
      <c r="D700" s="56"/>
    </row>
    <row r="701" spans="1:4" ht="14.25" customHeight="1">
      <c r="A701" s="83"/>
      <c r="B701" s="55"/>
      <c r="C701" s="56"/>
      <c r="D701" s="56"/>
    </row>
    <row r="702" spans="1:4" ht="14.25" customHeight="1">
      <c r="A702" s="83"/>
      <c r="B702" s="55"/>
      <c r="C702" s="56"/>
      <c r="D702" s="56"/>
    </row>
    <row r="703" spans="1:4" ht="14.25" customHeight="1">
      <c r="A703" s="83"/>
      <c r="B703" s="55"/>
      <c r="C703" s="56"/>
      <c r="D703" s="56"/>
    </row>
    <row r="704" spans="1:4" ht="14.25" customHeight="1">
      <c r="A704" s="83"/>
      <c r="B704" s="55"/>
      <c r="C704" s="56"/>
      <c r="D704" s="56"/>
    </row>
    <row r="705" spans="1:4" ht="14.25" customHeight="1">
      <c r="A705" s="83"/>
      <c r="B705" s="55"/>
      <c r="C705" s="56"/>
      <c r="D705" s="56"/>
    </row>
    <row r="706" spans="1:4" ht="14.25" customHeight="1">
      <c r="A706" s="83"/>
      <c r="B706" s="55"/>
      <c r="C706" s="56"/>
      <c r="D706" s="56"/>
    </row>
    <row r="707" spans="1:4" ht="14.25" customHeight="1">
      <c r="A707" s="83"/>
      <c r="B707" s="55"/>
      <c r="C707" s="56"/>
      <c r="D707" s="56"/>
    </row>
    <row r="708" spans="1:4" ht="14.25" customHeight="1">
      <c r="A708" s="83"/>
      <c r="B708" s="55"/>
      <c r="C708" s="56"/>
      <c r="D708" s="56"/>
    </row>
    <row r="709" spans="1:4" ht="14.25" customHeight="1">
      <c r="A709" s="83"/>
      <c r="B709" s="55"/>
      <c r="C709" s="56"/>
      <c r="D709" s="56"/>
    </row>
    <row r="710" spans="1:4" ht="14.25" customHeight="1">
      <c r="A710" s="83"/>
      <c r="B710" s="55"/>
      <c r="C710" s="56"/>
      <c r="D710" s="56"/>
    </row>
    <row r="711" spans="1:4" ht="14.25" customHeight="1">
      <c r="A711" s="83"/>
      <c r="B711" s="55"/>
      <c r="C711" s="56"/>
      <c r="D711" s="56"/>
    </row>
    <row r="712" spans="1:4" ht="14.25" customHeight="1">
      <c r="A712" s="83"/>
      <c r="B712" s="55"/>
      <c r="C712" s="56"/>
      <c r="D712" s="56"/>
    </row>
    <row r="713" spans="1:4" ht="14.25" customHeight="1">
      <c r="A713" s="83"/>
      <c r="B713" s="55"/>
      <c r="C713" s="56"/>
      <c r="D713" s="56"/>
    </row>
    <row r="714" spans="1:4" ht="14.25" customHeight="1">
      <c r="A714" s="83"/>
      <c r="B714" s="55"/>
      <c r="C714" s="56"/>
      <c r="D714" s="56"/>
    </row>
    <row r="715" spans="1:4" ht="14.25" customHeight="1">
      <c r="A715" s="83"/>
      <c r="B715" s="55"/>
      <c r="C715" s="56"/>
      <c r="D715" s="56"/>
    </row>
    <row r="716" spans="1:4" ht="14.25" customHeight="1">
      <c r="A716" s="83"/>
      <c r="B716" s="55"/>
      <c r="C716" s="56"/>
      <c r="D716" s="56"/>
    </row>
    <row r="717" spans="1:4" ht="14.25" customHeight="1">
      <c r="A717" s="83"/>
      <c r="B717" s="55"/>
      <c r="C717" s="56"/>
      <c r="D717" s="56"/>
    </row>
    <row r="718" spans="1:4" ht="14.25" customHeight="1">
      <c r="A718" s="83"/>
      <c r="B718" s="55"/>
      <c r="C718" s="56"/>
      <c r="D718" s="56"/>
    </row>
    <row r="719" spans="1:4" ht="14.25" customHeight="1">
      <c r="A719" s="83"/>
      <c r="B719" s="55"/>
      <c r="C719" s="56"/>
      <c r="D719" s="56"/>
    </row>
    <row r="720" spans="1:4" ht="14.25" customHeight="1">
      <c r="A720" s="83"/>
      <c r="B720" s="55"/>
      <c r="C720" s="56"/>
      <c r="D720" s="56"/>
    </row>
    <row r="721" spans="1:4" ht="14.25" customHeight="1">
      <c r="A721" s="83"/>
      <c r="B721" s="55"/>
      <c r="C721" s="56"/>
      <c r="D721" s="56"/>
    </row>
    <row r="722" spans="1:4" ht="14.25" customHeight="1">
      <c r="A722" s="83"/>
      <c r="B722" s="55"/>
      <c r="C722" s="56"/>
      <c r="D722" s="56"/>
    </row>
    <row r="723" spans="1:4" ht="14.25" customHeight="1">
      <c r="A723" s="83"/>
      <c r="B723" s="55"/>
      <c r="C723" s="56"/>
      <c r="D723" s="56"/>
    </row>
    <row r="724" spans="1:4" ht="14.25" customHeight="1">
      <c r="A724" s="83"/>
      <c r="B724" s="55"/>
      <c r="C724" s="56"/>
      <c r="D724" s="56"/>
    </row>
    <row r="725" spans="1:4" ht="14.25" customHeight="1">
      <c r="A725" s="83"/>
      <c r="B725" s="55"/>
      <c r="C725" s="56"/>
      <c r="D725" s="56"/>
    </row>
    <row r="726" spans="1:4" ht="14.25" customHeight="1">
      <c r="A726" s="83"/>
      <c r="B726" s="55"/>
      <c r="C726" s="56"/>
      <c r="D726" s="56"/>
    </row>
    <row r="727" spans="1:4" ht="14.25" customHeight="1">
      <c r="A727" s="83"/>
      <c r="B727" s="55"/>
      <c r="C727" s="56"/>
      <c r="D727" s="56"/>
    </row>
    <row r="728" spans="1:4" ht="14.25" customHeight="1">
      <c r="A728" s="83"/>
      <c r="B728" s="55"/>
      <c r="C728" s="56"/>
      <c r="D728" s="56"/>
    </row>
    <row r="729" spans="1:4" ht="14.25" customHeight="1">
      <c r="A729" s="83"/>
      <c r="B729" s="55"/>
      <c r="C729" s="56"/>
      <c r="D729" s="56"/>
    </row>
    <row r="730" spans="1:4" ht="14.25" customHeight="1">
      <c r="A730" s="83"/>
      <c r="B730" s="55"/>
      <c r="C730" s="56"/>
      <c r="D730" s="56"/>
    </row>
    <row r="731" spans="1:4" ht="14.25" customHeight="1">
      <c r="A731" s="83"/>
      <c r="B731" s="55"/>
      <c r="C731" s="56"/>
      <c r="D731" s="56"/>
    </row>
    <row r="732" spans="1:4" ht="14.25" customHeight="1">
      <c r="A732" s="83"/>
      <c r="B732" s="55"/>
      <c r="C732" s="56"/>
      <c r="D732" s="56"/>
    </row>
    <row r="733" spans="1:4" ht="14.25" customHeight="1">
      <c r="A733" s="83"/>
      <c r="B733" s="55"/>
      <c r="C733" s="56"/>
      <c r="D733" s="56"/>
    </row>
    <row r="734" spans="1:4" ht="14.25" customHeight="1">
      <c r="A734" s="83"/>
      <c r="B734" s="55"/>
      <c r="C734" s="56"/>
      <c r="D734" s="56"/>
    </row>
    <row r="735" spans="1:4" ht="14.25" customHeight="1">
      <c r="A735" s="83"/>
      <c r="B735" s="55"/>
      <c r="C735" s="56"/>
      <c r="D735" s="56"/>
    </row>
    <row r="736" spans="1:4" ht="14.25" customHeight="1">
      <c r="A736" s="83"/>
      <c r="B736" s="55"/>
      <c r="C736" s="56"/>
      <c r="D736" s="56"/>
    </row>
    <row r="737" spans="1:4" ht="14.25" customHeight="1">
      <c r="A737" s="83"/>
      <c r="B737" s="55"/>
      <c r="C737" s="56"/>
      <c r="D737" s="56"/>
    </row>
    <row r="738" spans="1:4" ht="14.25" customHeight="1">
      <c r="A738" s="83"/>
      <c r="B738" s="55"/>
      <c r="C738" s="56"/>
      <c r="D738" s="56"/>
    </row>
    <row r="739" spans="1:4" ht="14.25" customHeight="1">
      <c r="A739" s="83"/>
      <c r="B739" s="55"/>
      <c r="C739" s="56"/>
      <c r="D739" s="56"/>
    </row>
    <row r="740" spans="1:4" ht="14.25" customHeight="1">
      <c r="A740" s="83"/>
      <c r="B740" s="55"/>
      <c r="C740" s="56"/>
      <c r="D740" s="56"/>
    </row>
    <row r="741" spans="1:4" ht="14.25" customHeight="1">
      <c r="A741" s="83"/>
      <c r="B741" s="55"/>
      <c r="C741" s="56"/>
      <c r="D741" s="56"/>
    </row>
    <row r="742" spans="1:4" ht="14.25" customHeight="1">
      <c r="A742" s="83"/>
      <c r="B742" s="55"/>
      <c r="C742" s="56"/>
      <c r="D742" s="56"/>
    </row>
    <row r="743" spans="1:4" ht="14.25" customHeight="1">
      <c r="A743" s="83"/>
      <c r="B743" s="55"/>
      <c r="C743" s="56"/>
      <c r="D743" s="56"/>
    </row>
    <row r="744" spans="1:4" ht="14.25" customHeight="1">
      <c r="A744" s="83"/>
      <c r="B744" s="55"/>
      <c r="C744" s="56"/>
      <c r="D744" s="56"/>
    </row>
    <row r="745" spans="1:4" ht="14.25" customHeight="1">
      <c r="A745" s="83"/>
      <c r="B745" s="55"/>
      <c r="C745" s="56"/>
      <c r="D745" s="56"/>
    </row>
    <row r="746" spans="1:4" ht="14.25" customHeight="1">
      <c r="A746" s="83"/>
      <c r="B746" s="55"/>
      <c r="C746" s="56"/>
      <c r="D746" s="56"/>
    </row>
    <row r="747" spans="1:4" ht="14.25" customHeight="1">
      <c r="A747" s="83"/>
      <c r="B747" s="55"/>
      <c r="C747" s="56"/>
      <c r="D747" s="56"/>
    </row>
    <row r="748" spans="1:4" ht="14.25" customHeight="1">
      <c r="A748" s="83"/>
      <c r="B748" s="55"/>
      <c r="C748" s="56"/>
      <c r="D748" s="56"/>
    </row>
    <row r="749" spans="1:4" ht="14.25" customHeight="1">
      <c r="A749" s="83"/>
      <c r="B749" s="55"/>
      <c r="C749" s="56"/>
      <c r="D749" s="56"/>
    </row>
    <row r="750" spans="1:4" ht="14.25" customHeight="1">
      <c r="A750" s="83"/>
      <c r="B750" s="55"/>
      <c r="C750" s="56"/>
      <c r="D750" s="56"/>
    </row>
    <row r="751" spans="1:4" ht="14.25" customHeight="1">
      <c r="A751" s="83"/>
      <c r="B751" s="55"/>
      <c r="C751" s="56"/>
      <c r="D751" s="56"/>
    </row>
    <row r="752" spans="1:4" ht="14.25" customHeight="1">
      <c r="A752" s="83"/>
      <c r="B752" s="55"/>
      <c r="C752" s="56"/>
      <c r="D752" s="56"/>
    </row>
    <row r="753" spans="1:4" ht="14.25" customHeight="1">
      <c r="A753" s="83"/>
      <c r="B753" s="55"/>
      <c r="C753" s="56"/>
      <c r="D753" s="56"/>
    </row>
    <row r="754" spans="1:4" ht="14.25" customHeight="1">
      <c r="A754" s="83"/>
      <c r="B754" s="55"/>
      <c r="C754" s="56"/>
      <c r="D754" s="56"/>
    </row>
    <row r="755" spans="1:4" ht="14.25" customHeight="1">
      <c r="A755" s="83"/>
      <c r="B755" s="55"/>
      <c r="C755" s="56"/>
      <c r="D755" s="56"/>
    </row>
    <row r="756" spans="1:4" ht="14.25" customHeight="1">
      <c r="A756" s="83"/>
      <c r="B756" s="55"/>
      <c r="C756" s="56"/>
      <c r="D756" s="56"/>
    </row>
    <row r="757" spans="1:4" ht="14.25" customHeight="1">
      <c r="A757" s="83"/>
      <c r="B757" s="55"/>
      <c r="C757" s="56"/>
      <c r="D757" s="56"/>
    </row>
    <row r="758" spans="1:4" ht="14.25" customHeight="1">
      <c r="A758" s="83"/>
      <c r="B758" s="55"/>
      <c r="C758" s="56"/>
      <c r="D758" s="56"/>
    </row>
    <row r="759" spans="1:4" ht="14.25" customHeight="1">
      <c r="A759" s="83"/>
      <c r="B759" s="55"/>
      <c r="C759" s="56"/>
      <c r="D759" s="56"/>
    </row>
    <row r="760" spans="1:4" ht="14.25" customHeight="1">
      <c r="A760" s="83"/>
      <c r="B760" s="55"/>
      <c r="C760" s="56"/>
      <c r="D760" s="56"/>
    </row>
    <row r="761" spans="1:4" ht="14.25" customHeight="1">
      <c r="A761" s="83"/>
      <c r="B761" s="55"/>
      <c r="C761" s="56"/>
      <c r="D761" s="56"/>
    </row>
    <row r="762" spans="1:4" ht="14.25" customHeight="1">
      <c r="A762" s="83"/>
      <c r="B762" s="55"/>
      <c r="C762" s="56"/>
      <c r="D762" s="56"/>
    </row>
    <row r="763" spans="1:4" ht="14.25" customHeight="1">
      <c r="A763" s="83"/>
      <c r="B763" s="55"/>
      <c r="C763" s="56"/>
      <c r="D763" s="56"/>
    </row>
    <row r="764" spans="1:4" ht="14.25" customHeight="1">
      <c r="A764" s="83"/>
      <c r="B764" s="55"/>
      <c r="C764" s="56"/>
      <c r="D764" s="56"/>
    </row>
    <row r="765" spans="1:4" ht="14.25" customHeight="1">
      <c r="A765" s="83"/>
      <c r="B765" s="55"/>
      <c r="C765" s="56"/>
      <c r="D765" s="56"/>
    </row>
    <row r="766" spans="1:4" ht="14.25" customHeight="1">
      <c r="A766" s="83"/>
      <c r="B766" s="55"/>
      <c r="C766" s="56"/>
      <c r="D766" s="56"/>
    </row>
    <row r="767" spans="1:4" ht="14.25" customHeight="1">
      <c r="A767" s="83"/>
      <c r="B767" s="55"/>
      <c r="C767" s="56"/>
      <c r="D767" s="56"/>
    </row>
    <row r="768" spans="1:4" ht="14.25" customHeight="1">
      <c r="A768" s="83"/>
      <c r="B768" s="55"/>
      <c r="C768" s="56"/>
      <c r="D768" s="56"/>
    </row>
    <row r="769" spans="1:4" ht="14.25" customHeight="1">
      <c r="A769" s="83"/>
      <c r="B769" s="55"/>
      <c r="C769" s="56"/>
      <c r="D769" s="56"/>
    </row>
    <row r="770" spans="1:4" ht="14.25" customHeight="1">
      <c r="A770" s="83"/>
      <c r="B770" s="55"/>
      <c r="C770" s="56"/>
      <c r="D770" s="56"/>
    </row>
    <row r="771" spans="1:4" ht="14.25" customHeight="1">
      <c r="A771" s="83"/>
      <c r="B771" s="55"/>
      <c r="C771" s="56"/>
      <c r="D771" s="56"/>
    </row>
    <row r="772" spans="1:4" ht="14.25" customHeight="1">
      <c r="A772" s="83"/>
      <c r="B772" s="55"/>
      <c r="C772" s="56"/>
      <c r="D772" s="56"/>
    </row>
    <row r="773" spans="1:4" ht="14.25" customHeight="1">
      <c r="A773" s="83"/>
      <c r="B773" s="55"/>
      <c r="C773" s="56"/>
      <c r="D773" s="56"/>
    </row>
    <row r="774" spans="1:4" ht="14.25" customHeight="1">
      <c r="A774" s="83"/>
      <c r="B774" s="55"/>
      <c r="C774" s="56"/>
      <c r="D774" s="56"/>
    </row>
    <row r="775" spans="1:4" ht="14.25" customHeight="1">
      <c r="A775" s="83"/>
      <c r="B775" s="55"/>
      <c r="C775" s="56"/>
      <c r="D775" s="56"/>
    </row>
    <row r="776" spans="1:4" ht="14.25" customHeight="1">
      <c r="A776" s="83"/>
      <c r="B776" s="55"/>
      <c r="C776" s="56"/>
      <c r="D776" s="56"/>
    </row>
    <row r="777" spans="1:4" ht="14.25" customHeight="1">
      <c r="A777" s="83"/>
      <c r="B777" s="55"/>
      <c r="C777" s="56"/>
      <c r="D777" s="56"/>
    </row>
    <row r="778" spans="1:4" ht="14.25" customHeight="1">
      <c r="A778" s="83"/>
      <c r="B778" s="55"/>
      <c r="C778" s="56"/>
      <c r="D778" s="56"/>
    </row>
    <row r="779" spans="1:4" ht="14.25" customHeight="1">
      <c r="A779" s="83"/>
      <c r="B779" s="55"/>
      <c r="C779" s="56"/>
      <c r="D779" s="56"/>
    </row>
    <row r="780" spans="1:4" ht="14.25" customHeight="1">
      <c r="A780" s="83"/>
      <c r="B780" s="55"/>
      <c r="C780" s="56"/>
      <c r="D780" s="56"/>
    </row>
    <row r="781" spans="1:4" ht="14.25" customHeight="1">
      <c r="A781" s="83"/>
      <c r="B781" s="55"/>
      <c r="C781" s="56"/>
      <c r="D781" s="56"/>
    </row>
    <row r="782" spans="1:4" ht="14.25" customHeight="1">
      <c r="A782" s="83"/>
      <c r="B782" s="55"/>
      <c r="C782" s="56"/>
      <c r="D782" s="56"/>
    </row>
    <row r="783" spans="1:4" ht="14.25" customHeight="1">
      <c r="A783" s="83"/>
      <c r="B783" s="55"/>
      <c r="C783" s="56"/>
      <c r="D783" s="56"/>
    </row>
    <row r="784" spans="1:4" ht="14.25" customHeight="1">
      <c r="A784" s="83"/>
      <c r="B784" s="55"/>
      <c r="C784" s="56"/>
      <c r="D784" s="56"/>
    </row>
    <row r="785" spans="1:4" ht="14.25" customHeight="1">
      <c r="A785" s="83"/>
      <c r="B785" s="55"/>
      <c r="C785" s="56"/>
      <c r="D785" s="56"/>
    </row>
    <row r="786" spans="1:4" ht="14.25" customHeight="1">
      <c r="A786" s="83"/>
      <c r="B786" s="55"/>
      <c r="C786" s="56"/>
      <c r="D786" s="56"/>
    </row>
    <row r="787" spans="1:4" ht="14.25" customHeight="1">
      <c r="A787" s="83"/>
      <c r="B787" s="55"/>
      <c r="C787" s="56"/>
      <c r="D787" s="56"/>
    </row>
    <row r="788" spans="1:4" ht="14.25" customHeight="1">
      <c r="A788" s="83"/>
      <c r="B788" s="55"/>
      <c r="C788" s="56"/>
      <c r="D788" s="56"/>
    </row>
    <row r="789" spans="1:4" ht="14.25" customHeight="1">
      <c r="A789" s="83"/>
      <c r="B789" s="55"/>
      <c r="C789" s="56"/>
      <c r="D789" s="56"/>
    </row>
    <row r="790" spans="1:4" ht="14.25" customHeight="1">
      <c r="A790" s="83"/>
      <c r="B790" s="55"/>
      <c r="C790" s="56"/>
      <c r="D790" s="56"/>
    </row>
    <row r="791" spans="1:4" ht="14.25" customHeight="1">
      <c r="A791" s="83"/>
      <c r="B791" s="55"/>
      <c r="C791" s="56"/>
      <c r="D791" s="56"/>
    </row>
    <row r="792" spans="1:4" ht="14.25" customHeight="1">
      <c r="A792" s="83"/>
      <c r="B792" s="55"/>
      <c r="C792" s="56"/>
      <c r="D792" s="56"/>
    </row>
    <row r="793" spans="1:4" ht="14.25" customHeight="1">
      <c r="A793" s="83"/>
      <c r="B793" s="55"/>
      <c r="C793" s="56"/>
      <c r="D793" s="56"/>
    </row>
    <row r="794" spans="1:4" ht="14.25" customHeight="1">
      <c r="A794" s="83"/>
      <c r="B794" s="55"/>
      <c r="C794" s="56"/>
      <c r="D794" s="56"/>
    </row>
    <row r="795" spans="1:4" ht="14.25" customHeight="1">
      <c r="A795" s="83"/>
      <c r="B795" s="55"/>
      <c r="C795" s="56"/>
      <c r="D795" s="56"/>
    </row>
    <row r="796" spans="1:4" ht="14.25" customHeight="1">
      <c r="A796" s="83"/>
      <c r="B796" s="55"/>
      <c r="C796" s="56"/>
      <c r="D796" s="56"/>
    </row>
    <row r="797" spans="1:4" ht="14.25" customHeight="1">
      <c r="A797" s="83"/>
      <c r="B797" s="55"/>
      <c r="C797" s="56"/>
      <c r="D797" s="56"/>
    </row>
    <row r="798" spans="1:4" ht="14.25" customHeight="1">
      <c r="A798" s="83"/>
      <c r="B798" s="55"/>
      <c r="C798" s="56"/>
      <c r="D798" s="56"/>
    </row>
    <row r="799" spans="1:4" ht="14.25" customHeight="1">
      <c r="A799" s="83"/>
      <c r="B799" s="55"/>
      <c r="C799" s="56"/>
      <c r="D799" s="56"/>
    </row>
    <row r="800" spans="1:4" ht="14.25" customHeight="1">
      <c r="A800" s="83"/>
      <c r="B800" s="55"/>
      <c r="C800" s="56"/>
      <c r="D800" s="56"/>
    </row>
    <row r="801" spans="1:4" ht="14.25" customHeight="1">
      <c r="A801" s="83"/>
      <c r="B801" s="55"/>
      <c r="C801" s="56"/>
      <c r="D801" s="56"/>
    </row>
    <row r="802" spans="1:4" ht="14.25" customHeight="1">
      <c r="A802" s="83"/>
      <c r="B802" s="55"/>
      <c r="C802" s="56"/>
      <c r="D802" s="56"/>
    </row>
    <row r="803" spans="1:4" ht="14.25" customHeight="1">
      <c r="A803" s="83"/>
      <c r="B803" s="55"/>
      <c r="C803" s="56"/>
      <c r="D803" s="56"/>
    </row>
    <row r="804" spans="1:4" ht="14.25" customHeight="1">
      <c r="A804" s="83"/>
      <c r="B804" s="55"/>
      <c r="C804" s="56"/>
      <c r="D804" s="56"/>
    </row>
    <row r="805" spans="1:4" ht="14.25" customHeight="1">
      <c r="A805" s="83"/>
      <c r="B805" s="55"/>
      <c r="C805" s="56"/>
      <c r="D805" s="56"/>
    </row>
    <row r="806" spans="1:4" ht="14.25" customHeight="1">
      <c r="A806" s="83"/>
      <c r="B806" s="55"/>
      <c r="C806" s="56"/>
      <c r="D806" s="56"/>
    </row>
    <row r="807" spans="1:4" ht="14.25" customHeight="1">
      <c r="A807" s="83"/>
      <c r="B807" s="55"/>
      <c r="C807" s="56"/>
      <c r="D807" s="56"/>
    </row>
    <row r="808" spans="1:4" ht="14.25" customHeight="1">
      <c r="A808" s="83"/>
      <c r="B808" s="55"/>
      <c r="C808" s="56"/>
      <c r="D808" s="56"/>
    </row>
    <row r="809" spans="1:4" ht="14.25" customHeight="1">
      <c r="A809" s="83"/>
      <c r="B809" s="55"/>
      <c r="C809" s="56"/>
      <c r="D809" s="56"/>
    </row>
    <row r="810" spans="1:4" ht="14.25" customHeight="1">
      <c r="A810" s="83"/>
      <c r="B810" s="55"/>
      <c r="C810" s="56"/>
      <c r="D810" s="56"/>
    </row>
    <row r="811" spans="1:4" ht="14.25" customHeight="1">
      <c r="A811" s="83"/>
      <c r="B811" s="55"/>
      <c r="C811" s="56"/>
      <c r="D811" s="56"/>
    </row>
    <row r="812" spans="1:4" ht="14.25" customHeight="1">
      <c r="A812" s="83"/>
      <c r="B812" s="55"/>
      <c r="C812" s="56"/>
      <c r="D812" s="56"/>
    </row>
    <row r="813" spans="1:4" ht="14.25" customHeight="1">
      <c r="A813" s="83"/>
      <c r="B813" s="55"/>
      <c r="C813" s="56"/>
      <c r="D813" s="56"/>
    </row>
    <row r="814" spans="1:4" ht="14.25" customHeight="1">
      <c r="A814" s="83"/>
      <c r="B814" s="55"/>
      <c r="C814" s="56"/>
      <c r="D814" s="56"/>
    </row>
    <row r="815" spans="1:4" ht="14.25" customHeight="1">
      <c r="A815" s="83"/>
      <c r="B815" s="55"/>
      <c r="C815" s="56"/>
      <c r="D815" s="56"/>
    </row>
    <row r="816" spans="1:4" ht="14.25" customHeight="1">
      <c r="A816" s="83"/>
      <c r="B816" s="55"/>
      <c r="C816" s="56"/>
      <c r="D816" s="56"/>
    </row>
    <row r="817" spans="1:4" ht="14.25" customHeight="1">
      <c r="A817" s="83"/>
      <c r="B817" s="55"/>
      <c r="C817" s="56"/>
      <c r="D817" s="56"/>
    </row>
    <row r="818" spans="1:4" ht="14.25" customHeight="1">
      <c r="A818" s="83"/>
      <c r="B818" s="55"/>
      <c r="C818" s="56"/>
      <c r="D818" s="56"/>
    </row>
    <row r="819" spans="1:4" ht="14.25" customHeight="1">
      <c r="A819" s="83"/>
      <c r="B819" s="55"/>
      <c r="C819" s="56"/>
      <c r="D819" s="56"/>
    </row>
    <row r="820" spans="1:4" ht="14.25" customHeight="1">
      <c r="A820" s="83"/>
      <c r="B820" s="55"/>
      <c r="C820" s="56"/>
      <c r="D820" s="56"/>
    </row>
    <row r="821" spans="1:4" ht="14.25" customHeight="1">
      <c r="A821" s="83"/>
      <c r="B821" s="55"/>
      <c r="C821" s="56"/>
      <c r="D821" s="56"/>
    </row>
    <row r="822" spans="1:4" ht="14.25" customHeight="1">
      <c r="A822" s="83"/>
      <c r="B822" s="55"/>
      <c r="C822" s="56"/>
      <c r="D822" s="56"/>
    </row>
    <row r="823" spans="1:4" ht="14.25" customHeight="1">
      <c r="A823" s="83"/>
      <c r="B823" s="55"/>
      <c r="C823" s="56"/>
      <c r="D823" s="56"/>
    </row>
    <row r="824" spans="1:4" ht="14.25" customHeight="1">
      <c r="A824" s="83"/>
      <c r="B824" s="55"/>
      <c r="C824" s="56"/>
      <c r="D824" s="56"/>
    </row>
    <row r="825" spans="1:4" ht="14.25" customHeight="1">
      <c r="A825" s="83"/>
      <c r="B825" s="55"/>
      <c r="C825" s="56"/>
      <c r="D825" s="56"/>
    </row>
    <row r="826" spans="1:4" ht="14.25" customHeight="1">
      <c r="A826" s="83"/>
      <c r="B826" s="55"/>
      <c r="C826" s="56"/>
      <c r="D826" s="56"/>
    </row>
    <row r="827" spans="1:4" ht="14.25" customHeight="1">
      <c r="A827" s="83"/>
      <c r="B827" s="55"/>
      <c r="C827" s="56"/>
      <c r="D827" s="56"/>
    </row>
    <row r="828" spans="1:4" ht="14.25" customHeight="1">
      <c r="A828" s="83"/>
      <c r="B828" s="55"/>
      <c r="C828" s="56"/>
      <c r="D828" s="56"/>
    </row>
    <row r="829" spans="1:4" ht="14.25" customHeight="1">
      <c r="A829" s="83"/>
      <c r="B829" s="55"/>
      <c r="C829" s="56"/>
      <c r="D829" s="56"/>
    </row>
    <row r="830" spans="1:4" ht="14.25" customHeight="1">
      <c r="A830" s="83"/>
      <c r="B830" s="55"/>
      <c r="C830" s="56"/>
      <c r="D830" s="56"/>
    </row>
    <row r="831" spans="1:4" ht="14.25" customHeight="1">
      <c r="A831" s="83"/>
      <c r="B831" s="55"/>
      <c r="C831" s="56"/>
      <c r="D831" s="56"/>
    </row>
    <row r="832" spans="1:4" ht="14.25" customHeight="1">
      <c r="A832" s="83"/>
      <c r="B832" s="55"/>
      <c r="C832" s="56"/>
      <c r="D832" s="56"/>
    </row>
    <row r="833" spans="1:4" ht="14.25" customHeight="1">
      <c r="A833" s="83"/>
      <c r="B833" s="55"/>
      <c r="C833" s="56"/>
      <c r="D833" s="56"/>
    </row>
    <row r="834" spans="1:4" ht="14.25" customHeight="1">
      <c r="A834" s="83"/>
      <c r="B834" s="55"/>
      <c r="C834" s="56"/>
      <c r="D834" s="56"/>
    </row>
    <row r="835" spans="1:4" ht="14.25" customHeight="1">
      <c r="A835" s="83"/>
      <c r="B835" s="55"/>
      <c r="C835" s="56"/>
      <c r="D835" s="56"/>
    </row>
    <row r="836" spans="1:4" ht="14.25" customHeight="1">
      <c r="A836" s="83"/>
      <c r="B836" s="55"/>
      <c r="C836" s="56"/>
      <c r="D836" s="56"/>
    </row>
    <row r="837" spans="1:4" ht="14.25" customHeight="1">
      <c r="A837" s="83"/>
      <c r="B837" s="55"/>
      <c r="C837" s="56"/>
      <c r="D837" s="56"/>
    </row>
    <row r="838" spans="1:4" ht="14.25" customHeight="1">
      <c r="A838" s="83"/>
      <c r="B838" s="55"/>
      <c r="C838" s="56"/>
      <c r="D838" s="56"/>
    </row>
    <row r="839" spans="1:4" ht="14.25" customHeight="1">
      <c r="A839" s="83"/>
      <c r="B839" s="55"/>
      <c r="C839" s="56"/>
      <c r="D839" s="56"/>
    </row>
    <row r="840" spans="1:4" ht="14.25" customHeight="1">
      <c r="A840" s="83"/>
      <c r="B840" s="55"/>
      <c r="C840" s="56"/>
      <c r="D840" s="56"/>
    </row>
    <row r="841" spans="1:4" ht="14.25" customHeight="1">
      <c r="A841" s="83"/>
      <c r="B841" s="55"/>
      <c r="C841" s="56"/>
      <c r="D841" s="56"/>
    </row>
    <row r="842" spans="1:4" ht="14.25" customHeight="1">
      <c r="A842" s="83"/>
      <c r="B842" s="55"/>
      <c r="C842" s="56"/>
      <c r="D842" s="56"/>
    </row>
    <row r="843" spans="1:4" ht="14.25" customHeight="1">
      <c r="A843" s="83"/>
      <c r="B843" s="55"/>
      <c r="C843" s="56"/>
      <c r="D843" s="56"/>
    </row>
    <row r="844" spans="1:4" ht="14.25" customHeight="1">
      <c r="A844" s="83"/>
      <c r="B844" s="55"/>
      <c r="C844" s="56"/>
      <c r="D844" s="56"/>
    </row>
    <row r="845" spans="1:4" ht="14.25" customHeight="1">
      <c r="A845" s="83"/>
      <c r="B845" s="55"/>
      <c r="C845" s="56"/>
      <c r="D845" s="56"/>
    </row>
    <row r="846" spans="1:4" ht="14.25" customHeight="1">
      <c r="A846" s="83"/>
      <c r="B846" s="55"/>
      <c r="C846" s="56"/>
      <c r="D846" s="56"/>
    </row>
    <row r="847" spans="1:4" ht="14.25" customHeight="1">
      <c r="A847" s="83"/>
      <c r="B847" s="55"/>
      <c r="C847" s="56"/>
      <c r="D847" s="56"/>
    </row>
    <row r="848" spans="1:4" ht="14.25" customHeight="1">
      <c r="A848" s="83"/>
      <c r="B848" s="55"/>
      <c r="C848" s="56"/>
      <c r="D848" s="56"/>
    </row>
    <row r="849" spans="1:4" ht="14.25" customHeight="1">
      <c r="A849" s="83"/>
      <c r="B849" s="55"/>
      <c r="C849" s="56"/>
      <c r="D849" s="56"/>
    </row>
    <row r="850" spans="1:4" ht="14.25" customHeight="1">
      <c r="A850" s="83"/>
      <c r="B850" s="55"/>
      <c r="C850" s="56"/>
      <c r="D850" s="56"/>
    </row>
    <row r="851" spans="1:4" ht="14.25" customHeight="1">
      <c r="A851" s="83"/>
      <c r="B851" s="55"/>
      <c r="C851" s="56"/>
      <c r="D851" s="56"/>
    </row>
    <row r="852" spans="1:4" ht="14.25" customHeight="1">
      <c r="A852" s="83"/>
      <c r="B852" s="55"/>
      <c r="C852" s="56"/>
      <c r="D852" s="56"/>
    </row>
    <row r="853" spans="1:4" ht="14.25" customHeight="1">
      <c r="A853" s="83"/>
      <c r="B853" s="55"/>
      <c r="C853" s="56"/>
      <c r="D853" s="56"/>
    </row>
    <row r="854" spans="1:4" ht="14.25" customHeight="1">
      <c r="A854" s="83"/>
      <c r="B854" s="55"/>
      <c r="C854" s="56"/>
      <c r="D854" s="56"/>
    </row>
    <row r="855" spans="1:4" ht="14.25" customHeight="1">
      <c r="A855" s="83"/>
      <c r="B855" s="55"/>
      <c r="C855" s="56"/>
      <c r="D855" s="56"/>
    </row>
    <row r="856" spans="1:4" ht="14.25" customHeight="1">
      <c r="A856" s="83"/>
      <c r="B856" s="55"/>
      <c r="C856" s="56"/>
      <c r="D856" s="56"/>
    </row>
    <row r="857" spans="1:4" ht="14.25" customHeight="1">
      <c r="A857" s="83"/>
      <c r="B857" s="55"/>
      <c r="C857" s="56"/>
      <c r="D857" s="56"/>
    </row>
    <row r="858" spans="1:4" ht="14.25" customHeight="1">
      <c r="A858" s="83"/>
      <c r="B858" s="55"/>
      <c r="C858" s="56"/>
      <c r="D858" s="56"/>
    </row>
    <row r="859" spans="1:4" ht="14.25" customHeight="1">
      <c r="A859" s="83"/>
      <c r="B859" s="55"/>
      <c r="C859" s="56"/>
      <c r="D859" s="56"/>
    </row>
    <row r="860" spans="1:4" ht="14.25" customHeight="1">
      <c r="A860" s="83"/>
      <c r="B860" s="55"/>
      <c r="C860" s="56"/>
      <c r="D860" s="56"/>
    </row>
    <row r="861" spans="1:4" ht="14.25" customHeight="1">
      <c r="A861" s="83"/>
      <c r="B861" s="55"/>
      <c r="C861" s="56"/>
      <c r="D861" s="56"/>
    </row>
    <row r="862" spans="1:4" ht="14.25" customHeight="1">
      <c r="A862" s="83"/>
      <c r="B862" s="55"/>
      <c r="C862" s="56"/>
      <c r="D862" s="56"/>
    </row>
    <row r="863" spans="1:4" ht="14.25" customHeight="1">
      <c r="A863" s="83"/>
      <c r="B863" s="55"/>
      <c r="C863" s="56"/>
      <c r="D863" s="56"/>
    </row>
    <row r="864" spans="1:4" ht="14.25" customHeight="1">
      <c r="A864" s="83"/>
      <c r="B864" s="55"/>
      <c r="C864" s="56"/>
      <c r="D864" s="56"/>
    </row>
    <row r="865" spans="1:4" ht="14.25" customHeight="1">
      <c r="A865" s="83"/>
      <c r="B865" s="55"/>
      <c r="C865" s="56"/>
      <c r="D865" s="56"/>
    </row>
    <row r="866" spans="1:4" ht="14.25" customHeight="1">
      <c r="A866" s="83"/>
      <c r="B866" s="55"/>
      <c r="C866" s="56"/>
      <c r="D866" s="56"/>
    </row>
    <row r="867" spans="1:4" ht="14.25" customHeight="1">
      <c r="A867" s="83"/>
      <c r="B867" s="55"/>
      <c r="C867" s="56"/>
      <c r="D867" s="56"/>
    </row>
    <row r="868" spans="1:4" ht="14.25" customHeight="1">
      <c r="A868" s="83"/>
      <c r="B868" s="55"/>
      <c r="C868" s="56"/>
      <c r="D868" s="56"/>
    </row>
    <row r="869" spans="1:4" ht="14.25" customHeight="1">
      <c r="A869" s="83"/>
      <c r="B869" s="55"/>
      <c r="C869" s="56"/>
      <c r="D869" s="56"/>
    </row>
    <row r="870" spans="1:4" ht="14.25" customHeight="1">
      <c r="A870" s="83"/>
      <c r="B870" s="55"/>
      <c r="C870" s="56"/>
      <c r="D870" s="56"/>
    </row>
    <row r="871" spans="1:4" ht="14.25" customHeight="1">
      <c r="A871" s="83"/>
      <c r="B871" s="55"/>
      <c r="C871" s="56"/>
      <c r="D871" s="56"/>
    </row>
    <row r="872" spans="1:4" ht="14.25" customHeight="1">
      <c r="A872" s="83"/>
      <c r="B872" s="55"/>
      <c r="C872" s="56"/>
      <c r="D872" s="56"/>
    </row>
    <row r="873" spans="1:4" ht="14.25" customHeight="1">
      <c r="A873" s="83"/>
      <c r="B873" s="55"/>
      <c r="C873" s="56"/>
      <c r="D873" s="56"/>
    </row>
    <row r="874" spans="1:4" ht="14.25" customHeight="1">
      <c r="A874" s="83"/>
      <c r="B874" s="55"/>
      <c r="C874" s="56"/>
      <c r="D874" s="56"/>
    </row>
    <row r="875" spans="1:4" ht="14.25" customHeight="1">
      <c r="A875" s="83"/>
      <c r="B875" s="55"/>
      <c r="C875" s="56"/>
      <c r="D875" s="56"/>
    </row>
    <row r="876" spans="1:4" ht="14.25" customHeight="1">
      <c r="A876" s="83"/>
      <c r="B876" s="55"/>
      <c r="C876" s="56"/>
      <c r="D876" s="56"/>
    </row>
    <row r="877" spans="1:4" ht="14.25" customHeight="1">
      <c r="A877" s="83"/>
      <c r="B877" s="55"/>
      <c r="C877" s="56"/>
      <c r="D877" s="56"/>
    </row>
    <row r="878" spans="1:4" ht="14.25" customHeight="1">
      <c r="A878" s="83"/>
      <c r="B878" s="55"/>
      <c r="C878" s="56"/>
      <c r="D878" s="56"/>
    </row>
    <row r="879" spans="1:4" ht="14.25" customHeight="1">
      <c r="A879" s="83"/>
      <c r="B879" s="55"/>
      <c r="C879" s="56"/>
      <c r="D879" s="56"/>
    </row>
    <row r="880" spans="1:4" ht="14.25" customHeight="1">
      <c r="A880" s="83"/>
      <c r="B880" s="55"/>
      <c r="C880" s="56"/>
      <c r="D880" s="56"/>
    </row>
    <row r="881" spans="1:4" ht="14.25" customHeight="1">
      <c r="A881" s="83"/>
      <c r="B881" s="55"/>
      <c r="C881" s="56"/>
      <c r="D881" s="56"/>
    </row>
    <row r="882" spans="1:4" ht="14.25" customHeight="1">
      <c r="A882" s="83"/>
      <c r="B882" s="55"/>
      <c r="C882" s="56"/>
      <c r="D882" s="56"/>
    </row>
    <row r="883" spans="1:4" ht="14.25" customHeight="1">
      <c r="A883" s="83"/>
      <c r="B883" s="55"/>
      <c r="C883" s="56"/>
      <c r="D883" s="56"/>
    </row>
    <row r="884" spans="1:4" ht="14.25" customHeight="1">
      <c r="A884" s="83"/>
      <c r="B884" s="55"/>
      <c r="C884" s="56"/>
      <c r="D884" s="56"/>
    </row>
    <row r="885" spans="1:4" ht="14.25" customHeight="1">
      <c r="A885" s="83"/>
      <c r="B885" s="55"/>
      <c r="C885" s="56"/>
      <c r="D885" s="56"/>
    </row>
    <row r="886" spans="1:4" ht="14.25" customHeight="1">
      <c r="A886" s="83"/>
      <c r="B886" s="55"/>
      <c r="C886" s="56"/>
      <c r="D886" s="56"/>
    </row>
    <row r="887" spans="1:4" ht="14.25" customHeight="1">
      <c r="A887" s="83"/>
      <c r="B887" s="55"/>
      <c r="C887" s="56"/>
      <c r="D887" s="56"/>
    </row>
    <row r="888" spans="1:4" ht="14.25" customHeight="1">
      <c r="A888" s="83"/>
      <c r="B888" s="55"/>
      <c r="C888" s="56"/>
      <c r="D888" s="56"/>
    </row>
    <row r="889" spans="1:4" ht="14.25" customHeight="1">
      <c r="A889" s="83"/>
      <c r="B889" s="55"/>
      <c r="C889" s="56"/>
      <c r="D889" s="56"/>
    </row>
    <row r="890" spans="1:4" ht="14.25" customHeight="1">
      <c r="A890" s="83"/>
      <c r="B890" s="55"/>
      <c r="C890" s="56"/>
      <c r="D890" s="56"/>
    </row>
    <row r="891" spans="1:4" ht="14.25" customHeight="1">
      <c r="A891" s="83"/>
      <c r="B891" s="55"/>
      <c r="C891" s="56"/>
      <c r="D891" s="56"/>
    </row>
    <row r="892" spans="1:4" ht="14.25" customHeight="1">
      <c r="A892" s="83"/>
      <c r="B892" s="55"/>
      <c r="C892" s="56"/>
      <c r="D892" s="56"/>
    </row>
    <row r="893" spans="1:4" ht="14.25" customHeight="1">
      <c r="A893" s="83"/>
      <c r="B893" s="55"/>
      <c r="C893" s="56"/>
      <c r="D893" s="56"/>
    </row>
    <row r="894" spans="1:4" ht="14.25" customHeight="1">
      <c r="A894" s="83"/>
      <c r="B894" s="55"/>
      <c r="C894" s="56"/>
      <c r="D894" s="56"/>
    </row>
    <row r="895" spans="1:4" ht="14.25" customHeight="1">
      <c r="A895" s="83"/>
      <c r="B895" s="55"/>
      <c r="C895" s="56"/>
      <c r="D895" s="56"/>
    </row>
    <row r="896" spans="1:4" ht="14.25" customHeight="1">
      <c r="A896" s="83"/>
      <c r="B896" s="55"/>
      <c r="C896" s="56"/>
      <c r="D896" s="56"/>
    </row>
    <row r="897" spans="1:4" ht="14.25" customHeight="1">
      <c r="A897" s="83"/>
      <c r="B897" s="55"/>
      <c r="C897" s="56"/>
      <c r="D897" s="56"/>
    </row>
    <row r="898" spans="1:4" ht="14.25" customHeight="1">
      <c r="A898" s="83"/>
      <c r="B898" s="55"/>
      <c r="C898" s="56"/>
      <c r="D898" s="56"/>
    </row>
    <row r="899" spans="1:4" ht="14.25" customHeight="1">
      <c r="A899" s="83"/>
      <c r="B899" s="55"/>
      <c r="C899" s="56"/>
      <c r="D899" s="56"/>
    </row>
    <row r="900" spans="1:4" ht="14.25" customHeight="1">
      <c r="A900" s="83"/>
      <c r="B900" s="55"/>
      <c r="C900" s="56"/>
      <c r="D900" s="56"/>
    </row>
    <row r="901" spans="1:4" ht="14.25" customHeight="1">
      <c r="A901" s="83"/>
      <c r="B901" s="55"/>
      <c r="C901" s="56"/>
      <c r="D901" s="56"/>
    </row>
    <row r="902" spans="1:4" ht="14.25" customHeight="1">
      <c r="A902" s="83"/>
      <c r="B902" s="55"/>
      <c r="C902" s="56"/>
      <c r="D902" s="56"/>
    </row>
    <row r="903" spans="1:4" ht="14.25" customHeight="1">
      <c r="A903" s="83"/>
      <c r="B903" s="55"/>
      <c r="C903" s="56"/>
      <c r="D903" s="56"/>
    </row>
    <row r="904" spans="1:4" ht="14.25" customHeight="1">
      <c r="A904" s="83"/>
      <c r="B904" s="55"/>
      <c r="C904" s="56"/>
      <c r="D904" s="56"/>
    </row>
    <row r="905" spans="1:4" ht="14.25" customHeight="1">
      <c r="A905" s="83"/>
      <c r="B905" s="55"/>
      <c r="C905" s="56"/>
      <c r="D905" s="56"/>
    </row>
    <row r="906" spans="1:4" ht="14.25" customHeight="1">
      <c r="A906" s="83"/>
      <c r="B906" s="55"/>
      <c r="C906" s="56"/>
      <c r="D906" s="56"/>
    </row>
    <row r="907" spans="1:4" ht="14.25" customHeight="1">
      <c r="A907" s="83"/>
      <c r="B907" s="55"/>
      <c r="C907" s="56"/>
      <c r="D907" s="56"/>
    </row>
    <row r="908" spans="1:4" ht="14.25" customHeight="1">
      <c r="A908" s="83"/>
      <c r="B908" s="55"/>
      <c r="C908" s="56"/>
      <c r="D908" s="56"/>
    </row>
    <row r="909" spans="1:4" ht="14.25" customHeight="1">
      <c r="A909" s="83"/>
      <c r="B909" s="55"/>
      <c r="C909" s="56"/>
      <c r="D909" s="56"/>
    </row>
    <row r="910" spans="1:4" ht="14.25" customHeight="1">
      <c r="A910" s="83"/>
      <c r="B910" s="55"/>
      <c r="C910" s="56"/>
      <c r="D910" s="56"/>
    </row>
    <row r="911" spans="1:4" ht="14.25" customHeight="1">
      <c r="A911" s="83"/>
      <c r="B911" s="55"/>
      <c r="C911" s="56"/>
      <c r="D911" s="56"/>
    </row>
    <row r="912" spans="1:4" ht="14.25" customHeight="1">
      <c r="A912" s="83"/>
      <c r="B912" s="55"/>
      <c r="C912" s="56"/>
      <c r="D912" s="56"/>
    </row>
    <row r="913" spans="1:4" ht="14.25" customHeight="1">
      <c r="A913" s="83"/>
      <c r="B913" s="55"/>
      <c r="C913" s="56"/>
      <c r="D913" s="56"/>
    </row>
    <row r="914" spans="1:4" ht="14.25" customHeight="1">
      <c r="A914" s="83"/>
      <c r="B914" s="55"/>
      <c r="C914" s="56"/>
      <c r="D914" s="56"/>
    </row>
    <row r="915" spans="1:4" ht="14.25" customHeight="1">
      <c r="A915" s="83"/>
      <c r="B915" s="55"/>
      <c r="C915" s="56"/>
      <c r="D915" s="56"/>
    </row>
    <row r="916" spans="1:4" ht="14.25" customHeight="1">
      <c r="A916" s="83"/>
      <c r="B916" s="55"/>
      <c r="C916" s="56"/>
      <c r="D916" s="56"/>
    </row>
    <row r="917" spans="1:4" ht="14.25" customHeight="1">
      <c r="A917" s="83"/>
      <c r="B917" s="55"/>
      <c r="C917" s="56"/>
      <c r="D917" s="56"/>
    </row>
    <row r="918" spans="1:4" ht="14.25" customHeight="1">
      <c r="A918" s="83"/>
      <c r="B918" s="55"/>
      <c r="C918" s="56"/>
      <c r="D918" s="56"/>
    </row>
    <row r="919" spans="1:4" ht="14.25" customHeight="1">
      <c r="A919" s="83"/>
      <c r="B919" s="55"/>
      <c r="C919" s="56"/>
      <c r="D919" s="56"/>
    </row>
    <row r="920" spans="1:4" ht="14.25" customHeight="1">
      <c r="A920" s="83"/>
      <c r="B920" s="55"/>
      <c r="C920" s="56"/>
      <c r="D920" s="56"/>
    </row>
    <row r="921" spans="1:4" ht="14.25" customHeight="1">
      <c r="A921" s="83"/>
      <c r="B921" s="55"/>
      <c r="C921" s="56"/>
      <c r="D921" s="56"/>
    </row>
    <row r="922" spans="1:4" ht="14.25" customHeight="1">
      <c r="A922" s="83"/>
      <c r="B922" s="55"/>
      <c r="C922" s="56"/>
      <c r="D922" s="56"/>
    </row>
    <row r="923" spans="1:4" ht="14.25" customHeight="1">
      <c r="A923" s="83"/>
      <c r="B923" s="55"/>
      <c r="C923" s="56"/>
      <c r="D923" s="56"/>
    </row>
    <row r="924" spans="1:4" ht="14.25" customHeight="1">
      <c r="A924" s="83"/>
      <c r="B924" s="55"/>
      <c r="C924" s="56"/>
      <c r="D924" s="56"/>
    </row>
    <row r="925" spans="1:4" ht="14.25" customHeight="1">
      <c r="A925" s="83"/>
      <c r="B925" s="55"/>
      <c r="C925" s="56"/>
      <c r="D925" s="56"/>
    </row>
    <row r="926" spans="1:4" ht="14.25" customHeight="1">
      <c r="A926" s="83"/>
      <c r="B926" s="55"/>
      <c r="C926" s="56"/>
      <c r="D926" s="56"/>
    </row>
    <row r="927" spans="1:4" ht="14.25" customHeight="1">
      <c r="A927" s="83"/>
      <c r="B927" s="55"/>
      <c r="C927" s="56"/>
      <c r="D927" s="56"/>
    </row>
    <row r="928" spans="1:4" ht="14.25" customHeight="1">
      <c r="A928" s="83"/>
      <c r="B928" s="55"/>
      <c r="C928" s="56"/>
      <c r="D928" s="56"/>
    </row>
    <row r="929" spans="1:4" ht="14.25" customHeight="1">
      <c r="A929" s="83"/>
      <c r="B929" s="55"/>
      <c r="C929" s="56"/>
      <c r="D929" s="56"/>
    </row>
    <row r="930" spans="1:4" ht="14.25" customHeight="1">
      <c r="A930" s="83"/>
      <c r="B930" s="55"/>
      <c r="C930" s="56"/>
      <c r="D930" s="56"/>
    </row>
    <row r="931" spans="1:4" ht="14.25" customHeight="1">
      <c r="A931" s="83"/>
      <c r="B931" s="55"/>
      <c r="C931" s="56"/>
      <c r="D931" s="56"/>
    </row>
    <row r="932" spans="1:4" ht="14.25" customHeight="1">
      <c r="A932" s="83"/>
      <c r="B932" s="55"/>
      <c r="C932" s="56"/>
      <c r="D932" s="56"/>
    </row>
    <row r="933" spans="1:4" ht="14.25" customHeight="1">
      <c r="A933" s="83"/>
      <c r="B933" s="55"/>
      <c r="C933" s="56"/>
      <c r="D933" s="56"/>
    </row>
    <row r="934" spans="1:4" ht="14.25" customHeight="1">
      <c r="A934" s="83"/>
      <c r="B934" s="55"/>
      <c r="C934" s="56"/>
      <c r="D934" s="56"/>
    </row>
    <row r="935" spans="1:4" ht="14.25" customHeight="1">
      <c r="A935" s="83"/>
      <c r="B935" s="55"/>
      <c r="C935" s="56"/>
      <c r="D935" s="56"/>
    </row>
    <row r="936" spans="1:4" ht="14.25" customHeight="1">
      <c r="A936" s="83"/>
      <c r="B936" s="55"/>
      <c r="C936" s="56"/>
      <c r="D936" s="56"/>
    </row>
    <row r="937" spans="1:4" ht="14.25" customHeight="1">
      <c r="A937" s="83"/>
      <c r="B937" s="55"/>
      <c r="C937" s="56"/>
      <c r="D937" s="56"/>
    </row>
    <row r="938" spans="1:4" ht="14.25" customHeight="1">
      <c r="A938" s="83"/>
      <c r="B938" s="55"/>
      <c r="C938" s="56"/>
      <c r="D938" s="56"/>
    </row>
    <row r="939" spans="1:4" ht="14.25" customHeight="1">
      <c r="A939" s="83"/>
      <c r="B939" s="55"/>
      <c r="C939" s="56"/>
      <c r="D939" s="56"/>
    </row>
    <row r="940" spans="1:4" ht="14.25" customHeight="1">
      <c r="A940" s="83"/>
      <c r="B940" s="55"/>
      <c r="C940" s="56"/>
      <c r="D940" s="56"/>
    </row>
    <row r="941" spans="1:4" ht="14.25" customHeight="1">
      <c r="A941" s="83"/>
      <c r="B941" s="55"/>
      <c r="C941" s="56"/>
      <c r="D941" s="56"/>
    </row>
    <row r="942" spans="1:4" ht="14.25" customHeight="1">
      <c r="A942" s="83"/>
      <c r="B942" s="55"/>
      <c r="C942" s="56"/>
      <c r="D942" s="56"/>
    </row>
    <row r="943" spans="1:4" ht="14.25" customHeight="1">
      <c r="A943" s="83"/>
      <c r="B943" s="55"/>
      <c r="C943" s="56"/>
      <c r="D943" s="56"/>
    </row>
    <row r="944" spans="1:4" ht="14.25" customHeight="1">
      <c r="A944" s="83"/>
      <c r="B944" s="55"/>
      <c r="C944" s="56"/>
      <c r="D944" s="56"/>
    </row>
    <row r="945" spans="1:4" ht="14.25" customHeight="1">
      <c r="A945" s="83"/>
      <c r="B945" s="55"/>
      <c r="C945" s="56"/>
      <c r="D945" s="56"/>
    </row>
    <row r="946" spans="1:4" ht="14.25" customHeight="1">
      <c r="A946" s="83"/>
      <c r="B946" s="55"/>
      <c r="C946" s="56"/>
      <c r="D946" s="56"/>
    </row>
    <row r="947" spans="1:4" ht="14.25" customHeight="1">
      <c r="A947" s="83"/>
      <c r="B947" s="55"/>
      <c r="C947" s="56"/>
      <c r="D947" s="56"/>
    </row>
    <row r="948" spans="1:4" ht="14.25" customHeight="1">
      <c r="A948" s="83"/>
      <c r="B948" s="55"/>
      <c r="C948" s="56"/>
      <c r="D948" s="56"/>
    </row>
    <row r="949" spans="1:4" ht="14.25" customHeight="1">
      <c r="A949" s="83"/>
      <c r="B949" s="55"/>
      <c r="C949" s="56"/>
      <c r="D949" s="56"/>
    </row>
    <row r="950" spans="1:4" ht="14.25" customHeight="1">
      <c r="A950" s="83"/>
      <c r="B950" s="55"/>
      <c r="C950" s="56"/>
      <c r="D950" s="56"/>
    </row>
    <row r="951" spans="1:4" ht="14.25" customHeight="1">
      <c r="A951" s="83"/>
      <c r="B951" s="55"/>
      <c r="C951" s="56"/>
      <c r="D951" s="56"/>
    </row>
    <row r="952" spans="1:4" ht="14.25" customHeight="1">
      <c r="A952" s="83"/>
      <c r="B952" s="55"/>
      <c r="C952" s="56"/>
      <c r="D952" s="56"/>
    </row>
    <row r="953" spans="1:4" ht="14.25" customHeight="1">
      <c r="A953" s="83"/>
      <c r="B953" s="55"/>
      <c r="C953" s="56"/>
      <c r="D953" s="56"/>
    </row>
    <row r="954" spans="1:4" ht="14.25" customHeight="1">
      <c r="A954" s="83"/>
      <c r="B954" s="55"/>
      <c r="C954" s="56"/>
      <c r="D954" s="56"/>
    </row>
    <row r="955" spans="1:4" ht="14.25" customHeight="1">
      <c r="A955" s="83"/>
      <c r="B955" s="55"/>
      <c r="C955" s="56"/>
      <c r="D955" s="56"/>
    </row>
    <row r="956" spans="1:4" ht="14.25" customHeight="1">
      <c r="A956" s="83"/>
      <c r="B956" s="55"/>
      <c r="C956" s="56"/>
      <c r="D956" s="56"/>
    </row>
    <row r="957" spans="1:4" ht="14.25" customHeight="1">
      <c r="A957" s="83"/>
      <c r="B957" s="55"/>
      <c r="C957" s="56"/>
      <c r="D957" s="56"/>
    </row>
    <row r="958" spans="1:4" ht="14.25" customHeight="1">
      <c r="A958" s="83"/>
      <c r="B958" s="55"/>
      <c r="C958" s="56"/>
      <c r="D958" s="56"/>
    </row>
    <row r="959" spans="1:4" ht="14.25" customHeight="1">
      <c r="A959" s="83"/>
      <c r="B959" s="55"/>
      <c r="C959" s="56"/>
      <c r="D959" s="56"/>
    </row>
    <row r="960" spans="1:4" ht="14.25" customHeight="1">
      <c r="A960" s="83"/>
      <c r="B960" s="55"/>
      <c r="C960" s="56"/>
      <c r="D960" s="56"/>
    </row>
    <row r="961" spans="1:4" ht="14.25" customHeight="1">
      <c r="A961" s="83"/>
      <c r="B961" s="55"/>
      <c r="C961" s="56"/>
      <c r="D961" s="56"/>
    </row>
    <row r="962" spans="1:4" ht="14.25" customHeight="1">
      <c r="A962" s="83"/>
      <c r="B962" s="55"/>
      <c r="C962" s="56"/>
      <c r="D962" s="56"/>
    </row>
    <row r="963" spans="1:4" ht="14.25" customHeight="1">
      <c r="A963" s="83"/>
      <c r="B963" s="55"/>
      <c r="C963" s="56"/>
      <c r="D963" s="56"/>
    </row>
    <row r="964" spans="1:4" ht="14.25" customHeight="1">
      <c r="A964" s="83"/>
      <c r="B964" s="55"/>
      <c r="C964" s="56"/>
      <c r="D964" s="56"/>
    </row>
    <row r="965" spans="1:4" ht="14.25" customHeight="1">
      <c r="A965" s="83"/>
      <c r="B965" s="55"/>
      <c r="C965" s="56"/>
      <c r="D965" s="56"/>
    </row>
    <row r="966" spans="1:4" ht="14.25" customHeight="1">
      <c r="A966" s="83"/>
      <c r="B966" s="55"/>
      <c r="C966" s="56"/>
      <c r="D966" s="56"/>
    </row>
    <row r="967" spans="1:4" ht="14.25" customHeight="1">
      <c r="A967" s="83"/>
      <c r="B967" s="55"/>
      <c r="C967" s="56"/>
      <c r="D967" s="56"/>
    </row>
    <row r="968" spans="1:4" ht="14.25" customHeight="1">
      <c r="A968" s="83"/>
      <c r="B968" s="55"/>
      <c r="C968" s="56"/>
      <c r="D968" s="56"/>
    </row>
    <row r="969" spans="1:4" ht="14.25" customHeight="1">
      <c r="A969" s="83"/>
      <c r="B969" s="55"/>
      <c r="C969" s="56"/>
      <c r="D969" s="56"/>
    </row>
    <row r="970" spans="1:4" ht="14.25" customHeight="1">
      <c r="A970" s="83"/>
      <c r="B970" s="55"/>
      <c r="C970" s="56"/>
      <c r="D970" s="56"/>
    </row>
    <row r="971" spans="1:4" ht="14.25" customHeight="1">
      <c r="A971" s="83"/>
      <c r="B971" s="55"/>
      <c r="C971" s="56"/>
      <c r="D971" s="56"/>
    </row>
    <row r="972" spans="1:4" ht="14.25" customHeight="1">
      <c r="A972" s="83"/>
      <c r="B972" s="55"/>
      <c r="C972" s="56"/>
      <c r="D972" s="56"/>
    </row>
    <row r="973" spans="1:4" ht="14.25" customHeight="1">
      <c r="A973" s="83"/>
      <c r="B973" s="55"/>
      <c r="C973" s="56"/>
      <c r="D973" s="56"/>
    </row>
    <row r="974" spans="1:4" ht="14.25" customHeight="1">
      <c r="A974" s="83"/>
      <c r="B974" s="55"/>
      <c r="C974" s="56"/>
      <c r="D974" s="56"/>
    </row>
    <row r="975" spans="1:4" ht="14.25" customHeight="1">
      <c r="A975" s="83"/>
      <c r="B975" s="55"/>
      <c r="C975" s="56"/>
      <c r="D975" s="56"/>
    </row>
    <row r="976" spans="1:4" ht="14.25" customHeight="1">
      <c r="A976" s="83"/>
      <c r="B976" s="55"/>
      <c r="C976" s="56"/>
      <c r="D976" s="56"/>
    </row>
    <row r="977" spans="1:4" ht="14.25" customHeight="1">
      <c r="A977" s="83"/>
      <c r="B977" s="55"/>
      <c r="C977" s="56"/>
      <c r="D977" s="56"/>
    </row>
    <row r="978" spans="1:4" ht="14.25" customHeight="1">
      <c r="A978" s="83"/>
      <c r="B978" s="55"/>
      <c r="C978" s="56"/>
      <c r="D978" s="56"/>
    </row>
    <row r="979" spans="1:4" ht="14.25" customHeight="1">
      <c r="A979" s="83"/>
      <c r="B979" s="55"/>
      <c r="C979" s="56"/>
      <c r="D979" s="56"/>
    </row>
    <row r="980" spans="1:4" ht="14.25" customHeight="1">
      <c r="A980" s="83"/>
      <c r="B980" s="55"/>
      <c r="C980" s="56"/>
      <c r="D980" s="56"/>
    </row>
    <row r="981" spans="1:4" ht="14.25" customHeight="1">
      <c r="A981" s="83"/>
      <c r="B981" s="55"/>
      <c r="C981" s="56"/>
      <c r="D981" s="56"/>
    </row>
    <row r="982" spans="1:4" ht="14.25" customHeight="1">
      <c r="A982" s="83"/>
      <c r="B982" s="55"/>
      <c r="C982" s="56"/>
      <c r="D982" s="56"/>
    </row>
    <row r="983" spans="1:4" ht="14.25" customHeight="1">
      <c r="A983" s="83"/>
      <c r="B983" s="55"/>
      <c r="C983" s="56"/>
      <c r="D983" s="56"/>
    </row>
    <row r="984" spans="1:4" ht="14.25" customHeight="1">
      <c r="A984" s="83"/>
      <c r="B984" s="55"/>
      <c r="C984" s="56"/>
      <c r="D984" s="56"/>
    </row>
    <row r="985" spans="1:4" ht="14.25" customHeight="1">
      <c r="A985" s="83"/>
      <c r="B985" s="55"/>
      <c r="C985" s="56"/>
      <c r="D985" s="56"/>
    </row>
    <row r="986" spans="1:4" ht="14.25" customHeight="1">
      <c r="A986" s="83"/>
      <c r="B986" s="55"/>
      <c r="C986" s="56"/>
      <c r="D986" s="56"/>
    </row>
    <row r="987" spans="1:4" ht="14.25" customHeight="1">
      <c r="A987" s="83"/>
      <c r="B987" s="55"/>
      <c r="C987" s="56"/>
      <c r="D987" s="56"/>
    </row>
    <row r="988" spans="1:4" ht="14.25" customHeight="1">
      <c r="A988" s="83"/>
      <c r="B988" s="55"/>
      <c r="C988" s="56"/>
      <c r="D988" s="56"/>
    </row>
    <row r="989" spans="1:4" ht="14.25" customHeight="1">
      <c r="A989" s="83"/>
      <c r="B989" s="55"/>
      <c r="C989" s="56"/>
      <c r="D989" s="56"/>
    </row>
    <row r="990" spans="1:4" ht="14.25" customHeight="1">
      <c r="A990" s="83"/>
      <c r="B990" s="55"/>
      <c r="C990" s="56"/>
      <c r="D990" s="56"/>
    </row>
    <row r="991" spans="1:4" ht="14.25" customHeight="1">
      <c r="A991" s="83"/>
      <c r="B991" s="55"/>
      <c r="C991" s="56"/>
      <c r="D991" s="56"/>
    </row>
    <row r="992" spans="1:4" ht="14.25" customHeight="1">
      <c r="A992" s="83"/>
      <c r="B992" s="55"/>
      <c r="C992" s="56"/>
      <c r="D992" s="56"/>
    </row>
    <row r="993" spans="1:4" ht="14.25" customHeight="1">
      <c r="A993" s="83"/>
      <c r="B993" s="55"/>
      <c r="C993" s="56"/>
      <c r="D993" s="56"/>
    </row>
    <row r="994" spans="1:4" ht="14.25" customHeight="1">
      <c r="A994" s="83"/>
      <c r="B994" s="55"/>
      <c r="C994" s="56"/>
      <c r="D994" s="56"/>
    </row>
    <row r="995" spans="1:4" ht="14.25" customHeight="1">
      <c r="A995" s="83"/>
      <c r="B995" s="55"/>
      <c r="C995" s="56"/>
      <c r="D995" s="56"/>
    </row>
    <row r="996" spans="1:4" ht="14.25" customHeight="1">
      <c r="A996" s="83"/>
      <c r="B996" s="55"/>
      <c r="C996" s="56"/>
      <c r="D996" s="56"/>
    </row>
    <row r="997" spans="1:4" ht="14.25" customHeight="1">
      <c r="A997" s="83"/>
      <c r="B997" s="55"/>
      <c r="C997" s="56"/>
      <c r="D997" s="56"/>
    </row>
    <row r="998" spans="1:4" ht="14.25" customHeight="1">
      <c r="A998" s="83"/>
      <c r="B998" s="55"/>
      <c r="C998" s="56"/>
      <c r="D998" s="56"/>
    </row>
    <row r="999" spans="1:4" ht="14.25" customHeight="1">
      <c r="A999" s="83"/>
      <c r="B999" s="55"/>
      <c r="C999" s="56"/>
      <c r="D999" s="56"/>
    </row>
    <row r="1000" spans="1:4" ht="14.25" customHeight="1">
      <c r="A1000" s="83"/>
      <c r="B1000" s="55"/>
      <c r="C1000" s="56"/>
      <c r="D1000" s="56"/>
    </row>
    <row r="1001" spans="1:4" ht="14.25" customHeight="1">
      <c r="A1001" s="83"/>
      <c r="B1001" s="55"/>
      <c r="C1001" s="56"/>
      <c r="D1001" s="56"/>
    </row>
    <row r="1002" spans="1:4" ht="14.25" customHeight="1">
      <c r="A1002" s="83"/>
      <c r="B1002" s="55"/>
      <c r="C1002" s="56"/>
      <c r="D1002" s="56"/>
    </row>
    <row r="1003" spans="1:4" ht="14.25" customHeight="1">
      <c r="A1003" s="83"/>
      <c r="B1003" s="55"/>
      <c r="C1003" s="56"/>
      <c r="D1003" s="56"/>
    </row>
    <row r="1004" spans="1:4" ht="14.25" customHeight="1">
      <c r="A1004" s="83"/>
      <c r="B1004" s="55"/>
      <c r="C1004" s="56"/>
      <c r="D1004" s="56"/>
    </row>
    <row r="1005" spans="1:4" ht="14.25" customHeight="1">
      <c r="A1005" s="83"/>
      <c r="B1005" s="55"/>
      <c r="C1005" s="56"/>
      <c r="D1005" s="56"/>
    </row>
    <row r="1006" spans="1:4" ht="14.25" customHeight="1">
      <c r="A1006" s="83"/>
      <c r="B1006" s="55"/>
      <c r="C1006" s="56"/>
      <c r="D1006" s="56"/>
    </row>
    <row r="1007" spans="1:4" ht="14.25" customHeight="1">
      <c r="A1007" s="83"/>
      <c r="B1007" s="55"/>
      <c r="C1007" s="56"/>
      <c r="D1007" s="56"/>
    </row>
    <row r="1008" spans="1:4" ht="14.25" customHeight="1">
      <c r="A1008" s="83"/>
      <c r="B1008" s="55"/>
      <c r="C1008" s="56"/>
      <c r="D1008" s="56"/>
    </row>
    <row r="1009" spans="1:4" ht="14.25" customHeight="1">
      <c r="A1009" s="83"/>
      <c r="B1009" s="55"/>
      <c r="C1009" s="56"/>
      <c r="D1009" s="56"/>
    </row>
    <row r="1010" spans="1:4" ht="14.25" customHeight="1">
      <c r="A1010" s="83"/>
      <c r="B1010" s="55"/>
      <c r="C1010" s="56"/>
      <c r="D1010" s="56"/>
    </row>
    <row r="1011" spans="1:4" ht="14.25" customHeight="1">
      <c r="A1011" s="83"/>
      <c r="B1011" s="55"/>
      <c r="C1011" s="56"/>
      <c r="D1011" s="56"/>
    </row>
    <row r="1012" spans="1:4" ht="14.25" customHeight="1">
      <c r="A1012" s="83"/>
      <c r="B1012" s="55"/>
      <c r="C1012" s="56"/>
      <c r="D1012" s="56"/>
    </row>
    <row r="1013" spans="1:4" ht="14.25" customHeight="1">
      <c r="A1013" s="83"/>
      <c r="B1013" s="55"/>
      <c r="C1013" s="56"/>
      <c r="D1013" s="56"/>
    </row>
    <row r="1014" spans="1:4" ht="14.25" customHeight="1">
      <c r="A1014" s="83"/>
      <c r="B1014" s="55"/>
      <c r="C1014" s="56"/>
      <c r="D1014" s="56"/>
    </row>
    <row r="1015" spans="1:4" ht="14.25" customHeight="1">
      <c r="A1015" s="83"/>
      <c r="B1015" s="55"/>
      <c r="C1015" s="56"/>
      <c r="D1015" s="56"/>
    </row>
    <row r="1016" spans="1:4" ht="14.25" customHeight="1">
      <c r="A1016" s="83"/>
      <c r="B1016" s="55"/>
      <c r="C1016" s="56"/>
      <c r="D1016" s="56"/>
    </row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V1016"/>
  <sheetViews>
    <sheetView workbookViewId="0">
      <selection activeCell="F18" sqref="F18"/>
    </sheetView>
  </sheetViews>
  <sheetFormatPr baseColWidth="10" defaultColWidth="14.44140625" defaultRowHeight="15" customHeight="1"/>
  <cols>
    <col min="1" max="1" width="8.88671875" customWidth="1"/>
    <col min="2" max="2" width="25.6640625" customWidth="1"/>
    <col min="3" max="3" width="12.109375" customWidth="1"/>
    <col min="4" max="4" width="12.88671875" customWidth="1"/>
    <col min="5" max="22" width="8.88671875" customWidth="1"/>
  </cols>
  <sheetData>
    <row r="1" spans="1:22" ht="14.25" customHeight="1">
      <c r="A1" s="44" t="s">
        <v>0</v>
      </c>
      <c r="B1" s="57" t="s">
        <v>1</v>
      </c>
      <c r="C1" s="58" t="s">
        <v>371</v>
      </c>
      <c r="D1" s="58" t="s">
        <v>372</v>
      </c>
      <c r="E1" s="8"/>
      <c r="F1" s="17"/>
      <c r="G1" s="1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4.25" customHeight="1">
      <c r="A2" s="79">
        <v>10101</v>
      </c>
      <c r="B2" s="48" t="s">
        <v>11</v>
      </c>
      <c r="C2" s="70">
        <v>13176</v>
      </c>
      <c r="D2" s="59">
        <v>2917</v>
      </c>
      <c r="F2" s="60"/>
      <c r="G2" s="60"/>
    </row>
    <row r="3" spans="1:22" ht="14.25" customHeight="1">
      <c r="A3" s="79">
        <v>10102</v>
      </c>
      <c r="B3" s="48" t="s">
        <v>13</v>
      </c>
      <c r="C3" s="70">
        <v>939</v>
      </c>
      <c r="D3" s="59">
        <v>175</v>
      </c>
      <c r="F3" s="60"/>
      <c r="G3" s="60"/>
    </row>
    <row r="4" spans="1:22" ht="14.25" customHeight="1">
      <c r="A4" s="79">
        <v>10103</v>
      </c>
      <c r="B4" s="48" t="s">
        <v>15</v>
      </c>
      <c r="C4" s="70">
        <v>10758</v>
      </c>
      <c r="D4" s="59">
        <v>3658</v>
      </c>
      <c r="F4" s="60"/>
      <c r="G4" s="60"/>
    </row>
    <row r="5" spans="1:22" ht="14.25" customHeight="1">
      <c r="A5" s="79">
        <v>10201</v>
      </c>
      <c r="B5" s="48" t="s">
        <v>17</v>
      </c>
      <c r="C5" s="70">
        <v>6799</v>
      </c>
      <c r="D5" s="59">
        <v>1903</v>
      </c>
      <c r="F5" s="60"/>
      <c r="G5" s="60"/>
    </row>
    <row r="6" spans="1:22" ht="14.25" customHeight="1">
      <c r="A6" s="79">
        <v>10202</v>
      </c>
      <c r="B6" s="48" t="s">
        <v>19</v>
      </c>
      <c r="C6" s="70">
        <v>7592</v>
      </c>
      <c r="D6" s="59">
        <v>2433</v>
      </c>
      <c r="F6" s="60"/>
      <c r="G6" s="60"/>
    </row>
    <row r="7" spans="1:22" ht="14.25" customHeight="1">
      <c r="A7" s="79">
        <v>10301</v>
      </c>
      <c r="B7" s="48" t="s">
        <v>21</v>
      </c>
      <c r="C7" s="70">
        <v>3292</v>
      </c>
      <c r="D7" s="59">
        <v>1005</v>
      </c>
      <c r="F7" s="60"/>
      <c r="G7" s="60"/>
    </row>
    <row r="8" spans="1:22" ht="14.25" customHeight="1">
      <c r="A8" s="79">
        <v>10302</v>
      </c>
      <c r="B8" s="48" t="s">
        <v>23</v>
      </c>
      <c r="C8" s="70">
        <v>6412</v>
      </c>
      <c r="D8" s="59">
        <v>1846</v>
      </c>
      <c r="F8" s="60"/>
      <c r="G8" s="60"/>
    </row>
    <row r="9" spans="1:22" ht="14.25" customHeight="1">
      <c r="A9" s="79">
        <v>10303</v>
      </c>
      <c r="B9" s="48" t="s">
        <v>25</v>
      </c>
      <c r="C9" s="70">
        <v>2884</v>
      </c>
      <c r="D9" s="59">
        <v>608</v>
      </c>
      <c r="F9" s="60"/>
      <c r="G9" s="60"/>
    </row>
    <row r="10" spans="1:22" ht="14.25" customHeight="1">
      <c r="A10" s="79">
        <v>10304</v>
      </c>
      <c r="B10" s="48" t="s">
        <v>27</v>
      </c>
      <c r="C10" s="70">
        <v>2661</v>
      </c>
      <c r="D10" s="59">
        <v>1019</v>
      </c>
      <c r="F10" s="60"/>
      <c r="G10" s="60"/>
    </row>
    <row r="11" spans="1:22" ht="14.25" customHeight="1">
      <c r="A11" s="79">
        <v>10401</v>
      </c>
      <c r="B11" s="48" t="s">
        <v>29</v>
      </c>
      <c r="C11" s="70">
        <v>3361</v>
      </c>
      <c r="D11" s="59">
        <v>560</v>
      </c>
      <c r="F11" s="60"/>
      <c r="G11" s="60"/>
    </row>
    <row r="12" spans="1:22" ht="14.25" customHeight="1">
      <c r="A12" s="79">
        <v>10402</v>
      </c>
      <c r="B12" s="48" t="s">
        <v>31</v>
      </c>
      <c r="C12" s="70">
        <v>2747</v>
      </c>
      <c r="D12" s="59">
        <v>510</v>
      </c>
      <c r="F12" s="60"/>
      <c r="G12" s="60"/>
    </row>
    <row r="13" spans="1:22" ht="14.25" customHeight="1">
      <c r="A13" s="79">
        <v>10403</v>
      </c>
      <c r="B13" s="48" t="s">
        <v>33</v>
      </c>
      <c r="C13" s="70">
        <v>3105</v>
      </c>
      <c r="D13" s="59">
        <v>1146</v>
      </c>
      <c r="F13" s="60"/>
      <c r="G13" s="60"/>
    </row>
    <row r="14" spans="1:22" ht="14.25" customHeight="1">
      <c r="A14" s="79">
        <v>10404</v>
      </c>
      <c r="B14" s="48" t="s">
        <v>34</v>
      </c>
      <c r="C14" s="70">
        <v>1107</v>
      </c>
      <c r="D14" s="59">
        <v>92</v>
      </c>
      <c r="F14" s="60"/>
      <c r="G14" s="60"/>
    </row>
    <row r="15" spans="1:22" ht="14.25" customHeight="1">
      <c r="A15" s="79">
        <v>10405</v>
      </c>
      <c r="B15" s="48" t="s">
        <v>35</v>
      </c>
      <c r="C15" s="70">
        <v>1560</v>
      </c>
      <c r="D15" s="59">
        <v>544</v>
      </c>
      <c r="F15" s="60"/>
      <c r="G15" s="60"/>
    </row>
    <row r="16" spans="1:22" ht="14.25" customHeight="1">
      <c r="A16" s="79">
        <v>10501</v>
      </c>
      <c r="B16" s="48" t="s">
        <v>36</v>
      </c>
      <c r="C16" s="70">
        <v>4676</v>
      </c>
      <c r="D16" s="59">
        <v>985</v>
      </c>
      <c r="F16" s="60"/>
      <c r="G16" s="60"/>
    </row>
    <row r="17" spans="1:7" ht="14.25" customHeight="1">
      <c r="A17" s="79">
        <v>10502</v>
      </c>
      <c r="B17" s="48" t="s">
        <v>38</v>
      </c>
      <c r="C17" s="70">
        <v>2701</v>
      </c>
      <c r="D17" s="59">
        <v>417</v>
      </c>
      <c r="F17" s="60"/>
      <c r="G17" s="60"/>
    </row>
    <row r="18" spans="1:7" ht="14.25" customHeight="1">
      <c r="A18" s="79">
        <v>10601</v>
      </c>
      <c r="B18" s="48" t="s">
        <v>40</v>
      </c>
      <c r="C18" s="70">
        <v>5957</v>
      </c>
      <c r="D18" s="59">
        <v>1104</v>
      </c>
      <c r="F18" s="60"/>
      <c r="G18" s="60"/>
    </row>
    <row r="19" spans="1:7" ht="14.25" customHeight="1">
      <c r="A19" s="79">
        <v>10602</v>
      </c>
      <c r="B19" s="48" t="s">
        <v>42</v>
      </c>
      <c r="C19" s="70">
        <v>3293</v>
      </c>
      <c r="D19" s="59">
        <v>504</v>
      </c>
      <c r="F19" s="60"/>
      <c r="G19" s="60"/>
    </row>
    <row r="20" spans="1:7" ht="14.25" customHeight="1">
      <c r="A20" s="79">
        <v>10701</v>
      </c>
      <c r="B20" s="48" t="s">
        <v>44</v>
      </c>
      <c r="C20" s="70">
        <v>2488</v>
      </c>
      <c r="D20" s="59">
        <v>562</v>
      </c>
      <c r="F20" s="60"/>
      <c r="G20" s="60"/>
    </row>
    <row r="21" spans="1:7" ht="14.25" customHeight="1">
      <c r="A21" s="79">
        <v>10702</v>
      </c>
      <c r="B21" s="48" t="s">
        <v>45</v>
      </c>
      <c r="C21" s="70">
        <v>14216</v>
      </c>
      <c r="D21" s="59">
        <v>3777</v>
      </c>
      <c r="F21" s="60"/>
      <c r="G21" s="60"/>
    </row>
    <row r="22" spans="1:7" ht="14.25" customHeight="1">
      <c r="A22" s="79">
        <v>10703</v>
      </c>
      <c r="B22" s="48" t="s">
        <v>47</v>
      </c>
      <c r="C22" s="70">
        <v>6847</v>
      </c>
      <c r="D22" s="59">
        <v>4049</v>
      </c>
      <c r="F22" s="60"/>
      <c r="G22" s="60"/>
    </row>
    <row r="23" spans="1:7" ht="14.25" customHeight="1">
      <c r="A23" s="79">
        <v>10704</v>
      </c>
      <c r="B23" s="48" t="s">
        <v>48</v>
      </c>
      <c r="C23" s="70">
        <v>7045</v>
      </c>
      <c r="D23" s="59">
        <v>2775</v>
      </c>
      <c r="F23" s="60"/>
      <c r="G23" s="60"/>
    </row>
    <row r="24" spans="1:7" ht="14.25" customHeight="1">
      <c r="A24" s="79">
        <v>10801</v>
      </c>
      <c r="B24" s="48" t="s">
        <v>49</v>
      </c>
      <c r="C24" s="70">
        <v>2771</v>
      </c>
      <c r="D24" s="59">
        <v>490</v>
      </c>
      <c r="F24" s="60"/>
      <c r="G24" s="60"/>
    </row>
    <row r="25" spans="1:7" ht="14.25" customHeight="1">
      <c r="A25" s="79">
        <v>10901</v>
      </c>
      <c r="B25" s="48" t="s">
        <v>50</v>
      </c>
      <c r="C25" s="70">
        <v>880</v>
      </c>
      <c r="D25" s="59">
        <v>250</v>
      </c>
      <c r="F25" s="60"/>
      <c r="G25" s="60"/>
    </row>
    <row r="26" spans="1:7" ht="14.25" customHeight="1">
      <c r="A26" s="79">
        <v>10902</v>
      </c>
      <c r="B26" s="48" t="s">
        <v>51</v>
      </c>
      <c r="C26" s="70">
        <v>6839</v>
      </c>
      <c r="D26" s="59">
        <v>2079</v>
      </c>
      <c r="F26" s="60"/>
      <c r="G26" s="60"/>
    </row>
    <row r="27" spans="1:7" ht="14.25" customHeight="1">
      <c r="A27" s="79">
        <v>10903</v>
      </c>
      <c r="B27" s="48" t="s">
        <v>52</v>
      </c>
      <c r="C27" s="70">
        <v>771</v>
      </c>
      <c r="D27" s="59">
        <v>283</v>
      </c>
      <c r="F27" s="60"/>
      <c r="G27" s="60"/>
    </row>
    <row r="28" spans="1:7" ht="14.25" customHeight="1">
      <c r="A28" s="79">
        <v>11001</v>
      </c>
      <c r="B28" s="48" t="s">
        <v>53</v>
      </c>
      <c r="C28" s="70">
        <v>2420</v>
      </c>
      <c r="D28" s="59">
        <v>931</v>
      </c>
      <c r="F28" s="60"/>
      <c r="G28" s="60"/>
    </row>
    <row r="29" spans="1:7" ht="14.25" customHeight="1">
      <c r="A29" s="79">
        <v>11002</v>
      </c>
      <c r="B29" s="48" t="s">
        <v>54</v>
      </c>
      <c r="C29" s="70">
        <v>605</v>
      </c>
      <c r="D29" s="59">
        <v>52</v>
      </c>
      <c r="F29" s="60"/>
      <c r="G29" s="60"/>
    </row>
    <row r="30" spans="1:7" ht="14.25" customHeight="1">
      <c r="A30" s="79">
        <v>11003</v>
      </c>
      <c r="B30" s="48" t="s">
        <v>55</v>
      </c>
      <c r="C30" s="70">
        <v>1588</v>
      </c>
      <c r="D30" s="59">
        <v>149</v>
      </c>
      <c r="F30" s="60"/>
      <c r="G30" s="60"/>
    </row>
    <row r="31" spans="1:7" ht="14.25" customHeight="1">
      <c r="A31" s="79">
        <v>20101</v>
      </c>
      <c r="B31" s="48" t="s">
        <v>56</v>
      </c>
      <c r="C31" s="70">
        <v>5953</v>
      </c>
      <c r="D31" s="59">
        <v>1103</v>
      </c>
      <c r="F31" s="60"/>
      <c r="G31" s="60"/>
    </row>
    <row r="32" spans="1:7" ht="14.25" customHeight="1">
      <c r="A32" s="79">
        <v>20102</v>
      </c>
      <c r="B32" s="48" t="s">
        <v>57</v>
      </c>
      <c r="C32" s="70">
        <v>2149</v>
      </c>
      <c r="D32" s="59">
        <v>893</v>
      </c>
      <c r="F32" s="60"/>
      <c r="G32" s="60"/>
    </row>
    <row r="33" spans="1:7" ht="14.25" customHeight="1">
      <c r="A33" s="79">
        <v>20103</v>
      </c>
      <c r="B33" s="48" t="s">
        <v>58</v>
      </c>
      <c r="C33" s="70">
        <v>1619</v>
      </c>
      <c r="D33" s="59">
        <v>416</v>
      </c>
      <c r="F33" s="60"/>
      <c r="G33" s="60"/>
    </row>
    <row r="34" spans="1:7" ht="14.25" customHeight="1">
      <c r="A34" s="79">
        <v>20104</v>
      </c>
      <c r="B34" s="48" t="s">
        <v>59</v>
      </c>
      <c r="C34" s="70">
        <v>2242</v>
      </c>
      <c r="D34" s="59">
        <v>1071</v>
      </c>
      <c r="F34" s="60"/>
      <c r="G34" s="60"/>
    </row>
    <row r="35" spans="1:7" ht="14.25" customHeight="1">
      <c r="A35" s="79">
        <v>20105</v>
      </c>
      <c r="B35" s="48" t="s">
        <v>60</v>
      </c>
      <c r="C35" s="70">
        <v>21358</v>
      </c>
      <c r="D35" s="59">
        <v>2507</v>
      </c>
      <c r="F35" s="60"/>
      <c r="G35" s="60"/>
    </row>
    <row r="36" spans="1:7" ht="14.25" customHeight="1">
      <c r="A36" s="79">
        <v>20201</v>
      </c>
      <c r="B36" s="48" t="s">
        <v>61</v>
      </c>
      <c r="C36" s="70">
        <v>4341</v>
      </c>
      <c r="D36" s="59">
        <v>1129</v>
      </c>
      <c r="F36" s="60"/>
      <c r="G36" s="60"/>
    </row>
    <row r="37" spans="1:7" ht="14.25" customHeight="1">
      <c r="A37" s="79">
        <v>20202</v>
      </c>
      <c r="B37" s="48" t="s">
        <v>62</v>
      </c>
      <c r="C37" s="70">
        <v>1838</v>
      </c>
      <c r="D37" s="59">
        <v>766</v>
      </c>
      <c r="F37" s="60"/>
      <c r="G37" s="60"/>
    </row>
    <row r="38" spans="1:7" ht="14.25" customHeight="1">
      <c r="A38" s="79">
        <v>20203</v>
      </c>
      <c r="B38" s="48" t="s">
        <v>63</v>
      </c>
      <c r="C38" s="70">
        <v>855</v>
      </c>
      <c r="D38" s="59">
        <v>165</v>
      </c>
      <c r="F38" s="60"/>
      <c r="G38" s="60"/>
    </row>
    <row r="39" spans="1:7" ht="14.25" customHeight="1">
      <c r="A39" s="79">
        <v>20204</v>
      </c>
      <c r="B39" s="48" t="s">
        <v>64</v>
      </c>
      <c r="C39" s="70">
        <v>600</v>
      </c>
      <c r="D39" s="59">
        <v>195</v>
      </c>
      <c r="F39" s="60"/>
      <c r="G39" s="60"/>
    </row>
    <row r="40" spans="1:7" ht="14.25" customHeight="1">
      <c r="A40" s="79">
        <v>20205</v>
      </c>
      <c r="B40" s="48" t="s">
        <v>65</v>
      </c>
      <c r="C40" s="70">
        <v>77</v>
      </c>
      <c r="D40" s="59">
        <v>208</v>
      </c>
      <c r="F40" s="60"/>
      <c r="G40" s="60"/>
    </row>
    <row r="41" spans="1:7" ht="14.25" customHeight="1">
      <c r="A41" s="79">
        <v>20206</v>
      </c>
      <c r="B41" s="48" t="s">
        <v>66</v>
      </c>
      <c r="C41" s="70">
        <v>280</v>
      </c>
      <c r="D41" s="59">
        <v>67</v>
      </c>
      <c r="F41" s="60"/>
      <c r="G41" s="60"/>
    </row>
    <row r="42" spans="1:7" ht="14.25" customHeight="1">
      <c r="A42" s="79">
        <v>20301</v>
      </c>
      <c r="B42" s="48" t="s">
        <v>67</v>
      </c>
      <c r="C42" s="70">
        <v>2172</v>
      </c>
      <c r="D42" s="59">
        <v>939</v>
      </c>
      <c r="F42" s="60"/>
      <c r="G42" s="60"/>
    </row>
    <row r="43" spans="1:7" ht="14.25" customHeight="1">
      <c r="A43" s="79">
        <v>20302</v>
      </c>
      <c r="B43" s="48" t="s">
        <v>68</v>
      </c>
      <c r="C43" s="70">
        <v>3666</v>
      </c>
      <c r="D43" s="59">
        <v>603</v>
      </c>
      <c r="F43" s="60"/>
      <c r="G43" s="60"/>
    </row>
    <row r="44" spans="1:7" ht="14.25" customHeight="1">
      <c r="A44" s="79">
        <v>20303</v>
      </c>
      <c r="B44" s="48" t="s">
        <v>69</v>
      </c>
      <c r="C44" s="70">
        <v>2954</v>
      </c>
      <c r="D44" s="59">
        <v>980</v>
      </c>
      <c r="F44" s="60"/>
      <c r="G44" s="60"/>
    </row>
    <row r="45" spans="1:7" ht="14.25" customHeight="1">
      <c r="A45" s="79">
        <v>20304</v>
      </c>
      <c r="B45" s="48" t="s">
        <v>70</v>
      </c>
      <c r="C45" s="70">
        <v>769</v>
      </c>
      <c r="D45" s="59">
        <v>107</v>
      </c>
      <c r="F45" s="60"/>
      <c r="G45" s="60"/>
    </row>
    <row r="46" spans="1:7" ht="14.25" customHeight="1">
      <c r="A46" s="79">
        <v>20305</v>
      </c>
      <c r="B46" s="48" t="s">
        <v>71</v>
      </c>
      <c r="C46" s="70">
        <v>699</v>
      </c>
      <c r="D46" s="59">
        <v>428</v>
      </c>
      <c r="F46" s="60"/>
      <c r="G46" s="60"/>
    </row>
    <row r="47" spans="1:7" ht="14.25" customHeight="1">
      <c r="A47" s="79">
        <v>20306</v>
      </c>
      <c r="B47" s="48" t="s">
        <v>72</v>
      </c>
      <c r="C47" s="70">
        <v>900</v>
      </c>
      <c r="D47" s="59">
        <v>320</v>
      </c>
      <c r="F47" s="60"/>
      <c r="G47" s="60"/>
    </row>
    <row r="48" spans="1:7" ht="14.25" customHeight="1">
      <c r="A48" s="79">
        <v>20307</v>
      </c>
      <c r="B48" s="48" t="s">
        <v>73</v>
      </c>
      <c r="C48" s="70">
        <v>79</v>
      </c>
      <c r="D48" s="59">
        <v>205</v>
      </c>
      <c r="F48" s="60"/>
      <c r="G48" s="60"/>
    </row>
    <row r="49" spans="1:7" ht="14.25" customHeight="1">
      <c r="A49" s="79">
        <v>20308</v>
      </c>
      <c r="B49" s="48" t="s">
        <v>74</v>
      </c>
      <c r="C49" s="70">
        <v>2622</v>
      </c>
      <c r="D49" s="59">
        <v>834</v>
      </c>
      <c r="F49" s="60"/>
      <c r="G49" s="60"/>
    </row>
    <row r="50" spans="1:7" ht="14.25" customHeight="1">
      <c r="A50" s="79">
        <v>20401</v>
      </c>
      <c r="B50" s="48" t="s">
        <v>75</v>
      </c>
      <c r="C50" s="70">
        <v>1857</v>
      </c>
      <c r="D50" s="59">
        <v>1021</v>
      </c>
      <c r="F50" s="60"/>
      <c r="G50" s="60"/>
    </row>
    <row r="51" spans="1:7" ht="14.25" customHeight="1">
      <c r="A51" s="79">
        <v>20402</v>
      </c>
      <c r="B51" s="48" t="s">
        <v>76</v>
      </c>
      <c r="C51" s="70">
        <v>2595</v>
      </c>
      <c r="D51" s="59">
        <v>897</v>
      </c>
      <c r="F51" s="60"/>
      <c r="G51" s="60"/>
    </row>
    <row r="52" spans="1:7" ht="14.25" customHeight="1">
      <c r="A52" s="79">
        <v>20403</v>
      </c>
      <c r="B52" s="48" t="s">
        <v>77</v>
      </c>
      <c r="C52" s="70">
        <v>2944</v>
      </c>
      <c r="D52" s="59">
        <v>729</v>
      </c>
      <c r="F52" s="60"/>
      <c r="G52" s="60"/>
    </row>
    <row r="53" spans="1:7" ht="14.25" customHeight="1">
      <c r="A53" s="79">
        <v>20404</v>
      </c>
      <c r="B53" s="48" t="s">
        <v>78</v>
      </c>
      <c r="C53" s="70">
        <v>1124</v>
      </c>
      <c r="D53" s="59">
        <v>530</v>
      </c>
      <c r="F53" s="60"/>
      <c r="G53" s="60"/>
    </row>
    <row r="54" spans="1:7" ht="14.25" customHeight="1">
      <c r="A54" s="79">
        <v>20405</v>
      </c>
      <c r="B54" s="48" t="s">
        <v>79</v>
      </c>
      <c r="C54" s="70">
        <v>654</v>
      </c>
      <c r="D54" s="59">
        <v>637</v>
      </c>
      <c r="F54" s="60"/>
      <c r="G54" s="60"/>
    </row>
    <row r="55" spans="1:7" ht="14.25" customHeight="1">
      <c r="A55" s="79">
        <v>20501</v>
      </c>
      <c r="B55" s="48" t="s">
        <v>80</v>
      </c>
      <c r="C55" s="70">
        <v>1741</v>
      </c>
      <c r="D55" s="59">
        <v>788</v>
      </c>
      <c r="F55" s="60"/>
      <c r="G55" s="60"/>
    </row>
    <row r="56" spans="1:7" ht="14.25" customHeight="1">
      <c r="A56" s="79">
        <v>20502</v>
      </c>
      <c r="B56" s="48" t="s">
        <v>81</v>
      </c>
      <c r="C56" s="70">
        <v>2008</v>
      </c>
      <c r="D56" s="59">
        <v>657</v>
      </c>
      <c r="F56" s="60"/>
      <c r="G56" s="60"/>
    </row>
    <row r="57" spans="1:7" ht="14.25" customHeight="1">
      <c r="A57" s="79">
        <v>20503</v>
      </c>
      <c r="B57" s="48" t="s">
        <v>82</v>
      </c>
      <c r="C57" s="70">
        <v>1180</v>
      </c>
      <c r="D57" s="59">
        <v>409</v>
      </c>
      <c r="F57" s="60"/>
      <c r="G57" s="60"/>
    </row>
    <row r="58" spans="1:7" ht="14.25" customHeight="1">
      <c r="A58" s="79">
        <v>20601</v>
      </c>
      <c r="B58" s="48" t="s">
        <v>83</v>
      </c>
      <c r="C58" s="70">
        <v>3742</v>
      </c>
      <c r="D58" s="59">
        <v>1090</v>
      </c>
      <c r="F58" s="60"/>
      <c r="G58" s="60"/>
    </row>
    <row r="59" spans="1:7" ht="14.25" customHeight="1">
      <c r="A59" s="79">
        <v>20602</v>
      </c>
      <c r="B59" s="48" t="s">
        <v>84</v>
      </c>
      <c r="C59" s="70">
        <v>2123</v>
      </c>
      <c r="D59" s="59">
        <v>636</v>
      </c>
      <c r="F59" s="60"/>
      <c r="G59" s="60"/>
    </row>
    <row r="60" spans="1:7" ht="14.25" customHeight="1">
      <c r="A60" s="79">
        <v>20603</v>
      </c>
      <c r="B60" s="48" t="s">
        <v>85</v>
      </c>
      <c r="C60" s="70">
        <v>1563</v>
      </c>
      <c r="D60" s="59">
        <v>545</v>
      </c>
      <c r="F60" s="60"/>
      <c r="G60" s="60"/>
    </row>
    <row r="61" spans="1:7" ht="14.25" customHeight="1">
      <c r="A61" s="79">
        <v>20604</v>
      </c>
      <c r="B61" s="48" t="s">
        <v>86</v>
      </c>
      <c r="C61" s="70">
        <v>410</v>
      </c>
      <c r="D61" s="59">
        <v>328</v>
      </c>
      <c r="F61" s="60"/>
      <c r="G61" s="60"/>
    </row>
    <row r="62" spans="1:7" ht="14.25" customHeight="1">
      <c r="A62" s="79">
        <v>20605</v>
      </c>
      <c r="B62" s="48" t="s">
        <v>87</v>
      </c>
      <c r="C62" s="70">
        <v>338</v>
      </c>
      <c r="D62" s="59">
        <v>216</v>
      </c>
      <c r="F62" s="60"/>
      <c r="G62" s="60"/>
    </row>
    <row r="63" spans="1:7" ht="14.25" customHeight="1">
      <c r="A63" s="79">
        <v>20606</v>
      </c>
      <c r="B63" s="48" t="s">
        <v>88</v>
      </c>
      <c r="C63" s="70">
        <v>554</v>
      </c>
      <c r="D63" s="59">
        <v>118</v>
      </c>
      <c r="F63" s="60"/>
      <c r="G63" s="60"/>
    </row>
    <row r="64" spans="1:7" ht="14.25" customHeight="1">
      <c r="A64" s="79">
        <v>20607</v>
      </c>
      <c r="B64" s="48" t="s">
        <v>89</v>
      </c>
      <c r="C64" s="70">
        <v>610</v>
      </c>
      <c r="D64" s="59">
        <v>334</v>
      </c>
      <c r="F64" s="60"/>
      <c r="G64" s="60"/>
    </row>
    <row r="65" spans="1:7" ht="14.25" customHeight="1">
      <c r="A65" s="79">
        <v>20608</v>
      </c>
      <c r="B65" s="48" t="s">
        <v>90</v>
      </c>
      <c r="C65" s="70">
        <v>2042</v>
      </c>
      <c r="D65" s="59">
        <v>862</v>
      </c>
      <c r="F65" s="60"/>
      <c r="G65" s="60"/>
    </row>
    <row r="66" spans="1:7" ht="14.25" customHeight="1">
      <c r="A66" s="79">
        <v>20701</v>
      </c>
      <c r="B66" s="48" t="s">
        <v>91</v>
      </c>
      <c r="C66" s="70">
        <v>4659</v>
      </c>
      <c r="D66" s="59">
        <v>1626</v>
      </c>
      <c r="F66" s="60"/>
      <c r="G66" s="60"/>
    </row>
    <row r="67" spans="1:7" ht="14.25" customHeight="1">
      <c r="A67" s="79">
        <v>20702</v>
      </c>
      <c r="B67" s="48" t="s">
        <v>92</v>
      </c>
      <c r="C67" s="70">
        <v>1922</v>
      </c>
      <c r="D67" s="59">
        <v>308</v>
      </c>
      <c r="F67" s="60"/>
      <c r="G67" s="60"/>
    </row>
    <row r="68" spans="1:7" ht="14.25" customHeight="1">
      <c r="A68" s="79">
        <v>20801</v>
      </c>
      <c r="B68" s="48" t="s">
        <v>93</v>
      </c>
      <c r="C68" s="70">
        <v>5473</v>
      </c>
      <c r="D68" s="59">
        <v>1485</v>
      </c>
      <c r="F68" s="60"/>
      <c r="G68" s="60"/>
    </row>
    <row r="69" spans="1:7" ht="14.25" customHeight="1">
      <c r="A69" s="79">
        <v>20802</v>
      </c>
      <c r="B69" s="48" t="s">
        <v>94</v>
      </c>
      <c r="C69" s="70">
        <v>425</v>
      </c>
      <c r="D69" s="59">
        <v>142</v>
      </c>
      <c r="F69" s="60"/>
      <c r="G69" s="60"/>
    </row>
    <row r="70" spans="1:7" ht="14.25" customHeight="1">
      <c r="A70" s="79">
        <v>20803</v>
      </c>
      <c r="B70" s="48" t="s">
        <v>95</v>
      </c>
      <c r="C70" s="70">
        <v>1434</v>
      </c>
      <c r="D70" s="59">
        <v>1029</v>
      </c>
      <c r="F70" s="60"/>
      <c r="G70" s="60"/>
    </row>
    <row r="71" spans="1:7" ht="14.25" customHeight="1">
      <c r="A71" s="79">
        <v>20804</v>
      </c>
      <c r="B71" s="48" t="s">
        <v>96</v>
      </c>
      <c r="C71" s="70">
        <v>192</v>
      </c>
      <c r="D71" s="59">
        <v>63</v>
      </c>
      <c r="F71" s="60"/>
      <c r="G71" s="60"/>
    </row>
    <row r="72" spans="1:7" ht="14.25" customHeight="1">
      <c r="A72" s="79">
        <v>20805</v>
      </c>
      <c r="B72" s="48" t="s">
        <v>97</v>
      </c>
      <c r="C72" s="70">
        <v>1476</v>
      </c>
      <c r="D72" s="59">
        <v>337</v>
      </c>
      <c r="F72" s="60"/>
      <c r="G72" s="60"/>
    </row>
    <row r="73" spans="1:7" ht="14.25" customHeight="1">
      <c r="A73" s="79">
        <v>20806</v>
      </c>
      <c r="B73" s="48" t="s">
        <v>98</v>
      </c>
      <c r="C73" s="70">
        <v>2072</v>
      </c>
      <c r="D73" s="59">
        <v>529</v>
      </c>
      <c r="F73" s="60"/>
      <c r="G73" s="60"/>
    </row>
    <row r="74" spans="1:7" ht="14.25" customHeight="1">
      <c r="A74" s="79">
        <v>20807</v>
      </c>
      <c r="B74" s="48" t="s">
        <v>99</v>
      </c>
      <c r="C74" s="70">
        <v>532</v>
      </c>
      <c r="D74" s="59">
        <v>211</v>
      </c>
      <c r="F74" s="60"/>
      <c r="G74" s="60"/>
    </row>
    <row r="75" spans="1:7" ht="14.25" customHeight="1">
      <c r="A75" s="79">
        <v>20901</v>
      </c>
      <c r="B75" s="48" t="s">
        <v>100</v>
      </c>
      <c r="C75" s="70">
        <v>1068</v>
      </c>
      <c r="D75" s="59">
        <v>293</v>
      </c>
      <c r="F75" s="60"/>
      <c r="G75" s="60"/>
    </row>
    <row r="76" spans="1:7" ht="14.25" customHeight="1">
      <c r="A76" s="79">
        <v>20902</v>
      </c>
      <c r="B76" s="48" t="s">
        <v>101</v>
      </c>
      <c r="C76" s="70">
        <v>2261</v>
      </c>
      <c r="D76" s="59">
        <v>600</v>
      </c>
      <c r="F76" s="60"/>
      <c r="G76" s="60"/>
    </row>
    <row r="77" spans="1:7" ht="14.25" customHeight="1">
      <c r="A77" s="79">
        <v>20903</v>
      </c>
      <c r="B77" s="48" t="s">
        <v>102</v>
      </c>
      <c r="C77" s="70">
        <v>910</v>
      </c>
      <c r="D77" s="59">
        <v>1022</v>
      </c>
      <c r="F77" s="60"/>
      <c r="G77" s="60"/>
    </row>
    <row r="78" spans="1:7" ht="14.25" customHeight="1">
      <c r="A78" s="79">
        <v>20904</v>
      </c>
      <c r="B78" s="48" t="s">
        <v>103</v>
      </c>
      <c r="C78" s="70">
        <v>647</v>
      </c>
      <c r="D78" s="59">
        <v>368</v>
      </c>
      <c r="F78" s="60"/>
      <c r="G78" s="60"/>
    </row>
    <row r="79" spans="1:7" ht="14.25" customHeight="1">
      <c r="A79" s="79">
        <v>20905</v>
      </c>
      <c r="B79" s="48" t="s">
        <v>104</v>
      </c>
      <c r="C79" s="70">
        <v>1209</v>
      </c>
      <c r="D79" s="59">
        <v>643</v>
      </c>
      <c r="F79" s="60"/>
      <c r="G79" s="60"/>
    </row>
    <row r="80" spans="1:7" ht="14.25" customHeight="1">
      <c r="A80" s="79">
        <v>21001</v>
      </c>
      <c r="B80" s="48" t="s">
        <v>105</v>
      </c>
      <c r="C80" s="70">
        <v>5154</v>
      </c>
      <c r="D80" s="59">
        <v>1614</v>
      </c>
      <c r="F80" s="60"/>
      <c r="G80" s="60"/>
    </row>
    <row r="81" spans="1:7" ht="14.25" customHeight="1">
      <c r="A81" s="79">
        <v>21002</v>
      </c>
      <c r="B81" s="48" t="s">
        <v>106</v>
      </c>
      <c r="C81" s="70">
        <v>842</v>
      </c>
      <c r="D81" s="59">
        <v>482</v>
      </c>
      <c r="F81" s="60"/>
      <c r="G81" s="60"/>
    </row>
    <row r="82" spans="1:7" ht="14.25" customHeight="1">
      <c r="A82" s="79">
        <v>21003</v>
      </c>
      <c r="B82" s="48" t="s">
        <v>107</v>
      </c>
      <c r="C82" s="70">
        <v>797</v>
      </c>
      <c r="D82" s="59">
        <v>435</v>
      </c>
      <c r="F82" s="60"/>
      <c r="G82" s="60"/>
    </row>
    <row r="83" spans="1:7" ht="14.25" customHeight="1">
      <c r="A83" s="79">
        <v>21004</v>
      </c>
      <c r="B83" s="48" t="s">
        <v>108</v>
      </c>
      <c r="C83" s="70">
        <v>2387</v>
      </c>
      <c r="D83" s="59">
        <v>994</v>
      </c>
      <c r="F83" s="60"/>
      <c r="G83" s="60"/>
    </row>
    <row r="84" spans="1:7" ht="14.25" customHeight="1">
      <c r="A84" s="79">
        <v>21005</v>
      </c>
      <c r="B84" s="48" t="s">
        <v>109</v>
      </c>
      <c r="C84" s="70">
        <v>2155</v>
      </c>
      <c r="D84" s="59">
        <v>1211</v>
      </c>
      <c r="F84" s="60"/>
      <c r="G84" s="60"/>
    </row>
    <row r="85" spans="1:7" ht="14.25" customHeight="1">
      <c r="A85" s="79">
        <v>21006</v>
      </c>
      <c r="B85" s="48" t="s">
        <v>110</v>
      </c>
      <c r="C85" s="70">
        <v>904</v>
      </c>
      <c r="D85" s="59">
        <v>451</v>
      </c>
      <c r="F85" s="60"/>
      <c r="G85" s="60"/>
    </row>
    <row r="86" spans="1:7" ht="14.25" customHeight="1">
      <c r="A86" s="79">
        <v>21101</v>
      </c>
      <c r="B86" s="48" t="s">
        <v>111</v>
      </c>
      <c r="C86" s="70">
        <v>866</v>
      </c>
      <c r="D86" s="59">
        <v>200</v>
      </c>
      <c r="F86" s="60"/>
      <c r="G86" s="60"/>
    </row>
    <row r="87" spans="1:7" ht="14.25" customHeight="1">
      <c r="A87" s="79">
        <v>21102</v>
      </c>
      <c r="B87" s="48" t="s">
        <v>112</v>
      </c>
      <c r="C87" s="70">
        <v>1834</v>
      </c>
      <c r="D87" s="59">
        <v>678</v>
      </c>
      <c r="F87" s="60"/>
      <c r="G87" s="60"/>
    </row>
    <row r="88" spans="1:7" ht="14.25" customHeight="1">
      <c r="A88" s="79">
        <v>21103</v>
      </c>
      <c r="B88" s="48" t="s">
        <v>113</v>
      </c>
      <c r="C88" s="70">
        <v>388</v>
      </c>
      <c r="D88" s="59">
        <v>71</v>
      </c>
      <c r="F88" s="60"/>
      <c r="G88" s="60"/>
    </row>
    <row r="89" spans="1:7" ht="14.25" customHeight="1">
      <c r="A89" s="79">
        <v>21104</v>
      </c>
      <c r="B89" s="48" t="s">
        <v>114</v>
      </c>
      <c r="C89" s="70">
        <v>3699</v>
      </c>
      <c r="D89" s="59">
        <v>1757</v>
      </c>
      <c r="F89" s="60"/>
      <c r="G89" s="60"/>
    </row>
    <row r="90" spans="1:7" ht="14.25" customHeight="1">
      <c r="A90" s="79">
        <v>21105</v>
      </c>
      <c r="B90" s="48" t="s">
        <v>115</v>
      </c>
      <c r="C90" s="70">
        <v>14245</v>
      </c>
      <c r="D90" s="59">
        <v>2990</v>
      </c>
      <c r="F90" s="60"/>
      <c r="G90" s="60"/>
    </row>
    <row r="91" spans="1:7" ht="14.25" customHeight="1">
      <c r="A91" s="79">
        <v>21201</v>
      </c>
      <c r="B91" s="48" t="s">
        <v>116</v>
      </c>
      <c r="C91" s="70">
        <v>4814</v>
      </c>
      <c r="D91" s="59">
        <v>2079</v>
      </c>
      <c r="F91" s="60"/>
      <c r="G91" s="60"/>
    </row>
    <row r="92" spans="1:7" ht="14.25" customHeight="1">
      <c r="A92" s="79">
        <v>21202</v>
      </c>
      <c r="B92" s="48" t="s">
        <v>117</v>
      </c>
      <c r="C92" s="70">
        <v>3095</v>
      </c>
      <c r="D92" s="59">
        <v>1230</v>
      </c>
      <c r="F92" s="60"/>
      <c r="G92" s="60"/>
    </row>
    <row r="93" spans="1:7" ht="14.25" customHeight="1">
      <c r="A93" s="79">
        <v>21203</v>
      </c>
      <c r="B93" s="48" t="s">
        <v>118</v>
      </c>
      <c r="C93" s="70">
        <v>2059</v>
      </c>
      <c r="D93" s="59">
        <v>718</v>
      </c>
      <c r="F93" s="60"/>
      <c r="G93" s="60"/>
    </row>
    <row r="94" spans="1:7" ht="14.25" customHeight="1">
      <c r="A94" s="79">
        <v>21204</v>
      </c>
      <c r="B94" s="48" t="s">
        <v>119</v>
      </c>
      <c r="C94" s="70">
        <v>449</v>
      </c>
      <c r="D94" s="59">
        <v>290</v>
      </c>
      <c r="F94" s="60"/>
      <c r="G94" s="60"/>
    </row>
    <row r="95" spans="1:7" ht="14.25" customHeight="1">
      <c r="A95" s="79">
        <v>21301</v>
      </c>
      <c r="B95" s="48" t="s">
        <v>120</v>
      </c>
      <c r="C95" s="70">
        <v>4383</v>
      </c>
      <c r="D95" s="59">
        <v>1985</v>
      </c>
      <c r="F95" s="60"/>
      <c r="G95" s="60"/>
    </row>
    <row r="96" spans="1:7" ht="14.25" customHeight="1">
      <c r="A96" s="79">
        <v>21302</v>
      </c>
      <c r="B96" s="48" t="s">
        <v>121</v>
      </c>
      <c r="C96" s="70">
        <v>1469</v>
      </c>
      <c r="D96" s="59">
        <v>389</v>
      </c>
      <c r="F96" s="60"/>
      <c r="G96" s="60"/>
    </row>
    <row r="97" spans="1:7" ht="14.25" customHeight="1">
      <c r="A97" s="79">
        <v>21303</v>
      </c>
      <c r="B97" s="48" t="s">
        <v>122</v>
      </c>
      <c r="C97" s="70">
        <v>1360</v>
      </c>
      <c r="D97" s="59">
        <v>749</v>
      </c>
      <c r="F97" s="60"/>
      <c r="G97" s="60"/>
    </row>
    <row r="98" spans="1:7" ht="14.25" customHeight="1">
      <c r="A98" s="79">
        <v>21304</v>
      </c>
      <c r="B98" s="48" t="s">
        <v>123</v>
      </c>
      <c r="C98" s="70">
        <v>1515</v>
      </c>
      <c r="D98" s="59">
        <v>442</v>
      </c>
      <c r="F98" s="60"/>
      <c r="G98" s="60"/>
    </row>
    <row r="99" spans="1:7" ht="14.25" customHeight="1">
      <c r="A99" s="79">
        <v>21305</v>
      </c>
      <c r="B99" s="48" t="s">
        <v>124</v>
      </c>
      <c r="C99" s="70">
        <v>1907</v>
      </c>
      <c r="D99" s="59">
        <v>604</v>
      </c>
      <c r="F99" s="60"/>
      <c r="G99" s="60"/>
    </row>
    <row r="100" spans="1:7" ht="14.25" customHeight="1">
      <c r="A100" s="79">
        <v>21306</v>
      </c>
      <c r="B100" s="48" t="s">
        <v>125</v>
      </c>
      <c r="C100" s="70">
        <v>1302</v>
      </c>
      <c r="D100" s="59">
        <v>443</v>
      </c>
      <c r="F100" s="60"/>
      <c r="G100" s="60"/>
    </row>
    <row r="101" spans="1:7" ht="14.25" customHeight="1">
      <c r="A101" s="79">
        <v>21307</v>
      </c>
      <c r="B101" s="48" t="s">
        <v>126</v>
      </c>
      <c r="C101" s="70">
        <v>391</v>
      </c>
      <c r="D101" s="59">
        <v>180</v>
      </c>
      <c r="F101" s="60"/>
      <c r="G101" s="60"/>
    </row>
    <row r="102" spans="1:7" ht="14.25" customHeight="1">
      <c r="A102" s="79">
        <v>21401</v>
      </c>
      <c r="B102" s="48" t="s">
        <v>127</v>
      </c>
      <c r="C102" s="70">
        <v>1665</v>
      </c>
      <c r="D102" s="59">
        <v>676</v>
      </c>
      <c r="F102" s="60"/>
      <c r="G102" s="60"/>
    </row>
    <row r="103" spans="1:7" ht="14.25" customHeight="1">
      <c r="A103" s="79">
        <v>21402</v>
      </c>
      <c r="B103" s="48" t="s">
        <v>128</v>
      </c>
      <c r="C103" s="70">
        <v>709</v>
      </c>
      <c r="D103" s="59">
        <v>276</v>
      </c>
      <c r="F103" s="60"/>
      <c r="G103" s="60"/>
    </row>
    <row r="104" spans="1:7" ht="14.25" customHeight="1">
      <c r="A104" s="79">
        <v>21501</v>
      </c>
      <c r="B104" s="48" t="s">
        <v>129</v>
      </c>
      <c r="C104" s="70">
        <v>2817</v>
      </c>
      <c r="D104" s="59">
        <v>1118</v>
      </c>
      <c r="F104" s="60"/>
      <c r="G104" s="60"/>
    </row>
    <row r="105" spans="1:7" ht="14.25" customHeight="1">
      <c r="A105" s="79">
        <v>21502</v>
      </c>
      <c r="B105" s="48" t="s">
        <v>130</v>
      </c>
      <c r="C105" s="70">
        <v>1390</v>
      </c>
      <c r="D105" s="59">
        <v>345</v>
      </c>
      <c r="F105" s="60"/>
      <c r="G105" s="60"/>
    </row>
    <row r="106" spans="1:7" ht="14.25" customHeight="1">
      <c r="A106" s="79">
        <v>21601</v>
      </c>
      <c r="B106" s="48" t="s">
        <v>131</v>
      </c>
      <c r="C106" s="70">
        <v>3158</v>
      </c>
      <c r="D106" s="59">
        <v>1208</v>
      </c>
      <c r="F106" s="60"/>
      <c r="G106" s="60"/>
    </row>
    <row r="107" spans="1:7" ht="14.25" customHeight="1">
      <c r="A107" s="79">
        <v>21602</v>
      </c>
      <c r="B107" s="48" t="s">
        <v>132</v>
      </c>
      <c r="C107" s="70">
        <v>931</v>
      </c>
      <c r="D107" s="59">
        <v>943</v>
      </c>
      <c r="F107" s="60"/>
      <c r="G107" s="60"/>
    </row>
    <row r="108" spans="1:7" ht="14.25" customHeight="1">
      <c r="A108" s="79">
        <v>21701</v>
      </c>
      <c r="B108" s="48" t="s">
        <v>133</v>
      </c>
      <c r="C108" s="70">
        <v>973</v>
      </c>
      <c r="D108" s="59">
        <v>532</v>
      </c>
      <c r="F108" s="60"/>
      <c r="G108" s="60"/>
    </row>
    <row r="109" spans="1:7" ht="14.25" customHeight="1">
      <c r="A109" s="79">
        <v>21702</v>
      </c>
      <c r="B109" s="48" t="s">
        <v>134</v>
      </c>
      <c r="C109" s="70">
        <v>538</v>
      </c>
      <c r="D109" s="59">
        <v>193</v>
      </c>
      <c r="F109" s="60"/>
      <c r="G109" s="60"/>
    </row>
    <row r="110" spans="1:7" ht="14.25" customHeight="1">
      <c r="A110" s="79">
        <v>21703</v>
      </c>
      <c r="B110" s="48" t="s">
        <v>135</v>
      </c>
      <c r="C110" s="70">
        <v>1260</v>
      </c>
      <c r="D110" s="59">
        <v>558</v>
      </c>
      <c r="F110" s="60"/>
      <c r="G110" s="60"/>
    </row>
    <row r="111" spans="1:7" ht="14.25" customHeight="1">
      <c r="A111" s="79">
        <v>21801</v>
      </c>
      <c r="B111" s="48" t="s">
        <v>136</v>
      </c>
      <c r="C111" s="70">
        <v>1757</v>
      </c>
      <c r="D111" s="59">
        <v>503</v>
      </c>
      <c r="F111" s="60"/>
      <c r="G111" s="60"/>
    </row>
    <row r="112" spans="1:7" ht="14.25" customHeight="1">
      <c r="A112" s="79">
        <v>21802</v>
      </c>
      <c r="B112" s="48" t="s">
        <v>137</v>
      </c>
      <c r="C112" s="70">
        <v>972</v>
      </c>
      <c r="D112" s="59">
        <v>176</v>
      </c>
      <c r="F112" s="60"/>
      <c r="G112" s="60"/>
    </row>
    <row r="113" spans="1:7" ht="14.25" customHeight="1">
      <c r="A113" s="79">
        <v>21803</v>
      </c>
      <c r="B113" s="48" t="s">
        <v>138</v>
      </c>
      <c r="C113" s="70">
        <v>406</v>
      </c>
      <c r="D113" s="59">
        <v>92</v>
      </c>
      <c r="F113" s="60"/>
      <c r="G113" s="60"/>
    </row>
    <row r="114" spans="1:7" ht="14.25" customHeight="1">
      <c r="A114" s="79">
        <v>21901</v>
      </c>
      <c r="B114" s="48" t="s">
        <v>139</v>
      </c>
      <c r="C114" s="70">
        <v>700</v>
      </c>
      <c r="D114" s="59">
        <v>275</v>
      </c>
      <c r="F114" s="60"/>
      <c r="G114" s="60"/>
    </row>
    <row r="115" spans="1:7" ht="14.25" customHeight="1">
      <c r="A115" s="79">
        <v>21902</v>
      </c>
      <c r="B115" s="48" t="s">
        <v>140</v>
      </c>
      <c r="C115" s="70">
        <v>462</v>
      </c>
      <c r="D115" s="59">
        <v>294</v>
      </c>
      <c r="F115" s="60"/>
      <c r="G115" s="60"/>
    </row>
    <row r="116" spans="1:7" ht="14.25" customHeight="1">
      <c r="A116" s="79">
        <v>22001</v>
      </c>
      <c r="B116" s="48" t="s">
        <v>141</v>
      </c>
      <c r="C116" s="70">
        <v>8355</v>
      </c>
      <c r="D116" s="59">
        <v>2022</v>
      </c>
      <c r="F116" s="60"/>
      <c r="G116" s="60"/>
    </row>
    <row r="117" spans="1:7" ht="14.25" customHeight="1">
      <c r="A117" s="79">
        <v>22002</v>
      </c>
      <c r="B117" s="48" t="s">
        <v>142</v>
      </c>
      <c r="C117" s="70">
        <v>2712</v>
      </c>
      <c r="D117" s="59">
        <v>741</v>
      </c>
      <c r="F117" s="60"/>
      <c r="G117" s="60"/>
    </row>
    <row r="118" spans="1:7" ht="14.25" customHeight="1">
      <c r="A118" s="79">
        <v>30101</v>
      </c>
      <c r="B118" s="48" t="s">
        <v>16</v>
      </c>
      <c r="C118" s="70">
        <v>39455</v>
      </c>
      <c r="D118" s="59">
        <v>7015</v>
      </c>
      <c r="F118" s="60"/>
      <c r="G118" s="60"/>
    </row>
    <row r="119" spans="1:7" ht="14.25" customHeight="1">
      <c r="A119" s="79">
        <v>30201</v>
      </c>
      <c r="B119" s="48" t="s">
        <v>143</v>
      </c>
      <c r="C119" s="70">
        <v>5192</v>
      </c>
      <c r="D119" s="59">
        <v>1778</v>
      </c>
      <c r="F119" s="60"/>
      <c r="G119" s="60"/>
    </row>
    <row r="120" spans="1:7" ht="14.25" customHeight="1">
      <c r="A120" s="79">
        <v>30202</v>
      </c>
      <c r="B120" s="48" t="s">
        <v>144</v>
      </c>
      <c r="C120" s="70">
        <v>1415</v>
      </c>
      <c r="D120" s="59">
        <v>308</v>
      </c>
      <c r="F120" s="60"/>
      <c r="G120" s="60"/>
    </row>
    <row r="121" spans="1:7" ht="14.25" customHeight="1">
      <c r="A121" s="79">
        <v>30203</v>
      </c>
      <c r="B121" s="48" t="s">
        <v>145</v>
      </c>
      <c r="C121" s="70">
        <v>1013</v>
      </c>
      <c r="D121" s="59">
        <v>212</v>
      </c>
      <c r="F121" s="60"/>
      <c r="G121" s="60"/>
    </row>
    <row r="122" spans="1:7" ht="14.25" customHeight="1">
      <c r="A122" s="79">
        <v>30301</v>
      </c>
      <c r="B122" s="48" t="s">
        <v>146</v>
      </c>
      <c r="C122" s="70">
        <v>7417</v>
      </c>
      <c r="D122" s="59">
        <v>2160</v>
      </c>
      <c r="F122" s="60"/>
      <c r="G122" s="60"/>
    </row>
    <row r="123" spans="1:7" ht="14.25" customHeight="1">
      <c r="A123" s="79">
        <v>30302</v>
      </c>
      <c r="B123" s="48" t="s">
        <v>147</v>
      </c>
      <c r="C123" s="70">
        <v>5183</v>
      </c>
      <c r="D123" s="59">
        <v>1320</v>
      </c>
      <c r="F123" s="60"/>
      <c r="G123" s="60"/>
    </row>
    <row r="124" spans="1:7" ht="14.25" customHeight="1">
      <c r="A124" s="79">
        <v>30303</v>
      </c>
      <c r="B124" s="48" t="s">
        <v>148</v>
      </c>
      <c r="C124" s="70">
        <v>7823</v>
      </c>
      <c r="D124" s="59">
        <v>2947</v>
      </c>
      <c r="F124" s="60"/>
      <c r="G124" s="60"/>
    </row>
    <row r="125" spans="1:7" ht="14.25" customHeight="1">
      <c r="A125" s="79">
        <v>30401</v>
      </c>
      <c r="B125" s="48" t="s">
        <v>149</v>
      </c>
      <c r="C125" s="70">
        <v>1129</v>
      </c>
      <c r="D125" s="59">
        <v>628</v>
      </c>
      <c r="F125" s="60"/>
      <c r="G125" s="60"/>
    </row>
    <row r="126" spans="1:7" ht="14.25" customHeight="1">
      <c r="A126" s="79">
        <v>30402</v>
      </c>
      <c r="B126" s="48" t="s">
        <v>150</v>
      </c>
      <c r="C126" s="70">
        <v>2243</v>
      </c>
      <c r="D126" s="59">
        <v>617</v>
      </c>
      <c r="F126" s="60"/>
      <c r="G126" s="60"/>
    </row>
    <row r="127" spans="1:7" ht="14.25" customHeight="1">
      <c r="A127" s="79">
        <v>30403</v>
      </c>
      <c r="B127" s="48" t="s">
        <v>151</v>
      </c>
      <c r="C127" s="70">
        <v>2077</v>
      </c>
      <c r="D127" s="59">
        <v>2275</v>
      </c>
      <c r="F127" s="60"/>
      <c r="G127" s="60"/>
    </row>
    <row r="128" spans="1:7" ht="14.25" customHeight="1">
      <c r="A128" s="79">
        <v>30404</v>
      </c>
      <c r="B128" s="48" t="s">
        <v>152</v>
      </c>
      <c r="C128" s="70">
        <v>1014</v>
      </c>
      <c r="D128" s="59">
        <v>565</v>
      </c>
      <c r="F128" s="60"/>
      <c r="G128" s="60"/>
    </row>
    <row r="129" spans="1:7" ht="14.25" customHeight="1">
      <c r="A129" s="79">
        <v>30501</v>
      </c>
      <c r="B129" s="48" t="s">
        <v>153</v>
      </c>
      <c r="C129" s="70">
        <v>798</v>
      </c>
      <c r="D129" s="59">
        <v>231</v>
      </c>
      <c r="F129" s="60"/>
      <c r="G129" s="60"/>
    </row>
    <row r="130" spans="1:7" ht="14.25" customHeight="1">
      <c r="A130" s="79">
        <v>30502</v>
      </c>
      <c r="B130" s="48" t="s">
        <v>154</v>
      </c>
      <c r="C130" s="70">
        <v>1409</v>
      </c>
      <c r="D130" s="59">
        <v>465</v>
      </c>
      <c r="F130" s="60"/>
      <c r="G130" s="60"/>
    </row>
    <row r="131" spans="1:7" ht="14.25" customHeight="1">
      <c r="A131" s="79">
        <v>30601</v>
      </c>
      <c r="B131" s="48" t="s">
        <v>155</v>
      </c>
      <c r="C131" s="70">
        <v>4684</v>
      </c>
      <c r="D131" s="59">
        <v>1723</v>
      </c>
      <c r="F131" s="60"/>
      <c r="G131" s="60"/>
    </row>
    <row r="132" spans="1:7" ht="14.25" customHeight="1">
      <c r="A132" s="79">
        <v>30602</v>
      </c>
      <c r="B132" s="48" t="s">
        <v>156</v>
      </c>
      <c r="C132" s="70">
        <v>2659</v>
      </c>
      <c r="D132" s="59">
        <v>678</v>
      </c>
      <c r="F132" s="60"/>
      <c r="G132" s="60"/>
    </row>
    <row r="133" spans="1:7" ht="14.25" customHeight="1">
      <c r="A133" s="79">
        <v>30701</v>
      </c>
      <c r="B133" s="48" t="s">
        <v>157</v>
      </c>
      <c r="C133" s="70">
        <v>2309</v>
      </c>
      <c r="D133" s="59">
        <v>774</v>
      </c>
      <c r="F133" s="60"/>
      <c r="G133" s="60"/>
    </row>
    <row r="134" spans="1:7" ht="14.25" customHeight="1">
      <c r="A134" s="79">
        <v>30702</v>
      </c>
      <c r="B134" s="48" t="s">
        <v>158</v>
      </c>
      <c r="C134" s="70">
        <v>616</v>
      </c>
      <c r="D134" s="59">
        <v>152</v>
      </c>
      <c r="F134" s="60"/>
      <c r="G134" s="60"/>
    </row>
    <row r="135" spans="1:7" ht="14.25" customHeight="1">
      <c r="A135" s="79">
        <v>30703</v>
      </c>
      <c r="B135" s="48" t="s">
        <v>159</v>
      </c>
      <c r="C135" s="70">
        <v>878</v>
      </c>
      <c r="D135" s="59">
        <v>179</v>
      </c>
      <c r="F135" s="60"/>
      <c r="G135" s="60"/>
    </row>
    <row r="136" spans="1:7" ht="14.25" customHeight="1">
      <c r="A136" s="79">
        <v>30801</v>
      </c>
      <c r="B136" s="48" t="s">
        <v>160</v>
      </c>
      <c r="C136" s="70">
        <v>569</v>
      </c>
      <c r="D136" s="59">
        <v>72</v>
      </c>
      <c r="F136" s="60"/>
      <c r="G136" s="60"/>
    </row>
    <row r="137" spans="1:7" ht="14.25" customHeight="1">
      <c r="A137" s="79">
        <v>30802</v>
      </c>
      <c r="B137" s="48" t="s">
        <v>161</v>
      </c>
      <c r="C137" s="70">
        <v>385</v>
      </c>
      <c r="D137" s="59">
        <v>166</v>
      </c>
      <c r="F137" s="60"/>
      <c r="G137" s="60"/>
    </row>
    <row r="138" spans="1:7" ht="14.25" customHeight="1">
      <c r="A138" s="79">
        <v>30803</v>
      </c>
      <c r="B138" s="48" t="s">
        <v>162</v>
      </c>
      <c r="C138" s="70">
        <v>263</v>
      </c>
      <c r="D138" s="59">
        <v>274</v>
      </c>
      <c r="F138" s="60"/>
      <c r="G138" s="60"/>
    </row>
    <row r="139" spans="1:7" ht="14.25" customHeight="1">
      <c r="A139" s="79">
        <v>30901</v>
      </c>
      <c r="B139" s="48" t="s">
        <v>163</v>
      </c>
      <c r="C139" s="70">
        <v>6122</v>
      </c>
      <c r="D139" s="59">
        <v>1149</v>
      </c>
      <c r="F139" s="60"/>
      <c r="G139" s="60"/>
    </row>
    <row r="140" spans="1:7" ht="14.25" customHeight="1">
      <c r="A140" s="79">
        <v>30902</v>
      </c>
      <c r="B140" s="48" t="s">
        <v>164</v>
      </c>
      <c r="C140" s="70">
        <v>4017</v>
      </c>
      <c r="D140" s="59">
        <v>1094</v>
      </c>
      <c r="F140" s="60"/>
      <c r="G140" s="60"/>
    </row>
    <row r="141" spans="1:7" ht="14.25" customHeight="1">
      <c r="A141" s="79">
        <v>30903</v>
      </c>
      <c r="B141" s="48" t="s">
        <v>165</v>
      </c>
      <c r="C141" s="70">
        <v>3999</v>
      </c>
      <c r="D141" s="59">
        <v>537</v>
      </c>
      <c r="F141" s="60"/>
      <c r="G141" s="60"/>
    </row>
    <row r="142" spans="1:7" ht="14.25" customHeight="1">
      <c r="A142" s="79">
        <v>30904</v>
      </c>
      <c r="B142" s="48" t="s">
        <v>166</v>
      </c>
      <c r="C142" s="70">
        <v>3813</v>
      </c>
      <c r="D142" s="59">
        <v>630</v>
      </c>
      <c r="F142" s="60"/>
      <c r="G142" s="60"/>
    </row>
    <row r="143" spans="1:7" ht="14.25" customHeight="1">
      <c r="A143" s="79">
        <v>30905</v>
      </c>
      <c r="B143" s="48" t="s">
        <v>167</v>
      </c>
      <c r="C143" s="70">
        <v>1221</v>
      </c>
      <c r="D143" s="59">
        <v>160</v>
      </c>
      <c r="F143" s="60"/>
      <c r="G143" s="60"/>
    </row>
    <row r="144" spans="1:7" ht="14.25" customHeight="1">
      <c r="A144" s="79">
        <v>31001</v>
      </c>
      <c r="B144" s="48" t="s">
        <v>168</v>
      </c>
      <c r="C144" s="70">
        <v>11071</v>
      </c>
      <c r="D144" s="59">
        <v>2422</v>
      </c>
      <c r="F144" s="60"/>
      <c r="G144" s="60"/>
    </row>
    <row r="145" spans="1:7" ht="14.25" customHeight="1">
      <c r="A145" s="79">
        <v>31002</v>
      </c>
      <c r="B145" s="48" t="s">
        <v>169</v>
      </c>
      <c r="C145" s="70">
        <v>3049</v>
      </c>
      <c r="D145" s="59">
        <v>764</v>
      </c>
      <c r="F145" s="60"/>
      <c r="G145" s="60"/>
    </row>
    <row r="146" spans="1:7" ht="14.25" customHeight="1">
      <c r="A146" s="79">
        <v>31003</v>
      </c>
      <c r="B146" s="48" t="s">
        <v>170</v>
      </c>
      <c r="C146" s="70">
        <v>17890</v>
      </c>
      <c r="D146" s="59">
        <v>4821</v>
      </c>
      <c r="F146" s="60"/>
      <c r="G146" s="60"/>
    </row>
    <row r="147" spans="1:7" ht="14.25" customHeight="1">
      <c r="A147" s="79">
        <v>31101</v>
      </c>
      <c r="B147" s="48" t="s">
        <v>171</v>
      </c>
      <c r="C147" s="70">
        <v>9607</v>
      </c>
      <c r="D147" s="59">
        <v>3621</v>
      </c>
      <c r="F147" s="60"/>
      <c r="G147" s="60"/>
    </row>
    <row r="148" spans="1:7" ht="14.25" customHeight="1">
      <c r="A148" s="79">
        <v>31201</v>
      </c>
      <c r="B148" s="48" t="s">
        <v>172</v>
      </c>
      <c r="C148" s="70">
        <v>5090</v>
      </c>
      <c r="D148" s="59">
        <v>1287</v>
      </c>
      <c r="F148" s="60"/>
      <c r="G148" s="60"/>
    </row>
    <row r="149" spans="1:7" ht="14.25" customHeight="1">
      <c r="A149" s="79">
        <v>31202</v>
      </c>
      <c r="B149" s="48" t="s">
        <v>173</v>
      </c>
      <c r="C149" s="70">
        <v>3636</v>
      </c>
      <c r="D149" s="59">
        <v>1310</v>
      </c>
      <c r="F149" s="60"/>
      <c r="G149" s="60"/>
    </row>
    <row r="150" spans="1:7" ht="14.25" customHeight="1">
      <c r="A150" s="79">
        <v>31203</v>
      </c>
      <c r="B150" s="48" t="s">
        <v>174</v>
      </c>
      <c r="C150" s="70">
        <v>1659</v>
      </c>
      <c r="D150" s="59">
        <v>543</v>
      </c>
      <c r="F150" s="60"/>
      <c r="G150" s="60"/>
    </row>
    <row r="151" spans="1:7" ht="14.25" customHeight="1">
      <c r="A151" s="79">
        <v>31204</v>
      </c>
      <c r="B151" s="48" t="s">
        <v>175</v>
      </c>
      <c r="C151" s="70">
        <v>4955</v>
      </c>
      <c r="D151" s="59">
        <v>1013</v>
      </c>
      <c r="F151" s="60"/>
      <c r="G151" s="60"/>
    </row>
    <row r="152" spans="1:7" ht="14.25" customHeight="1">
      <c r="A152" s="79">
        <v>31205</v>
      </c>
      <c r="B152" s="48" t="s">
        <v>176</v>
      </c>
      <c r="C152" s="70">
        <v>8835</v>
      </c>
      <c r="D152" s="59">
        <v>2403</v>
      </c>
      <c r="F152" s="60"/>
      <c r="G152" s="60"/>
    </row>
    <row r="153" spans="1:7" ht="14.25" customHeight="1">
      <c r="A153" s="79">
        <v>31206</v>
      </c>
      <c r="B153" s="48" t="s">
        <v>177</v>
      </c>
      <c r="C153" s="70">
        <v>5202</v>
      </c>
      <c r="D153" s="59">
        <v>1776</v>
      </c>
      <c r="F153" s="60"/>
      <c r="G153" s="60"/>
    </row>
    <row r="154" spans="1:7" ht="14.25" customHeight="1">
      <c r="A154" s="79">
        <v>31301</v>
      </c>
      <c r="B154" s="48" t="s">
        <v>178</v>
      </c>
      <c r="C154" s="70">
        <v>4614</v>
      </c>
      <c r="D154" s="59">
        <v>1139</v>
      </c>
      <c r="F154" s="60"/>
      <c r="G154" s="60"/>
    </row>
    <row r="155" spans="1:7" ht="14.25" customHeight="1">
      <c r="A155" s="79">
        <v>31302</v>
      </c>
      <c r="B155" s="48" t="s">
        <v>179</v>
      </c>
      <c r="C155" s="70">
        <v>2966</v>
      </c>
      <c r="D155" s="59">
        <v>1182</v>
      </c>
      <c r="F155" s="60"/>
      <c r="G155" s="60"/>
    </row>
    <row r="156" spans="1:7" ht="14.25" customHeight="1">
      <c r="A156" s="79">
        <v>31303</v>
      </c>
      <c r="B156" s="48" t="s">
        <v>180</v>
      </c>
      <c r="C156" s="70">
        <v>1714</v>
      </c>
      <c r="D156" s="59">
        <v>534</v>
      </c>
      <c r="F156" s="60"/>
      <c r="G156" s="60"/>
    </row>
    <row r="157" spans="1:7" ht="14.25" customHeight="1">
      <c r="A157" s="79">
        <v>31304</v>
      </c>
      <c r="B157" s="48" t="s">
        <v>181</v>
      </c>
      <c r="C157" s="70">
        <v>4872</v>
      </c>
      <c r="D157" s="59">
        <v>3322</v>
      </c>
      <c r="F157" s="60"/>
      <c r="G157" s="60"/>
    </row>
    <row r="158" spans="1:7" ht="14.25" customHeight="1">
      <c r="A158" s="79">
        <v>31401</v>
      </c>
      <c r="B158" s="48" t="s">
        <v>182</v>
      </c>
      <c r="C158" s="70">
        <v>907</v>
      </c>
      <c r="D158" s="59">
        <v>362</v>
      </c>
      <c r="F158" s="60"/>
      <c r="G158" s="60"/>
    </row>
    <row r="159" spans="1:7" ht="14.25" customHeight="1">
      <c r="A159" s="79">
        <v>31402</v>
      </c>
      <c r="B159" s="48" t="s">
        <v>183</v>
      </c>
      <c r="C159" s="70">
        <v>362</v>
      </c>
      <c r="D159" s="59">
        <v>126</v>
      </c>
      <c r="F159" s="60"/>
      <c r="G159" s="60"/>
    </row>
    <row r="160" spans="1:7" ht="14.25" customHeight="1">
      <c r="A160" s="79">
        <v>31403</v>
      </c>
      <c r="B160" s="48" t="s">
        <v>184</v>
      </c>
      <c r="C160" s="70">
        <v>691</v>
      </c>
      <c r="D160" s="59">
        <v>138</v>
      </c>
      <c r="F160" s="60"/>
      <c r="G160" s="60"/>
    </row>
    <row r="161" spans="1:7" ht="14.25" customHeight="1">
      <c r="A161" s="79">
        <v>31404</v>
      </c>
      <c r="B161" s="48" t="s">
        <v>185</v>
      </c>
      <c r="C161" s="70">
        <v>118</v>
      </c>
      <c r="D161" s="59">
        <v>27</v>
      </c>
      <c r="F161" s="60"/>
      <c r="G161" s="60"/>
    </row>
    <row r="162" spans="1:7" ht="14.25" customHeight="1">
      <c r="A162" s="79">
        <v>31405</v>
      </c>
      <c r="B162" s="48" t="s">
        <v>186</v>
      </c>
      <c r="C162" s="70">
        <v>400</v>
      </c>
      <c r="D162" s="59">
        <v>256</v>
      </c>
      <c r="F162" s="60"/>
      <c r="G162" s="60"/>
    </row>
    <row r="163" spans="1:7" ht="14.25" customHeight="1">
      <c r="A163" s="79">
        <v>31501</v>
      </c>
      <c r="B163" s="48" t="s">
        <v>187</v>
      </c>
      <c r="C163" s="70">
        <v>1868</v>
      </c>
      <c r="D163" s="59">
        <v>710</v>
      </c>
      <c r="F163" s="60"/>
      <c r="G163" s="60"/>
    </row>
    <row r="164" spans="1:7" ht="14.25" customHeight="1">
      <c r="A164" s="79">
        <v>31601</v>
      </c>
      <c r="B164" s="48" t="s">
        <v>188</v>
      </c>
      <c r="C164" s="70">
        <v>2598</v>
      </c>
      <c r="D164" s="59">
        <v>766</v>
      </c>
      <c r="F164" s="60"/>
      <c r="G164" s="60"/>
    </row>
    <row r="165" spans="1:7" ht="14.25" customHeight="1">
      <c r="A165" s="79">
        <v>31602</v>
      </c>
      <c r="B165" s="48" t="s">
        <v>189</v>
      </c>
      <c r="C165" s="70">
        <v>3323</v>
      </c>
      <c r="D165" s="59">
        <v>756</v>
      </c>
      <c r="F165" s="60"/>
      <c r="G165" s="60"/>
    </row>
    <row r="166" spans="1:7" ht="14.25" customHeight="1">
      <c r="A166" s="79">
        <v>40101</v>
      </c>
      <c r="B166" s="48" t="s">
        <v>18</v>
      </c>
      <c r="C166" s="70">
        <v>5004</v>
      </c>
      <c r="D166" s="59">
        <v>1330</v>
      </c>
      <c r="F166" s="60"/>
      <c r="G166" s="60"/>
    </row>
    <row r="167" spans="1:7" ht="14.25" customHeight="1">
      <c r="A167" s="79">
        <v>40102</v>
      </c>
      <c r="B167" s="48" t="s">
        <v>190</v>
      </c>
      <c r="C167" s="70">
        <v>3526</v>
      </c>
      <c r="D167" s="59">
        <v>676</v>
      </c>
      <c r="F167" s="60"/>
      <c r="G167" s="60"/>
    </row>
    <row r="168" spans="1:7" ht="14.25" customHeight="1">
      <c r="A168" s="79">
        <v>40103</v>
      </c>
      <c r="B168" s="48" t="s">
        <v>191</v>
      </c>
      <c r="C168" s="70">
        <v>2892</v>
      </c>
      <c r="D168" s="59">
        <v>1625</v>
      </c>
      <c r="F168" s="60"/>
      <c r="G168" s="60"/>
    </row>
    <row r="169" spans="1:7" ht="14.25" customHeight="1">
      <c r="A169" s="79">
        <v>40104</v>
      </c>
      <c r="B169" s="48" t="s">
        <v>192</v>
      </c>
      <c r="C169" s="70">
        <v>1651</v>
      </c>
      <c r="D169" s="59">
        <v>506</v>
      </c>
      <c r="F169" s="60"/>
      <c r="G169" s="60"/>
    </row>
    <row r="170" spans="1:7" ht="14.25" customHeight="1">
      <c r="A170" s="79">
        <v>40201</v>
      </c>
      <c r="B170" s="48" t="s">
        <v>193</v>
      </c>
      <c r="C170" s="70">
        <v>3443</v>
      </c>
      <c r="D170" s="59">
        <v>1683</v>
      </c>
      <c r="F170" s="60"/>
      <c r="G170" s="60"/>
    </row>
    <row r="171" spans="1:7" ht="14.25" customHeight="1">
      <c r="A171" s="79">
        <v>40202</v>
      </c>
      <c r="B171" s="48" t="s">
        <v>194</v>
      </c>
      <c r="C171" s="70">
        <v>441</v>
      </c>
      <c r="D171" s="59">
        <v>224</v>
      </c>
      <c r="F171" s="60"/>
      <c r="G171" s="60"/>
    </row>
    <row r="172" spans="1:7" ht="14.25" customHeight="1">
      <c r="A172" s="79">
        <v>40301</v>
      </c>
      <c r="B172" s="48" t="s">
        <v>195</v>
      </c>
      <c r="C172" s="70">
        <v>2207</v>
      </c>
      <c r="D172" s="59">
        <v>1616</v>
      </c>
      <c r="F172" s="60"/>
      <c r="G172" s="60"/>
    </row>
    <row r="173" spans="1:7" ht="14.25" customHeight="1">
      <c r="A173" s="79">
        <v>40302</v>
      </c>
      <c r="B173" s="48" t="s">
        <v>196</v>
      </c>
      <c r="C173" s="70">
        <v>449</v>
      </c>
      <c r="D173" s="59">
        <v>137</v>
      </c>
      <c r="F173" s="60"/>
      <c r="G173" s="60"/>
    </row>
    <row r="174" spans="1:7" ht="14.25" customHeight="1">
      <c r="A174" s="79">
        <v>40401</v>
      </c>
      <c r="B174" s="48" t="s">
        <v>197</v>
      </c>
      <c r="C174" s="70">
        <v>418</v>
      </c>
      <c r="D174" s="59">
        <v>385</v>
      </c>
      <c r="F174" s="60"/>
      <c r="G174" s="60"/>
    </row>
    <row r="175" spans="1:7" ht="14.25" customHeight="1">
      <c r="A175" s="79">
        <v>40402</v>
      </c>
      <c r="B175" s="48" t="s">
        <v>198</v>
      </c>
      <c r="C175" s="70">
        <v>803</v>
      </c>
      <c r="D175" s="59">
        <v>577</v>
      </c>
      <c r="F175" s="60"/>
      <c r="G175" s="60"/>
    </row>
    <row r="176" spans="1:7" ht="14.25" customHeight="1">
      <c r="A176" s="79">
        <v>40501</v>
      </c>
      <c r="B176" s="48" t="s">
        <v>199</v>
      </c>
      <c r="C176" s="70">
        <v>1</v>
      </c>
      <c r="D176" s="59">
        <v>11</v>
      </c>
      <c r="F176" s="60"/>
      <c r="G176" s="60"/>
    </row>
    <row r="177" spans="1:7" ht="14.25" customHeight="1">
      <c r="A177" s="79">
        <v>40502</v>
      </c>
      <c r="B177" s="48" t="s">
        <v>200</v>
      </c>
      <c r="C177" s="70">
        <v>844</v>
      </c>
      <c r="D177" s="59">
        <v>210</v>
      </c>
      <c r="F177" s="60"/>
      <c r="G177" s="60"/>
    </row>
    <row r="178" spans="1:7" ht="14.25" customHeight="1">
      <c r="A178" s="79">
        <v>40503</v>
      </c>
      <c r="B178" s="48" t="s">
        <v>201</v>
      </c>
      <c r="C178" s="70">
        <v>361</v>
      </c>
      <c r="D178" s="59">
        <v>53</v>
      </c>
      <c r="F178" s="60"/>
      <c r="G178" s="60"/>
    </row>
    <row r="179" spans="1:7" ht="14.25" customHeight="1">
      <c r="A179" s="79">
        <v>40504</v>
      </c>
      <c r="B179" s="48" t="s">
        <v>202</v>
      </c>
      <c r="C179" s="70">
        <v>56</v>
      </c>
      <c r="D179" s="59">
        <v>0</v>
      </c>
      <c r="F179" s="60"/>
      <c r="G179" s="60"/>
    </row>
    <row r="180" spans="1:7" ht="14.25" customHeight="1">
      <c r="A180" s="79">
        <v>40505</v>
      </c>
      <c r="B180" s="48" t="s">
        <v>203</v>
      </c>
      <c r="C180" s="70">
        <v>200</v>
      </c>
      <c r="D180" s="59">
        <v>96</v>
      </c>
      <c r="F180" s="60"/>
      <c r="G180" s="60"/>
    </row>
    <row r="181" spans="1:7" ht="14.25" customHeight="1">
      <c r="A181" s="79">
        <v>40601</v>
      </c>
      <c r="B181" s="48" t="s">
        <v>204</v>
      </c>
      <c r="C181" s="70">
        <v>435</v>
      </c>
      <c r="D181" s="59">
        <v>216</v>
      </c>
      <c r="F181" s="60"/>
      <c r="G181" s="60"/>
    </row>
    <row r="182" spans="1:7" ht="14.25" customHeight="1">
      <c r="A182" s="79">
        <v>40602</v>
      </c>
      <c r="B182" s="48" t="s">
        <v>205</v>
      </c>
      <c r="C182" s="70">
        <v>372</v>
      </c>
      <c r="D182" s="59">
        <v>149</v>
      </c>
      <c r="F182" s="60"/>
      <c r="G182" s="60"/>
    </row>
    <row r="183" spans="1:7" ht="14.25" customHeight="1">
      <c r="A183" s="79">
        <v>40603</v>
      </c>
      <c r="B183" s="48" t="s">
        <v>206</v>
      </c>
      <c r="C183" s="70">
        <v>164</v>
      </c>
      <c r="D183" s="59">
        <v>48</v>
      </c>
      <c r="F183" s="60"/>
      <c r="G183" s="60"/>
    </row>
    <row r="184" spans="1:7" ht="14.25" customHeight="1">
      <c r="A184" s="79">
        <v>40701</v>
      </c>
      <c r="B184" s="48" t="s">
        <v>207</v>
      </c>
      <c r="C184" s="70">
        <v>674</v>
      </c>
      <c r="D184" s="59">
        <v>138</v>
      </c>
      <c r="F184" s="60"/>
      <c r="G184" s="60"/>
    </row>
    <row r="185" spans="1:7" ht="14.25" customHeight="1">
      <c r="A185" s="79">
        <v>40702</v>
      </c>
      <c r="B185" s="48" t="s">
        <v>208</v>
      </c>
      <c r="C185" s="70">
        <v>180</v>
      </c>
      <c r="D185" s="59">
        <v>79</v>
      </c>
      <c r="F185" s="60"/>
      <c r="G185" s="60"/>
    </row>
    <row r="186" spans="1:7" ht="14.25" customHeight="1">
      <c r="A186" s="79">
        <v>40801</v>
      </c>
      <c r="B186" s="48" t="s">
        <v>209</v>
      </c>
      <c r="C186" s="70">
        <v>1263</v>
      </c>
      <c r="D186" s="59">
        <v>563</v>
      </c>
      <c r="F186" s="60"/>
      <c r="G186" s="60"/>
    </row>
    <row r="187" spans="1:7" ht="14.25" customHeight="1">
      <c r="A187" s="79">
        <v>40802</v>
      </c>
      <c r="B187" s="48" t="s">
        <v>210</v>
      </c>
      <c r="C187" s="70">
        <v>434</v>
      </c>
      <c r="D187" s="59">
        <v>143</v>
      </c>
      <c r="F187" s="60"/>
      <c r="G187" s="60"/>
    </row>
    <row r="188" spans="1:7" ht="14.25" customHeight="1">
      <c r="A188" s="79">
        <v>40901</v>
      </c>
      <c r="B188" s="48" t="s">
        <v>211</v>
      </c>
      <c r="C188" s="70">
        <v>710</v>
      </c>
      <c r="D188" s="59">
        <v>362</v>
      </c>
      <c r="F188" s="60"/>
      <c r="G188" s="60"/>
    </row>
    <row r="189" spans="1:7" ht="14.25" customHeight="1">
      <c r="A189" s="79">
        <v>40902</v>
      </c>
      <c r="B189" s="48" t="s">
        <v>212</v>
      </c>
      <c r="C189" s="70">
        <v>114</v>
      </c>
      <c r="D189" s="59">
        <v>76</v>
      </c>
      <c r="F189" s="60"/>
      <c r="G189" s="60"/>
    </row>
    <row r="190" spans="1:7" ht="14.25" customHeight="1">
      <c r="A190" s="79">
        <v>40903</v>
      </c>
      <c r="B190" s="48" t="s">
        <v>213</v>
      </c>
      <c r="C190" s="70">
        <v>339</v>
      </c>
      <c r="D190" s="59">
        <v>311</v>
      </c>
      <c r="F190" s="60"/>
      <c r="G190" s="60"/>
    </row>
    <row r="191" spans="1:7" ht="14.25" customHeight="1">
      <c r="A191" s="79">
        <v>41001</v>
      </c>
      <c r="B191" s="48" t="s">
        <v>214</v>
      </c>
      <c r="C191" s="70">
        <v>2115</v>
      </c>
      <c r="D191" s="59">
        <v>888</v>
      </c>
      <c r="F191" s="60"/>
      <c r="G191" s="60"/>
    </row>
    <row r="192" spans="1:7" ht="14.25" customHeight="1">
      <c r="A192" s="79">
        <v>41101</v>
      </c>
      <c r="B192" s="48" t="s">
        <v>215</v>
      </c>
      <c r="C192" s="70">
        <v>465</v>
      </c>
      <c r="D192" s="59">
        <v>136</v>
      </c>
      <c r="F192" s="60"/>
      <c r="G192" s="60"/>
    </row>
    <row r="193" spans="1:7" ht="14.25" customHeight="1">
      <c r="A193" s="79">
        <v>41201</v>
      </c>
      <c r="B193" s="48" t="s">
        <v>216</v>
      </c>
      <c r="C193" s="70">
        <v>881</v>
      </c>
      <c r="D193" s="59">
        <v>597</v>
      </c>
      <c r="F193" s="60"/>
      <c r="G193" s="60"/>
    </row>
    <row r="194" spans="1:7" ht="14.25" customHeight="1">
      <c r="A194" s="79">
        <v>41202</v>
      </c>
      <c r="B194" s="48" t="s">
        <v>217</v>
      </c>
      <c r="C194" s="70">
        <v>192</v>
      </c>
      <c r="D194" s="59">
        <v>142</v>
      </c>
      <c r="F194" s="60"/>
      <c r="G194" s="60"/>
    </row>
    <row r="195" spans="1:7" ht="14.25" customHeight="1">
      <c r="A195" s="79">
        <v>41301</v>
      </c>
      <c r="B195" s="48" t="s">
        <v>172</v>
      </c>
      <c r="C195" s="70">
        <v>1133</v>
      </c>
      <c r="D195" s="59">
        <v>700</v>
      </c>
      <c r="F195" s="60"/>
      <c r="G195" s="60"/>
    </row>
    <row r="196" spans="1:7" ht="14.25" customHeight="1">
      <c r="A196" s="79">
        <v>41401</v>
      </c>
      <c r="B196" s="48" t="s">
        <v>218</v>
      </c>
      <c r="C196" s="70">
        <v>2292</v>
      </c>
      <c r="D196" s="59">
        <v>825</v>
      </c>
      <c r="F196" s="60"/>
      <c r="G196" s="60"/>
    </row>
    <row r="197" spans="1:7" ht="14.25" customHeight="1">
      <c r="A197" s="79">
        <v>41501</v>
      </c>
      <c r="B197" s="48" t="s">
        <v>219</v>
      </c>
      <c r="C197" s="70">
        <v>95</v>
      </c>
      <c r="D197" s="59">
        <v>168</v>
      </c>
      <c r="F197" s="60"/>
      <c r="G197" s="60"/>
    </row>
    <row r="198" spans="1:7" ht="14.25" customHeight="1">
      <c r="A198" s="79">
        <v>41502</v>
      </c>
      <c r="B198" s="48" t="s">
        <v>220</v>
      </c>
      <c r="C198" s="70">
        <v>142</v>
      </c>
      <c r="D198" s="59">
        <v>43</v>
      </c>
      <c r="F198" s="60"/>
      <c r="G198" s="60"/>
    </row>
    <row r="199" spans="1:7" ht="14.25" customHeight="1">
      <c r="A199" s="79">
        <v>41503</v>
      </c>
      <c r="B199" s="48" t="s">
        <v>221</v>
      </c>
      <c r="C199" s="70">
        <v>224</v>
      </c>
      <c r="D199" s="59">
        <v>60</v>
      </c>
      <c r="F199" s="60"/>
      <c r="G199" s="60"/>
    </row>
    <row r="200" spans="1:7" ht="14.25" customHeight="1">
      <c r="A200" s="79">
        <v>41601</v>
      </c>
      <c r="B200" s="48" t="s">
        <v>222</v>
      </c>
      <c r="C200" s="70">
        <v>1164</v>
      </c>
      <c r="D200" s="59">
        <v>458</v>
      </c>
      <c r="F200" s="60"/>
      <c r="G200" s="60"/>
    </row>
    <row r="201" spans="1:7" ht="14.25" customHeight="1">
      <c r="A201" s="79">
        <v>50101</v>
      </c>
      <c r="B201" s="48" t="s">
        <v>20</v>
      </c>
      <c r="C201" s="70">
        <v>5146</v>
      </c>
      <c r="D201" s="59">
        <v>1720</v>
      </c>
      <c r="F201" s="60"/>
      <c r="G201" s="60"/>
    </row>
    <row r="202" spans="1:7" ht="14.25" customHeight="1">
      <c r="A202" s="79">
        <v>50102</v>
      </c>
      <c r="B202" s="48" t="s">
        <v>223</v>
      </c>
      <c r="C202" s="70">
        <v>13625</v>
      </c>
      <c r="D202" s="59">
        <v>3689</v>
      </c>
      <c r="F202" s="60"/>
      <c r="G202" s="60"/>
    </row>
    <row r="203" spans="1:7" ht="14.25" customHeight="1">
      <c r="A203" s="79">
        <v>50103</v>
      </c>
      <c r="B203" s="48" t="s">
        <v>224</v>
      </c>
      <c r="C203" s="70">
        <v>624</v>
      </c>
      <c r="D203" s="59">
        <v>215</v>
      </c>
      <c r="F203" s="60"/>
      <c r="G203" s="60"/>
    </row>
    <row r="204" spans="1:7" ht="14.25" customHeight="1">
      <c r="A204" s="79">
        <v>50104</v>
      </c>
      <c r="B204" s="48" t="s">
        <v>225</v>
      </c>
      <c r="C204" s="70">
        <v>526</v>
      </c>
      <c r="D204" s="59">
        <v>369</v>
      </c>
      <c r="F204" s="60"/>
      <c r="G204" s="60"/>
    </row>
    <row r="205" spans="1:7" ht="14.25" customHeight="1">
      <c r="A205" s="79">
        <v>50201</v>
      </c>
      <c r="B205" s="48" t="s">
        <v>226</v>
      </c>
      <c r="C205" s="70">
        <v>2917</v>
      </c>
      <c r="D205" s="59">
        <v>1029</v>
      </c>
      <c r="F205" s="60"/>
      <c r="G205" s="60"/>
    </row>
    <row r="206" spans="1:7" ht="14.25" customHeight="1">
      <c r="A206" s="79">
        <v>50202</v>
      </c>
      <c r="B206" s="48" t="s">
        <v>227</v>
      </c>
      <c r="C206" s="70">
        <v>2336</v>
      </c>
      <c r="D206" s="59">
        <v>608</v>
      </c>
      <c r="F206" s="60"/>
      <c r="G206" s="60"/>
    </row>
    <row r="207" spans="1:7" ht="14.25" customHeight="1">
      <c r="A207" s="79">
        <v>50203</v>
      </c>
      <c r="B207" s="48" t="s">
        <v>228</v>
      </c>
      <c r="C207" s="70">
        <v>2438</v>
      </c>
      <c r="D207" s="59">
        <v>787</v>
      </c>
      <c r="F207" s="60"/>
      <c r="G207" s="60"/>
    </row>
    <row r="208" spans="1:7" ht="14.25" customHeight="1">
      <c r="A208" s="79">
        <v>50204</v>
      </c>
      <c r="B208" s="48" t="s">
        <v>229</v>
      </c>
      <c r="C208" s="70">
        <v>2227</v>
      </c>
      <c r="D208" s="59">
        <v>669</v>
      </c>
      <c r="F208" s="60"/>
      <c r="G208" s="60"/>
    </row>
    <row r="209" spans="1:7" ht="14.25" customHeight="1">
      <c r="A209" s="79">
        <v>50301</v>
      </c>
      <c r="B209" s="48" t="s">
        <v>230</v>
      </c>
      <c r="C209" s="70">
        <v>7818</v>
      </c>
      <c r="D209" s="59">
        <v>2141</v>
      </c>
      <c r="F209" s="60"/>
      <c r="G209" s="60"/>
    </row>
    <row r="210" spans="1:7" ht="14.25" customHeight="1">
      <c r="A210" s="79">
        <v>50302</v>
      </c>
      <c r="B210" s="48" t="s">
        <v>231</v>
      </c>
      <c r="C210" s="70">
        <v>1579</v>
      </c>
      <c r="D210" s="59">
        <v>610</v>
      </c>
      <c r="F210" s="60"/>
      <c r="G210" s="60"/>
    </row>
    <row r="211" spans="1:7" ht="14.25" customHeight="1">
      <c r="A211" s="79">
        <v>50303</v>
      </c>
      <c r="B211" s="48" t="s">
        <v>232</v>
      </c>
      <c r="C211" s="70">
        <v>5793</v>
      </c>
      <c r="D211" s="59">
        <v>2342</v>
      </c>
      <c r="F211" s="60"/>
      <c r="G211" s="60"/>
    </row>
    <row r="212" spans="1:7" ht="14.25" customHeight="1">
      <c r="A212" s="79">
        <v>50401</v>
      </c>
      <c r="B212" s="48" t="s">
        <v>233</v>
      </c>
      <c r="C212" s="70">
        <v>6281</v>
      </c>
      <c r="D212" s="59">
        <v>2415</v>
      </c>
      <c r="F212" s="60"/>
      <c r="G212" s="60"/>
    </row>
    <row r="213" spans="1:7" ht="14.25" customHeight="1">
      <c r="A213" s="79">
        <v>50402</v>
      </c>
      <c r="B213" s="48" t="s">
        <v>234</v>
      </c>
      <c r="C213" s="70">
        <v>9980</v>
      </c>
      <c r="D213" s="59">
        <v>2591</v>
      </c>
      <c r="F213" s="60"/>
      <c r="G213" s="60"/>
    </row>
    <row r="214" spans="1:7" ht="14.25" customHeight="1">
      <c r="A214" s="79">
        <v>50403</v>
      </c>
      <c r="B214" s="48" t="s">
        <v>235</v>
      </c>
      <c r="C214" s="70">
        <v>7522</v>
      </c>
      <c r="D214" s="59">
        <v>3145</v>
      </c>
      <c r="F214" s="60"/>
      <c r="G214" s="60"/>
    </row>
    <row r="215" spans="1:7" ht="14.25" customHeight="1">
      <c r="A215" s="79">
        <v>50404</v>
      </c>
      <c r="B215" s="48" t="s">
        <v>236</v>
      </c>
      <c r="C215" s="70">
        <v>8106</v>
      </c>
      <c r="D215" s="59">
        <v>2068</v>
      </c>
      <c r="F215" s="60"/>
      <c r="G215" s="60"/>
    </row>
    <row r="216" spans="1:7" ht="14.25" customHeight="1">
      <c r="A216" s="79">
        <v>50405</v>
      </c>
      <c r="B216" s="48" t="s">
        <v>237</v>
      </c>
      <c r="C216" s="70">
        <v>7473</v>
      </c>
      <c r="D216" s="59">
        <v>2383</v>
      </c>
      <c r="F216" s="60"/>
      <c r="G216" s="60"/>
    </row>
    <row r="217" spans="1:7" ht="14.25" customHeight="1">
      <c r="A217" s="79">
        <v>50501</v>
      </c>
      <c r="B217" s="48" t="s">
        <v>238</v>
      </c>
      <c r="C217" s="70">
        <v>16769</v>
      </c>
      <c r="D217" s="59">
        <v>7364</v>
      </c>
      <c r="F217" s="60"/>
      <c r="G217" s="60"/>
    </row>
    <row r="218" spans="1:7" ht="14.25" customHeight="1">
      <c r="A218" s="79">
        <v>50502</v>
      </c>
      <c r="B218" s="48" t="s">
        <v>239</v>
      </c>
      <c r="C218" s="70">
        <v>4478</v>
      </c>
      <c r="D218" s="59">
        <v>2065</v>
      </c>
      <c r="F218" s="60"/>
      <c r="G218" s="60"/>
    </row>
    <row r="219" spans="1:7" ht="14.25" customHeight="1">
      <c r="A219" s="79">
        <v>50601</v>
      </c>
      <c r="B219" s="48" t="s">
        <v>240</v>
      </c>
      <c r="C219" s="70">
        <v>5550</v>
      </c>
      <c r="D219" s="59">
        <v>1874</v>
      </c>
      <c r="F219" s="60"/>
      <c r="G219" s="60"/>
    </row>
    <row r="220" spans="1:7" ht="14.25" customHeight="1">
      <c r="A220" s="79">
        <v>50602</v>
      </c>
      <c r="B220" s="48" t="s">
        <v>241</v>
      </c>
      <c r="C220" s="70">
        <v>1453</v>
      </c>
      <c r="D220" s="59">
        <v>485</v>
      </c>
      <c r="F220" s="60"/>
      <c r="G220" s="60"/>
    </row>
    <row r="221" spans="1:7" ht="14.25" customHeight="1">
      <c r="A221" s="79">
        <v>50701</v>
      </c>
      <c r="B221" s="48" t="s">
        <v>242</v>
      </c>
      <c r="C221" s="70">
        <v>5867</v>
      </c>
      <c r="D221" s="59">
        <v>1264</v>
      </c>
      <c r="F221" s="60"/>
      <c r="G221" s="60"/>
    </row>
    <row r="222" spans="1:7" ht="14.25" customHeight="1">
      <c r="A222" s="79">
        <v>50702</v>
      </c>
      <c r="B222" s="48" t="s">
        <v>243</v>
      </c>
      <c r="C222" s="70">
        <v>1766</v>
      </c>
      <c r="D222" s="59">
        <v>570</v>
      </c>
      <c r="F222" s="60"/>
      <c r="G222" s="60"/>
    </row>
    <row r="223" spans="1:7" ht="14.25" customHeight="1">
      <c r="A223" s="79">
        <v>50801</v>
      </c>
      <c r="B223" s="48" t="s">
        <v>244</v>
      </c>
      <c r="C223" s="70">
        <v>4058</v>
      </c>
      <c r="D223" s="59">
        <v>761</v>
      </c>
      <c r="F223" s="60"/>
      <c r="G223" s="60"/>
    </row>
    <row r="224" spans="1:7" ht="14.25" customHeight="1">
      <c r="A224" s="79">
        <v>50802</v>
      </c>
      <c r="B224" s="48" t="s">
        <v>245</v>
      </c>
      <c r="C224" s="70">
        <v>359</v>
      </c>
      <c r="D224" s="59">
        <v>134</v>
      </c>
      <c r="F224" s="60"/>
      <c r="G224" s="60"/>
    </row>
    <row r="225" spans="1:7" ht="14.25" customHeight="1">
      <c r="A225" s="79">
        <v>50901</v>
      </c>
      <c r="B225" s="48" t="s">
        <v>246</v>
      </c>
      <c r="C225" s="70">
        <v>1577</v>
      </c>
      <c r="D225" s="59">
        <v>226</v>
      </c>
      <c r="F225" s="60"/>
      <c r="G225" s="60"/>
    </row>
    <row r="226" spans="1:7" ht="14.25" customHeight="1">
      <c r="A226" s="79">
        <v>50902</v>
      </c>
      <c r="B226" s="48" t="s">
        <v>247</v>
      </c>
      <c r="C226" s="70">
        <v>67</v>
      </c>
      <c r="D226" s="59">
        <v>43</v>
      </c>
      <c r="F226" s="60"/>
      <c r="G226" s="60"/>
    </row>
    <row r="227" spans="1:7" ht="14.25" customHeight="1">
      <c r="A227" s="79">
        <v>51001</v>
      </c>
      <c r="B227" s="48" t="s">
        <v>248</v>
      </c>
      <c r="C227" s="70">
        <v>493</v>
      </c>
      <c r="D227" s="59">
        <v>195</v>
      </c>
      <c r="F227" s="60"/>
      <c r="G227" s="60"/>
    </row>
    <row r="228" spans="1:7" ht="14.25" customHeight="1">
      <c r="A228" s="79">
        <v>51002</v>
      </c>
      <c r="B228" s="48" t="s">
        <v>249</v>
      </c>
      <c r="C228" s="70">
        <v>447</v>
      </c>
      <c r="D228" s="59">
        <v>134</v>
      </c>
      <c r="F228" s="60"/>
      <c r="G228" s="60"/>
    </row>
    <row r="229" spans="1:7" ht="14.25" customHeight="1">
      <c r="A229" s="79">
        <v>51003</v>
      </c>
      <c r="B229" s="48" t="s">
        <v>250</v>
      </c>
      <c r="C229" s="70">
        <v>372</v>
      </c>
      <c r="D229" s="59">
        <v>214</v>
      </c>
      <c r="F229" s="60"/>
      <c r="G229" s="60"/>
    </row>
    <row r="230" spans="1:7" ht="14.25" customHeight="1">
      <c r="A230" s="79">
        <v>51101</v>
      </c>
      <c r="B230" s="48" t="s">
        <v>251</v>
      </c>
      <c r="C230" s="70">
        <v>3209</v>
      </c>
      <c r="D230" s="59">
        <v>673</v>
      </c>
      <c r="F230" s="60"/>
      <c r="G230" s="60"/>
    </row>
    <row r="231" spans="1:7" ht="14.25" customHeight="1">
      <c r="A231" s="79">
        <v>51102</v>
      </c>
      <c r="B231" s="48" t="s">
        <v>252</v>
      </c>
      <c r="C231" s="70">
        <v>1276</v>
      </c>
      <c r="D231" s="59">
        <v>612</v>
      </c>
      <c r="F231" s="60"/>
      <c r="G231" s="60"/>
    </row>
    <row r="232" spans="1:7" ht="14.25" customHeight="1">
      <c r="A232" s="79">
        <v>51103</v>
      </c>
      <c r="B232" s="48" t="s">
        <v>253</v>
      </c>
      <c r="C232" s="70">
        <v>7996</v>
      </c>
      <c r="D232" s="59">
        <v>2924</v>
      </c>
      <c r="F232" s="60"/>
      <c r="G232" s="60"/>
    </row>
    <row r="233" spans="1:7" ht="14.25" customHeight="1">
      <c r="A233" s="79">
        <v>51201</v>
      </c>
      <c r="B233" s="48" t="s">
        <v>254</v>
      </c>
      <c r="C233" s="70">
        <v>3262</v>
      </c>
      <c r="D233" s="59">
        <v>553</v>
      </c>
      <c r="F233" s="60"/>
      <c r="G233" s="60"/>
    </row>
    <row r="234" spans="1:7" ht="14.25" customHeight="1">
      <c r="A234" s="79">
        <v>51202</v>
      </c>
      <c r="B234" s="48" t="s">
        <v>255</v>
      </c>
      <c r="C234" s="70">
        <v>1606</v>
      </c>
      <c r="D234" s="59">
        <v>413</v>
      </c>
      <c r="F234" s="60"/>
      <c r="G234" s="60"/>
    </row>
    <row r="235" spans="1:7" ht="14.25" customHeight="1">
      <c r="A235" s="79">
        <v>51203</v>
      </c>
      <c r="B235" s="48" t="s">
        <v>256</v>
      </c>
      <c r="C235" s="70">
        <v>1035</v>
      </c>
      <c r="D235" s="59">
        <v>271</v>
      </c>
      <c r="F235" s="60"/>
      <c r="G235" s="60"/>
    </row>
    <row r="236" spans="1:7" ht="14.25" customHeight="1">
      <c r="A236" s="79">
        <v>51204</v>
      </c>
      <c r="B236" s="48" t="s">
        <v>257</v>
      </c>
      <c r="C236" s="70">
        <v>1335</v>
      </c>
      <c r="D236" s="59">
        <v>438</v>
      </c>
      <c r="F236" s="60"/>
      <c r="G236" s="60"/>
    </row>
    <row r="237" spans="1:7" ht="14.25" customHeight="1">
      <c r="A237" s="79">
        <v>51301</v>
      </c>
      <c r="B237" s="48" t="s">
        <v>258</v>
      </c>
      <c r="C237" s="70">
        <v>1503</v>
      </c>
      <c r="D237" s="59">
        <v>336</v>
      </c>
      <c r="F237" s="60"/>
      <c r="G237" s="60"/>
    </row>
    <row r="238" spans="1:7" ht="14.25" customHeight="1">
      <c r="A238" s="79">
        <v>51302</v>
      </c>
      <c r="B238" s="48" t="s">
        <v>259</v>
      </c>
      <c r="C238" s="70">
        <v>1550</v>
      </c>
      <c r="D238" s="59">
        <v>398</v>
      </c>
      <c r="F238" s="60"/>
      <c r="G238" s="60"/>
    </row>
    <row r="239" spans="1:7" ht="14.25" customHeight="1">
      <c r="A239" s="79">
        <v>51401</v>
      </c>
      <c r="B239" s="48" t="s">
        <v>260</v>
      </c>
      <c r="C239" s="70">
        <v>446</v>
      </c>
      <c r="D239" s="59">
        <v>27</v>
      </c>
      <c r="F239" s="60"/>
      <c r="G239" s="60"/>
    </row>
    <row r="240" spans="1:7" ht="14.25" customHeight="1">
      <c r="A240" s="79">
        <v>51402</v>
      </c>
      <c r="B240" s="48" t="s">
        <v>261</v>
      </c>
      <c r="C240" s="70">
        <v>112</v>
      </c>
      <c r="D240" s="59">
        <v>92</v>
      </c>
      <c r="F240" s="60"/>
      <c r="G240" s="60"/>
    </row>
    <row r="241" spans="1:7" ht="14.25" customHeight="1">
      <c r="A241" s="79">
        <v>51501</v>
      </c>
      <c r="B241" s="48" t="s">
        <v>262</v>
      </c>
      <c r="C241" s="70">
        <v>3933</v>
      </c>
      <c r="D241" s="59">
        <v>867</v>
      </c>
      <c r="F241" s="60"/>
      <c r="G241" s="60"/>
    </row>
    <row r="242" spans="1:7" ht="14.25" customHeight="1">
      <c r="A242" s="79">
        <v>51601</v>
      </c>
      <c r="B242" s="48" t="s">
        <v>263</v>
      </c>
      <c r="C242" s="70">
        <v>290</v>
      </c>
      <c r="D242" s="59">
        <v>28</v>
      </c>
      <c r="F242" s="60"/>
      <c r="G242" s="60"/>
    </row>
    <row r="243" spans="1:7" ht="14.25" customHeight="1">
      <c r="A243" s="79">
        <v>60101</v>
      </c>
      <c r="B243" s="48" t="s">
        <v>22</v>
      </c>
      <c r="C243" s="70">
        <v>5366</v>
      </c>
      <c r="D243" s="59">
        <v>1517</v>
      </c>
      <c r="F243" s="60"/>
      <c r="G243" s="60"/>
    </row>
    <row r="244" spans="1:7" ht="14.25" customHeight="1">
      <c r="A244" s="79">
        <v>60201</v>
      </c>
      <c r="B244" s="48" t="s">
        <v>264</v>
      </c>
      <c r="C244" s="70">
        <v>1828</v>
      </c>
      <c r="D244" s="59">
        <v>596</v>
      </c>
      <c r="F244" s="60"/>
      <c r="G244" s="60"/>
    </row>
    <row r="245" spans="1:7" ht="14.25" customHeight="1">
      <c r="A245" s="79">
        <v>60202</v>
      </c>
      <c r="B245" s="48" t="s">
        <v>265</v>
      </c>
      <c r="C245" s="70">
        <v>1154</v>
      </c>
      <c r="D245" s="59">
        <v>241</v>
      </c>
      <c r="F245" s="60"/>
      <c r="G245" s="60"/>
    </row>
    <row r="246" spans="1:7" ht="14.25" customHeight="1">
      <c r="A246" s="79">
        <v>60301</v>
      </c>
      <c r="B246" s="48" t="s">
        <v>266</v>
      </c>
      <c r="C246" s="70">
        <v>4657</v>
      </c>
      <c r="D246" s="59">
        <v>1272</v>
      </c>
      <c r="F246" s="60"/>
      <c r="G246" s="60"/>
    </row>
    <row r="247" spans="1:7" ht="14.25" customHeight="1">
      <c r="A247" s="79">
        <v>60302</v>
      </c>
      <c r="B247" s="48" t="s">
        <v>267</v>
      </c>
      <c r="C247" s="70">
        <v>653</v>
      </c>
      <c r="D247" s="59">
        <v>178</v>
      </c>
      <c r="F247" s="60"/>
      <c r="G247" s="60"/>
    </row>
    <row r="248" spans="1:7" ht="14.25" customHeight="1">
      <c r="A248" s="79">
        <v>60303</v>
      </c>
      <c r="B248" s="48" t="s">
        <v>268</v>
      </c>
      <c r="C248" s="70">
        <v>3180</v>
      </c>
      <c r="D248" s="59">
        <v>773</v>
      </c>
      <c r="F248" s="60"/>
      <c r="G248" s="60"/>
    </row>
    <row r="249" spans="1:7" ht="14.25" customHeight="1">
      <c r="A249" s="79">
        <v>60401</v>
      </c>
      <c r="B249" s="48" t="s">
        <v>269</v>
      </c>
      <c r="C249" s="70">
        <v>1502</v>
      </c>
      <c r="D249" s="59">
        <v>325</v>
      </c>
      <c r="F249" s="60"/>
      <c r="G249" s="60"/>
    </row>
    <row r="250" spans="1:7" ht="14.25" customHeight="1">
      <c r="A250" s="79">
        <v>60402</v>
      </c>
      <c r="B250" s="48" t="s">
        <v>270</v>
      </c>
      <c r="C250" s="70">
        <v>684</v>
      </c>
      <c r="D250" s="59">
        <v>195</v>
      </c>
      <c r="F250" s="60"/>
      <c r="G250" s="60"/>
    </row>
    <row r="251" spans="1:7" ht="14.25" customHeight="1">
      <c r="A251" s="79">
        <v>60501</v>
      </c>
      <c r="B251" s="48" t="s">
        <v>271</v>
      </c>
      <c r="C251" s="70">
        <v>2688</v>
      </c>
      <c r="D251" s="59">
        <v>949</v>
      </c>
      <c r="F251" s="60"/>
      <c r="G251" s="60"/>
    </row>
    <row r="252" spans="1:7" ht="14.25" customHeight="1">
      <c r="A252" s="79">
        <v>60502</v>
      </c>
      <c r="B252" s="48" t="s">
        <v>272</v>
      </c>
      <c r="C252" s="70">
        <v>1291</v>
      </c>
      <c r="D252" s="59">
        <v>174</v>
      </c>
      <c r="F252" s="60"/>
      <c r="G252" s="60"/>
    </row>
    <row r="253" spans="1:7" ht="14.25" customHeight="1">
      <c r="A253" s="79">
        <v>60601</v>
      </c>
      <c r="B253" s="48" t="s">
        <v>177</v>
      </c>
      <c r="C253" s="70">
        <v>3311</v>
      </c>
      <c r="D253" s="59">
        <v>871</v>
      </c>
      <c r="F253" s="60"/>
      <c r="G253" s="60"/>
    </row>
    <row r="254" spans="1:7" ht="14.25" customHeight="1">
      <c r="A254" s="79">
        <v>70101</v>
      </c>
      <c r="B254" s="48" t="s">
        <v>273</v>
      </c>
      <c r="C254" s="70">
        <v>47042</v>
      </c>
      <c r="D254" s="59">
        <v>4360</v>
      </c>
      <c r="F254" s="60"/>
      <c r="G254" s="60"/>
    </row>
    <row r="255" spans="1:7" ht="14.25" customHeight="1">
      <c r="A255" s="79">
        <v>70102</v>
      </c>
      <c r="B255" s="48" t="s">
        <v>274</v>
      </c>
      <c r="C255" s="70">
        <v>3579</v>
      </c>
      <c r="D255" s="59">
        <v>1195</v>
      </c>
      <c r="F255" s="60"/>
      <c r="G255" s="60"/>
    </row>
    <row r="256" spans="1:7" ht="14.25" customHeight="1">
      <c r="A256" s="79">
        <v>70103</v>
      </c>
      <c r="B256" s="48" t="s">
        <v>275</v>
      </c>
      <c r="C256" s="70">
        <v>1525</v>
      </c>
      <c r="D256" s="59">
        <v>206</v>
      </c>
      <c r="F256" s="60"/>
      <c r="G256" s="60"/>
    </row>
    <row r="257" spans="1:7" ht="14.25" customHeight="1">
      <c r="A257" s="79">
        <v>70104</v>
      </c>
      <c r="B257" s="48" t="s">
        <v>276</v>
      </c>
      <c r="C257" s="70">
        <v>5702</v>
      </c>
      <c r="D257" s="59">
        <v>648</v>
      </c>
      <c r="F257" s="60"/>
      <c r="G257" s="60"/>
    </row>
    <row r="258" spans="1:7" ht="14.25" customHeight="1">
      <c r="A258" s="79">
        <v>70105</v>
      </c>
      <c r="B258" s="48" t="s">
        <v>277</v>
      </c>
      <c r="C258" s="70">
        <v>5182</v>
      </c>
      <c r="D258" s="59">
        <v>487</v>
      </c>
      <c r="F258" s="60"/>
      <c r="G258" s="60"/>
    </row>
    <row r="259" spans="1:7" ht="14.25" customHeight="1">
      <c r="A259" s="79">
        <v>70201</v>
      </c>
      <c r="B259" s="48" t="s">
        <v>278</v>
      </c>
      <c r="C259" s="70">
        <v>7191</v>
      </c>
      <c r="D259" s="59">
        <v>1358</v>
      </c>
      <c r="F259" s="60"/>
      <c r="G259" s="60"/>
    </row>
    <row r="260" spans="1:7" ht="14.25" customHeight="1">
      <c r="A260" s="79">
        <v>70202</v>
      </c>
      <c r="B260" s="48" t="s">
        <v>279</v>
      </c>
      <c r="C260" s="70">
        <v>1074</v>
      </c>
      <c r="D260" s="59">
        <v>58</v>
      </c>
      <c r="F260" s="60"/>
      <c r="G260" s="60"/>
    </row>
    <row r="261" spans="1:7" ht="14.25" customHeight="1">
      <c r="A261" s="79">
        <v>70301</v>
      </c>
      <c r="B261" s="48" t="s">
        <v>280</v>
      </c>
      <c r="C261" s="70">
        <v>11939</v>
      </c>
      <c r="D261" s="59">
        <v>2610</v>
      </c>
      <c r="F261" s="60"/>
      <c r="G261" s="60"/>
    </row>
    <row r="262" spans="1:7" ht="14.25" customHeight="1">
      <c r="A262" s="79">
        <v>70302</v>
      </c>
      <c r="B262" s="48" t="s">
        <v>281</v>
      </c>
      <c r="C262" s="70">
        <v>3447</v>
      </c>
      <c r="D262" s="59">
        <v>742</v>
      </c>
      <c r="F262" s="60"/>
      <c r="G262" s="60"/>
    </row>
    <row r="263" spans="1:7" ht="14.25" customHeight="1">
      <c r="A263" s="79">
        <v>70303</v>
      </c>
      <c r="B263" s="48" t="s">
        <v>282</v>
      </c>
      <c r="C263" s="70">
        <v>1623</v>
      </c>
      <c r="D263" s="59">
        <v>293</v>
      </c>
      <c r="F263" s="60"/>
      <c r="G263" s="60"/>
    </row>
    <row r="264" spans="1:7" ht="14.25" customHeight="1">
      <c r="A264" s="79">
        <v>70401</v>
      </c>
      <c r="B264" s="48" t="s">
        <v>283</v>
      </c>
      <c r="C264" s="70">
        <v>1567</v>
      </c>
      <c r="D264" s="59">
        <v>193</v>
      </c>
      <c r="F264" s="60"/>
      <c r="G264" s="60"/>
    </row>
    <row r="265" spans="1:7" ht="14.25" customHeight="1">
      <c r="A265" s="79">
        <v>70402</v>
      </c>
      <c r="B265" s="48" t="s">
        <v>284</v>
      </c>
      <c r="C265" s="70">
        <v>3484</v>
      </c>
      <c r="D265" s="59">
        <v>395</v>
      </c>
      <c r="F265" s="60"/>
      <c r="G265" s="60"/>
    </row>
    <row r="266" spans="1:7" ht="14.25" customHeight="1">
      <c r="A266" s="79">
        <v>70403</v>
      </c>
      <c r="B266" s="48" t="s">
        <v>285</v>
      </c>
      <c r="C266" s="70">
        <v>9375</v>
      </c>
      <c r="D266" s="59">
        <v>2335</v>
      </c>
      <c r="F266" s="60"/>
      <c r="G266" s="60"/>
    </row>
    <row r="267" spans="1:7" ht="14.25" customHeight="1">
      <c r="A267" s="79">
        <v>70404</v>
      </c>
      <c r="B267" s="48" t="s">
        <v>286</v>
      </c>
      <c r="C267" s="70">
        <v>1475</v>
      </c>
      <c r="D267" s="59">
        <v>202</v>
      </c>
      <c r="F267" s="60"/>
      <c r="G267" s="60"/>
    </row>
    <row r="268" spans="1:7" ht="14.25" customHeight="1">
      <c r="A268" s="79">
        <v>70501</v>
      </c>
      <c r="B268" s="48" t="s">
        <v>287</v>
      </c>
      <c r="C268" s="70">
        <v>2157</v>
      </c>
      <c r="D268" s="59">
        <v>1476</v>
      </c>
      <c r="F268" s="60"/>
      <c r="G268" s="60"/>
    </row>
    <row r="269" spans="1:7" ht="14.25" customHeight="1">
      <c r="A269" s="79">
        <v>70502</v>
      </c>
      <c r="B269" s="48" t="s">
        <v>288</v>
      </c>
      <c r="C269" s="70">
        <v>3943</v>
      </c>
      <c r="D269" s="59">
        <v>951</v>
      </c>
      <c r="F269" s="60"/>
      <c r="G269" s="60"/>
    </row>
    <row r="270" spans="1:7" ht="14.25" customHeight="1">
      <c r="A270" s="79">
        <v>70503</v>
      </c>
      <c r="B270" s="48" t="s">
        <v>289</v>
      </c>
      <c r="C270" s="70">
        <v>1204</v>
      </c>
      <c r="D270" s="59">
        <v>262</v>
      </c>
      <c r="F270" s="60"/>
      <c r="G270" s="60"/>
    </row>
    <row r="271" spans="1:7" ht="14.25" customHeight="1">
      <c r="A271" s="79">
        <v>70601</v>
      </c>
      <c r="B271" s="48" t="s">
        <v>290</v>
      </c>
      <c r="C271" s="70">
        <v>1375</v>
      </c>
      <c r="D271" s="59">
        <v>169</v>
      </c>
      <c r="F271" s="60"/>
      <c r="G271" s="60"/>
    </row>
    <row r="272" spans="1:7" ht="14.25" customHeight="1">
      <c r="A272" s="79">
        <v>70602</v>
      </c>
      <c r="B272" s="48" t="s">
        <v>291</v>
      </c>
      <c r="C272" s="70">
        <v>4271</v>
      </c>
      <c r="D272" s="59">
        <v>299</v>
      </c>
      <c r="F272" s="60"/>
      <c r="G272" s="60"/>
    </row>
    <row r="273" spans="1:7" ht="14.25" customHeight="1">
      <c r="A273" s="79">
        <v>70603</v>
      </c>
      <c r="B273" s="48" t="s">
        <v>292</v>
      </c>
      <c r="C273" s="70">
        <v>679</v>
      </c>
      <c r="D273" s="59">
        <v>45</v>
      </c>
      <c r="F273" s="60"/>
      <c r="G273" s="60"/>
    </row>
    <row r="274" spans="1:7" ht="14.25" customHeight="1">
      <c r="A274" s="79">
        <v>70701</v>
      </c>
      <c r="B274" s="48" t="s">
        <v>293</v>
      </c>
      <c r="C274" s="70">
        <v>1229</v>
      </c>
      <c r="D274" s="59">
        <v>109</v>
      </c>
      <c r="F274" s="60"/>
      <c r="G274" s="60"/>
    </row>
    <row r="275" spans="1:7" ht="14.25" customHeight="1">
      <c r="A275" s="79">
        <v>70702</v>
      </c>
      <c r="B275" s="48" t="s">
        <v>294</v>
      </c>
      <c r="C275" s="70">
        <v>6808</v>
      </c>
      <c r="D275" s="59">
        <v>1484</v>
      </c>
      <c r="F275" s="60"/>
      <c r="G275" s="60"/>
    </row>
    <row r="276" spans="1:7" ht="14.25" customHeight="1">
      <c r="A276" s="79">
        <v>70703</v>
      </c>
      <c r="B276" s="48" t="s">
        <v>295</v>
      </c>
      <c r="C276" s="70">
        <v>3354</v>
      </c>
      <c r="D276" s="59">
        <v>831</v>
      </c>
      <c r="F276" s="60"/>
      <c r="G276" s="60"/>
    </row>
    <row r="277" spans="1:7" ht="14.25" customHeight="1">
      <c r="A277" s="79">
        <v>70704</v>
      </c>
      <c r="B277" s="48" t="s">
        <v>296</v>
      </c>
      <c r="C277" s="70">
        <v>1138</v>
      </c>
      <c r="D277" s="59">
        <v>62</v>
      </c>
      <c r="F277" s="60"/>
      <c r="G277" s="60"/>
    </row>
    <row r="278" spans="1:7" ht="14.25" customHeight="1">
      <c r="A278" s="79">
        <v>70705</v>
      </c>
      <c r="B278" s="48" t="s">
        <v>297</v>
      </c>
      <c r="C278" s="70">
        <v>4159</v>
      </c>
      <c r="D278" s="59">
        <v>502</v>
      </c>
      <c r="F278" s="60"/>
      <c r="G278" s="60"/>
    </row>
    <row r="279" spans="1:7" ht="14.25" customHeight="1">
      <c r="A279" s="79">
        <v>70706</v>
      </c>
      <c r="B279" s="48" t="s">
        <v>298</v>
      </c>
      <c r="C279" s="70">
        <v>1589</v>
      </c>
      <c r="D279" s="59">
        <v>238</v>
      </c>
      <c r="F279" s="60"/>
      <c r="G279" s="60"/>
    </row>
    <row r="280" spans="1:7" ht="14.25" customHeight="1">
      <c r="A280" s="79">
        <v>70707</v>
      </c>
      <c r="B280" s="48" t="s">
        <v>299</v>
      </c>
      <c r="C280" s="70">
        <v>1210</v>
      </c>
      <c r="D280" s="59">
        <v>147</v>
      </c>
      <c r="F280" s="60"/>
      <c r="G280" s="60"/>
    </row>
    <row r="281" spans="1:7" ht="14.25" customHeight="1">
      <c r="A281" s="79">
        <v>70801</v>
      </c>
      <c r="B281" s="48" t="s">
        <v>300</v>
      </c>
      <c r="C281" s="70">
        <v>1691</v>
      </c>
      <c r="D281" s="59">
        <v>184</v>
      </c>
      <c r="F281" s="60"/>
      <c r="G281" s="60"/>
    </row>
    <row r="282" spans="1:7" ht="14.25" customHeight="1">
      <c r="A282" s="79">
        <v>70802</v>
      </c>
      <c r="B282" s="48" t="s">
        <v>301</v>
      </c>
      <c r="C282" s="70">
        <v>110</v>
      </c>
      <c r="D282" s="59">
        <v>6</v>
      </c>
      <c r="F282" s="60"/>
      <c r="G282" s="60"/>
    </row>
    <row r="283" spans="1:7" ht="14.25" customHeight="1">
      <c r="A283" s="79">
        <v>70803</v>
      </c>
      <c r="B283" s="48" t="s">
        <v>302</v>
      </c>
      <c r="C283" s="70">
        <v>465</v>
      </c>
      <c r="D283" s="59">
        <v>40</v>
      </c>
      <c r="F283" s="60"/>
      <c r="G283" s="60"/>
    </row>
    <row r="284" spans="1:7" ht="14.25" customHeight="1">
      <c r="A284" s="79">
        <v>70804</v>
      </c>
      <c r="B284" s="48" t="s">
        <v>303</v>
      </c>
      <c r="C284" s="70">
        <v>712</v>
      </c>
      <c r="D284" s="59">
        <v>95</v>
      </c>
      <c r="F284" s="60"/>
      <c r="G284" s="60"/>
    </row>
    <row r="285" spans="1:7" ht="14.25" customHeight="1">
      <c r="A285" s="79">
        <v>70805</v>
      </c>
      <c r="B285" s="48" t="s">
        <v>304</v>
      </c>
      <c r="C285" s="70">
        <v>340</v>
      </c>
      <c r="D285" s="59">
        <v>25</v>
      </c>
      <c r="F285" s="60"/>
      <c r="G285" s="60"/>
    </row>
    <row r="286" spans="1:7" ht="14.25" customHeight="1">
      <c r="A286" s="79">
        <v>70901</v>
      </c>
      <c r="B286" s="48" t="s">
        <v>305</v>
      </c>
      <c r="C286" s="70">
        <v>1411</v>
      </c>
      <c r="D286" s="59">
        <v>236</v>
      </c>
      <c r="F286" s="60"/>
      <c r="G286" s="60"/>
    </row>
    <row r="287" spans="1:7" ht="14.25" customHeight="1">
      <c r="A287" s="79">
        <v>70902</v>
      </c>
      <c r="B287" s="48" t="s">
        <v>306</v>
      </c>
      <c r="C287" s="70">
        <v>1168</v>
      </c>
      <c r="D287" s="59">
        <v>168</v>
      </c>
      <c r="F287" s="60"/>
      <c r="G287" s="60"/>
    </row>
    <row r="288" spans="1:7" ht="14.25" customHeight="1">
      <c r="A288" s="79">
        <v>70903</v>
      </c>
      <c r="B288" s="48" t="s">
        <v>307</v>
      </c>
      <c r="C288" s="70">
        <v>867</v>
      </c>
      <c r="D288" s="59">
        <v>446</v>
      </c>
      <c r="F288" s="60"/>
      <c r="G288" s="60"/>
    </row>
    <row r="289" spans="1:7" ht="14.25" customHeight="1">
      <c r="A289" s="79">
        <v>70904</v>
      </c>
      <c r="B289" s="48" t="s">
        <v>308</v>
      </c>
      <c r="C289" s="70">
        <v>322</v>
      </c>
      <c r="D289" s="59">
        <v>57</v>
      </c>
      <c r="F289" s="60"/>
      <c r="G289" s="60"/>
    </row>
    <row r="290" spans="1:7" ht="14.25" customHeight="1">
      <c r="A290" s="79">
        <v>71001</v>
      </c>
      <c r="B290" s="48" t="s">
        <v>309</v>
      </c>
      <c r="C290" s="70">
        <v>7307</v>
      </c>
      <c r="D290" s="59">
        <v>964</v>
      </c>
      <c r="F290" s="60"/>
      <c r="G290" s="60"/>
    </row>
    <row r="291" spans="1:7" ht="14.25" customHeight="1">
      <c r="A291" s="79">
        <v>71002</v>
      </c>
      <c r="B291" s="48" t="s">
        <v>310</v>
      </c>
      <c r="C291" s="70">
        <v>1631</v>
      </c>
      <c r="D291" s="59">
        <v>258</v>
      </c>
      <c r="F291" s="60"/>
      <c r="G291" s="60"/>
    </row>
    <row r="292" spans="1:7" ht="14.25" customHeight="1">
      <c r="A292" s="79">
        <v>71003</v>
      </c>
      <c r="B292" s="48" t="s">
        <v>311</v>
      </c>
      <c r="C292" s="70">
        <v>2813</v>
      </c>
      <c r="D292" s="59">
        <v>224</v>
      </c>
      <c r="F292" s="60"/>
      <c r="G292" s="60"/>
    </row>
    <row r="293" spans="1:7" ht="14.25" customHeight="1">
      <c r="A293" s="79">
        <v>71004</v>
      </c>
      <c r="B293" s="48" t="s">
        <v>312</v>
      </c>
      <c r="C293" s="70">
        <v>1463</v>
      </c>
      <c r="D293" s="59">
        <v>260</v>
      </c>
      <c r="F293" s="60"/>
      <c r="G293" s="60"/>
    </row>
    <row r="294" spans="1:7" ht="14.25" customHeight="1">
      <c r="A294" s="79">
        <v>71005</v>
      </c>
      <c r="B294" s="48" t="s">
        <v>238</v>
      </c>
      <c r="C294" s="70">
        <v>1529</v>
      </c>
      <c r="D294" s="59">
        <v>174</v>
      </c>
      <c r="F294" s="60"/>
      <c r="G294" s="60"/>
    </row>
    <row r="295" spans="1:7" ht="14.25" customHeight="1">
      <c r="A295" s="79">
        <v>71101</v>
      </c>
      <c r="B295" s="48" t="s">
        <v>313</v>
      </c>
      <c r="C295" s="70">
        <v>5186</v>
      </c>
      <c r="D295" s="59">
        <v>1312</v>
      </c>
      <c r="F295" s="60"/>
      <c r="G295" s="60"/>
    </row>
    <row r="296" spans="1:7" ht="14.25" customHeight="1">
      <c r="A296" s="79">
        <v>71102</v>
      </c>
      <c r="B296" s="48" t="s">
        <v>314</v>
      </c>
      <c r="C296" s="70">
        <v>3661</v>
      </c>
      <c r="D296" s="59">
        <v>472</v>
      </c>
      <c r="F296" s="60"/>
      <c r="G296" s="60"/>
    </row>
    <row r="297" spans="1:7" ht="14.25" customHeight="1">
      <c r="A297" s="79">
        <v>71103</v>
      </c>
      <c r="B297" s="48" t="s">
        <v>315</v>
      </c>
      <c r="C297" s="70">
        <v>6085</v>
      </c>
      <c r="D297" s="59">
        <v>171</v>
      </c>
      <c r="F297" s="60"/>
      <c r="G297" s="60"/>
    </row>
    <row r="298" spans="1:7" ht="14.25" customHeight="1">
      <c r="A298" s="79">
        <v>71104</v>
      </c>
      <c r="B298" s="48" t="s">
        <v>316</v>
      </c>
      <c r="C298" s="70">
        <v>1007</v>
      </c>
      <c r="D298" s="59">
        <v>490</v>
      </c>
      <c r="F298" s="60"/>
      <c r="G298" s="60"/>
    </row>
    <row r="299" spans="1:7" ht="14.25" customHeight="1">
      <c r="A299" s="79">
        <v>71105</v>
      </c>
      <c r="B299" s="48" t="s">
        <v>317</v>
      </c>
      <c r="C299" s="70">
        <v>1412</v>
      </c>
      <c r="D299" s="59">
        <v>68</v>
      </c>
      <c r="F299" s="60"/>
      <c r="G299" s="60"/>
    </row>
    <row r="300" spans="1:7" ht="14.25" customHeight="1">
      <c r="A300" s="79">
        <v>71106</v>
      </c>
      <c r="B300" s="48" t="s">
        <v>318</v>
      </c>
      <c r="C300" s="70">
        <v>1712</v>
      </c>
      <c r="D300" s="59">
        <v>285</v>
      </c>
      <c r="F300" s="60"/>
      <c r="G300" s="60"/>
    </row>
    <row r="301" spans="1:7" ht="14.25" customHeight="1">
      <c r="A301" s="79">
        <v>71201</v>
      </c>
      <c r="B301" s="48" t="s">
        <v>319</v>
      </c>
      <c r="C301" s="70">
        <v>3998</v>
      </c>
      <c r="D301" s="59">
        <v>535</v>
      </c>
      <c r="F301" s="60"/>
      <c r="G301" s="60"/>
    </row>
    <row r="302" spans="1:7" ht="14.25" customHeight="1">
      <c r="A302" s="79">
        <v>71301</v>
      </c>
      <c r="B302" s="48" t="s">
        <v>320</v>
      </c>
      <c r="C302" s="70">
        <v>2143</v>
      </c>
      <c r="D302" s="59">
        <v>443</v>
      </c>
      <c r="F302" s="60"/>
      <c r="G302" s="60"/>
    </row>
    <row r="303" spans="1:7" ht="14.25" customHeight="1">
      <c r="A303" s="79">
        <v>71302</v>
      </c>
      <c r="B303" s="48" t="s">
        <v>321</v>
      </c>
      <c r="C303" s="70">
        <v>821</v>
      </c>
      <c r="D303" s="59">
        <v>115</v>
      </c>
      <c r="F303" s="60"/>
      <c r="G303" s="60"/>
    </row>
    <row r="304" spans="1:7" ht="14.25" customHeight="1">
      <c r="A304" s="79">
        <v>71401</v>
      </c>
      <c r="B304" s="48" t="s">
        <v>322</v>
      </c>
      <c r="C304" s="70">
        <v>1363</v>
      </c>
      <c r="D304" s="59">
        <v>154</v>
      </c>
      <c r="F304" s="60"/>
      <c r="G304" s="60"/>
    </row>
    <row r="305" spans="1:7" ht="14.25" customHeight="1">
      <c r="A305" s="79">
        <v>71402</v>
      </c>
      <c r="B305" s="48" t="s">
        <v>323</v>
      </c>
      <c r="C305" s="70">
        <v>1381</v>
      </c>
      <c r="D305" s="59">
        <v>171</v>
      </c>
      <c r="F305" s="60"/>
      <c r="G305" s="60"/>
    </row>
    <row r="306" spans="1:7" ht="14.25" customHeight="1">
      <c r="A306" s="79">
        <v>71403</v>
      </c>
      <c r="B306" s="48" t="s">
        <v>324</v>
      </c>
      <c r="C306" s="70">
        <v>1354</v>
      </c>
      <c r="D306" s="59">
        <v>246</v>
      </c>
      <c r="F306" s="60"/>
      <c r="G306" s="60"/>
    </row>
    <row r="307" spans="1:7" ht="14.25" customHeight="1">
      <c r="A307" s="79">
        <v>71501</v>
      </c>
      <c r="B307" s="48" t="s">
        <v>325</v>
      </c>
      <c r="C307" s="70">
        <v>8385</v>
      </c>
      <c r="D307" s="59">
        <v>2221</v>
      </c>
      <c r="F307" s="60"/>
      <c r="G307" s="60"/>
    </row>
    <row r="308" spans="1:7" ht="14.25" customHeight="1">
      <c r="A308" s="79">
        <v>71502</v>
      </c>
      <c r="B308" s="48" t="s">
        <v>326</v>
      </c>
      <c r="C308" s="70">
        <v>2087</v>
      </c>
      <c r="D308" s="59">
        <v>242</v>
      </c>
      <c r="F308" s="60"/>
      <c r="G308" s="60"/>
    </row>
    <row r="309" spans="1:7" ht="14.25" customHeight="1">
      <c r="A309" s="79">
        <v>71503</v>
      </c>
      <c r="B309" s="48" t="s">
        <v>272</v>
      </c>
      <c r="C309" s="70">
        <v>3755</v>
      </c>
      <c r="D309" s="59">
        <v>647</v>
      </c>
      <c r="F309" s="60"/>
      <c r="G309" s="60"/>
    </row>
    <row r="310" spans="1:7" ht="14.25" customHeight="1">
      <c r="A310" s="79">
        <v>80101</v>
      </c>
      <c r="B310" s="48" t="s">
        <v>327</v>
      </c>
      <c r="C310" s="70">
        <v>14397</v>
      </c>
      <c r="D310" s="59">
        <v>2543</v>
      </c>
      <c r="F310" s="60"/>
      <c r="G310" s="60"/>
    </row>
    <row r="311" spans="1:7" ht="14.25" customHeight="1">
      <c r="A311" s="79">
        <v>80102</v>
      </c>
      <c r="B311" s="48" t="s">
        <v>314</v>
      </c>
      <c r="C311" s="70">
        <v>1491</v>
      </c>
      <c r="D311" s="59">
        <v>462</v>
      </c>
      <c r="F311" s="60"/>
      <c r="G311" s="60"/>
    </row>
    <row r="312" spans="1:7" ht="14.25" customHeight="1">
      <c r="A312" s="79">
        <v>80201</v>
      </c>
      <c r="B312" s="48" t="s">
        <v>328</v>
      </c>
      <c r="C312" s="70">
        <v>32060</v>
      </c>
      <c r="D312" s="59">
        <v>7327</v>
      </c>
      <c r="F312" s="60"/>
      <c r="G312" s="60"/>
    </row>
    <row r="313" spans="1:7" ht="14.25" customHeight="1">
      <c r="A313" s="79">
        <v>80202</v>
      </c>
      <c r="B313" s="48" t="s">
        <v>329</v>
      </c>
      <c r="C313" s="70">
        <v>6582</v>
      </c>
      <c r="D313" s="59">
        <v>923</v>
      </c>
      <c r="F313" s="60"/>
      <c r="G313" s="60"/>
    </row>
    <row r="314" spans="1:7" ht="14.25" customHeight="1">
      <c r="A314" s="79">
        <v>80301</v>
      </c>
      <c r="B314" s="48" t="s">
        <v>330</v>
      </c>
      <c r="C314" s="70">
        <v>4233</v>
      </c>
      <c r="D314" s="59">
        <v>652</v>
      </c>
      <c r="F314" s="60"/>
      <c r="G314" s="60"/>
    </row>
    <row r="315" spans="1:7" ht="14.25" customHeight="1">
      <c r="A315" s="79">
        <v>80302</v>
      </c>
      <c r="B315" s="48" t="s">
        <v>331</v>
      </c>
      <c r="C315" s="70">
        <v>15518</v>
      </c>
      <c r="D315" s="59">
        <v>9476</v>
      </c>
      <c r="F315" s="60"/>
      <c r="G315" s="60"/>
    </row>
    <row r="316" spans="1:7" ht="14.25" customHeight="1">
      <c r="A316" s="79">
        <v>80303</v>
      </c>
      <c r="B316" s="48" t="s">
        <v>291</v>
      </c>
      <c r="C316" s="70">
        <v>2093</v>
      </c>
      <c r="D316" s="59">
        <v>374</v>
      </c>
      <c r="F316" s="60"/>
      <c r="G316" s="60"/>
    </row>
    <row r="317" spans="1:7" ht="14.25" customHeight="1">
      <c r="A317" s="79">
        <v>80304</v>
      </c>
      <c r="B317" s="48" t="s">
        <v>332</v>
      </c>
      <c r="C317" s="70">
        <v>2965</v>
      </c>
      <c r="D317" s="59">
        <v>1142</v>
      </c>
      <c r="F317" s="60"/>
      <c r="G317" s="60"/>
    </row>
    <row r="318" spans="1:7" ht="14.25" customHeight="1">
      <c r="A318" s="79">
        <v>80401</v>
      </c>
      <c r="B318" s="48" t="s">
        <v>333</v>
      </c>
      <c r="C318" s="70">
        <v>3501</v>
      </c>
      <c r="D318" s="59">
        <v>2058</v>
      </c>
      <c r="F318" s="60"/>
      <c r="G318" s="60"/>
    </row>
    <row r="319" spans="1:7" ht="14.25" customHeight="1">
      <c r="A319" s="79">
        <v>80402</v>
      </c>
      <c r="B319" s="48" t="s">
        <v>334</v>
      </c>
      <c r="C319" s="70">
        <v>2736</v>
      </c>
      <c r="D319" s="59">
        <v>625</v>
      </c>
      <c r="F319" s="60"/>
      <c r="G319" s="60"/>
    </row>
    <row r="320" spans="1:7" ht="14.25" customHeight="1">
      <c r="A320" s="79">
        <v>80501</v>
      </c>
      <c r="B320" s="48" t="s">
        <v>280</v>
      </c>
      <c r="C320" s="70">
        <v>7024</v>
      </c>
      <c r="D320" s="59">
        <v>2020</v>
      </c>
      <c r="F320" s="60"/>
      <c r="G320" s="60"/>
    </row>
    <row r="321" spans="1:7" ht="14.25" customHeight="1">
      <c r="A321" s="79">
        <v>80601</v>
      </c>
      <c r="B321" s="48" t="s">
        <v>335</v>
      </c>
      <c r="C321" s="70">
        <v>1583</v>
      </c>
      <c r="D321" s="59">
        <v>553</v>
      </c>
      <c r="F321" s="60"/>
      <c r="G321" s="60"/>
    </row>
    <row r="322" spans="1:7" ht="14.25" customHeight="1">
      <c r="A322" s="79">
        <v>80602</v>
      </c>
      <c r="B322" s="48" t="s">
        <v>336</v>
      </c>
      <c r="C322" s="70">
        <v>2838</v>
      </c>
      <c r="D322" s="59">
        <v>582</v>
      </c>
      <c r="F322" s="60"/>
      <c r="G322" s="60"/>
    </row>
    <row r="323" spans="1:7" ht="14.25" customHeight="1">
      <c r="A323" s="79">
        <v>80701</v>
      </c>
      <c r="B323" s="48" t="s">
        <v>337</v>
      </c>
      <c r="C323" s="70">
        <v>1751</v>
      </c>
      <c r="D323" s="59">
        <v>251</v>
      </c>
      <c r="F323" s="60"/>
      <c r="G323" s="60"/>
    </row>
    <row r="324" spans="1:7" ht="14.25" customHeight="1">
      <c r="A324" s="79">
        <v>80702</v>
      </c>
      <c r="B324" s="48" t="s">
        <v>315</v>
      </c>
      <c r="C324" s="70">
        <v>1125</v>
      </c>
      <c r="D324" s="59">
        <v>233</v>
      </c>
      <c r="F324" s="60"/>
      <c r="G324" s="60"/>
    </row>
    <row r="325" spans="1:7" ht="14.25" customHeight="1">
      <c r="A325" s="79">
        <v>80703</v>
      </c>
      <c r="B325" s="48" t="s">
        <v>338</v>
      </c>
      <c r="C325" s="70">
        <v>198</v>
      </c>
      <c r="D325" s="59">
        <v>41</v>
      </c>
      <c r="F325" s="60"/>
      <c r="G325" s="60"/>
    </row>
    <row r="326" spans="1:7" ht="14.25" customHeight="1">
      <c r="A326" s="79">
        <v>80801</v>
      </c>
      <c r="B326" s="48" t="s">
        <v>339</v>
      </c>
      <c r="C326" s="70">
        <v>3437</v>
      </c>
      <c r="D326" s="59">
        <v>483</v>
      </c>
      <c r="F326" s="60"/>
      <c r="G326" s="60"/>
    </row>
    <row r="327" spans="1:7" ht="14.25" customHeight="1">
      <c r="A327" s="79">
        <v>80802</v>
      </c>
      <c r="B327" s="48" t="s">
        <v>340</v>
      </c>
      <c r="C327" s="70">
        <v>1167</v>
      </c>
      <c r="D327" s="59">
        <v>289</v>
      </c>
      <c r="F327" s="60"/>
      <c r="G327" s="60"/>
    </row>
    <row r="328" spans="1:7" ht="14.25" customHeight="1">
      <c r="A328" s="79">
        <v>80803</v>
      </c>
      <c r="B328" s="48" t="s">
        <v>341</v>
      </c>
      <c r="C328" s="70">
        <v>1097</v>
      </c>
      <c r="D328" s="59">
        <v>178</v>
      </c>
      <c r="F328" s="60"/>
      <c r="G328" s="60"/>
    </row>
    <row r="329" spans="1:7" ht="14.25" customHeight="1">
      <c r="A329" s="79">
        <v>80901</v>
      </c>
      <c r="B329" s="48" t="s">
        <v>342</v>
      </c>
      <c r="C329" s="70">
        <v>2010</v>
      </c>
      <c r="D329" s="59">
        <v>864</v>
      </c>
      <c r="F329" s="60"/>
      <c r="G329" s="60"/>
    </row>
    <row r="330" spans="1:7" ht="14.25" customHeight="1">
      <c r="A330" s="79">
        <v>90101</v>
      </c>
      <c r="B330" s="48" t="s">
        <v>343</v>
      </c>
      <c r="C330" s="70">
        <v>5108</v>
      </c>
      <c r="D330" s="59">
        <v>605</v>
      </c>
      <c r="F330" s="60"/>
      <c r="G330" s="60"/>
    </row>
    <row r="331" spans="1:7" ht="14.25" customHeight="1">
      <c r="A331" s="79">
        <v>90102</v>
      </c>
      <c r="B331" s="48" t="s">
        <v>344</v>
      </c>
      <c r="C331" s="70">
        <v>1426</v>
      </c>
      <c r="D331" s="59">
        <v>248</v>
      </c>
      <c r="F331" s="60"/>
      <c r="G331" s="60"/>
    </row>
    <row r="332" spans="1:7" ht="14.25" customHeight="1">
      <c r="A332" s="79">
        <v>90103</v>
      </c>
      <c r="B332" s="48" t="s">
        <v>345</v>
      </c>
      <c r="C332" s="70">
        <v>895</v>
      </c>
      <c r="D332" s="59">
        <v>76</v>
      </c>
      <c r="F332" s="60"/>
      <c r="G332" s="60"/>
    </row>
    <row r="333" spans="1:7" ht="14.25" customHeight="1">
      <c r="A333" s="79">
        <v>90104</v>
      </c>
      <c r="B333" s="48" t="s">
        <v>346</v>
      </c>
      <c r="C333" s="70">
        <v>1228</v>
      </c>
      <c r="D333" s="59">
        <v>176</v>
      </c>
      <c r="F333" s="60"/>
      <c r="G333" s="60"/>
    </row>
    <row r="334" spans="1:7" ht="14.25" customHeight="1">
      <c r="A334" s="79">
        <v>90201</v>
      </c>
      <c r="B334" s="48" t="s">
        <v>347</v>
      </c>
      <c r="C334" s="70">
        <v>1475</v>
      </c>
      <c r="D334" s="59">
        <v>302</v>
      </c>
      <c r="F334" s="60"/>
      <c r="G334" s="60"/>
    </row>
    <row r="335" spans="1:7" ht="14.25" customHeight="1">
      <c r="A335" s="79">
        <v>90202</v>
      </c>
      <c r="B335" s="48" t="s">
        <v>238</v>
      </c>
      <c r="C335" s="70">
        <v>1936</v>
      </c>
      <c r="D335" s="59">
        <v>556</v>
      </c>
      <c r="F335" s="60"/>
      <c r="G335" s="60"/>
    </row>
    <row r="336" spans="1:7" ht="14.25" customHeight="1">
      <c r="A336" s="79">
        <v>90203</v>
      </c>
      <c r="B336" s="48" t="s">
        <v>348</v>
      </c>
      <c r="C336" s="70">
        <v>1974</v>
      </c>
      <c r="D336" s="59">
        <v>298</v>
      </c>
      <c r="F336" s="60"/>
      <c r="G336" s="60"/>
    </row>
    <row r="337" spans="1:7" ht="14.25" customHeight="1">
      <c r="A337" s="79">
        <v>90301</v>
      </c>
      <c r="B337" s="48" t="s">
        <v>349</v>
      </c>
      <c r="C337" s="70">
        <v>3392</v>
      </c>
      <c r="D337" s="59">
        <v>771</v>
      </c>
      <c r="F337" s="60"/>
      <c r="G337" s="60"/>
    </row>
    <row r="338" spans="1:7" ht="14.25" customHeight="1">
      <c r="A338" s="79">
        <v>90302</v>
      </c>
      <c r="B338" s="48" t="s">
        <v>271</v>
      </c>
      <c r="C338" s="70">
        <v>3146</v>
      </c>
      <c r="D338" s="59">
        <v>533</v>
      </c>
      <c r="F338" s="60"/>
      <c r="G338" s="60"/>
    </row>
    <row r="339" spans="1:7" ht="14.25" customHeight="1">
      <c r="A339" s="79">
        <v>90303</v>
      </c>
      <c r="B339" s="48" t="s">
        <v>350</v>
      </c>
      <c r="C339" s="70">
        <v>6122</v>
      </c>
      <c r="D339" s="59">
        <v>921</v>
      </c>
      <c r="F339" s="60"/>
      <c r="G339" s="60"/>
    </row>
    <row r="340" spans="1:7" ht="14.25" customHeight="1">
      <c r="A340" s="79">
        <v>90401</v>
      </c>
      <c r="B340" s="48" t="s">
        <v>291</v>
      </c>
      <c r="C340" s="70">
        <v>490</v>
      </c>
      <c r="D340" s="59">
        <v>104</v>
      </c>
      <c r="F340" s="60"/>
      <c r="G340" s="60"/>
    </row>
    <row r="341" spans="1:7" ht="14.25" customHeight="1">
      <c r="A341" s="79">
        <v>90402</v>
      </c>
      <c r="B341" s="48" t="s">
        <v>351</v>
      </c>
      <c r="C341" s="70">
        <v>600</v>
      </c>
      <c r="D341" s="59">
        <v>226</v>
      </c>
      <c r="F341" s="61"/>
      <c r="G341" s="61"/>
    </row>
    <row r="342" spans="1:7" ht="14.25" customHeight="1">
      <c r="A342" s="79">
        <v>90501</v>
      </c>
      <c r="B342" s="48" t="s">
        <v>352</v>
      </c>
      <c r="C342" s="70">
        <v>711</v>
      </c>
      <c r="D342" s="59">
        <v>76</v>
      </c>
      <c r="F342" s="61"/>
      <c r="G342" s="61"/>
    </row>
    <row r="343" spans="1:7" ht="14.25" customHeight="1">
      <c r="A343" s="79">
        <v>90502</v>
      </c>
      <c r="B343" s="48" t="s">
        <v>353</v>
      </c>
      <c r="C343" s="70">
        <v>1338</v>
      </c>
      <c r="D343" s="59">
        <v>88</v>
      </c>
      <c r="F343" s="61"/>
      <c r="G343" s="61"/>
    </row>
    <row r="344" spans="1:7" ht="14.25" customHeight="1">
      <c r="A344" s="79">
        <v>90503</v>
      </c>
      <c r="B344" s="48" t="s">
        <v>354</v>
      </c>
      <c r="C344" s="70">
        <v>993</v>
      </c>
      <c r="D344" s="59">
        <v>137</v>
      </c>
      <c r="F344" s="61"/>
      <c r="G344" s="61"/>
    </row>
    <row r="345" spans="1:7" ht="14.25" customHeight="1">
      <c r="A345" s="79"/>
      <c r="B345" s="48"/>
      <c r="C345" s="49"/>
      <c r="D345" s="49"/>
      <c r="F345" s="17"/>
      <c r="G345" s="17"/>
    </row>
    <row r="346" spans="1:7" ht="14.25" customHeight="1">
      <c r="A346" s="79"/>
      <c r="B346" s="48"/>
      <c r="C346" s="49"/>
      <c r="D346" s="49"/>
      <c r="F346" s="17"/>
      <c r="G346" s="17"/>
    </row>
    <row r="347" spans="1:7" ht="14.25" customHeight="1">
      <c r="A347" s="79"/>
      <c r="B347" s="48"/>
      <c r="C347" s="49"/>
      <c r="D347" s="49"/>
      <c r="F347" s="17"/>
      <c r="G347" s="17"/>
    </row>
    <row r="348" spans="1:7" ht="14.25" customHeight="1">
      <c r="A348" s="79"/>
      <c r="B348" s="48"/>
      <c r="C348" s="49"/>
      <c r="D348" s="49"/>
      <c r="F348" s="17"/>
      <c r="G348" s="17"/>
    </row>
    <row r="349" spans="1:7" ht="14.25" customHeight="1">
      <c r="A349" s="79"/>
      <c r="B349" s="48"/>
      <c r="C349" s="49"/>
      <c r="D349" s="49"/>
      <c r="F349" s="17"/>
      <c r="G349" s="17"/>
    </row>
    <row r="350" spans="1:7" ht="14.25" customHeight="1">
      <c r="A350" s="79"/>
      <c r="B350" s="48"/>
      <c r="C350" s="49"/>
      <c r="D350" s="49"/>
      <c r="F350" s="17"/>
      <c r="G350" s="17"/>
    </row>
    <row r="351" spans="1:7" ht="14.25" customHeight="1">
      <c r="A351" s="79"/>
      <c r="B351" s="48"/>
      <c r="C351" s="49"/>
      <c r="D351" s="49"/>
      <c r="F351" s="17"/>
      <c r="G351" s="17"/>
    </row>
    <row r="352" spans="1:7" ht="14.25" customHeight="1">
      <c r="A352" s="79"/>
      <c r="B352" s="48"/>
      <c r="C352" s="49"/>
      <c r="D352" s="49"/>
      <c r="F352" s="17"/>
      <c r="G352" s="17"/>
    </row>
    <row r="353" spans="1:7" ht="14.25" customHeight="1">
      <c r="A353" s="79"/>
      <c r="B353" s="48"/>
      <c r="C353" s="49"/>
      <c r="D353" s="49"/>
      <c r="F353" s="17"/>
      <c r="G353" s="17"/>
    </row>
    <row r="354" spans="1:7" ht="14.25" customHeight="1">
      <c r="A354" s="79"/>
      <c r="B354" s="48"/>
      <c r="C354" s="49"/>
      <c r="D354" s="49"/>
      <c r="F354" s="17"/>
      <c r="G354" s="17"/>
    </row>
    <row r="355" spans="1:7" ht="14.25" customHeight="1">
      <c r="A355" s="79"/>
      <c r="B355" s="48"/>
      <c r="C355" s="49"/>
      <c r="D355" s="49"/>
      <c r="F355" s="17"/>
      <c r="G355" s="17"/>
    </row>
    <row r="356" spans="1:7" ht="14.25" customHeight="1">
      <c r="A356" s="79"/>
      <c r="B356" s="48"/>
      <c r="C356" s="49"/>
      <c r="D356" s="49"/>
      <c r="F356" s="17"/>
      <c r="G356" s="17"/>
    </row>
    <row r="357" spans="1:7" ht="14.25" customHeight="1">
      <c r="A357" s="79"/>
      <c r="B357" s="48"/>
      <c r="C357" s="49"/>
      <c r="D357" s="49"/>
      <c r="F357" s="17"/>
      <c r="G357" s="17"/>
    </row>
    <row r="358" spans="1:7" ht="14.25" customHeight="1">
      <c r="A358" s="79"/>
      <c r="B358" s="48"/>
      <c r="C358" s="49"/>
      <c r="D358" s="49"/>
      <c r="F358" s="17"/>
      <c r="G358" s="17"/>
    </row>
    <row r="359" spans="1:7" ht="14.25" customHeight="1">
      <c r="A359" s="79"/>
      <c r="B359" s="48"/>
      <c r="C359" s="49"/>
      <c r="D359" s="49"/>
      <c r="F359" s="17"/>
      <c r="G359" s="17"/>
    </row>
    <row r="360" spans="1:7" ht="14.25" customHeight="1">
      <c r="A360" s="79"/>
      <c r="B360" s="48"/>
      <c r="C360" s="49"/>
      <c r="D360" s="49"/>
      <c r="F360" s="17"/>
      <c r="G360" s="17"/>
    </row>
    <row r="361" spans="1:7" ht="14.25" customHeight="1">
      <c r="A361" s="79"/>
      <c r="B361" s="48"/>
      <c r="C361" s="49"/>
      <c r="D361" s="49"/>
      <c r="F361" s="17"/>
      <c r="G361" s="17"/>
    </row>
    <row r="362" spans="1:7" ht="14.25" customHeight="1">
      <c r="A362" s="79"/>
      <c r="B362" s="48"/>
      <c r="C362" s="49"/>
      <c r="D362" s="49"/>
      <c r="F362" s="17"/>
      <c r="G362" s="17"/>
    </row>
    <row r="363" spans="1:7" ht="14.25" customHeight="1">
      <c r="A363" s="79"/>
      <c r="B363" s="48"/>
      <c r="C363" s="49"/>
      <c r="D363" s="49"/>
      <c r="F363" s="17"/>
      <c r="G363" s="17"/>
    </row>
    <row r="364" spans="1:7" ht="14.25" customHeight="1">
      <c r="A364" s="79"/>
      <c r="B364" s="48"/>
      <c r="C364" s="49"/>
      <c r="D364" s="49"/>
      <c r="F364" s="17"/>
      <c r="G364" s="17"/>
    </row>
    <row r="365" spans="1:7" ht="14.25" customHeight="1">
      <c r="A365" s="79"/>
      <c r="B365" s="48"/>
      <c r="C365" s="49"/>
      <c r="D365" s="49"/>
      <c r="F365" s="17"/>
      <c r="G365" s="17"/>
    </row>
    <row r="366" spans="1:7" ht="14.25" customHeight="1">
      <c r="A366" s="79"/>
      <c r="B366" s="48"/>
      <c r="C366" s="49"/>
      <c r="D366" s="49"/>
      <c r="F366" s="17"/>
      <c r="G366" s="17"/>
    </row>
    <row r="367" spans="1:7" ht="14.25" customHeight="1">
      <c r="A367" s="79"/>
      <c r="B367" s="48"/>
      <c r="C367" s="49"/>
      <c r="D367" s="49"/>
      <c r="F367" s="17"/>
      <c r="G367" s="17"/>
    </row>
    <row r="368" spans="1:7" ht="14.25" customHeight="1">
      <c r="A368" s="79"/>
      <c r="B368" s="48"/>
      <c r="C368" s="49"/>
      <c r="D368" s="49"/>
      <c r="F368" s="17"/>
      <c r="G368" s="17"/>
    </row>
    <row r="369" spans="1:7" ht="14.25" customHeight="1">
      <c r="A369" s="79"/>
      <c r="B369" s="48"/>
      <c r="C369" s="49"/>
      <c r="D369" s="49"/>
      <c r="F369" s="17"/>
      <c r="G369" s="17"/>
    </row>
    <row r="370" spans="1:7" ht="14.25" customHeight="1">
      <c r="A370" s="79"/>
      <c r="B370" s="48"/>
      <c r="C370" s="49"/>
      <c r="D370" s="49"/>
      <c r="F370" s="17"/>
      <c r="G370" s="17"/>
    </row>
    <row r="371" spans="1:7" ht="14.25" customHeight="1">
      <c r="A371" s="79"/>
      <c r="B371" s="48"/>
      <c r="C371" s="49"/>
      <c r="D371" s="49"/>
      <c r="F371" s="17"/>
      <c r="G371" s="17"/>
    </row>
    <row r="372" spans="1:7" ht="14.25" customHeight="1">
      <c r="A372" s="79"/>
      <c r="B372" s="48"/>
      <c r="C372" s="49"/>
      <c r="D372" s="49"/>
      <c r="F372" s="17"/>
      <c r="G372" s="17"/>
    </row>
    <row r="373" spans="1:7" ht="14.25" customHeight="1">
      <c r="A373" s="79"/>
      <c r="B373" s="48"/>
      <c r="C373" s="49"/>
      <c r="D373" s="49"/>
      <c r="F373" s="17"/>
      <c r="G373" s="17"/>
    </row>
    <row r="374" spans="1:7" ht="14.25" customHeight="1">
      <c r="A374" s="79"/>
      <c r="B374" s="48"/>
      <c r="C374" s="49"/>
      <c r="D374" s="49"/>
      <c r="F374" s="17"/>
      <c r="G374" s="17"/>
    </row>
    <row r="375" spans="1:7" ht="14.25" customHeight="1">
      <c r="A375" s="79"/>
      <c r="B375" s="48"/>
      <c r="C375" s="49"/>
      <c r="D375" s="49"/>
      <c r="F375" s="17"/>
      <c r="G375" s="17"/>
    </row>
    <row r="376" spans="1:7" ht="14.25" customHeight="1">
      <c r="A376" s="79"/>
      <c r="B376" s="48"/>
      <c r="C376" s="49"/>
      <c r="D376" s="49"/>
      <c r="F376" s="17"/>
      <c r="G376" s="17"/>
    </row>
    <row r="377" spans="1:7" ht="14.25" customHeight="1">
      <c r="A377" s="79"/>
      <c r="B377" s="48"/>
      <c r="C377" s="49"/>
      <c r="D377" s="49"/>
      <c r="F377" s="17"/>
      <c r="G377" s="17"/>
    </row>
    <row r="378" spans="1:7" ht="14.25" customHeight="1">
      <c r="A378" s="79"/>
      <c r="B378" s="48"/>
      <c r="C378" s="49"/>
      <c r="D378" s="49"/>
      <c r="F378" s="17"/>
      <c r="G378" s="17"/>
    </row>
    <row r="379" spans="1:7" ht="14.25" customHeight="1">
      <c r="A379" s="79"/>
      <c r="B379" s="48"/>
      <c r="C379" s="49"/>
      <c r="D379" s="49"/>
      <c r="F379" s="17"/>
      <c r="G379" s="17"/>
    </row>
    <row r="380" spans="1:7" ht="14.25" customHeight="1">
      <c r="A380" s="79"/>
      <c r="B380" s="48"/>
      <c r="C380" s="49"/>
      <c r="D380" s="49"/>
      <c r="F380" s="17"/>
      <c r="G380" s="17"/>
    </row>
    <row r="381" spans="1:7" ht="14.25" customHeight="1">
      <c r="A381" s="79"/>
      <c r="B381" s="48"/>
      <c r="C381" s="49"/>
      <c r="D381" s="49"/>
      <c r="F381" s="17"/>
      <c r="G381" s="17"/>
    </row>
    <row r="382" spans="1:7" ht="14.25" customHeight="1">
      <c r="A382" s="79"/>
      <c r="B382" s="48"/>
      <c r="C382" s="49"/>
      <c r="D382" s="49"/>
      <c r="F382" s="17"/>
      <c r="G382" s="17"/>
    </row>
    <row r="383" spans="1:7" ht="14.25" customHeight="1">
      <c r="A383" s="79"/>
      <c r="B383" s="48"/>
      <c r="C383" s="49"/>
      <c r="D383" s="49"/>
      <c r="F383" s="17"/>
      <c r="G383" s="17"/>
    </row>
    <row r="384" spans="1:7" ht="14.25" customHeight="1">
      <c r="A384" s="79"/>
      <c r="B384" s="48"/>
      <c r="C384" s="49"/>
      <c r="D384" s="49"/>
      <c r="F384" s="17"/>
      <c r="G384" s="17"/>
    </row>
    <row r="385" spans="1:7" ht="14.25" customHeight="1">
      <c r="A385" s="79"/>
      <c r="B385" s="48"/>
      <c r="C385" s="49"/>
      <c r="D385" s="49"/>
      <c r="F385" s="17"/>
      <c r="G385" s="17"/>
    </row>
    <row r="386" spans="1:7" ht="14.25" customHeight="1">
      <c r="A386" s="79"/>
      <c r="B386" s="48"/>
      <c r="C386" s="49"/>
      <c r="D386" s="49"/>
      <c r="F386" s="17"/>
      <c r="G386" s="17"/>
    </row>
    <row r="387" spans="1:7" ht="14.25" customHeight="1">
      <c r="A387" s="79"/>
      <c r="B387" s="48"/>
      <c r="C387" s="49"/>
      <c r="D387" s="49"/>
      <c r="F387" s="17"/>
      <c r="G387" s="17"/>
    </row>
    <row r="388" spans="1:7" ht="14.25" customHeight="1">
      <c r="A388" s="79"/>
      <c r="B388" s="48"/>
      <c r="C388" s="49"/>
      <c r="D388" s="49"/>
      <c r="F388" s="17"/>
      <c r="G388" s="17"/>
    </row>
    <row r="389" spans="1:7" ht="14.25" customHeight="1">
      <c r="A389" s="79"/>
      <c r="B389" s="48"/>
      <c r="C389" s="49"/>
      <c r="D389" s="49"/>
      <c r="F389" s="17"/>
      <c r="G389" s="17"/>
    </row>
    <row r="390" spans="1:7" ht="14.25" customHeight="1">
      <c r="A390" s="79"/>
      <c r="B390" s="48"/>
      <c r="C390" s="49"/>
      <c r="D390" s="49"/>
      <c r="F390" s="17"/>
      <c r="G390" s="17"/>
    </row>
    <row r="391" spans="1:7" ht="14.25" customHeight="1">
      <c r="A391" s="79"/>
      <c r="B391" s="48"/>
      <c r="C391" s="49"/>
      <c r="D391" s="49"/>
      <c r="F391" s="17"/>
      <c r="G391" s="17"/>
    </row>
    <row r="392" spans="1:7" ht="14.25" customHeight="1">
      <c r="A392" s="79"/>
      <c r="B392" s="48"/>
      <c r="C392" s="49"/>
      <c r="D392" s="49"/>
      <c r="F392" s="17"/>
      <c r="G392" s="17"/>
    </row>
    <row r="393" spans="1:7" ht="14.25" customHeight="1">
      <c r="A393" s="79"/>
      <c r="B393" s="48"/>
      <c r="C393" s="49"/>
      <c r="D393" s="49"/>
      <c r="F393" s="17"/>
      <c r="G393" s="17"/>
    </row>
    <row r="394" spans="1:7" ht="14.25" customHeight="1">
      <c r="A394" s="79"/>
      <c r="B394" s="48"/>
      <c r="C394" s="49"/>
      <c r="D394" s="49"/>
      <c r="F394" s="17"/>
      <c r="G394" s="17"/>
    </row>
    <row r="395" spans="1:7" ht="14.25" customHeight="1">
      <c r="A395" s="79"/>
      <c r="B395" s="48"/>
      <c r="C395" s="49"/>
      <c r="D395" s="49"/>
      <c r="F395" s="17"/>
      <c r="G395" s="17"/>
    </row>
    <row r="396" spans="1:7" ht="14.25" customHeight="1">
      <c r="A396" s="79"/>
      <c r="B396" s="48"/>
      <c r="C396" s="49"/>
      <c r="D396" s="49"/>
      <c r="F396" s="17"/>
      <c r="G396" s="17"/>
    </row>
    <row r="397" spans="1:7" ht="14.25" customHeight="1">
      <c r="A397" s="79"/>
      <c r="B397" s="48"/>
      <c r="C397" s="49"/>
      <c r="D397" s="49"/>
      <c r="F397" s="17"/>
      <c r="G397" s="17"/>
    </row>
    <row r="398" spans="1:7" ht="14.25" customHeight="1">
      <c r="A398" s="79"/>
      <c r="B398" s="48"/>
      <c r="C398" s="49"/>
      <c r="D398" s="49"/>
      <c r="F398" s="17"/>
      <c r="G398" s="17"/>
    </row>
    <row r="399" spans="1:7" ht="14.25" customHeight="1">
      <c r="A399" s="79"/>
      <c r="B399" s="48"/>
      <c r="C399" s="49"/>
      <c r="D399" s="49"/>
      <c r="F399" s="17"/>
      <c r="G399" s="17"/>
    </row>
    <row r="400" spans="1:7" ht="14.25" customHeight="1">
      <c r="A400" s="79"/>
      <c r="B400" s="48"/>
      <c r="C400" s="49"/>
      <c r="D400" s="49"/>
      <c r="F400" s="17"/>
      <c r="G400" s="17"/>
    </row>
    <row r="401" spans="1:7" ht="14.25" customHeight="1">
      <c r="A401" s="79"/>
      <c r="B401" s="48"/>
      <c r="C401" s="49"/>
      <c r="D401" s="49"/>
      <c r="F401" s="17"/>
      <c r="G401" s="17"/>
    </row>
    <row r="402" spans="1:7" ht="14.25" customHeight="1">
      <c r="A402" s="79"/>
      <c r="B402" s="48"/>
      <c r="C402" s="49"/>
      <c r="D402" s="49"/>
      <c r="F402" s="17"/>
      <c r="G402" s="17"/>
    </row>
    <row r="403" spans="1:7" ht="14.25" customHeight="1">
      <c r="A403" s="79"/>
      <c r="B403" s="48"/>
      <c r="C403" s="49"/>
      <c r="D403" s="49"/>
      <c r="F403" s="17"/>
      <c r="G403" s="17"/>
    </row>
    <row r="404" spans="1:7" ht="14.25" customHeight="1">
      <c r="A404" s="79"/>
      <c r="B404" s="48"/>
      <c r="C404" s="49"/>
      <c r="D404" s="49"/>
      <c r="F404" s="17"/>
      <c r="G404" s="17"/>
    </row>
    <row r="405" spans="1:7" ht="14.25" customHeight="1">
      <c r="A405" s="79"/>
      <c r="B405" s="48"/>
      <c r="C405" s="49"/>
      <c r="D405" s="49"/>
      <c r="F405" s="17"/>
      <c r="G405" s="17"/>
    </row>
    <row r="406" spans="1:7" ht="14.25" customHeight="1">
      <c r="A406" s="79"/>
      <c r="B406" s="48"/>
      <c r="C406" s="49"/>
      <c r="D406" s="49"/>
      <c r="F406" s="17"/>
      <c r="G406" s="17"/>
    </row>
    <row r="407" spans="1:7" ht="14.25" customHeight="1">
      <c r="A407" s="79"/>
      <c r="B407" s="48"/>
      <c r="C407" s="49"/>
      <c r="D407" s="49"/>
      <c r="F407" s="17"/>
      <c r="G407" s="17"/>
    </row>
    <row r="408" spans="1:7" ht="14.25" customHeight="1">
      <c r="A408" s="79"/>
      <c r="B408" s="48"/>
      <c r="C408" s="49"/>
      <c r="D408" s="49"/>
      <c r="F408" s="17"/>
      <c r="G408" s="17"/>
    </row>
    <row r="409" spans="1:7" ht="14.25" customHeight="1">
      <c r="A409" s="79"/>
      <c r="B409" s="48"/>
      <c r="C409" s="49"/>
      <c r="D409" s="49"/>
      <c r="F409" s="17"/>
      <c r="G409" s="17"/>
    </row>
    <row r="410" spans="1:7" ht="14.25" customHeight="1">
      <c r="A410" s="79"/>
      <c r="B410" s="48"/>
      <c r="C410" s="49"/>
      <c r="D410" s="49"/>
      <c r="F410" s="17"/>
      <c r="G410" s="17"/>
    </row>
    <row r="411" spans="1:7" ht="14.25" customHeight="1">
      <c r="A411" s="79"/>
      <c r="B411" s="48"/>
      <c r="C411" s="49"/>
      <c r="D411" s="49"/>
      <c r="F411" s="17"/>
      <c r="G411" s="17"/>
    </row>
    <row r="412" spans="1:7" ht="14.25" customHeight="1">
      <c r="A412" s="79"/>
      <c r="B412" s="48"/>
      <c r="C412" s="49"/>
      <c r="D412" s="49"/>
      <c r="F412" s="17"/>
      <c r="G412" s="17"/>
    </row>
    <row r="413" spans="1:7" ht="14.25" customHeight="1">
      <c r="A413" s="79"/>
      <c r="B413" s="48"/>
      <c r="C413" s="49"/>
      <c r="D413" s="49"/>
      <c r="F413" s="17"/>
      <c r="G413" s="17"/>
    </row>
    <row r="414" spans="1:7" ht="14.25" customHeight="1">
      <c r="A414" s="79"/>
      <c r="B414" s="48"/>
      <c r="C414" s="49"/>
      <c r="D414" s="49"/>
      <c r="F414" s="17"/>
      <c r="G414" s="17"/>
    </row>
    <row r="415" spans="1:7" ht="14.25" customHeight="1">
      <c r="A415" s="79"/>
      <c r="B415" s="48"/>
      <c r="C415" s="49"/>
      <c r="D415" s="49"/>
      <c r="F415" s="17"/>
      <c r="G415" s="17"/>
    </row>
    <row r="416" spans="1:7" ht="14.25" customHeight="1">
      <c r="A416" s="79"/>
      <c r="B416" s="48"/>
      <c r="C416" s="49"/>
      <c r="D416" s="49"/>
      <c r="F416" s="17"/>
      <c r="G416" s="17"/>
    </row>
    <row r="417" spans="1:7" ht="14.25" customHeight="1">
      <c r="A417" s="79"/>
      <c r="B417" s="48"/>
      <c r="C417" s="49"/>
      <c r="D417" s="49"/>
      <c r="F417" s="17"/>
      <c r="G417" s="17"/>
    </row>
    <row r="418" spans="1:7" ht="14.25" customHeight="1">
      <c r="A418" s="79"/>
      <c r="B418" s="48"/>
      <c r="C418" s="49"/>
      <c r="D418" s="49"/>
      <c r="F418" s="17"/>
      <c r="G418" s="17"/>
    </row>
    <row r="419" spans="1:7" ht="14.25" customHeight="1">
      <c r="A419" s="79"/>
      <c r="B419" s="48"/>
      <c r="C419" s="49"/>
      <c r="D419" s="49"/>
      <c r="F419" s="17"/>
      <c r="G419" s="17"/>
    </row>
    <row r="420" spans="1:7" ht="14.25" customHeight="1">
      <c r="A420" s="79"/>
      <c r="B420" s="48"/>
      <c r="C420" s="49"/>
      <c r="D420" s="49"/>
      <c r="F420" s="17"/>
      <c r="G420" s="17"/>
    </row>
    <row r="421" spans="1:7" ht="14.25" customHeight="1">
      <c r="A421" s="79"/>
      <c r="B421" s="48"/>
      <c r="C421" s="49"/>
      <c r="D421" s="49"/>
      <c r="F421" s="17"/>
      <c r="G421" s="17"/>
    </row>
    <row r="422" spans="1:7" ht="14.25" customHeight="1">
      <c r="A422" s="79"/>
      <c r="B422" s="48"/>
      <c r="C422" s="49"/>
      <c r="D422" s="49"/>
      <c r="F422" s="17"/>
      <c r="G422" s="17"/>
    </row>
    <row r="423" spans="1:7" ht="14.25" customHeight="1">
      <c r="A423" s="79"/>
      <c r="B423" s="48"/>
      <c r="C423" s="49"/>
      <c r="D423" s="49"/>
      <c r="F423" s="17"/>
      <c r="G423" s="17"/>
    </row>
    <row r="424" spans="1:7" ht="14.25" customHeight="1">
      <c r="A424" s="79"/>
      <c r="B424" s="48"/>
      <c r="C424" s="49"/>
      <c r="D424" s="49"/>
      <c r="F424" s="17"/>
      <c r="G424" s="17"/>
    </row>
    <row r="425" spans="1:7" ht="14.25" customHeight="1">
      <c r="A425" s="79"/>
      <c r="B425" s="48"/>
      <c r="C425" s="49"/>
      <c r="D425" s="49"/>
      <c r="F425" s="17"/>
      <c r="G425" s="17"/>
    </row>
    <row r="426" spans="1:7" ht="14.25" customHeight="1">
      <c r="A426" s="79"/>
      <c r="B426" s="48"/>
      <c r="C426" s="49"/>
      <c r="D426" s="49"/>
      <c r="F426" s="17"/>
      <c r="G426" s="17"/>
    </row>
    <row r="427" spans="1:7" ht="14.25" customHeight="1">
      <c r="A427" s="79"/>
      <c r="B427" s="48"/>
      <c r="C427" s="49"/>
      <c r="D427" s="49"/>
      <c r="F427" s="17"/>
      <c r="G427" s="17"/>
    </row>
    <row r="428" spans="1:7" ht="14.25" customHeight="1">
      <c r="A428" s="79"/>
      <c r="B428" s="48"/>
      <c r="C428" s="49"/>
      <c r="D428" s="49"/>
      <c r="F428" s="17"/>
      <c r="G428" s="17"/>
    </row>
    <row r="429" spans="1:7" ht="14.25" customHeight="1">
      <c r="A429" s="79"/>
      <c r="B429" s="48"/>
      <c r="C429" s="49"/>
      <c r="D429" s="49"/>
      <c r="F429" s="17"/>
      <c r="G429" s="17"/>
    </row>
    <row r="430" spans="1:7" ht="14.25" customHeight="1">
      <c r="A430" s="79"/>
      <c r="B430" s="48"/>
      <c r="C430" s="49"/>
      <c r="D430" s="49"/>
      <c r="F430" s="17"/>
      <c r="G430" s="17"/>
    </row>
    <row r="431" spans="1:7" ht="14.25" customHeight="1">
      <c r="A431" s="79"/>
      <c r="B431" s="48"/>
      <c r="C431" s="49"/>
      <c r="D431" s="49"/>
      <c r="F431" s="17"/>
      <c r="G431" s="17"/>
    </row>
    <row r="432" spans="1:7" ht="14.25" customHeight="1">
      <c r="A432" s="79"/>
      <c r="B432" s="48"/>
      <c r="C432" s="49"/>
      <c r="D432" s="49"/>
      <c r="F432" s="17"/>
      <c r="G432" s="17"/>
    </row>
    <row r="433" spans="1:7" ht="14.25" customHeight="1">
      <c r="A433" s="79"/>
      <c r="B433" s="48"/>
      <c r="C433" s="49"/>
      <c r="D433" s="49"/>
      <c r="F433" s="17"/>
      <c r="G433" s="17"/>
    </row>
    <row r="434" spans="1:7" ht="14.25" customHeight="1">
      <c r="A434" s="79"/>
      <c r="B434" s="48"/>
      <c r="C434" s="49"/>
      <c r="D434" s="49"/>
      <c r="F434" s="17"/>
      <c r="G434" s="17"/>
    </row>
    <row r="435" spans="1:7" ht="14.25" customHeight="1">
      <c r="A435" s="79"/>
      <c r="B435" s="48"/>
      <c r="C435" s="49"/>
      <c r="D435" s="49"/>
      <c r="F435" s="17"/>
      <c r="G435" s="17"/>
    </row>
    <row r="436" spans="1:7" ht="14.25" customHeight="1">
      <c r="A436" s="79"/>
      <c r="B436" s="48"/>
      <c r="C436" s="49"/>
      <c r="D436" s="49"/>
      <c r="F436" s="17"/>
      <c r="G436" s="17"/>
    </row>
    <row r="437" spans="1:7" ht="14.25" customHeight="1">
      <c r="A437" s="79"/>
      <c r="B437" s="48"/>
      <c r="C437" s="49"/>
      <c r="D437" s="49"/>
      <c r="F437" s="17"/>
      <c r="G437" s="17"/>
    </row>
    <row r="438" spans="1:7" ht="14.25" customHeight="1">
      <c r="A438" s="79"/>
      <c r="B438" s="48"/>
      <c r="C438" s="49"/>
      <c r="D438" s="49"/>
      <c r="F438" s="17"/>
      <c r="G438" s="17"/>
    </row>
    <row r="439" spans="1:7" ht="14.25" customHeight="1">
      <c r="A439" s="79"/>
      <c r="B439" s="48"/>
      <c r="C439" s="49"/>
      <c r="D439" s="49"/>
      <c r="F439" s="17"/>
      <c r="G439" s="17"/>
    </row>
    <row r="440" spans="1:7" ht="14.25" customHeight="1">
      <c r="A440" s="79"/>
      <c r="B440" s="48"/>
      <c r="C440" s="49"/>
      <c r="D440" s="49"/>
      <c r="F440" s="17"/>
      <c r="G440" s="17"/>
    </row>
    <row r="441" spans="1:7" ht="14.25" customHeight="1">
      <c r="A441" s="79"/>
      <c r="B441" s="48"/>
      <c r="C441" s="49"/>
      <c r="D441" s="49"/>
      <c r="F441" s="17"/>
      <c r="G441" s="17"/>
    </row>
    <row r="442" spans="1:7" ht="14.25" customHeight="1">
      <c r="A442" s="79"/>
      <c r="B442" s="48"/>
      <c r="C442" s="49"/>
      <c r="D442" s="49"/>
      <c r="F442" s="17"/>
      <c r="G442" s="17"/>
    </row>
    <row r="443" spans="1:7" ht="14.25" customHeight="1">
      <c r="A443" s="79"/>
      <c r="B443" s="48"/>
      <c r="C443" s="49"/>
      <c r="D443" s="49"/>
      <c r="F443" s="17"/>
      <c r="G443" s="17"/>
    </row>
    <row r="444" spans="1:7" ht="14.25" customHeight="1">
      <c r="A444" s="79"/>
      <c r="B444" s="48"/>
      <c r="C444" s="49"/>
      <c r="D444" s="49"/>
      <c r="F444" s="17"/>
      <c r="G444" s="17"/>
    </row>
    <row r="445" spans="1:7" ht="14.25" customHeight="1">
      <c r="A445" s="79"/>
      <c r="B445" s="48"/>
      <c r="C445" s="49"/>
      <c r="D445" s="49"/>
      <c r="F445" s="17"/>
      <c r="G445" s="17"/>
    </row>
    <row r="446" spans="1:7" ht="14.25" customHeight="1">
      <c r="A446" s="79"/>
      <c r="B446" s="48"/>
      <c r="C446" s="49"/>
      <c r="D446" s="49"/>
      <c r="F446" s="17"/>
      <c r="G446" s="17"/>
    </row>
    <row r="447" spans="1:7" ht="14.25" customHeight="1">
      <c r="A447" s="79"/>
      <c r="B447" s="48"/>
      <c r="C447" s="49"/>
      <c r="D447" s="49"/>
      <c r="F447" s="17"/>
      <c r="G447" s="17"/>
    </row>
    <row r="448" spans="1:7" ht="14.25" customHeight="1">
      <c r="A448" s="79"/>
      <c r="B448" s="48"/>
      <c r="C448" s="49"/>
      <c r="D448" s="49"/>
      <c r="F448" s="17"/>
      <c r="G448" s="17"/>
    </row>
    <row r="449" spans="1:7" ht="14.25" customHeight="1">
      <c r="A449" s="79"/>
      <c r="B449" s="48"/>
      <c r="C449" s="49"/>
      <c r="D449" s="49"/>
      <c r="F449" s="17"/>
      <c r="G449" s="17"/>
    </row>
    <row r="450" spans="1:7" ht="14.25" customHeight="1">
      <c r="A450" s="79"/>
      <c r="B450" s="48"/>
      <c r="C450" s="49"/>
      <c r="D450" s="49"/>
      <c r="F450" s="17"/>
      <c r="G450" s="17"/>
    </row>
    <row r="451" spans="1:7" ht="14.25" customHeight="1">
      <c r="A451" s="79"/>
      <c r="B451" s="48"/>
      <c r="C451" s="49"/>
      <c r="D451" s="49"/>
      <c r="F451" s="17"/>
      <c r="G451" s="17"/>
    </row>
    <row r="452" spans="1:7" ht="14.25" customHeight="1">
      <c r="A452" s="79"/>
      <c r="B452" s="48"/>
      <c r="C452" s="49"/>
      <c r="D452" s="49"/>
      <c r="F452" s="17"/>
      <c r="G452" s="17"/>
    </row>
    <row r="453" spans="1:7" ht="14.25" customHeight="1">
      <c r="A453" s="79"/>
      <c r="B453" s="48"/>
      <c r="C453" s="49"/>
      <c r="D453" s="49"/>
      <c r="F453" s="17"/>
      <c r="G453" s="17"/>
    </row>
    <row r="454" spans="1:7" ht="14.25" customHeight="1">
      <c r="A454" s="79"/>
      <c r="B454" s="48"/>
      <c r="C454" s="49"/>
      <c r="D454" s="49"/>
      <c r="F454" s="17"/>
      <c r="G454" s="17"/>
    </row>
    <row r="455" spans="1:7" ht="14.25" customHeight="1">
      <c r="A455" s="79"/>
      <c r="B455" s="48"/>
      <c r="C455" s="49"/>
      <c r="D455" s="49"/>
      <c r="F455" s="17"/>
      <c r="G455" s="17"/>
    </row>
    <row r="456" spans="1:7" ht="14.25" customHeight="1">
      <c r="A456" s="79"/>
      <c r="B456" s="48"/>
      <c r="C456" s="49"/>
      <c r="D456" s="49"/>
      <c r="F456" s="17"/>
      <c r="G456" s="17"/>
    </row>
    <row r="457" spans="1:7" ht="14.25" customHeight="1">
      <c r="A457" s="79"/>
      <c r="B457" s="48"/>
      <c r="C457" s="49"/>
      <c r="D457" s="49"/>
      <c r="F457" s="17"/>
      <c r="G457" s="17"/>
    </row>
    <row r="458" spans="1:7" ht="14.25" customHeight="1">
      <c r="A458" s="79"/>
      <c r="B458" s="48"/>
      <c r="C458" s="49"/>
      <c r="D458" s="49"/>
      <c r="F458" s="17"/>
      <c r="G458" s="17"/>
    </row>
    <row r="459" spans="1:7" ht="14.25" customHeight="1">
      <c r="A459" s="79"/>
      <c r="B459" s="48"/>
      <c r="C459" s="49"/>
      <c r="D459" s="49"/>
      <c r="F459" s="17"/>
      <c r="G459" s="17"/>
    </row>
    <row r="460" spans="1:7" ht="14.25" customHeight="1">
      <c r="A460" s="79"/>
      <c r="B460" s="48"/>
      <c r="C460" s="49"/>
      <c r="D460" s="49"/>
      <c r="F460" s="17"/>
      <c r="G460" s="17"/>
    </row>
    <row r="461" spans="1:7" ht="14.25" customHeight="1">
      <c r="A461" s="79"/>
      <c r="B461" s="48"/>
      <c r="C461" s="49"/>
      <c r="D461" s="49"/>
      <c r="F461" s="17"/>
      <c r="G461" s="17"/>
    </row>
    <row r="462" spans="1:7" ht="14.25" customHeight="1">
      <c r="A462" s="79"/>
      <c r="B462" s="48"/>
      <c r="C462" s="49"/>
      <c r="D462" s="49"/>
      <c r="F462" s="17"/>
      <c r="G462" s="17"/>
    </row>
    <row r="463" spans="1:7" ht="14.25" customHeight="1">
      <c r="A463" s="79"/>
      <c r="B463" s="48"/>
      <c r="C463" s="49"/>
      <c r="D463" s="49"/>
      <c r="F463" s="17"/>
      <c r="G463" s="17"/>
    </row>
    <row r="464" spans="1:7" ht="14.25" customHeight="1">
      <c r="A464" s="79"/>
      <c r="B464" s="48"/>
      <c r="C464" s="49"/>
      <c r="D464" s="49"/>
      <c r="F464" s="17"/>
      <c r="G464" s="17"/>
    </row>
    <row r="465" spans="1:7" ht="14.25" customHeight="1">
      <c r="A465" s="79"/>
      <c r="B465" s="48"/>
      <c r="C465" s="49"/>
      <c r="D465" s="49"/>
      <c r="F465" s="17"/>
      <c r="G465" s="17"/>
    </row>
    <row r="466" spans="1:7" ht="14.25" customHeight="1">
      <c r="A466" s="79"/>
      <c r="B466" s="48"/>
      <c r="C466" s="49"/>
      <c r="D466" s="49"/>
      <c r="F466" s="17"/>
      <c r="G466" s="17"/>
    </row>
    <row r="467" spans="1:7" ht="14.25" customHeight="1">
      <c r="A467" s="79"/>
      <c r="B467" s="48"/>
      <c r="C467" s="49"/>
      <c r="D467" s="49"/>
      <c r="F467" s="17"/>
      <c r="G467" s="17"/>
    </row>
    <row r="468" spans="1:7" ht="14.25" customHeight="1">
      <c r="A468" s="79"/>
      <c r="B468" s="48"/>
      <c r="C468" s="49"/>
      <c r="D468" s="49"/>
      <c r="F468" s="17"/>
      <c r="G468" s="17"/>
    </row>
    <row r="469" spans="1:7" ht="14.25" customHeight="1">
      <c r="A469" s="79"/>
      <c r="B469" s="48"/>
      <c r="C469" s="49"/>
      <c r="D469" s="49"/>
      <c r="F469" s="17"/>
      <c r="G469" s="17"/>
    </row>
    <row r="470" spans="1:7" ht="14.25" customHeight="1">
      <c r="A470" s="79"/>
      <c r="B470" s="48"/>
      <c r="C470" s="49"/>
      <c r="D470" s="49"/>
      <c r="F470" s="17"/>
      <c r="G470" s="17"/>
    </row>
    <row r="471" spans="1:7" ht="14.25" customHeight="1">
      <c r="A471" s="79"/>
      <c r="B471" s="48"/>
      <c r="C471" s="49"/>
      <c r="D471" s="49"/>
      <c r="F471" s="17"/>
      <c r="G471" s="17"/>
    </row>
    <row r="472" spans="1:7" ht="14.25" customHeight="1">
      <c r="A472" s="79"/>
      <c r="B472" s="48"/>
      <c r="C472" s="49"/>
      <c r="D472" s="49"/>
      <c r="F472" s="17"/>
      <c r="G472" s="17"/>
    </row>
    <row r="473" spans="1:7" ht="14.25" customHeight="1">
      <c r="A473" s="79"/>
      <c r="B473" s="48"/>
      <c r="C473" s="49"/>
      <c r="D473" s="49"/>
      <c r="F473" s="17"/>
      <c r="G473" s="17"/>
    </row>
    <row r="474" spans="1:7" ht="14.25" customHeight="1">
      <c r="A474" s="79"/>
      <c r="B474" s="48"/>
      <c r="C474" s="49"/>
      <c r="D474" s="49"/>
      <c r="F474" s="17"/>
      <c r="G474" s="17"/>
    </row>
    <row r="475" spans="1:7" ht="14.25" customHeight="1">
      <c r="A475" s="79"/>
      <c r="B475" s="48"/>
      <c r="C475" s="49"/>
      <c r="D475" s="49"/>
      <c r="F475" s="17"/>
      <c r="G475" s="17"/>
    </row>
    <row r="476" spans="1:7" ht="14.25" customHeight="1">
      <c r="A476" s="79"/>
      <c r="B476" s="48"/>
      <c r="C476" s="49"/>
      <c r="D476" s="49"/>
      <c r="F476" s="17"/>
      <c r="G476" s="17"/>
    </row>
    <row r="477" spans="1:7" ht="14.25" customHeight="1">
      <c r="A477" s="79"/>
      <c r="B477" s="48"/>
      <c r="C477" s="49"/>
      <c r="D477" s="49"/>
      <c r="F477" s="17"/>
      <c r="G477" s="17"/>
    </row>
    <row r="478" spans="1:7" ht="14.25" customHeight="1">
      <c r="A478" s="79"/>
      <c r="B478" s="48"/>
      <c r="C478" s="49"/>
      <c r="D478" s="49"/>
      <c r="F478" s="17"/>
      <c r="G478" s="17"/>
    </row>
    <row r="479" spans="1:7" ht="14.25" customHeight="1">
      <c r="A479" s="79"/>
      <c r="B479" s="48"/>
      <c r="C479" s="49"/>
      <c r="D479" s="49"/>
      <c r="F479" s="17"/>
      <c r="G479" s="17"/>
    </row>
    <row r="480" spans="1:7" ht="14.25" customHeight="1">
      <c r="A480" s="79"/>
      <c r="B480" s="48"/>
      <c r="C480" s="49"/>
      <c r="D480" s="49"/>
      <c r="F480" s="17"/>
      <c r="G480" s="17"/>
    </row>
    <row r="481" spans="1:7" ht="14.25" customHeight="1">
      <c r="A481" s="79"/>
      <c r="B481" s="48"/>
      <c r="C481" s="49"/>
      <c r="D481" s="49"/>
      <c r="F481" s="17"/>
      <c r="G481" s="17"/>
    </row>
    <row r="482" spans="1:7" ht="14.25" customHeight="1">
      <c r="A482" s="79"/>
      <c r="B482" s="48"/>
      <c r="C482" s="49"/>
      <c r="D482" s="49"/>
      <c r="F482" s="17"/>
      <c r="G482" s="17"/>
    </row>
    <row r="483" spans="1:7" ht="14.25" customHeight="1">
      <c r="A483" s="79"/>
      <c r="B483" s="48"/>
      <c r="C483" s="49"/>
      <c r="D483" s="49"/>
      <c r="F483" s="17"/>
      <c r="G483" s="17"/>
    </row>
    <row r="484" spans="1:7" ht="14.25" customHeight="1">
      <c r="A484" s="79"/>
      <c r="B484" s="48"/>
      <c r="C484" s="49"/>
      <c r="D484" s="49"/>
      <c r="F484" s="17"/>
      <c r="G484" s="17"/>
    </row>
    <row r="485" spans="1:7" ht="14.25" customHeight="1">
      <c r="A485" s="79"/>
      <c r="B485" s="48"/>
      <c r="C485" s="49"/>
      <c r="D485" s="49"/>
      <c r="F485" s="17"/>
      <c r="G485" s="17"/>
    </row>
    <row r="486" spans="1:7" ht="14.25" customHeight="1">
      <c r="A486" s="79"/>
      <c r="B486" s="48"/>
      <c r="C486" s="49"/>
      <c r="D486" s="49"/>
      <c r="F486" s="17"/>
      <c r="G486" s="17"/>
    </row>
    <row r="487" spans="1:7" ht="14.25" customHeight="1">
      <c r="A487" s="79"/>
      <c r="B487" s="48"/>
      <c r="C487" s="49"/>
      <c r="D487" s="49"/>
      <c r="F487" s="17"/>
      <c r="G487" s="17"/>
    </row>
    <row r="488" spans="1:7" ht="14.25" customHeight="1">
      <c r="A488" s="79"/>
      <c r="B488" s="48"/>
      <c r="C488" s="49"/>
      <c r="D488" s="49"/>
      <c r="F488" s="17"/>
      <c r="G488" s="17"/>
    </row>
    <row r="489" spans="1:7" ht="14.25" customHeight="1">
      <c r="A489" s="79"/>
      <c r="B489" s="48"/>
      <c r="C489" s="49"/>
      <c r="D489" s="49"/>
      <c r="F489" s="17"/>
      <c r="G489" s="17"/>
    </row>
    <row r="490" spans="1:7" ht="14.25" customHeight="1">
      <c r="A490" s="79"/>
      <c r="B490" s="48"/>
      <c r="C490" s="49"/>
      <c r="D490" s="49"/>
      <c r="F490" s="17"/>
      <c r="G490" s="17"/>
    </row>
    <row r="491" spans="1:7" ht="14.25" customHeight="1">
      <c r="A491" s="79"/>
      <c r="B491" s="48"/>
      <c r="C491" s="49"/>
      <c r="D491" s="49"/>
      <c r="F491" s="17"/>
      <c r="G491" s="17"/>
    </row>
    <row r="492" spans="1:7" ht="14.25" customHeight="1">
      <c r="A492" s="79"/>
      <c r="B492" s="48"/>
      <c r="C492" s="49"/>
      <c r="D492" s="49"/>
      <c r="F492" s="17"/>
      <c r="G492" s="17"/>
    </row>
    <row r="493" spans="1:7" ht="14.25" customHeight="1">
      <c r="A493" s="79"/>
      <c r="B493" s="48"/>
      <c r="C493" s="49"/>
      <c r="D493" s="49"/>
      <c r="F493" s="17"/>
      <c r="G493" s="17"/>
    </row>
    <row r="494" spans="1:7" ht="14.25" customHeight="1">
      <c r="A494" s="79"/>
      <c r="B494" s="48"/>
      <c r="C494" s="49"/>
      <c r="D494" s="49"/>
      <c r="F494" s="17"/>
      <c r="G494" s="17"/>
    </row>
    <row r="495" spans="1:7" ht="14.25" customHeight="1">
      <c r="A495" s="79"/>
      <c r="B495" s="48"/>
      <c r="C495" s="49"/>
      <c r="D495" s="49"/>
      <c r="F495" s="17"/>
      <c r="G495" s="17"/>
    </row>
    <row r="496" spans="1:7" ht="14.25" customHeight="1">
      <c r="A496" s="79"/>
      <c r="B496" s="48"/>
      <c r="C496" s="49"/>
      <c r="D496" s="49"/>
      <c r="F496" s="17"/>
      <c r="G496" s="17"/>
    </row>
    <row r="497" spans="1:7" ht="14.25" customHeight="1">
      <c r="A497" s="79"/>
      <c r="B497" s="48"/>
      <c r="C497" s="49"/>
      <c r="D497" s="49"/>
      <c r="F497" s="17"/>
      <c r="G497" s="17"/>
    </row>
    <row r="498" spans="1:7" ht="14.25" customHeight="1">
      <c r="A498" s="79"/>
      <c r="B498" s="48"/>
      <c r="C498" s="49"/>
      <c r="D498" s="49"/>
      <c r="F498" s="17"/>
      <c r="G498" s="17"/>
    </row>
    <row r="499" spans="1:7" ht="14.25" customHeight="1">
      <c r="A499" s="79"/>
      <c r="B499" s="48"/>
      <c r="C499" s="49"/>
      <c r="D499" s="49"/>
      <c r="F499" s="17"/>
      <c r="G499" s="17"/>
    </row>
    <row r="500" spans="1:7" ht="14.25" customHeight="1">
      <c r="A500" s="79"/>
      <c r="B500" s="48"/>
      <c r="C500" s="49"/>
      <c r="D500" s="49"/>
      <c r="F500" s="17"/>
      <c r="G500" s="17"/>
    </row>
    <row r="501" spans="1:7" ht="14.25" customHeight="1">
      <c r="A501" s="79"/>
      <c r="B501" s="48"/>
      <c r="C501" s="49"/>
      <c r="D501" s="49"/>
      <c r="F501" s="17"/>
      <c r="G501" s="17"/>
    </row>
    <row r="502" spans="1:7" ht="14.25" customHeight="1">
      <c r="A502" s="79"/>
      <c r="B502" s="48"/>
      <c r="C502" s="49"/>
      <c r="D502" s="49"/>
      <c r="F502" s="17"/>
      <c r="G502" s="17"/>
    </row>
    <row r="503" spans="1:7" ht="14.25" customHeight="1">
      <c r="A503" s="79"/>
      <c r="B503" s="48"/>
      <c r="C503" s="49"/>
      <c r="D503" s="49"/>
      <c r="F503" s="17"/>
      <c r="G503" s="17"/>
    </row>
    <row r="504" spans="1:7" ht="14.25" customHeight="1">
      <c r="A504" s="79"/>
      <c r="B504" s="48"/>
      <c r="C504" s="49"/>
      <c r="D504" s="49"/>
      <c r="F504" s="17"/>
      <c r="G504" s="17"/>
    </row>
    <row r="505" spans="1:7" ht="14.25" customHeight="1">
      <c r="A505" s="79"/>
      <c r="B505" s="48"/>
      <c r="C505" s="49"/>
      <c r="D505" s="49"/>
      <c r="F505" s="17"/>
      <c r="G505" s="17"/>
    </row>
    <row r="506" spans="1:7" ht="14.25" customHeight="1">
      <c r="A506" s="79"/>
      <c r="B506" s="48"/>
      <c r="C506" s="49"/>
      <c r="D506" s="49"/>
      <c r="F506" s="17"/>
      <c r="G506" s="17"/>
    </row>
    <row r="507" spans="1:7" ht="14.25" customHeight="1">
      <c r="A507" s="79"/>
      <c r="B507" s="48"/>
      <c r="C507" s="49"/>
      <c r="D507" s="49"/>
      <c r="F507" s="17"/>
      <c r="G507" s="17"/>
    </row>
    <row r="508" spans="1:7" ht="14.25" customHeight="1">
      <c r="A508" s="79"/>
      <c r="B508" s="48"/>
      <c r="C508" s="49"/>
      <c r="D508" s="49"/>
      <c r="F508" s="17"/>
      <c r="G508" s="17"/>
    </row>
    <row r="509" spans="1:7" ht="14.25" customHeight="1">
      <c r="A509" s="79"/>
      <c r="B509" s="48"/>
      <c r="C509" s="49"/>
      <c r="D509" s="49"/>
      <c r="F509" s="17"/>
      <c r="G509" s="17"/>
    </row>
    <row r="510" spans="1:7" ht="14.25" customHeight="1">
      <c r="A510" s="79"/>
      <c r="B510" s="48"/>
      <c r="C510" s="49"/>
      <c r="D510" s="49"/>
      <c r="F510" s="17"/>
      <c r="G510" s="17"/>
    </row>
    <row r="511" spans="1:7" ht="14.25" customHeight="1">
      <c r="A511" s="79"/>
      <c r="B511" s="48"/>
      <c r="C511" s="49"/>
      <c r="D511" s="49"/>
      <c r="F511" s="17"/>
      <c r="G511" s="17"/>
    </row>
    <row r="512" spans="1:7" ht="14.25" customHeight="1">
      <c r="A512" s="79"/>
      <c r="B512" s="48"/>
      <c r="C512" s="49"/>
      <c r="D512" s="49"/>
      <c r="F512" s="17"/>
      <c r="G512" s="17"/>
    </row>
    <row r="513" spans="1:7" ht="14.25" customHeight="1">
      <c r="A513" s="79"/>
      <c r="B513" s="48"/>
      <c r="C513" s="49"/>
      <c r="D513" s="49"/>
      <c r="F513" s="17"/>
      <c r="G513" s="17"/>
    </row>
    <row r="514" spans="1:7" ht="14.25" customHeight="1">
      <c r="A514" s="79"/>
      <c r="B514" s="48"/>
      <c r="C514" s="49"/>
      <c r="D514" s="49"/>
      <c r="F514" s="17"/>
      <c r="G514" s="17"/>
    </row>
    <row r="515" spans="1:7" ht="14.25" customHeight="1">
      <c r="A515" s="79"/>
      <c r="B515" s="48"/>
      <c r="C515" s="49"/>
      <c r="D515" s="49"/>
      <c r="F515" s="17"/>
      <c r="G515" s="17"/>
    </row>
    <row r="516" spans="1:7" ht="14.25" customHeight="1">
      <c r="A516" s="79"/>
      <c r="B516" s="48"/>
      <c r="C516" s="49"/>
      <c r="D516" s="49"/>
      <c r="F516" s="17"/>
      <c r="G516" s="17"/>
    </row>
    <row r="517" spans="1:7" ht="14.25" customHeight="1">
      <c r="A517" s="79"/>
      <c r="B517" s="48"/>
      <c r="C517" s="49"/>
      <c r="D517" s="49"/>
      <c r="F517" s="17"/>
      <c r="G517" s="17"/>
    </row>
    <row r="518" spans="1:7" ht="14.25" customHeight="1">
      <c r="A518" s="79"/>
      <c r="B518" s="48"/>
      <c r="C518" s="49"/>
      <c r="D518" s="49"/>
      <c r="F518" s="17"/>
      <c r="G518" s="17"/>
    </row>
    <row r="519" spans="1:7" ht="14.25" customHeight="1">
      <c r="A519" s="79"/>
      <c r="B519" s="48"/>
      <c r="C519" s="49"/>
      <c r="D519" s="49"/>
      <c r="F519" s="17"/>
      <c r="G519" s="17"/>
    </row>
    <row r="520" spans="1:7" ht="14.25" customHeight="1">
      <c r="A520" s="79"/>
      <c r="B520" s="48"/>
      <c r="C520" s="49"/>
      <c r="D520" s="49"/>
      <c r="F520" s="17"/>
      <c r="G520" s="17"/>
    </row>
    <row r="521" spans="1:7" ht="14.25" customHeight="1">
      <c r="A521" s="79"/>
      <c r="B521" s="48"/>
      <c r="C521" s="49"/>
      <c r="D521" s="49"/>
      <c r="F521" s="17"/>
      <c r="G521" s="17"/>
    </row>
    <row r="522" spans="1:7" ht="14.25" customHeight="1">
      <c r="A522" s="79"/>
      <c r="B522" s="48"/>
      <c r="C522" s="49"/>
      <c r="D522" s="49"/>
      <c r="F522" s="17"/>
      <c r="G522" s="17"/>
    </row>
    <row r="523" spans="1:7" ht="14.25" customHeight="1">
      <c r="A523" s="79"/>
      <c r="B523" s="48"/>
      <c r="C523" s="49"/>
      <c r="D523" s="49"/>
      <c r="F523" s="17"/>
      <c r="G523" s="17"/>
    </row>
    <row r="524" spans="1:7" ht="14.25" customHeight="1">
      <c r="A524" s="79"/>
      <c r="B524" s="48"/>
      <c r="C524" s="49"/>
      <c r="D524" s="49"/>
      <c r="F524" s="17"/>
      <c r="G524" s="17"/>
    </row>
    <row r="525" spans="1:7" ht="14.25" customHeight="1">
      <c r="A525" s="79"/>
      <c r="B525" s="48"/>
      <c r="C525" s="49"/>
      <c r="D525" s="49"/>
      <c r="F525" s="17"/>
      <c r="G525" s="17"/>
    </row>
    <row r="526" spans="1:7" ht="14.25" customHeight="1">
      <c r="A526" s="79"/>
      <c r="B526" s="48"/>
      <c r="C526" s="49"/>
      <c r="D526" s="49"/>
      <c r="F526" s="17"/>
      <c r="G526" s="17"/>
    </row>
    <row r="527" spans="1:7" ht="14.25" customHeight="1">
      <c r="A527" s="79"/>
      <c r="B527" s="48"/>
      <c r="C527" s="49"/>
      <c r="D527" s="49"/>
      <c r="F527" s="17"/>
      <c r="G527" s="17"/>
    </row>
    <row r="528" spans="1:7" ht="14.25" customHeight="1">
      <c r="A528" s="79"/>
      <c r="B528" s="48"/>
      <c r="C528" s="49"/>
      <c r="D528" s="49"/>
      <c r="F528" s="17"/>
      <c r="G528" s="17"/>
    </row>
    <row r="529" spans="1:7" ht="14.25" customHeight="1">
      <c r="A529" s="79"/>
      <c r="B529" s="48"/>
      <c r="C529" s="49"/>
      <c r="D529" s="49"/>
      <c r="F529" s="17"/>
      <c r="G529" s="17"/>
    </row>
    <row r="530" spans="1:7" ht="14.25" customHeight="1">
      <c r="A530" s="79"/>
      <c r="B530" s="48"/>
      <c r="C530" s="49"/>
      <c r="D530" s="49"/>
      <c r="F530" s="17"/>
      <c r="G530" s="17"/>
    </row>
    <row r="531" spans="1:7" ht="14.25" customHeight="1">
      <c r="A531" s="79"/>
      <c r="B531" s="48"/>
      <c r="C531" s="49"/>
      <c r="D531" s="49"/>
      <c r="F531" s="17"/>
      <c r="G531" s="17"/>
    </row>
    <row r="532" spans="1:7" ht="14.25" customHeight="1">
      <c r="A532" s="79"/>
      <c r="B532" s="48"/>
      <c r="C532" s="49"/>
      <c r="D532" s="49"/>
      <c r="F532" s="17"/>
      <c r="G532" s="17"/>
    </row>
    <row r="533" spans="1:7" ht="14.25" customHeight="1">
      <c r="A533" s="79"/>
      <c r="B533" s="48"/>
      <c r="C533" s="49"/>
      <c r="D533" s="49"/>
      <c r="F533" s="17"/>
      <c r="G533" s="17"/>
    </row>
    <row r="534" spans="1:7" ht="14.25" customHeight="1">
      <c r="A534" s="79"/>
      <c r="B534" s="48"/>
      <c r="C534" s="49"/>
      <c r="D534" s="49"/>
      <c r="F534" s="17"/>
      <c r="G534" s="17"/>
    </row>
    <row r="535" spans="1:7" ht="14.25" customHeight="1">
      <c r="A535" s="79"/>
      <c r="B535" s="48"/>
      <c r="C535" s="49"/>
      <c r="D535" s="49"/>
      <c r="F535" s="17"/>
      <c r="G535" s="17"/>
    </row>
    <row r="536" spans="1:7" ht="14.25" customHeight="1">
      <c r="A536" s="79"/>
      <c r="B536" s="48"/>
      <c r="C536" s="49"/>
      <c r="D536" s="49"/>
      <c r="F536" s="17"/>
      <c r="G536" s="17"/>
    </row>
    <row r="537" spans="1:7" ht="14.25" customHeight="1">
      <c r="A537" s="79"/>
      <c r="B537" s="48"/>
      <c r="C537" s="49"/>
      <c r="D537" s="49"/>
      <c r="F537" s="17"/>
      <c r="G537" s="17"/>
    </row>
    <row r="538" spans="1:7" ht="14.25" customHeight="1">
      <c r="A538" s="79"/>
      <c r="B538" s="48"/>
      <c r="C538" s="49"/>
      <c r="D538" s="49"/>
      <c r="F538" s="17"/>
      <c r="G538" s="17"/>
    </row>
    <row r="539" spans="1:7" ht="14.25" customHeight="1">
      <c r="A539" s="79"/>
      <c r="B539" s="48"/>
      <c r="C539" s="49"/>
      <c r="D539" s="49"/>
      <c r="F539" s="17"/>
      <c r="G539" s="17"/>
    </row>
    <row r="540" spans="1:7" ht="14.25" customHeight="1">
      <c r="A540" s="79"/>
      <c r="B540" s="48"/>
      <c r="C540" s="49"/>
      <c r="D540" s="49"/>
      <c r="F540" s="17"/>
      <c r="G540" s="17"/>
    </row>
    <row r="541" spans="1:7" ht="14.25" customHeight="1">
      <c r="A541" s="79"/>
      <c r="B541" s="48"/>
      <c r="C541" s="49"/>
      <c r="D541" s="49"/>
      <c r="F541" s="17"/>
      <c r="G541" s="17"/>
    </row>
    <row r="542" spans="1:7" ht="14.25" customHeight="1">
      <c r="A542" s="79"/>
      <c r="B542" s="48"/>
      <c r="C542" s="49"/>
      <c r="D542" s="49"/>
      <c r="F542" s="17"/>
      <c r="G542" s="17"/>
    </row>
    <row r="543" spans="1:7" ht="14.25" customHeight="1">
      <c r="A543" s="79"/>
      <c r="B543" s="48"/>
      <c r="C543" s="49"/>
      <c r="D543" s="49"/>
      <c r="F543" s="17"/>
      <c r="G543" s="17"/>
    </row>
    <row r="544" spans="1:7" ht="14.25" customHeight="1">
      <c r="A544" s="79"/>
      <c r="B544" s="48"/>
      <c r="C544" s="49"/>
      <c r="D544" s="49"/>
      <c r="F544" s="17"/>
      <c r="G544" s="17"/>
    </row>
    <row r="545" spans="1:7" ht="14.25" customHeight="1">
      <c r="A545" s="79"/>
      <c r="B545" s="48"/>
      <c r="C545" s="49"/>
      <c r="D545" s="49"/>
      <c r="F545" s="17"/>
      <c r="G545" s="17"/>
    </row>
    <row r="546" spans="1:7" ht="14.25" customHeight="1">
      <c r="A546" s="79"/>
      <c r="B546" s="48"/>
      <c r="C546" s="49"/>
      <c r="D546" s="49"/>
      <c r="F546" s="17"/>
      <c r="G546" s="17"/>
    </row>
    <row r="547" spans="1:7" ht="14.25" customHeight="1">
      <c r="A547" s="79"/>
      <c r="B547" s="48"/>
      <c r="C547" s="49"/>
      <c r="D547" s="49"/>
      <c r="F547" s="17"/>
      <c r="G547" s="17"/>
    </row>
    <row r="548" spans="1:7" ht="14.25" customHeight="1">
      <c r="A548" s="79"/>
      <c r="B548" s="48"/>
      <c r="C548" s="49"/>
      <c r="D548" s="49"/>
      <c r="F548" s="17"/>
      <c r="G548" s="17"/>
    </row>
    <row r="549" spans="1:7" ht="14.25" customHeight="1">
      <c r="A549" s="79"/>
      <c r="B549" s="48"/>
      <c r="C549" s="49"/>
      <c r="D549" s="49"/>
      <c r="F549" s="17"/>
      <c r="G549" s="17"/>
    </row>
    <row r="550" spans="1:7" ht="14.25" customHeight="1">
      <c r="A550" s="79"/>
      <c r="B550" s="48"/>
      <c r="C550" s="49"/>
      <c r="D550" s="49"/>
      <c r="F550" s="17"/>
      <c r="G550" s="17"/>
    </row>
    <row r="551" spans="1:7" ht="14.25" customHeight="1">
      <c r="A551" s="79"/>
      <c r="B551" s="48"/>
      <c r="C551" s="49"/>
      <c r="D551" s="49"/>
      <c r="F551" s="17"/>
      <c r="G551" s="17"/>
    </row>
    <row r="552" spans="1:7" ht="14.25" customHeight="1">
      <c r="A552" s="79"/>
      <c r="B552" s="48"/>
      <c r="C552" s="49"/>
      <c r="D552" s="49"/>
      <c r="F552" s="17"/>
      <c r="G552" s="17"/>
    </row>
    <row r="553" spans="1:7" ht="14.25" customHeight="1">
      <c r="A553" s="79"/>
      <c r="B553" s="48"/>
      <c r="C553" s="49"/>
      <c r="D553" s="49"/>
      <c r="F553" s="17"/>
      <c r="G553" s="17"/>
    </row>
    <row r="554" spans="1:7" ht="14.25" customHeight="1">
      <c r="A554" s="79"/>
      <c r="B554" s="48"/>
      <c r="C554" s="49"/>
      <c r="D554" s="49"/>
      <c r="F554" s="17"/>
      <c r="G554" s="17"/>
    </row>
    <row r="555" spans="1:7" ht="14.25" customHeight="1">
      <c r="A555" s="79"/>
      <c r="B555" s="48"/>
      <c r="C555" s="49"/>
      <c r="D555" s="49"/>
      <c r="F555" s="17"/>
      <c r="G555" s="17"/>
    </row>
    <row r="556" spans="1:7" ht="14.25" customHeight="1">
      <c r="A556" s="79"/>
      <c r="B556" s="48"/>
      <c r="C556" s="49"/>
      <c r="D556" s="49"/>
      <c r="F556" s="17"/>
      <c r="G556" s="17"/>
    </row>
    <row r="557" spans="1:7" ht="14.25" customHeight="1">
      <c r="A557" s="79"/>
      <c r="B557" s="48"/>
      <c r="C557" s="49"/>
      <c r="D557" s="49"/>
      <c r="F557" s="17"/>
      <c r="G557" s="17"/>
    </row>
    <row r="558" spans="1:7" ht="14.25" customHeight="1">
      <c r="A558" s="79"/>
      <c r="B558" s="48"/>
      <c r="C558" s="49"/>
      <c r="D558" s="49"/>
      <c r="F558" s="17"/>
      <c r="G558" s="17"/>
    </row>
    <row r="559" spans="1:7" ht="14.25" customHeight="1">
      <c r="A559" s="79"/>
      <c r="B559" s="48"/>
      <c r="C559" s="49"/>
      <c r="D559" s="49"/>
      <c r="F559" s="17"/>
      <c r="G559" s="17"/>
    </row>
    <row r="560" spans="1:7" ht="14.25" customHeight="1">
      <c r="A560" s="79"/>
      <c r="B560" s="48"/>
      <c r="C560" s="49"/>
      <c r="D560" s="49"/>
      <c r="F560" s="17"/>
      <c r="G560" s="17"/>
    </row>
    <row r="561" spans="1:7" ht="14.25" customHeight="1">
      <c r="A561" s="79"/>
      <c r="B561" s="48"/>
      <c r="C561" s="49"/>
      <c r="D561" s="49"/>
      <c r="F561" s="17"/>
      <c r="G561" s="17"/>
    </row>
    <row r="562" spans="1:7" ht="14.25" customHeight="1">
      <c r="A562" s="79"/>
      <c r="B562" s="48"/>
      <c r="C562" s="49"/>
      <c r="D562" s="49"/>
      <c r="F562" s="17"/>
      <c r="G562" s="17"/>
    </row>
    <row r="563" spans="1:7" ht="14.25" customHeight="1">
      <c r="A563" s="79"/>
      <c r="B563" s="48"/>
      <c r="C563" s="49"/>
      <c r="D563" s="49"/>
      <c r="F563" s="17"/>
      <c r="G563" s="17"/>
    </row>
    <row r="564" spans="1:7" ht="14.25" customHeight="1">
      <c r="A564" s="79"/>
      <c r="B564" s="48"/>
      <c r="C564" s="49"/>
      <c r="D564" s="49"/>
      <c r="F564" s="17"/>
      <c r="G564" s="17"/>
    </row>
    <row r="565" spans="1:7" ht="14.25" customHeight="1">
      <c r="A565" s="79"/>
      <c r="B565" s="48"/>
      <c r="C565" s="49"/>
      <c r="D565" s="49"/>
      <c r="F565" s="17"/>
      <c r="G565" s="17"/>
    </row>
    <row r="566" spans="1:7" ht="14.25" customHeight="1">
      <c r="A566" s="79"/>
      <c r="B566" s="48"/>
      <c r="C566" s="49"/>
      <c r="D566" s="49"/>
      <c r="F566" s="17"/>
      <c r="G566" s="17"/>
    </row>
    <row r="567" spans="1:7" ht="14.25" customHeight="1">
      <c r="A567" s="79"/>
      <c r="B567" s="48"/>
      <c r="C567" s="49"/>
      <c r="D567" s="49"/>
      <c r="F567" s="17"/>
      <c r="G567" s="17"/>
    </row>
    <row r="568" spans="1:7" ht="14.25" customHeight="1">
      <c r="A568" s="79"/>
      <c r="B568" s="48"/>
      <c r="C568" s="49"/>
      <c r="D568" s="49"/>
      <c r="F568" s="17"/>
      <c r="G568" s="17"/>
    </row>
    <row r="569" spans="1:7" ht="14.25" customHeight="1">
      <c r="A569" s="79"/>
      <c r="B569" s="48"/>
      <c r="C569" s="49"/>
      <c r="D569" s="49"/>
      <c r="F569" s="17"/>
      <c r="G569" s="17"/>
    </row>
    <row r="570" spans="1:7" ht="14.25" customHeight="1">
      <c r="A570" s="79"/>
      <c r="B570" s="48"/>
      <c r="C570" s="49"/>
      <c r="D570" s="49"/>
      <c r="F570" s="17"/>
      <c r="G570" s="17"/>
    </row>
    <row r="571" spans="1:7" ht="14.25" customHeight="1">
      <c r="A571" s="79"/>
      <c r="B571" s="48"/>
      <c r="C571" s="49"/>
      <c r="D571" s="49"/>
      <c r="F571" s="17"/>
      <c r="G571" s="17"/>
    </row>
    <row r="572" spans="1:7" ht="14.25" customHeight="1">
      <c r="A572" s="79"/>
      <c r="B572" s="48"/>
      <c r="C572" s="49"/>
      <c r="D572" s="49"/>
      <c r="F572" s="17"/>
      <c r="G572" s="17"/>
    </row>
    <row r="573" spans="1:7" ht="14.25" customHeight="1">
      <c r="A573" s="79"/>
      <c r="B573" s="48"/>
      <c r="C573" s="49"/>
      <c r="D573" s="49"/>
      <c r="F573" s="17"/>
      <c r="G573" s="17"/>
    </row>
    <row r="574" spans="1:7" ht="14.25" customHeight="1">
      <c r="A574" s="79"/>
      <c r="B574" s="48"/>
      <c r="C574" s="49"/>
      <c r="D574" s="49"/>
      <c r="F574" s="17"/>
      <c r="G574" s="17"/>
    </row>
    <row r="575" spans="1:7" ht="14.25" customHeight="1">
      <c r="A575" s="79"/>
      <c r="B575" s="48"/>
      <c r="C575" s="49"/>
      <c r="D575" s="49"/>
      <c r="F575" s="17"/>
      <c r="G575" s="17"/>
    </row>
    <row r="576" spans="1:7" ht="14.25" customHeight="1">
      <c r="A576" s="79"/>
      <c r="B576" s="48"/>
      <c r="C576" s="49"/>
      <c r="D576" s="49"/>
      <c r="F576" s="17"/>
      <c r="G576" s="17"/>
    </row>
    <row r="577" spans="1:7" ht="14.25" customHeight="1">
      <c r="A577" s="79"/>
      <c r="B577" s="48"/>
      <c r="C577" s="49"/>
      <c r="D577" s="49"/>
      <c r="F577" s="17"/>
      <c r="G577" s="17"/>
    </row>
    <row r="578" spans="1:7" ht="14.25" customHeight="1">
      <c r="A578" s="79"/>
      <c r="B578" s="48"/>
      <c r="C578" s="49"/>
      <c r="D578" s="49"/>
      <c r="F578" s="17"/>
      <c r="G578" s="17"/>
    </row>
    <row r="579" spans="1:7" ht="14.25" customHeight="1">
      <c r="A579" s="79"/>
      <c r="B579" s="48"/>
      <c r="C579" s="49"/>
      <c r="D579" s="49"/>
      <c r="F579" s="17"/>
      <c r="G579" s="17"/>
    </row>
    <row r="580" spans="1:7" ht="14.25" customHeight="1">
      <c r="A580" s="79"/>
      <c r="B580" s="48"/>
      <c r="C580" s="49"/>
      <c r="D580" s="49"/>
      <c r="F580" s="17"/>
      <c r="G580" s="17"/>
    </row>
    <row r="581" spans="1:7" ht="14.25" customHeight="1">
      <c r="A581" s="79"/>
      <c r="B581" s="48"/>
      <c r="C581" s="49"/>
      <c r="D581" s="49"/>
      <c r="F581" s="17"/>
      <c r="G581" s="17"/>
    </row>
    <row r="582" spans="1:7" ht="14.25" customHeight="1">
      <c r="A582" s="79"/>
      <c r="B582" s="48"/>
      <c r="C582" s="49"/>
      <c r="D582" s="49"/>
      <c r="F582" s="17"/>
      <c r="G582" s="17"/>
    </row>
    <row r="583" spans="1:7" ht="14.25" customHeight="1">
      <c r="A583" s="79"/>
      <c r="B583" s="48"/>
      <c r="C583" s="49"/>
      <c r="D583" s="49"/>
      <c r="F583" s="17"/>
      <c r="G583" s="17"/>
    </row>
    <row r="584" spans="1:7" ht="14.25" customHeight="1">
      <c r="A584" s="79"/>
      <c r="B584" s="48"/>
      <c r="C584" s="49"/>
      <c r="D584" s="49"/>
      <c r="F584" s="17"/>
      <c r="G584" s="17"/>
    </row>
    <row r="585" spans="1:7" ht="14.25" customHeight="1">
      <c r="A585" s="79"/>
      <c r="B585" s="48"/>
      <c r="C585" s="49"/>
      <c r="D585" s="49"/>
      <c r="F585" s="17"/>
      <c r="G585" s="17"/>
    </row>
    <row r="586" spans="1:7" ht="14.25" customHeight="1">
      <c r="A586" s="79"/>
      <c r="B586" s="48"/>
      <c r="C586" s="49"/>
      <c r="D586" s="49"/>
      <c r="F586" s="17"/>
      <c r="G586" s="17"/>
    </row>
    <row r="587" spans="1:7" ht="14.25" customHeight="1">
      <c r="A587" s="79"/>
      <c r="B587" s="48"/>
      <c r="C587" s="49"/>
      <c r="D587" s="49"/>
      <c r="F587" s="17"/>
      <c r="G587" s="17"/>
    </row>
    <row r="588" spans="1:7" ht="14.25" customHeight="1">
      <c r="A588" s="79"/>
      <c r="B588" s="48"/>
      <c r="C588" s="49"/>
      <c r="D588" s="49"/>
      <c r="F588" s="17"/>
      <c r="G588" s="17"/>
    </row>
    <row r="589" spans="1:7" ht="14.25" customHeight="1">
      <c r="A589" s="79"/>
      <c r="B589" s="48"/>
      <c r="C589" s="49"/>
      <c r="D589" s="49"/>
      <c r="F589" s="17"/>
      <c r="G589" s="17"/>
    </row>
    <row r="590" spans="1:7" ht="14.25" customHeight="1">
      <c r="A590" s="79"/>
      <c r="B590" s="48"/>
      <c r="C590" s="49"/>
      <c r="D590" s="49"/>
      <c r="F590" s="17"/>
      <c r="G590" s="17"/>
    </row>
    <row r="591" spans="1:7" ht="14.25" customHeight="1">
      <c r="A591" s="79"/>
      <c r="B591" s="48"/>
      <c r="C591" s="49"/>
      <c r="D591" s="49"/>
      <c r="F591" s="17"/>
      <c r="G591" s="17"/>
    </row>
    <row r="592" spans="1:7" ht="14.25" customHeight="1">
      <c r="A592" s="79"/>
      <c r="B592" s="48"/>
      <c r="C592" s="49"/>
      <c r="D592" s="49"/>
      <c r="F592" s="17"/>
      <c r="G592" s="17"/>
    </row>
    <row r="593" spans="1:7" ht="14.25" customHeight="1">
      <c r="A593" s="79"/>
      <c r="B593" s="48"/>
      <c r="C593" s="49"/>
      <c r="D593" s="49"/>
      <c r="F593" s="17"/>
      <c r="G593" s="17"/>
    </row>
    <row r="594" spans="1:7" ht="14.25" customHeight="1">
      <c r="A594" s="79"/>
      <c r="B594" s="48"/>
      <c r="C594" s="49"/>
      <c r="D594" s="49"/>
      <c r="F594" s="17"/>
      <c r="G594" s="17"/>
    </row>
    <row r="595" spans="1:7" ht="14.25" customHeight="1">
      <c r="A595" s="79"/>
      <c r="B595" s="48"/>
      <c r="C595" s="49"/>
      <c r="D595" s="49"/>
      <c r="F595" s="17"/>
      <c r="G595" s="17"/>
    </row>
    <row r="596" spans="1:7" ht="14.25" customHeight="1">
      <c r="A596" s="79"/>
      <c r="B596" s="48"/>
      <c r="C596" s="49"/>
      <c r="D596" s="49"/>
      <c r="F596" s="17"/>
      <c r="G596" s="17"/>
    </row>
    <row r="597" spans="1:7" ht="14.25" customHeight="1">
      <c r="A597" s="79"/>
      <c r="B597" s="48"/>
      <c r="C597" s="49"/>
      <c r="D597" s="49"/>
      <c r="F597" s="17"/>
      <c r="G597" s="17"/>
    </row>
    <row r="598" spans="1:7" ht="14.25" customHeight="1">
      <c r="A598" s="79"/>
      <c r="B598" s="48"/>
      <c r="C598" s="49"/>
      <c r="D598" s="49"/>
      <c r="F598" s="17"/>
      <c r="G598" s="17"/>
    </row>
    <row r="599" spans="1:7" ht="14.25" customHeight="1">
      <c r="A599" s="79"/>
      <c r="B599" s="48"/>
      <c r="C599" s="49"/>
      <c r="D599" s="49"/>
      <c r="F599" s="17"/>
      <c r="G599" s="17"/>
    </row>
    <row r="600" spans="1:7" ht="14.25" customHeight="1">
      <c r="A600" s="79"/>
      <c r="B600" s="48"/>
      <c r="C600" s="49"/>
      <c r="D600" s="49"/>
      <c r="F600" s="17"/>
      <c r="G600" s="17"/>
    </row>
    <row r="601" spans="1:7" ht="14.25" customHeight="1">
      <c r="A601" s="79"/>
      <c r="B601" s="48"/>
      <c r="C601" s="49"/>
      <c r="D601" s="49"/>
      <c r="F601" s="17"/>
      <c r="G601" s="17"/>
    </row>
    <row r="602" spans="1:7" ht="14.25" customHeight="1">
      <c r="A602" s="79"/>
      <c r="B602" s="48"/>
      <c r="C602" s="49"/>
      <c r="D602" s="49"/>
      <c r="F602" s="17"/>
      <c r="G602" s="17"/>
    </row>
    <row r="603" spans="1:7" ht="14.25" customHeight="1">
      <c r="A603" s="79"/>
      <c r="B603" s="48"/>
      <c r="C603" s="49"/>
      <c r="D603" s="49"/>
      <c r="F603" s="17"/>
      <c r="G603" s="17"/>
    </row>
    <row r="604" spans="1:7" ht="14.25" customHeight="1">
      <c r="A604" s="79"/>
      <c r="B604" s="48"/>
      <c r="C604" s="49"/>
      <c r="D604" s="49"/>
      <c r="F604" s="17"/>
      <c r="G604" s="17"/>
    </row>
    <row r="605" spans="1:7" ht="14.25" customHeight="1">
      <c r="A605" s="79"/>
      <c r="B605" s="48"/>
      <c r="C605" s="49"/>
      <c r="D605" s="49"/>
      <c r="F605" s="17"/>
      <c r="G605" s="17"/>
    </row>
    <row r="606" spans="1:7" ht="14.25" customHeight="1">
      <c r="A606" s="79"/>
      <c r="B606" s="48"/>
      <c r="C606" s="49"/>
      <c r="D606" s="49"/>
      <c r="F606" s="17"/>
      <c r="G606" s="17"/>
    </row>
    <row r="607" spans="1:7" ht="14.25" customHeight="1">
      <c r="A607" s="79"/>
      <c r="B607" s="48"/>
      <c r="C607" s="49"/>
      <c r="D607" s="49"/>
      <c r="F607" s="17"/>
      <c r="G607" s="17"/>
    </row>
    <row r="608" spans="1:7" ht="14.25" customHeight="1">
      <c r="A608" s="79"/>
      <c r="B608" s="48"/>
      <c r="C608" s="49"/>
      <c r="D608" s="49"/>
      <c r="F608" s="17"/>
      <c r="G608" s="17"/>
    </row>
    <row r="609" spans="1:7" ht="14.25" customHeight="1">
      <c r="A609" s="79"/>
      <c r="B609" s="48"/>
      <c r="C609" s="49"/>
      <c r="D609" s="49"/>
      <c r="F609" s="17"/>
      <c r="G609" s="17"/>
    </row>
    <row r="610" spans="1:7" ht="14.25" customHeight="1">
      <c r="A610" s="79"/>
      <c r="B610" s="48"/>
      <c r="C610" s="49"/>
      <c r="D610" s="49"/>
      <c r="F610" s="17"/>
      <c r="G610" s="17"/>
    </row>
    <row r="611" spans="1:7" ht="14.25" customHeight="1">
      <c r="A611" s="79"/>
      <c r="B611" s="48"/>
      <c r="C611" s="49"/>
      <c r="D611" s="49"/>
      <c r="F611" s="17"/>
      <c r="G611" s="17"/>
    </row>
    <row r="612" spans="1:7" ht="14.25" customHeight="1">
      <c r="A612" s="79"/>
      <c r="B612" s="48"/>
      <c r="C612" s="49"/>
      <c r="D612" s="49"/>
      <c r="F612" s="17"/>
      <c r="G612" s="17"/>
    </row>
    <row r="613" spans="1:7" ht="14.25" customHeight="1">
      <c r="A613" s="79"/>
      <c r="B613" s="48"/>
      <c r="C613" s="49"/>
      <c r="D613" s="49"/>
      <c r="F613" s="17"/>
      <c r="G613" s="17"/>
    </row>
    <row r="614" spans="1:7" ht="14.25" customHeight="1">
      <c r="A614" s="79"/>
      <c r="B614" s="48"/>
      <c r="C614" s="49"/>
      <c r="D614" s="49"/>
      <c r="F614" s="17"/>
      <c r="G614" s="17"/>
    </row>
    <row r="615" spans="1:7" ht="14.25" customHeight="1">
      <c r="A615" s="79"/>
      <c r="B615" s="48"/>
      <c r="C615" s="49"/>
      <c r="D615" s="49"/>
      <c r="F615" s="17"/>
      <c r="G615" s="17"/>
    </row>
    <row r="616" spans="1:7" ht="14.25" customHeight="1">
      <c r="A616" s="79"/>
      <c r="B616" s="48"/>
      <c r="C616" s="49"/>
      <c r="D616" s="49"/>
      <c r="F616" s="17"/>
      <c r="G616" s="17"/>
    </row>
    <row r="617" spans="1:7" ht="14.25" customHeight="1">
      <c r="A617" s="79"/>
      <c r="B617" s="48"/>
      <c r="C617" s="49"/>
      <c r="D617" s="49"/>
      <c r="F617" s="17"/>
      <c r="G617" s="17"/>
    </row>
    <row r="618" spans="1:7" ht="14.25" customHeight="1">
      <c r="A618" s="79"/>
      <c r="B618" s="48"/>
      <c r="C618" s="49"/>
      <c r="D618" s="49"/>
      <c r="F618" s="17"/>
      <c r="G618" s="17"/>
    </row>
    <row r="619" spans="1:7" ht="14.25" customHeight="1">
      <c r="A619" s="79"/>
      <c r="B619" s="48"/>
      <c r="C619" s="49"/>
      <c r="D619" s="49"/>
      <c r="F619" s="17"/>
      <c r="G619" s="17"/>
    </row>
    <row r="620" spans="1:7" ht="14.25" customHeight="1">
      <c r="A620" s="79"/>
      <c r="B620" s="48"/>
      <c r="C620" s="49"/>
      <c r="D620" s="49"/>
      <c r="F620" s="17"/>
      <c r="G620" s="17"/>
    </row>
    <row r="621" spans="1:7" ht="14.25" customHeight="1">
      <c r="A621" s="79"/>
      <c r="B621" s="48"/>
      <c r="C621" s="49"/>
      <c r="D621" s="49"/>
      <c r="F621" s="17"/>
      <c r="G621" s="17"/>
    </row>
    <row r="622" spans="1:7" ht="14.25" customHeight="1">
      <c r="A622" s="79"/>
      <c r="B622" s="48"/>
      <c r="C622" s="49"/>
      <c r="D622" s="49"/>
      <c r="F622" s="17"/>
      <c r="G622" s="17"/>
    </row>
    <row r="623" spans="1:7" ht="14.25" customHeight="1">
      <c r="A623" s="79"/>
      <c r="B623" s="48"/>
      <c r="C623" s="49"/>
      <c r="D623" s="49"/>
      <c r="F623" s="17"/>
      <c r="G623" s="17"/>
    </row>
    <row r="624" spans="1:7" ht="14.25" customHeight="1">
      <c r="A624" s="79"/>
      <c r="B624" s="48"/>
      <c r="C624" s="49"/>
      <c r="D624" s="49"/>
      <c r="F624" s="17"/>
      <c r="G624" s="17"/>
    </row>
    <row r="625" spans="1:7" ht="14.25" customHeight="1">
      <c r="A625" s="79"/>
      <c r="B625" s="48"/>
      <c r="C625" s="49"/>
      <c r="D625" s="49"/>
      <c r="F625" s="17"/>
      <c r="G625" s="17"/>
    </row>
    <row r="626" spans="1:7" ht="14.25" customHeight="1">
      <c r="A626" s="79"/>
      <c r="B626" s="48"/>
      <c r="C626" s="49"/>
      <c r="D626" s="49"/>
      <c r="F626" s="17"/>
      <c r="G626" s="17"/>
    </row>
    <row r="627" spans="1:7" ht="14.25" customHeight="1">
      <c r="A627" s="79"/>
      <c r="B627" s="48"/>
      <c r="C627" s="49"/>
      <c r="D627" s="49"/>
      <c r="F627" s="17"/>
      <c r="G627" s="17"/>
    </row>
    <row r="628" spans="1:7" ht="14.25" customHeight="1">
      <c r="A628" s="79"/>
      <c r="B628" s="48"/>
      <c r="C628" s="49"/>
      <c r="D628" s="49"/>
      <c r="F628" s="17"/>
      <c r="G628" s="17"/>
    </row>
    <row r="629" spans="1:7" ht="14.25" customHeight="1">
      <c r="A629" s="79"/>
      <c r="B629" s="48"/>
      <c r="C629" s="49"/>
      <c r="D629" s="49"/>
      <c r="F629" s="17"/>
      <c r="G629" s="17"/>
    </row>
    <row r="630" spans="1:7" ht="14.25" customHeight="1">
      <c r="A630" s="79"/>
      <c r="B630" s="48"/>
      <c r="C630" s="49"/>
      <c r="D630" s="49"/>
      <c r="F630" s="17"/>
      <c r="G630" s="17"/>
    </row>
    <row r="631" spans="1:7" ht="14.25" customHeight="1">
      <c r="A631" s="79"/>
      <c r="B631" s="48"/>
      <c r="C631" s="49"/>
      <c r="D631" s="49"/>
      <c r="F631" s="17"/>
      <c r="G631" s="17"/>
    </row>
    <row r="632" spans="1:7" ht="14.25" customHeight="1">
      <c r="A632" s="79"/>
      <c r="B632" s="48"/>
      <c r="C632" s="49"/>
      <c r="D632" s="49"/>
      <c r="F632" s="17"/>
      <c r="G632" s="17"/>
    </row>
    <row r="633" spans="1:7" ht="14.25" customHeight="1">
      <c r="A633" s="79"/>
      <c r="B633" s="48"/>
      <c r="C633" s="49"/>
      <c r="D633" s="49"/>
      <c r="F633" s="17"/>
      <c r="G633" s="17"/>
    </row>
    <row r="634" spans="1:7" ht="14.25" customHeight="1">
      <c r="A634" s="79"/>
      <c r="B634" s="48"/>
      <c r="C634" s="49"/>
      <c r="D634" s="49"/>
      <c r="F634" s="17"/>
      <c r="G634" s="17"/>
    </row>
    <row r="635" spans="1:7" ht="14.25" customHeight="1">
      <c r="A635" s="79"/>
      <c r="B635" s="48"/>
      <c r="C635" s="49"/>
      <c r="D635" s="49"/>
      <c r="F635" s="17"/>
      <c r="G635" s="17"/>
    </row>
    <row r="636" spans="1:7" ht="14.25" customHeight="1">
      <c r="A636" s="79"/>
      <c r="B636" s="48"/>
      <c r="C636" s="49"/>
      <c r="D636" s="49"/>
      <c r="F636" s="17"/>
      <c r="G636" s="17"/>
    </row>
    <row r="637" spans="1:7" ht="14.25" customHeight="1">
      <c r="A637" s="79"/>
      <c r="B637" s="48"/>
      <c r="C637" s="49"/>
      <c r="D637" s="49"/>
      <c r="F637" s="17"/>
      <c r="G637" s="17"/>
    </row>
    <row r="638" spans="1:7" ht="14.25" customHeight="1">
      <c r="A638" s="79"/>
      <c r="B638" s="48"/>
      <c r="C638" s="49"/>
      <c r="D638" s="49"/>
      <c r="F638" s="17"/>
      <c r="G638" s="17"/>
    </row>
    <row r="639" spans="1:7" ht="14.25" customHeight="1">
      <c r="A639" s="79"/>
      <c r="B639" s="48"/>
      <c r="C639" s="49"/>
      <c r="D639" s="49"/>
      <c r="F639" s="17"/>
      <c r="G639" s="17"/>
    </row>
    <row r="640" spans="1:7" ht="14.25" customHeight="1">
      <c r="A640" s="79"/>
      <c r="B640" s="48"/>
      <c r="C640" s="49"/>
      <c r="D640" s="49"/>
      <c r="F640" s="17"/>
      <c r="G640" s="17"/>
    </row>
    <row r="641" spans="1:7" ht="14.25" customHeight="1">
      <c r="A641" s="79"/>
      <c r="B641" s="48"/>
      <c r="C641" s="49"/>
      <c r="D641" s="49"/>
      <c r="F641" s="17"/>
      <c r="G641" s="17"/>
    </row>
    <row r="642" spans="1:7" ht="14.25" customHeight="1">
      <c r="A642" s="79"/>
      <c r="B642" s="48"/>
      <c r="C642" s="49"/>
      <c r="D642" s="49"/>
      <c r="F642" s="17"/>
      <c r="G642" s="17"/>
    </row>
    <row r="643" spans="1:7" ht="14.25" customHeight="1">
      <c r="A643" s="79"/>
      <c r="B643" s="48"/>
      <c r="C643" s="49"/>
      <c r="D643" s="49"/>
      <c r="F643" s="17"/>
      <c r="G643" s="17"/>
    </row>
    <row r="644" spans="1:7" ht="14.25" customHeight="1">
      <c r="A644" s="79"/>
      <c r="B644" s="48"/>
      <c r="C644" s="49"/>
      <c r="D644" s="49"/>
      <c r="F644" s="17"/>
      <c r="G644" s="17"/>
    </row>
    <row r="645" spans="1:7" ht="14.25" customHeight="1">
      <c r="A645" s="79"/>
      <c r="B645" s="48"/>
      <c r="C645" s="49"/>
      <c r="D645" s="49"/>
      <c r="F645" s="17"/>
      <c r="G645" s="17"/>
    </row>
    <row r="646" spans="1:7" ht="14.25" customHeight="1">
      <c r="A646" s="79"/>
      <c r="B646" s="48"/>
      <c r="C646" s="49"/>
      <c r="D646" s="49"/>
      <c r="F646" s="17"/>
      <c r="G646" s="17"/>
    </row>
    <row r="647" spans="1:7" ht="14.25" customHeight="1">
      <c r="A647" s="79"/>
      <c r="B647" s="48"/>
      <c r="C647" s="49"/>
      <c r="D647" s="49"/>
      <c r="F647" s="17"/>
      <c r="G647" s="17"/>
    </row>
    <row r="648" spans="1:7" ht="14.25" customHeight="1">
      <c r="A648" s="79"/>
      <c r="B648" s="48"/>
      <c r="C648" s="49"/>
      <c r="D648" s="49"/>
      <c r="F648" s="17"/>
      <c r="G648" s="17"/>
    </row>
    <row r="649" spans="1:7" ht="14.25" customHeight="1">
      <c r="A649" s="79"/>
      <c r="B649" s="48"/>
      <c r="C649" s="49"/>
      <c r="D649" s="49"/>
      <c r="F649" s="17"/>
      <c r="G649" s="17"/>
    </row>
    <row r="650" spans="1:7" ht="14.25" customHeight="1">
      <c r="A650" s="79"/>
      <c r="B650" s="48"/>
      <c r="C650" s="49"/>
      <c r="D650" s="49"/>
      <c r="F650" s="17"/>
      <c r="G650" s="17"/>
    </row>
    <row r="651" spans="1:7" ht="14.25" customHeight="1">
      <c r="A651" s="79"/>
      <c r="B651" s="48"/>
      <c r="C651" s="49"/>
      <c r="D651" s="49"/>
      <c r="F651" s="17"/>
      <c r="G651" s="17"/>
    </row>
    <row r="652" spans="1:7" ht="14.25" customHeight="1">
      <c r="A652" s="79"/>
      <c r="B652" s="48"/>
      <c r="C652" s="49"/>
      <c r="D652" s="49"/>
      <c r="F652" s="17"/>
      <c r="G652" s="17"/>
    </row>
    <row r="653" spans="1:7" ht="14.25" customHeight="1">
      <c r="A653" s="79"/>
      <c r="B653" s="48"/>
      <c r="C653" s="49"/>
      <c r="D653" s="49"/>
      <c r="F653" s="17"/>
      <c r="G653" s="17"/>
    </row>
    <row r="654" spans="1:7" ht="14.25" customHeight="1">
      <c r="A654" s="79"/>
      <c r="B654" s="48"/>
      <c r="C654" s="49"/>
      <c r="D654" s="49"/>
      <c r="F654" s="17"/>
      <c r="G654" s="17"/>
    </row>
    <row r="655" spans="1:7" ht="14.25" customHeight="1">
      <c r="A655" s="79"/>
      <c r="B655" s="48"/>
      <c r="C655" s="49"/>
      <c r="D655" s="49"/>
      <c r="F655" s="17"/>
      <c r="G655" s="17"/>
    </row>
    <row r="656" spans="1:7" ht="14.25" customHeight="1">
      <c r="A656" s="79"/>
      <c r="B656" s="48"/>
      <c r="C656" s="49"/>
      <c r="D656" s="49"/>
      <c r="F656" s="17"/>
      <c r="G656" s="17"/>
    </row>
    <row r="657" spans="1:7" ht="14.25" customHeight="1">
      <c r="A657" s="79"/>
      <c r="B657" s="48"/>
      <c r="C657" s="49"/>
      <c r="D657" s="49"/>
      <c r="F657" s="17"/>
      <c r="G657" s="17"/>
    </row>
    <row r="658" spans="1:7" ht="14.25" customHeight="1">
      <c r="A658" s="79"/>
      <c r="B658" s="48"/>
      <c r="C658" s="49"/>
      <c r="D658" s="49"/>
      <c r="F658" s="17"/>
      <c r="G658" s="17"/>
    </row>
    <row r="659" spans="1:7" ht="14.25" customHeight="1">
      <c r="A659" s="79"/>
      <c r="B659" s="48"/>
      <c r="C659" s="49"/>
      <c r="D659" s="49"/>
      <c r="F659" s="17"/>
      <c r="G659" s="17"/>
    </row>
    <row r="660" spans="1:7" ht="14.25" customHeight="1">
      <c r="A660" s="79"/>
      <c r="B660" s="48"/>
      <c r="C660" s="49"/>
      <c r="D660" s="49"/>
      <c r="F660" s="17"/>
      <c r="G660" s="17"/>
    </row>
    <row r="661" spans="1:7" ht="14.25" customHeight="1">
      <c r="A661" s="79"/>
      <c r="B661" s="48"/>
      <c r="C661" s="49"/>
      <c r="D661" s="49"/>
      <c r="F661" s="17"/>
      <c r="G661" s="17"/>
    </row>
    <row r="662" spans="1:7" ht="14.25" customHeight="1">
      <c r="A662" s="79"/>
      <c r="B662" s="48"/>
      <c r="C662" s="49"/>
      <c r="D662" s="49"/>
      <c r="F662" s="17"/>
      <c r="G662" s="17"/>
    </row>
    <row r="663" spans="1:7" ht="14.25" customHeight="1">
      <c r="A663" s="79"/>
      <c r="B663" s="48"/>
      <c r="C663" s="49"/>
      <c r="D663" s="49"/>
      <c r="F663" s="17"/>
      <c r="G663" s="17"/>
    </row>
    <row r="664" spans="1:7" ht="14.25" customHeight="1">
      <c r="A664" s="79"/>
      <c r="B664" s="48"/>
      <c r="C664" s="49"/>
      <c r="D664" s="49"/>
      <c r="F664" s="17"/>
      <c r="G664" s="17"/>
    </row>
    <row r="665" spans="1:7" ht="14.25" customHeight="1">
      <c r="A665" s="79"/>
      <c r="B665" s="48"/>
      <c r="C665" s="49"/>
      <c r="D665" s="49"/>
      <c r="F665" s="17"/>
      <c r="G665" s="17"/>
    </row>
    <row r="666" spans="1:7" ht="14.25" customHeight="1">
      <c r="A666" s="79"/>
      <c r="B666" s="48"/>
      <c r="C666" s="49"/>
      <c r="D666" s="49"/>
      <c r="F666" s="17"/>
      <c r="G666" s="17"/>
    </row>
    <row r="667" spans="1:7" ht="14.25" customHeight="1">
      <c r="A667" s="79"/>
      <c r="B667" s="48"/>
      <c r="C667" s="49"/>
      <c r="D667" s="49"/>
      <c r="F667" s="17"/>
      <c r="G667" s="17"/>
    </row>
    <row r="668" spans="1:7" ht="14.25" customHeight="1">
      <c r="A668" s="79"/>
      <c r="B668" s="48"/>
      <c r="C668" s="49"/>
      <c r="D668" s="49"/>
      <c r="F668" s="17"/>
      <c r="G668" s="17"/>
    </row>
    <row r="669" spans="1:7" ht="14.25" customHeight="1">
      <c r="A669" s="79"/>
      <c r="B669" s="48"/>
      <c r="C669" s="49"/>
      <c r="D669" s="49"/>
      <c r="F669" s="17"/>
      <c r="G669" s="17"/>
    </row>
    <row r="670" spans="1:7" ht="14.25" customHeight="1">
      <c r="A670" s="79"/>
      <c r="B670" s="48"/>
      <c r="C670" s="49"/>
      <c r="D670" s="49"/>
      <c r="F670" s="17"/>
      <c r="G670" s="17"/>
    </row>
    <row r="671" spans="1:7" ht="14.25" customHeight="1">
      <c r="A671" s="79"/>
      <c r="B671" s="48"/>
      <c r="C671" s="49"/>
      <c r="D671" s="49"/>
      <c r="F671" s="17"/>
      <c r="G671" s="17"/>
    </row>
    <row r="672" spans="1:7" ht="14.25" customHeight="1">
      <c r="A672" s="79"/>
      <c r="B672" s="48"/>
      <c r="C672" s="49"/>
      <c r="D672" s="49"/>
      <c r="F672" s="17"/>
      <c r="G672" s="17"/>
    </row>
    <row r="673" spans="1:7" ht="14.25" customHeight="1">
      <c r="A673" s="79"/>
      <c r="B673" s="48"/>
      <c r="C673" s="49"/>
      <c r="D673" s="49"/>
      <c r="F673" s="17"/>
      <c r="G673" s="17"/>
    </row>
    <row r="674" spans="1:7" ht="14.25" customHeight="1">
      <c r="A674" s="79"/>
      <c r="B674" s="48"/>
      <c r="C674" s="49"/>
      <c r="D674" s="49"/>
      <c r="F674" s="17"/>
      <c r="G674" s="17"/>
    </row>
    <row r="675" spans="1:7" ht="14.25" customHeight="1">
      <c r="A675" s="79"/>
      <c r="B675" s="48"/>
      <c r="C675" s="49"/>
      <c r="D675" s="49"/>
      <c r="F675" s="17"/>
      <c r="G675" s="17"/>
    </row>
    <row r="676" spans="1:7" ht="14.25" customHeight="1">
      <c r="A676" s="79"/>
      <c r="B676" s="48"/>
      <c r="C676" s="49"/>
      <c r="D676" s="49"/>
      <c r="F676" s="17"/>
      <c r="G676" s="17"/>
    </row>
    <row r="677" spans="1:7" ht="14.25" customHeight="1">
      <c r="A677" s="79"/>
      <c r="B677" s="48"/>
      <c r="C677" s="49"/>
      <c r="D677" s="49"/>
      <c r="F677" s="17"/>
      <c r="G677" s="17"/>
    </row>
    <row r="678" spans="1:7" ht="14.25" customHeight="1">
      <c r="A678" s="79"/>
      <c r="B678" s="48"/>
      <c r="C678" s="49"/>
      <c r="D678" s="49"/>
      <c r="F678" s="17"/>
      <c r="G678" s="17"/>
    </row>
    <row r="679" spans="1:7" ht="14.25" customHeight="1">
      <c r="A679" s="79"/>
      <c r="B679" s="48"/>
      <c r="C679" s="49"/>
      <c r="D679" s="49"/>
      <c r="F679" s="17"/>
      <c r="G679" s="17"/>
    </row>
    <row r="680" spans="1:7" ht="14.25" customHeight="1">
      <c r="A680" s="79"/>
      <c r="B680" s="48"/>
      <c r="C680" s="49"/>
      <c r="D680" s="49"/>
      <c r="F680" s="17"/>
      <c r="G680" s="17"/>
    </row>
    <row r="681" spans="1:7" ht="14.25" customHeight="1">
      <c r="A681" s="79"/>
      <c r="B681" s="48"/>
      <c r="C681" s="49"/>
      <c r="D681" s="49"/>
      <c r="F681" s="17"/>
      <c r="G681" s="17"/>
    </row>
    <row r="682" spans="1:7" ht="14.25" customHeight="1">
      <c r="A682" s="79"/>
      <c r="B682" s="48"/>
      <c r="C682" s="49"/>
      <c r="D682" s="49"/>
      <c r="F682" s="17"/>
      <c r="G682" s="17"/>
    </row>
    <row r="683" spans="1:7" ht="14.25" customHeight="1">
      <c r="A683" s="79"/>
      <c r="B683" s="48"/>
      <c r="C683" s="49"/>
      <c r="D683" s="49"/>
      <c r="F683" s="17"/>
      <c r="G683" s="17"/>
    </row>
    <row r="684" spans="1:7" ht="14.25" customHeight="1">
      <c r="A684" s="79"/>
      <c r="B684" s="48"/>
      <c r="C684" s="49"/>
      <c r="D684" s="49"/>
      <c r="F684" s="17"/>
      <c r="G684" s="17"/>
    </row>
    <row r="685" spans="1:7" ht="14.25" customHeight="1">
      <c r="A685" s="79"/>
      <c r="B685" s="48"/>
      <c r="C685" s="49"/>
      <c r="D685" s="49"/>
      <c r="F685" s="17"/>
      <c r="G685" s="17"/>
    </row>
    <row r="686" spans="1:7" ht="14.25" customHeight="1">
      <c r="A686" s="79"/>
      <c r="B686" s="48"/>
      <c r="C686" s="49"/>
      <c r="D686" s="49"/>
      <c r="F686" s="17"/>
      <c r="G686" s="17"/>
    </row>
    <row r="687" spans="1:7" ht="14.25" customHeight="1">
      <c r="A687" s="79"/>
      <c r="B687" s="48"/>
      <c r="C687" s="49"/>
      <c r="D687" s="49"/>
      <c r="F687" s="17"/>
      <c r="G687" s="17"/>
    </row>
    <row r="688" spans="1:7" ht="14.25" customHeight="1">
      <c r="A688" s="79"/>
      <c r="B688" s="48"/>
      <c r="C688" s="49"/>
      <c r="D688" s="49"/>
      <c r="F688" s="17"/>
      <c r="G688" s="17"/>
    </row>
    <row r="689" spans="1:7" ht="14.25" customHeight="1">
      <c r="A689" s="79"/>
      <c r="B689" s="48"/>
      <c r="C689" s="49"/>
      <c r="D689" s="49"/>
      <c r="F689" s="17"/>
      <c r="G689" s="17"/>
    </row>
    <row r="690" spans="1:7" ht="14.25" customHeight="1">
      <c r="A690" s="79"/>
      <c r="B690" s="48"/>
      <c r="C690" s="49"/>
      <c r="D690" s="49"/>
      <c r="F690" s="17"/>
      <c r="G690" s="17"/>
    </row>
    <row r="691" spans="1:7" ht="14.25" customHeight="1">
      <c r="A691" s="79"/>
      <c r="B691" s="48"/>
      <c r="C691" s="49"/>
      <c r="D691" s="49"/>
      <c r="F691" s="17"/>
      <c r="G691" s="17"/>
    </row>
    <row r="692" spans="1:7" ht="14.25" customHeight="1">
      <c r="A692" s="79"/>
      <c r="B692" s="48"/>
      <c r="C692" s="49"/>
      <c r="D692" s="49"/>
      <c r="F692" s="17"/>
      <c r="G692" s="17"/>
    </row>
    <row r="693" spans="1:7" ht="14.25" customHeight="1">
      <c r="A693" s="79"/>
      <c r="B693" s="48"/>
      <c r="C693" s="49"/>
      <c r="D693" s="49"/>
      <c r="F693" s="17"/>
      <c r="G693" s="17"/>
    </row>
    <row r="694" spans="1:7" ht="14.25" customHeight="1">
      <c r="A694" s="79"/>
      <c r="B694" s="48"/>
      <c r="C694" s="49"/>
      <c r="D694" s="49"/>
      <c r="F694" s="17"/>
      <c r="G694" s="17"/>
    </row>
    <row r="695" spans="1:7" ht="14.25" customHeight="1">
      <c r="A695" s="79"/>
      <c r="B695" s="48"/>
      <c r="C695" s="49"/>
      <c r="D695" s="49"/>
      <c r="F695" s="17"/>
      <c r="G695" s="17"/>
    </row>
    <row r="696" spans="1:7" ht="14.25" customHeight="1">
      <c r="A696" s="79"/>
      <c r="B696" s="48"/>
      <c r="C696" s="49"/>
      <c r="D696" s="49"/>
      <c r="F696" s="17"/>
      <c r="G696" s="17"/>
    </row>
    <row r="697" spans="1:7" ht="14.25" customHeight="1">
      <c r="A697" s="79"/>
      <c r="B697" s="48"/>
      <c r="C697" s="49"/>
      <c r="D697" s="49"/>
      <c r="F697" s="17"/>
      <c r="G697" s="17"/>
    </row>
    <row r="698" spans="1:7" ht="14.25" customHeight="1">
      <c r="A698" s="79"/>
      <c r="B698" s="48"/>
      <c r="C698" s="49"/>
      <c r="D698" s="49"/>
      <c r="F698" s="17"/>
      <c r="G698" s="17"/>
    </row>
    <row r="699" spans="1:7" ht="14.25" customHeight="1">
      <c r="A699" s="79"/>
      <c r="B699" s="48"/>
      <c r="C699" s="49"/>
      <c r="D699" s="49"/>
      <c r="F699" s="17"/>
      <c r="G699" s="17"/>
    </row>
    <row r="700" spans="1:7" ht="14.25" customHeight="1">
      <c r="A700" s="79"/>
      <c r="B700" s="48"/>
      <c r="C700" s="49"/>
      <c r="D700" s="49"/>
      <c r="F700" s="17"/>
      <c r="G700" s="17"/>
    </row>
    <row r="701" spans="1:7" ht="14.25" customHeight="1">
      <c r="A701" s="79"/>
      <c r="B701" s="48"/>
      <c r="C701" s="49"/>
      <c r="D701" s="49"/>
      <c r="F701" s="17"/>
      <c r="G701" s="17"/>
    </row>
    <row r="702" spans="1:7" ht="14.25" customHeight="1">
      <c r="A702" s="79"/>
      <c r="B702" s="48"/>
      <c r="C702" s="49"/>
      <c r="D702" s="49"/>
      <c r="F702" s="17"/>
      <c r="G702" s="17"/>
    </row>
    <row r="703" spans="1:7" ht="14.25" customHeight="1">
      <c r="A703" s="79"/>
      <c r="B703" s="48"/>
      <c r="C703" s="49"/>
      <c r="D703" s="49"/>
      <c r="F703" s="17"/>
      <c r="G703" s="17"/>
    </row>
    <row r="704" spans="1:7" ht="14.25" customHeight="1">
      <c r="A704" s="79"/>
      <c r="B704" s="48"/>
      <c r="C704" s="49"/>
      <c r="D704" s="49"/>
      <c r="F704" s="17"/>
      <c r="G704" s="17"/>
    </row>
    <row r="705" spans="1:7" ht="14.25" customHeight="1">
      <c r="A705" s="79"/>
      <c r="B705" s="48"/>
      <c r="C705" s="49"/>
      <c r="D705" s="49"/>
      <c r="F705" s="17"/>
      <c r="G705" s="17"/>
    </row>
    <row r="706" spans="1:7" ht="14.25" customHeight="1">
      <c r="A706" s="79"/>
      <c r="B706" s="48"/>
      <c r="C706" s="49"/>
      <c r="D706" s="49"/>
      <c r="F706" s="17"/>
      <c r="G706" s="17"/>
    </row>
    <row r="707" spans="1:7" ht="14.25" customHeight="1">
      <c r="A707" s="79"/>
      <c r="B707" s="48"/>
      <c r="C707" s="49"/>
      <c r="D707" s="49"/>
      <c r="F707" s="17"/>
      <c r="G707" s="17"/>
    </row>
    <row r="708" spans="1:7" ht="14.25" customHeight="1">
      <c r="A708" s="79"/>
      <c r="B708" s="48"/>
      <c r="C708" s="49"/>
      <c r="D708" s="49"/>
      <c r="F708" s="17"/>
      <c r="G708" s="17"/>
    </row>
    <row r="709" spans="1:7" ht="14.25" customHeight="1">
      <c r="A709" s="79"/>
      <c r="B709" s="48"/>
      <c r="C709" s="49"/>
      <c r="D709" s="49"/>
      <c r="F709" s="17"/>
      <c r="G709" s="17"/>
    </row>
    <row r="710" spans="1:7" ht="14.25" customHeight="1">
      <c r="A710" s="79"/>
      <c r="B710" s="48"/>
      <c r="C710" s="49"/>
      <c r="D710" s="49"/>
      <c r="F710" s="17"/>
      <c r="G710" s="17"/>
    </row>
    <row r="711" spans="1:7" ht="14.25" customHeight="1">
      <c r="A711" s="79"/>
      <c r="B711" s="48"/>
      <c r="C711" s="49"/>
      <c r="D711" s="49"/>
      <c r="F711" s="17"/>
      <c r="G711" s="17"/>
    </row>
    <row r="712" spans="1:7" ht="14.25" customHeight="1">
      <c r="A712" s="79"/>
      <c r="B712" s="48"/>
      <c r="C712" s="49"/>
      <c r="D712" s="49"/>
      <c r="F712" s="17"/>
      <c r="G712" s="17"/>
    </row>
    <row r="713" spans="1:7" ht="14.25" customHeight="1">
      <c r="A713" s="79"/>
      <c r="B713" s="48"/>
      <c r="C713" s="49"/>
      <c r="D713" s="49"/>
      <c r="F713" s="17"/>
      <c r="G713" s="17"/>
    </row>
    <row r="714" spans="1:7" ht="14.25" customHeight="1">
      <c r="A714" s="79"/>
      <c r="B714" s="48"/>
      <c r="C714" s="49"/>
      <c r="D714" s="49"/>
      <c r="F714" s="17"/>
      <c r="G714" s="17"/>
    </row>
    <row r="715" spans="1:7" ht="14.25" customHeight="1">
      <c r="A715" s="79"/>
      <c r="B715" s="48"/>
      <c r="C715" s="49"/>
      <c r="D715" s="49"/>
      <c r="F715" s="17"/>
      <c r="G715" s="17"/>
    </row>
    <row r="716" spans="1:7" ht="14.25" customHeight="1">
      <c r="A716" s="79"/>
      <c r="B716" s="48"/>
      <c r="C716" s="49"/>
      <c r="D716" s="49"/>
      <c r="F716" s="17"/>
      <c r="G716" s="17"/>
    </row>
    <row r="717" spans="1:7" ht="14.25" customHeight="1">
      <c r="A717" s="79"/>
      <c r="B717" s="48"/>
      <c r="C717" s="49"/>
      <c r="D717" s="49"/>
      <c r="F717" s="17"/>
      <c r="G717" s="17"/>
    </row>
    <row r="718" spans="1:7" ht="14.25" customHeight="1">
      <c r="A718" s="79"/>
      <c r="B718" s="48"/>
      <c r="C718" s="49"/>
      <c r="D718" s="49"/>
      <c r="F718" s="17"/>
      <c r="G718" s="17"/>
    </row>
    <row r="719" spans="1:7" ht="14.25" customHeight="1">
      <c r="A719" s="79"/>
      <c r="B719" s="48"/>
      <c r="C719" s="49"/>
      <c r="D719" s="49"/>
      <c r="F719" s="17"/>
      <c r="G719" s="17"/>
    </row>
    <row r="720" spans="1:7" ht="14.25" customHeight="1">
      <c r="A720" s="79"/>
      <c r="B720" s="48"/>
      <c r="C720" s="49"/>
      <c r="D720" s="49"/>
      <c r="F720" s="17"/>
      <c r="G720" s="17"/>
    </row>
    <row r="721" spans="1:7" ht="14.25" customHeight="1">
      <c r="A721" s="79"/>
      <c r="B721" s="48"/>
      <c r="C721" s="49"/>
      <c r="D721" s="49"/>
      <c r="F721" s="17"/>
      <c r="G721" s="17"/>
    </row>
    <row r="722" spans="1:7" ht="14.25" customHeight="1">
      <c r="A722" s="79"/>
      <c r="B722" s="48"/>
      <c r="C722" s="49"/>
      <c r="D722" s="49"/>
      <c r="F722" s="17"/>
      <c r="G722" s="17"/>
    </row>
    <row r="723" spans="1:7" ht="14.25" customHeight="1">
      <c r="A723" s="79"/>
      <c r="B723" s="48"/>
      <c r="C723" s="49"/>
      <c r="D723" s="49"/>
      <c r="F723" s="17"/>
      <c r="G723" s="17"/>
    </row>
    <row r="724" spans="1:7" ht="14.25" customHeight="1">
      <c r="A724" s="79"/>
      <c r="B724" s="48"/>
      <c r="C724" s="49"/>
      <c r="D724" s="49"/>
      <c r="F724" s="17"/>
      <c r="G724" s="17"/>
    </row>
    <row r="725" spans="1:7" ht="14.25" customHeight="1">
      <c r="A725" s="79"/>
      <c r="B725" s="48"/>
      <c r="C725" s="49"/>
      <c r="D725" s="49"/>
      <c r="F725" s="17"/>
      <c r="G725" s="17"/>
    </row>
    <row r="726" spans="1:7" ht="14.25" customHeight="1">
      <c r="A726" s="79"/>
      <c r="B726" s="48"/>
      <c r="C726" s="49"/>
      <c r="D726" s="49"/>
      <c r="F726" s="17"/>
      <c r="G726" s="17"/>
    </row>
    <row r="727" spans="1:7" ht="14.25" customHeight="1">
      <c r="A727" s="79"/>
      <c r="B727" s="48"/>
      <c r="C727" s="49"/>
      <c r="D727" s="49"/>
      <c r="F727" s="17"/>
      <c r="G727" s="17"/>
    </row>
    <row r="728" spans="1:7" ht="14.25" customHeight="1">
      <c r="A728" s="79"/>
      <c r="B728" s="48"/>
      <c r="C728" s="49"/>
      <c r="D728" s="49"/>
      <c r="F728" s="17"/>
      <c r="G728" s="17"/>
    </row>
    <row r="729" spans="1:7" ht="14.25" customHeight="1">
      <c r="A729" s="79"/>
      <c r="B729" s="48"/>
      <c r="C729" s="49"/>
      <c r="D729" s="49"/>
      <c r="F729" s="17"/>
      <c r="G729" s="17"/>
    </row>
    <row r="730" spans="1:7" ht="14.25" customHeight="1">
      <c r="A730" s="79"/>
      <c r="B730" s="48"/>
      <c r="C730" s="49"/>
      <c r="D730" s="49"/>
      <c r="F730" s="17"/>
      <c r="G730" s="17"/>
    </row>
    <row r="731" spans="1:7" ht="14.25" customHeight="1">
      <c r="A731" s="79"/>
      <c r="B731" s="48"/>
      <c r="C731" s="49"/>
      <c r="D731" s="49"/>
      <c r="F731" s="17"/>
      <c r="G731" s="17"/>
    </row>
    <row r="732" spans="1:7" ht="14.25" customHeight="1">
      <c r="A732" s="79"/>
      <c r="B732" s="48"/>
      <c r="C732" s="49"/>
      <c r="D732" s="49"/>
      <c r="F732" s="17"/>
      <c r="G732" s="17"/>
    </row>
    <row r="733" spans="1:7" ht="14.25" customHeight="1">
      <c r="A733" s="79"/>
      <c r="B733" s="48"/>
      <c r="C733" s="49"/>
      <c r="D733" s="49"/>
      <c r="F733" s="17"/>
      <c r="G733" s="17"/>
    </row>
    <row r="734" spans="1:7" ht="14.25" customHeight="1">
      <c r="A734" s="79"/>
      <c r="B734" s="48"/>
      <c r="C734" s="49"/>
      <c r="D734" s="49"/>
      <c r="F734" s="17"/>
      <c r="G734" s="17"/>
    </row>
    <row r="735" spans="1:7" ht="14.25" customHeight="1">
      <c r="A735" s="79"/>
      <c r="B735" s="48"/>
      <c r="C735" s="49"/>
      <c r="D735" s="49"/>
      <c r="F735" s="17"/>
      <c r="G735" s="17"/>
    </row>
    <row r="736" spans="1:7" ht="14.25" customHeight="1">
      <c r="A736" s="79"/>
      <c r="B736" s="48"/>
      <c r="C736" s="49"/>
      <c r="D736" s="49"/>
      <c r="F736" s="17"/>
      <c r="G736" s="17"/>
    </row>
    <row r="737" spans="1:7" ht="14.25" customHeight="1">
      <c r="A737" s="79"/>
      <c r="B737" s="48"/>
      <c r="C737" s="49"/>
      <c r="D737" s="49"/>
      <c r="F737" s="17"/>
      <c r="G737" s="17"/>
    </row>
    <row r="738" spans="1:7" ht="14.25" customHeight="1">
      <c r="A738" s="79"/>
      <c r="B738" s="48"/>
      <c r="C738" s="49"/>
      <c r="D738" s="49"/>
      <c r="F738" s="17"/>
      <c r="G738" s="17"/>
    </row>
    <row r="739" spans="1:7" ht="14.25" customHeight="1">
      <c r="A739" s="79"/>
      <c r="B739" s="48"/>
      <c r="C739" s="49"/>
      <c r="D739" s="49"/>
      <c r="F739" s="17"/>
      <c r="G739" s="17"/>
    </row>
    <row r="740" spans="1:7" ht="14.25" customHeight="1">
      <c r="A740" s="79"/>
      <c r="B740" s="48"/>
      <c r="C740" s="49"/>
      <c r="D740" s="49"/>
      <c r="F740" s="17"/>
      <c r="G740" s="17"/>
    </row>
    <row r="741" spans="1:7" ht="14.25" customHeight="1">
      <c r="A741" s="79"/>
      <c r="B741" s="48"/>
      <c r="C741" s="49"/>
      <c r="D741" s="49"/>
      <c r="F741" s="17"/>
      <c r="G741" s="17"/>
    </row>
    <row r="742" spans="1:7" ht="14.25" customHeight="1">
      <c r="A742" s="79"/>
      <c r="B742" s="48"/>
      <c r="C742" s="49"/>
      <c r="D742" s="49"/>
      <c r="F742" s="17"/>
      <c r="G742" s="17"/>
    </row>
    <row r="743" spans="1:7" ht="14.25" customHeight="1">
      <c r="A743" s="79"/>
      <c r="B743" s="48"/>
      <c r="C743" s="49"/>
      <c r="D743" s="49"/>
      <c r="F743" s="17"/>
      <c r="G743" s="17"/>
    </row>
    <row r="744" spans="1:7" ht="14.25" customHeight="1">
      <c r="A744" s="79"/>
      <c r="B744" s="48"/>
      <c r="C744" s="49"/>
      <c r="D744" s="49"/>
      <c r="F744" s="17"/>
      <c r="G744" s="17"/>
    </row>
    <row r="745" spans="1:7" ht="14.25" customHeight="1">
      <c r="A745" s="79"/>
      <c r="B745" s="48"/>
      <c r="C745" s="49"/>
      <c r="D745" s="49"/>
      <c r="F745" s="17"/>
      <c r="G745" s="17"/>
    </row>
    <row r="746" spans="1:7" ht="14.25" customHeight="1">
      <c r="A746" s="79"/>
      <c r="B746" s="48"/>
      <c r="C746" s="49"/>
      <c r="D746" s="49"/>
      <c r="F746" s="17"/>
      <c r="G746" s="17"/>
    </row>
    <row r="747" spans="1:7" ht="14.25" customHeight="1">
      <c r="A747" s="79"/>
      <c r="B747" s="48"/>
      <c r="C747" s="49"/>
      <c r="D747" s="49"/>
      <c r="F747" s="17"/>
      <c r="G747" s="17"/>
    </row>
    <row r="748" spans="1:7" ht="14.25" customHeight="1">
      <c r="A748" s="79"/>
      <c r="B748" s="48"/>
      <c r="C748" s="49"/>
      <c r="D748" s="49"/>
      <c r="F748" s="17"/>
      <c r="G748" s="17"/>
    </row>
    <row r="749" spans="1:7" ht="14.25" customHeight="1">
      <c r="A749" s="79"/>
      <c r="B749" s="48"/>
      <c r="C749" s="49"/>
      <c r="D749" s="49"/>
      <c r="F749" s="17"/>
      <c r="G749" s="17"/>
    </row>
    <row r="750" spans="1:7" ht="14.25" customHeight="1">
      <c r="A750" s="79"/>
      <c r="B750" s="48"/>
      <c r="C750" s="49"/>
      <c r="D750" s="49"/>
      <c r="F750" s="17"/>
      <c r="G750" s="17"/>
    </row>
    <row r="751" spans="1:7" ht="14.25" customHeight="1">
      <c r="A751" s="79"/>
      <c r="B751" s="48"/>
      <c r="C751" s="49"/>
      <c r="D751" s="49"/>
      <c r="F751" s="17"/>
      <c r="G751" s="17"/>
    </row>
    <row r="752" spans="1:7" ht="14.25" customHeight="1">
      <c r="A752" s="79"/>
      <c r="B752" s="48"/>
      <c r="C752" s="49"/>
      <c r="D752" s="49"/>
      <c r="F752" s="17"/>
      <c r="G752" s="17"/>
    </row>
    <row r="753" spans="1:7" ht="14.25" customHeight="1">
      <c r="A753" s="79"/>
      <c r="B753" s="48"/>
      <c r="C753" s="49"/>
      <c r="D753" s="49"/>
      <c r="F753" s="17"/>
      <c r="G753" s="17"/>
    </row>
    <row r="754" spans="1:7" ht="14.25" customHeight="1">
      <c r="A754" s="79"/>
      <c r="B754" s="48"/>
      <c r="C754" s="49"/>
      <c r="D754" s="49"/>
      <c r="F754" s="17"/>
      <c r="G754" s="17"/>
    </row>
    <row r="755" spans="1:7" ht="14.25" customHeight="1">
      <c r="A755" s="79"/>
      <c r="B755" s="48"/>
      <c r="C755" s="49"/>
      <c r="D755" s="49"/>
      <c r="F755" s="17"/>
      <c r="G755" s="17"/>
    </row>
    <row r="756" spans="1:7" ht="14.25" customHeight="1">
      <c r="A756" s="79"/>
      <c r="B756" s="48"/>
      <c r="C756" s="49"/>
      <c r="D756" s="49"/>
      <c r="F756" s="17"/>
      <c r="G756" s="17"/>
    </row>
    <row r="757" spans="1:7" ht="14.25" customHeight="1">
      <c r="A757" s="79"/>
      <c r="B757" s="48"/>
      <c r="C757" s="49"/>
      <c r="D757" s="49"/>
      <c r="F757" s="17"/>
      <c r="G757" s="17"/>
    </row>
    <row r="758" spans="1:7" ht="14.25" customHeight="1">
      <c r="A758" s="79"/>
      <c r="B758" s="48"/>
      <c r="C758" s="49"/>
      <c r="D758" s="49"/>
      <c r="F758" s="17"/>
      <c r="G758" s="17"/>
    </row>
    <row r="759" spans="1:7" ht="14.25" customHeight="1">
      <c r="A759" s="79"/>
      <c r="B759" s="48"/>
      <c r="C759" s="49"/>
      <c r="D759" s="49"/>
      <c r="F759" s="17"/>
      <c r="G759" s="17"/>
    </row>
    <row r="760" spans="1:7" ht="14.25" customHeight="1">
      <c r="A760" s="79"/>
      <c r="B760" s="48"/>
      <c r="C760" s="49"/>
      <c r="D760" s="49"/>
      <c r="F760" s="17"/>
      <c r="G760" s="17"/>
    </row>
    <row r="761" spans="1:7" ht="14.25" customHeight="1">
      <c r="A761" s="79"/>
      <c r="B761" s="48"/>
      <c r="C761" s="49"/>
      <c r="D761" s="49"/>
      <c r="F761" s="17"/>
      <c r="G761" s="17"/>
    </row>
    <row r="762" spans="1:7" ht="14.25" customHeight="1">
      <c r="A762" s="79"/>
      <c r="B762" s="48"/>
      <c r="C762" s="49"/>
      <c r="D762" s="49"/>
      <c r="F762" s="17"/>
      <c r="G762" s="17"/>
    </row>
    <row r="763" spans="1:7" ht="14.25" customHeight="1">
      <c r="A763" s="79"/>
      <c r="B763" s="48"/>
      <c r="C763" s="49"/>
      <c r="D763" s="49"/>
      <c r="F763" s="17"/>
      <c r="G763" s="17"/>
    </row>
    <row r="764" spans="1:7" ht="14.25" customHeight="1">
      <c r="A764" s="79"/>
      <c r="B764" s="48"/>
      <c r="C764" s="49"/>
      <c r="D764" s="49"/>
      <c r="F764" s="17"/>
      <c r="G764" s="17"/>
    </row>
    <row r="765" spans="1:7" ht="14.25" customHeight="1">
      <c r="A765" s="79"/>
      <c r="B765" s="48"/>
      <c r="C765" s="49"/>
      <c r="D765" s="49"/>
      <c r="F765" s="17"/>
      <c r="G765" s="17"/>
    </row>
    <row r="766" spans="1:7" ht="14.25" customHeight="1">
      <c r="A766" s="79"/>
      <c r="B766" s="48"/>
      <c r="C766" s="49"/>
      <c r="D766" s="49"/>
      <c r="F766" s="17"/>
      <c r="G766" s="17"/>
    </row>
    <row r="767" spans="1:7" ht="14.25" customHeight="1">
      <c r="A767" s="79"/>
      <c r="B767" s="48"/>
      <c r="C767" s="49"/>
      <c r="D767" s="49"/>
      <c r="F767" s="17"/>
      <c r="G767" s="17"/>
    </row>
    <row r="768" spans="1:7" ht="14.25" customHeight="1">
      <c r="A768" s="79"/>
      <c r="B768" s="48"/>
      <c r="C768" s="49"/>
      <c r="D768" s="49"/>
      <c r="F768" s="17"/>
      <c r="G768" s="17"/>
    </row>
    <row r="769" spans="1:7" ht="14.25" customHeight="1">
      <c r="A769" s="79"/>
      <c r="B769" s="48"/>
      <c r="C769" s="49"/>
      <c r="D769" s="49"/>
      <c r="F769" s="17"/>
      <c r="G769" s="17"/>
    </row>
    <row r="770" spans="1:7" ht="14.25" customHeight="1">
      <c r="A770" s="79"/>
      <c r="B770" s="48"/>
      <c r="C770" s="49"/>
      <c r="D770" s="49"/>
      <c r="F770" s="17"/>
      <c r="G770" s="17"/>
    </row>
    <row r="771" spans="1:7" ht="14.25" customHeight="1">
      <c r="A771" s="79"/>
      <c r="B771" s="48"/>
      <c r="C771" s="49"/>
      <c r="D771" s="49"/>
      <c r="F771" s="17"/>
      <c r="G771" s="17"/>
    </row>
    <row r="772" spans="1:7" ht="14.25" customHeight="1">
      <c r="A772" s="79"/>
      <c r="B772" s="48"/>
      <c r="C772" s="49"/>
      <c r="D772" s="49"/>
      <c r="F772" s="17"/>
      <c r="G772" s="17"/>
    </row>
    <row r="773" spans="1:7" ht="14.25" customHeight="1">
      <c r="A773" s="79"/>
      <c r="B773" s="48"/>
      <c r="C773" s="49"/>
      <c r="D773" s="49"/>
      <c r="F773" s="17"/>
      <c r="G773" s="17"/>
    </row>
    <row r="774" spans="1:7" ht="14.25" customHeight="1">
      <c r="A774" s="79"/>
      <c r="B774" s="48"/>
      <c r="C774" s="49"/>
      <c r="D774" s="49"/>
      <c r="F774" s="17"/>
      <c r="G774" s="17"/>
    </row>
    <row r="775" spans="1:7" ht="14.25" customHeight="1">
      <c r="A775" s="79"/>
      <c r="B775" s="48"/>
      <c r="C775" s="49"/>
      <c r="D775" s="49"/>
      <c r="F775" s="17"/>
      <c r="G775" s="17"/>
    </row>
    <row r="776" spans="1:7" ht="14.25" customHeight="1">
      <c r="A776" s="79"/>
      <c r="B776" s="48"/>
      <c r="C776" s="49"/>
      <c r="D776" s="49"/>
      <c r="F776" s="17"/>
      <c r="G776" s="17"/>
    </row>
    <row r="777" spans="1:7" ht="14.25" customHeight="1">
      <c r="A777" s="79"/>
      <c r="B777" s="48"/>
      <c r="C777" s="49"/>
      <c r="D777" s="49"/>
      <c r="F777" s="17"/>
      <c r="G777" s="17"/>
    </row>
    <row r="778" spans="1:7" ht="14.25" customHeight="1">
      <c r="A778" s="79"/>
      <c r="B778" s="48"/>
      <c r="C778" s="49"/>
      <c r="D778" s="49"/>
      <c r="F778" s="17"/>
      <c r="G778" s="17"/>
    </row>
    <row r="779" spans="1:7" ht="14.25" customHeight="1">
      <c r="A779" s="79"/>
      <c r="B779" s="48"/>
      <c r="C779" s="49"/>
      <c r="D779" s="49"/>
      <c r="F779" s="17"/>
      <c r="G779" s="17"/>
    </row>
    <row r="780" spans="1:7" ht="14.25" customHeight="1">
      <c r="A780" s="79"/>
      <c r="B780" s="48"/>
      <c r="C780" s="49"/>
      <c r="D780" s="49"/>
      <c r="F780" s="17"/>
      <c r="G780" s="17"/>
    </row>
    <row r="781" spans="1:7" ht="14.25" customHeight="1">
      <c r="A781" s="79"/>
      <c r="B781" s="48"/>
      <c r="C781" s="49"/>
      <c r="D781" s="49"/>
      <c r="F781" s="17"/>
      <c r="G781" s="17"/>
    </row>
    <row r="782" spans="1:7" ht="14.25" customHeight="1">
      <c r="A782" s="79"/>
      <c r="B782" s="48"/>
      <c r="C782" s="49"/>
      <c r="D782" s="49"/>
      <c r="F782" s="17"/>
      <c r="G782" s="17"/>
    </row>
    <row r="783" spans="1:7" ht="14.25" customHeight="1">
      <c r="A783" s="79"/>
      <c r="B783" s="48"/>
      <c r="C783" s="49"/>
      <c r="D783" s="49"/>
      <c r="F783" s="17"/>
      <c r="G783" s="17"/>
    </row>
    <row r="784" spans="1:7" ht="14.25" customHeight="1">
      <c r="A784" s="79"/>
      <c r="B784" s="48"/>
      <c r="C784" s="49"/>
      <c r="D784" s="49"/>
      <c r="F784" s="17"/>
      <c r="G784" s="17"/>
    </row>
    <row r="785" spans="1:7" ht="14.25" customHeight="1">
      <c r="A785" s="79"/>
      <c r="B785" s="48"/>
      <c r="C785" s="49"/>
      <c r="D785" s="49"/>
      <c r="F785" s="17"/>
      <c r="G785" s="17"/>
    </row>
    <row r="786" spans="1:7" ht="14.25" customHeight="1">
      <c r="A786" s="79"/>
      <c r="B786" s="48"/>
      <c r="C786" s="49"/>
      <c r="D786" s="49"/>
      <c r="F786" s="17"/>
      <c r="G786" s="17"/>
    </row>
    <row r="787" spans="1:7" ht="14.25" customHeight="1">
      <c r="A787" s="79"/>
      <c r="B787" s="48"/>
      <c r="C787" s="49"/>
      <c r="D787" s="49"/>
      <c r="F787" s="17"/>
      <c r="G787" s="17"/>
    </row>
    <row r="788" spans="1:7" ht="14.25" customHeight="1">
      <c r="A788" s="79"/>
      <c r="B788" s="48"/>
      <c r="C788" s="49"/>
      <c r="D788" s="49"/>
      <c r="F788" s="17"/>
      <c r="G788" s="17"/>
    </row>
    <row r="789" spans="1:7" ht="14.25" customHeight="1">
      <c r="A789" s="79"/>
      <c r="B789" s="48"/>
      <c r="C789" s="49"/>
      <c r="D789" s="49"/>
      <c r="F789" s="17"/>
      <c r="G789" s="17"/>
    </row>
    <row r="790" spans="1:7" ht="14.25" customHeight="1">
      <c r="A790" s="79"/>
      <c r="B790" s="48"/>
      <c r="C790" s="49"/>
      <c r="D790" s="49"/>
      <c r="F790" s="17"/>
      <c r="G790" s="17"/>
    </row>
    <row r="791" spans="1:7" ht="14.25" customHeight="1">
      <c r="A791" s="79"/>
      <c r="B791" s="48"/>
      <c r="C791" s="49"/>
      <c r="D791" s="49"/>
      <c r="F791" s="17"/>
      <c r="G791" s="17"/>
    </row>
    <row r="792" spans="1:7" ht="14.25" customHeight="1">
      <c r="A792" s="79"/>
      <c r="B792" s="48"/>
      <c r="C792" s="49"/>
      <c r="D792" s="49"/>
      <c r="F792" s="17"/>
      <c r="G792" s="17"/>
    </row>
    <row r="793" spans="1:7" ht="14.25" customHeight="1">
      <c r="A793" s="79"/>
      <c r="B793" s="48"/>
      <c r="C793" s="49"/>
      <c r="D793" s="49"/>
      <c r="F793" s="17"/>
      <c r="G793" s="17"/>
    </row>
    <row r="794" spans="1:7" ht="14.25" customHeight="1">
      <c r="A794" s="79"/>
      <c r="B794" s="48"/>
      <c r="C794" s="49"/>
      <c r="D794" s="49"/>
      <c r="F794" s="17"/>
      <c r="G794" s="17"/>
    </row>
    <row r="795" spans="1:7" ht="14.25" customHeight="1">
      <c r="A795" s="79"/>
      <c r="B795" s="48"/>
      <c r="C795" s="49"/>
      <c r="D795" s="49"/>
      <c r="F795" s="17"/>
      <c r="G795" s="17"/>
    </row>
    <row r="796" spans="1:7" ht="14.25" customHeight="1">
      <c r="A796" s="79"/>
      <c r="B796" s="48"/>
      <c r="C796" s="49"/>
      <c r="D796" s="49"/>
      <c r="F796" s="17"/>
      <c r="G796" s="17"/>
    </row>
    <row r="797" spans="1:7" ht="14.25" customHeight="1">
      <c r="A797" s="79"/>
      <c r="B797" s="48"/>
      <c r="C797" s="49"/>
      <c r="D797" s="49"/>
      <c r="F797" s="17"/>
      <c r="G797" s="17"/>
    </row>
    <row r="798" spans="1:7" ht="14.25" customHeight="1">
      <c r="A798" s="79"/>
      <c r="B798" s="48"/>
      <c r="C798" s="49"/>
      <c r="D798" s="49"/>
      <c r="F798" s="17"/>
      <c r="G798" s="17"/>
    </row>
    <row r="799" spans="1:7" ht="14.25" customHeight="1">
      <c r="A799" s="79"/>
      <c r="B799" s="48"/>
      <c r="C799" s="49"/>
      <c r="D799" s="49"/>
      <c r="F799" s="17"/>
      <c r="G799" s="17"/>
    </row>
    <row r="800" spans="1:7" ht="14.25" customHeight="1">
      <c r="A800" s="79"/>
      <c r="B800" s="48"/>
      <c r="C800" s="49"/>
      <c r="D800" s="49"/>
      <c r="F800" s="17"/>
      <c r="G800" s="17"/>
    </row>
    <row r="801" spans="1:7" ht="14.25" customHeight="1">
      <c r="A801" s="79"/>
      <c r="B801" s="48"/>
      <c r="C801" s="49"/>
      <c r="D801" s="49"/>
      <c r="F801" s="17"/>
      <c r="G801" s="17"/>
    </row>
    <row r="802" spans="1:7" ht="14.25" customHeight="1">
      <c r="A802" s="79"/>
      <c r="B802" s="48"/>
      <c r="C802" s="49"/>
      <c r="D802" s="49"/>
      <c r="F802" s="17"/>
      <c r="G802" s="17"/>
    </row>
    <row r="803" spans="1:7" ht="14.25" customHeight="1">
      <c r="A803" s="79"/>
      <c r="B803" s="48"/>
      <c r="C803" s="49"/>
      <c r="D803" s="49"/>
      <c r="F803" s="17"/>
      <c r="G803" s="17"/>
    </row>
    <row r="804" spans="1:7" ht="14.25" customHeight="1">
      <c r="A804" s="79"/>
      <c r="B804" s="48"/>
      <c r="C804" s="49"/>
      <c r="D804" s="49"/>
      <c r="F804" s="17"/>
      <c r="G804" s="17"/>
    </row>
    <row r="805" spans="1:7" ht="14.25" customHeight="1">
      <c r="A805" s="79"/>
      <c r="B805" s="48"/>
      <c r="C805" s="49"/>
      <c r="D805" s="49"/>
      <c r="F805" s="17"/>
      <c r="G805" s="17"/>
    </row>
    <row r="806" spans="1:7" ht="14.25" customHeight="1">
      <c r="A806" s="79"/>
      <c r="B806" s="48"/>
      <c r="C806" s="49"/>
      <c r="D806" s="49"/>
      <c r="F806" s="17"/>
      <c r="G806" s="17"/>
    </row>
    <row r="807" spans="1:7" ht="14.25" customHeight="1">
      <c r="A807" s="79"/>
      <c r="B807" s="48"/>
      <c r="C807" s="49"/>
      <c r="D807" s="49"/>
      <c r="F807" s="17"/>
      <c r="G807" s="17"/>
    </row>
    <row r="808" spans="1:7" ht="14.25" customHeight="1">
      <c r="A808" s="79"/>
      <c r="B808" s="48"/>
      <c r="C808" s="49"/>
      <c r="D808" s="49"/>
      <c r="F808" s="17"/>
      <c r="G808" s="17"/>
    </row>
    <row r="809" spans="1:7" ht="14.25" customHeight="1">
      <c r="A809" s="79"/>
      <c r="B809" s="48"/>
      <c r="C809" s="49"/>
      <c r="D809" s="49"/>
      <c r="F809" s="17"/>
      <c r="G809" s="17"/>
    </row>
    <row r="810" spans="1:7" ht="14.25" customHeight="1">
      <c r="A810" s="79"/>
      <c r="B810" s="48"/>
      <c r="C810" s="49"/>
      <c r="D810" s="49"/>
      <c r="F810" s="17"/>
      <c r="G810" s="17"/>
    </row>
    <row r="811" spans="1:7" ht="14.25" customHeight="1">
      <c r="A811" s="79"/>
      <c r="B811" s="48"/>
      <c r="C811" s="49"/>
      <c r="D811" s="49"/>
      <c r="F811" s="17"/>
      <c r="G811" s="17"/>
    </row>
    <row r="812" spans="1:7" ht="14.25" customHeight="1">
      <c r="A812" s="79"/>
      <c r="B812" s="48"/>
      <c r="C812" s="49"/>
      <c r="D812" s="49"/>
      <c r="F812" s="17"/>
      <c r="G812" s="17"/>
    </row>
    <row r="813" spans="1:7" ht="14.25" customHeight="1">
      <c r="A813" s="79"/>
      <c r="B813" s="48"/>
      <c r="C813" s="49"/>
      <c r="D813" s="49"/>
      <c r="F813" s="17"/>
      <c r="G813" s="17"/>
    </row>
    <row r="814" spans="1:7" ht="14.25" customHeight="1">
      <c r="A814" s="79"/>
      <c r="B814" s="48"/>
      <c r="C814" s="49"/>
      <c r="D814" s="49"/>
      <c r="F814" s="17"/>
      <c r="G814" s="17"/>
    </row>
    <row r="815" spans="1:7" ht="14.25" customHeight="1">
      <c r="A815" s="79"/>
      <c r="B815" s="48"/>
      <c r="C815" s="49"/>
      <c r="D815" s="49"/>
      <c r="F815" s="17"/>
      <c r="G815" s="17"/>
    </row>
    <row r="816" spans="1:7" ht="14.25" customHeight="1">
      <c r="A816" s="79"/>
      <c r="B816" s="48"/>
      <c r="C816" s="49"/>
      <c r="D816" s="49"/>
      <c r="F816" s="17"/>
      <c r="G816" s="17"/>
    </row>
    <row r="817" spans="1:7" ht="14.25" customHeight="1">
      <c r="A817" s="79"/>
      <c r="B817" s="48"/>
      <c r="C817" s="49"/>
      <c r="D817" s="49"/>
      <c r="F817" s="17"/>
      <c r="G817" s="17"/>
    </row>
    <row r="818" spans="1:7" ht="14.25" customHeight="1">
      <c r="A818" s="79"/>
      <c r="B818" s="48"/>
      <c r="C818" s="49"/>
      <c r="D818" s="49"/>
      <c r="F818" s="17"/>
      <c r="G818" s="17"/>
    </row>
    <row r="819" spans="1:7" ht="14.25" customHeight="1">
      <c r="A819" s="79"/>
      <c r="B819" s="48"/>
      <c r="C819" s="49"/>
      <c r="D819" s="49"/>
      <c r="F819" s="17"/>
      <c r="G819" s="17"/>
    </row>
    <row r="820" spans="1:7" ht="14.25" customHeight="1">
      <c r="A820" s="79"/>
      <c r="B820" s="48"/>
      <c r="C820" s="49"/>
      <c r="D820" s="49"/>
      <c r="F820" s="17"/>
      <c r="G820" s="17"/>
    </row>
    <row r="821" spans="1:7" ht="14.25" customHeight="1">
      <c r="A821" s="79"/>
      <c r="B821" s="48"/>
      <c r="C821" s="49"/>
      <c r="D821" s="49"/>
      <c r="F821" s="17"/>
      <c r="G821" s="17"/>
    </row>
    <row r="822" spans="1:7" ht="14.25" customHeight="1">
      <c r="A822" s="79"/>
      <c r="B822" s="48"/>
      <c r="C822" s="49"/>
      <c r="D822" s="49"/>
      <c r="F822" s="17"/>
      <c r="G822" s="17"/>
    </row>
    <row r="823" spans="1:7" ht="14.25" customHeight="1">
      <c r="A823" s="79"/>
      <c r="B823" s="48"/>
      <c r="C823" s="49"/>
      <c r="D823" s="49"/>
      <c r="F823" s="17"/>
      <c r="G823" s="17"/>
    </row>
    <row r="824" spans="1:7" ht="14.25" customHeight="1">
      <c r="A824" s="79"/>
      <c r="B824" s="48"/>
      <c r="C824" s="49"/>
      <c r="D824" s="49"/>
      <c r="F824" s="17"/>
      <c r="G824" s="17"/>
    </row>
    <row r="825" spans="1:7" ht="14.25" customHeight="1">
      <c r="A825" s="79"/>
      <c r="B825" s="48"/>
      <c r="C825" s="49"/>
      <c r="D825" s="49"/>
      <c r="F825" s="17"/>
      <c r="G825" s="17"/>
    </row>
    <row r="826" spans="1:7" ht="14.25" customHeight="1">
      <c r="A826" s="79"/>
      <c r="B826" s="48"/>
      <c r="C826" s="49"/>
      <c r="D826" s="49"/>
      <c r="F826" s="17"/>
      <c r="G826" s="17"/>
    </row>
    <row r="827" spans="1:7" ht="14.25" customHeight="1">
      <c r="A827" s="79"/>
      <c r="B827" s="48"/>
      <c r="C827" s="49"/>
      <c r="D827" s="49"/>
      <c r="F827" s="17"/>
      <c r="G827" s="17"/>
    </row>
    <row r="828" spans="1:7" ht="14.25" customHeight="1">
      <c r="A828" s="79"/>
      <c r="B828" s="48"/>
      <c r="C828" s="49"/>
      <c r="D828" s="49"/>
      <c r="F828" s="17"/>
      <c r="G828" s="17"/>
    </row>
    <row r="829" spans="1:7" ht="14.25" customHeight="1">
      <c r="A829" s="79"/>
      <c r="B829" s="48"/>
      <c r="C829" s="49"/>
      <c r="D829" s="49"/>
      <c r="F829" s="17"/>
      <c r="G829" s="17"/>
    </row>
    <row r="830" spans="1:7" ht="14.25" customHeight="1">
      <c r="A830" s="79"/>
      <c r="B830" s="48"/>
      <c r="C830" s="49"/>
      <c r="D830" s="49"/>
      <c r="F830" s="17"/>
      <c r="G830" s="17"/>
    </row>
    <row r="831" spans="1:7" ht="14.25" customHeight="1">
      <c r="A831" s="79"/>
      <c r="B831" s="48"/>
      <c r="C831" s="49"/>
      <c r="D831" s="49"/>
      <c r="F831" s="17"/>
      <c r="G831" s="17"/>
    </row>
    <row r="832" spans="1:7" ht="14.25" customHeight="1">
      <c r="A832" s="79"/>
      <c r="B832" s="48"/>
      <c r="C832" s="49"/>
      <c r="D832" s="49"/>
      <c r="F832" s="17"/>
      <c r="G832" s="17"/>
    </row>
    <row r="833" spans="1:7" ht="14.25" customHeight="1">
      <c r="A833" s="79"/>
      <c r="B833" s="48"/>
      <c r="C833" s="49"/>
      <c r="D833" s="49"/>
      <c r="F833" s="17"/>
      <c r="G833" s="17"/>
    </row>
    <row r="834" spans="1:7" ht="14.25" customHeight="1">
      <c r="A834" s="79"/>
      <c r="B834" s="48"/>
      <c r="C834" s="49"/>
      <c r="D834" s="49"/>
      <c r="F834" s="17"/>
      <c r="G834" s="17"/>
    </row>
    <row r="835" spans="1:7" ht="14.25" customHeight="1">
      <c r="A835" s="79"/>
      <c r="B835" s="48"/>
      <c r="C835" s="49"/>
      <c r="D835" s="49"/>
      <c r="F835" s="17"/>
      <c r="G835" s="17"/>
    </row>
    <row r="836" spans="1:7" ht="14.25" customHeight="1">
      <c r="A836" s="79"/>
      <c r="B836" s="48"/>
      <c r="C836" s="49"/>
      <c r="D836" s="49"/>
      <c r="F836" s="17"/>
      <c r="G836" s="17"/>
    </row>
    <row r="837" spans="1:7" ht="14.25" customHeight="1">
      <c r="A837" s="79"/>
      <c r="B837" s="48"/>
      <c r="C837" s="49"/>
      <c r="D837" s="49"/>
      <c r="F837" s="17"/>
      <c r="G837" s="17"/>
    </row>
    <row r="838" spans="1:7" ht="14.25" customHeight="1">
      <c r="A838" s="79"/>
      <c r="B838" s="48"/>
      <c r="C838" s="49"/>
      <c r="D838" s="49"/>
      <c r="F838" s="17"/>
      <c r="G838" s="17"/>
    </row>
    <row r="839" spans="1:7" ht="14.25" customHeight="1">
      <c r="A839" s="79"/>
      <c r="B839" s="48"/>
      <c r="C839" s="49"/>
      <c r="D839" s="49"/>
      <c r="F839" s="17"/>
      <c r="G839" s="17"/>
    </row>
    <row r="840" spans="1:7" ht="14.25" customHeight="1">
      <c r="A840" s="79"/>
      <c r="B840" s="48"/>
      <c r="C840" s="49"/>
      <c r="D840" s="49"/>
      <c r="F840" s="17"/>
      <c r="G840" s="17"/>
    </row>
    <row r="841" spans="1:7" ht="14.25" customHeight="1">
      <c r="A841" s="79"/>
      <c r="B841" s="48"/>
      <c r="C841" s="49"/>
      <c r="D841" s="49"/>
      <c r="F841" s="17"/>
      <c r="G841" s="17"/>
    </row>
    <row r="842" spans="1:7" ht="14.25" customHeight="1">
      <c r="A842" s="79"/>
      <c r="B842" s="48"/>
      <c r="C842" s="49"/>
      <c r="D842" s="49"/>
      <c r="F842" s="17"/>
      <c r="G842" s="17"/>
    </row>
    <row r="843" spans="1:7" ht="14.25" customHeight="1">
      <c r="A843" s="79"/>
      <c r="B843" s="48"/>
      <c r="C843" s="49"/>
      <c r="D843" s="49"/>
      <c r="F843" s="17"/>
      <c r="G843" s="17"/>
    </row>
    <row r="844" spans="1:7" ht="14.25" customHeight="1">
      <c r="A844" s="79"/>
      <c r="B844" s="48"/>
      <c r="C844" s="49"/>
      <c r="D844" s="49"/>
      <c r="F844" s="17"/>
      <c r="G844" s="17"/>
    </row>
    <row r="845" spans="1:7" ht="14.25" customHeight="1">
      <c r="A845" s="79"/>
      <c r="B845" s="48"/>
      <c r="C845" s="49"/>
      <c r="D845" s="49"/>
      <c r="F845" s="17"/>
      <c r="G845" s="17"/>
    </row>
    <row r="846" spans="1:7" ht="14.25" customHeight="1">
      <c r="A846" s="79"/>
      <c r="B846" s="48"/>
      <c r="C846" s="49"/>
      <c r="D846" s="49"/>
      <c r="F846" s="17"/>
      <c r="G846" s="17"/>
    </row>
    <row r="847" spans="1:7" ht="14.25" customHeight="1">
      <c r="A847" s="79"/>
      <c r="B847" s="48"/>
      <c r="C847" s="49"/>
      <c r="D847" s="49"/>
      <c r="F847" s="17"/>
      <c r="G847" s="17"/>
    </row>
    <row r="848" spans="1:7" ht="14.25" customHeight="1">
      <c r="A848" s="79"/>
      <c r="B848" s="48"/>
      <c r="C848" s="49"/>
      <c r="D848" s="49"/>
      <c r="F848" s="17"/>
      <c r="G848" s="17"/>
    </row>
    <row r="849" spans="1:7" ht="14.25" customHeight="1">
      <c r="A849" s="79"/>
      <c r="B849" s="48"/>
      <c r="C849" s="49"/>
      <c r="D849" s="49"/>
      <c r="F849" s="17"/>
      <c r="G849" s="17"/>
    </row>
    <row r="850" spans="1:7" ht="14.25" customHeight="1">
      <c r="A850" s="79"/>
      <c r="B850" s="48"/>
      <c r="C850" s="49"/>
      <c r="D850" s="49"/>
      <c r="F850" s="17"/>
      <c r="G850" s="17"/>
    </row>
    <row r="851" spans="1:7" ht="14.25" customHeight="1">
      <c r="A851" s="79"/>
      <c r="B851" s="48"/>
      <c r="C851" s="49"/>
      <c r="D851" s="49"/>
      <c r="F851" s="17"/>
      <c r="G851" s="17"/>
    </row>
    <row r="852" spans="1:7" ht="14.25" customHeight="1">
      <c r="A852" s="79"/>
      <c r="B852" s="48"/>
      <c r="C852" s="49"/>
      <c r="D852" s="49"/>
      <c r="F852" s="17"/>
      <c r="G852" s="17"/>
    </row>
    <row r="853" spans="1:7" ht="14.25" customHeight="1">
      <c r="A853" s="79"/>
      <c r="B853" s="48"/>
      <c r="C853" s="49"/>
      <c r="D853" s="49"/>
      <c r="F853" s="17"/>
      <c r="G853" s="17"/>
    </row>
    <row r="854" spans="1:7" ht="14.25" customHeight="1">
      <c r="A854" s="79"/>
      <c r="B854" s="48"/>
      <c r="C854" s="49"/>
      <c r="D854" s="49"/>
      <c r="F854" s="17"/>
      <c r="G854" s="17"/>
    </row>
    <row r="855" spans="1:7" ht="14.25" customHeight="1">
      <c r="A855" s="79"/>
      <c r="B855" s="48"/>
      <c r="C855" s="49"/>
      <c r="D855" s="49"/>
      <c r="F855" s="17"/>
      <c r="G855" s="17"/>
    </row>
    <row r="856" spans="1:7" ht="14.25" customHeight="1">
      <c r="A856" s="79"/>
      <c r="B856" s="48"/>
      <c r="C856" s="49"/>
      <c r="D856" s="49"/>
      <c r="F856" s="17"/>
      <c r="G856" s="17"/>
    </row>
    <row r="857" spans="1:7" ht="14.25" customHeight="1">
      <c r="A857" s="79"/>
      <c r="B857" s="48"/>
      <c r="C857" s="49"/>
      <c r="D857" s="49"/>
      <c r="F857" s="17"/>
      <c r="G857" s="17"/>
    </row>
    <row r="858" spans="1:7" ht="14.25" customHeight="1">
      <c r="A858" s="79"/>
      <c r="B858" s="48"/>
      <c r="C858" s="49"/>
      <c r="D858" s="49"/>
      <c r="F858" s="17"/>
      <c r="G858" s="17"/>
    </row>
    <row r="859" spans="1:7" ht="14.25" customHeight="1">
      <c r="A859" s="79"/>
      <c r="B859" s="48"/>
      <c r="C859" s="49"/>
      <c r="D859" s="49"/>
      <c r="F859" s="17"/>
      <c r="G859" s="17"/>
    </row>
    <row r="860" spans="1:7" ht="14.25" customHeight="1">
      <c r="A860" s="79"/>
      <c r="B860" s="48"/>
      <c r="C860" s="49"/>
      <c r="D860" s="49"/>
      <c r="F860" s="17"/>
      <c r="G860" s="17"/>
    </row>
    <row r="861" spans="1:7" ht="14.25" customHeight="1">
      <c r="A861" s="79"/>
      <c r="B861" s="48"/>
      <c r="C861" s="49"/>
      <c r="D861" s="49"/>
      <c r="F861" s="17"/>
      <c r="G861" s="17"/>
    </row>
    <row r="862" spans="1:7" ht="14.25" customHeight="1">
      <c r="A862" s="79"/>
      <c r="B862" s="48"/>
      <c r="C862" s="49"/>
      <c r="D862" s="49"/>
      <c r="F862" s="17"/>
      <c r="G862" s="17"/>
    </row>
    <row r="863" spans="1:7" ht="14.25" customHeight="1">
      <c r="A863" s="79"/>
      <c r="B863" s="48"/>
      <c r="C863" s="49"/>
      <c r="D863" s="49"/>
      <c r="F863" s="17"/>
      <c r="G863" s="17"/>
    </row>
    <row r="864" spans="1:7" ht="14.25" customHeight="1">
      <c r="A864" s="79"/>
      <c r="B864" s="48"/>
      <c r="C864" s="49"/>
      <c r="D864" s="49"/>
      <c r="F864" s="17"/>
      <c r="G864" s="17"/>
    </row>
    <row r="865" spans="1:7" ht="14.25" customHeight="1">
      <c r="A865" s="79"/>
      <c r="B865" s="48"/>
      <c r="C865" s="49"/>
      <c r="D865" s="49"/>
      <c r="F865" s="17"/>
      <c r="G865" s="17"/>
    </row>
    <row r="866" spans="1:7" ht="14.25" customHeight="1">
      <c r="A866" s="79"/>
      <c r="B866" s="48"/>
      <c r="C866" s="49"/>
      <c r="D866" s="49"/>
      <c r="F866" s="17"/>
      <c r="G866" s="17"/>
    </row>
    <row r="867" spans="1:7" ht="14.25" customHeight="1">
      <c r="A867" s="79"/>
      <c r="B867" s="48"/>
      <c r="C867" s="49"/>
      <c r="D867" s="49"/>
      <c r="F867" s="17"/>
      <c r="G867" s="17"/>
    </row>
    <row r="868" spans="1:7" ht="14.25" customHeight="1">
      <c r="A868" s="79"/>
      <c r="B868" s="48"/>
      <c r="C868" s="49"/>
      <c r="D868" s="49"/>
      <c r="F868" s="17"/>
      <c r="G868" s="17"/>
    </row>
    <row r="869" spans="1:7" ht="14.25" customHeight="1">
      <c r="A869" s="79"/>
      <c r="B869" s="48"/>
      <c r="C869" s="49"/>
      <c r="D869" s="49"/>
      <c r="F869" s="17"/>
      <c r="G869" s="17"/>
    </row>
    <row r="870" spans="1:7" ht="14.25" customHeight="1">
      <c r="A870" s="79"/>
      <c r="B870" s="48"/>
      <c r="C870" s="49"/>
      <c r="D870" s="49"/>
      <c r="F870" s="17"/>
      <c r="G870" s="17"/>
    </row>
    <row r="871" spans="1:7" ht="14.25" customHeight="1">
      <c r="A871" s="79"/>
      <c r="B871" s="48"/>
      <c r="C871" s="49"/>
      <c r="D871" s="49"/>
      <c r="F871" s="17"/>
      <c r="G871" s="17"/>
    </row>
    <row r="872" spans="1:7" ht="14.25" customHeight="1">
      <c r="A872" s="79"/>
      <c r="B872" s="48"/>
      <c r="C872" s="49"/>
      <c r="D872" s="49"/>
      <c r="F872" s="17"/>
      <c r="G872" s="17"/>
    </row>
    <row r="873" spans="1:7" ht="14.25" customHeight="1">
      <c r="A873" s="79"/>
      <c r="B873" s="48"/>
      <c r="C873" s="49"/>
      <c r="D873" s="49"/>
      <c r="F873" s="17"/>
      <c r="G873" s="17"/>
    </row>
    <row r="874" spans="1:7" ht="14.25" customHeight="1">
      <c r="A874" s="79"/>
      <c r="B874" s="48"/>
      <c r="C874" s="49"/>
      <c r="D874" s="49"/>
      <c r="F874" s="17"/>
      <c r="G874" s="17"/>
    </row>
    <row r="875" spans="1:7" ht="14.25" customHeight="1">
      <c r="A875" s="79"/>
      <c r="B875" s="48"/>
      <c r="C875" s="49"/>
      <c r="D875" s="49"/>
      <c r="F875" s="17"/>
      <c r="G875" s="17"/>
    </row>
    <row r="876" spans="1:7" ht="14.25" customHeight="1">
      <c r="A876" s="79"/>
      <c r="B876" s="48"/>
      <c r="C876" s="49"/>
      <c r="D876" s="49"/>
      <c r="F876" s="17"/>
      <c r="G876" s="17"/>
    </row>
    <row r="877" spans="1:7" ht="14.25" customHeight="1">
      <c r="A877" s="79"/>
      <c r="B877" s="48"/>
      <c r="C877" s="49"/>
      <c r="D877" s="49"/>
      <c r="F877" s="17"/>
      <c r="G877" s="17"/>
    </row>
    <row r="878" spans="1:7" ht="14.25" customHeight="1">
      <c r="A878" s="79"/>
      <c r="B878" s="48"/>
      <c r="C878" s="49"/>
      <c r="D878" s="49"/>
      <c r="F878" s="17"/>
      <c r="G878" s="17"/>
    </row>
    <row r="879" spans="1:7" ht="14.25" customHeight="1">
      <c r="A879" s="79"/>
      <c r="B879" s="48"/>
      <c r="C879" s="49"/>
      <c r="D879" s="49"/>
      <c r="F879" s="17"/>
      <c r="G879" s="17"/>
    </row>
    <row r="880" spans="1:7" ht="14.25" customHeight="1">
      <c r="A880" s="79"/>
      <c r="B880" s="48"/>
      <c r="C880" s="49"/>
      <c r="D880" s="49"/>
      <c r="F880" s="17"/>
      <c r="G880" s="17"/>
    </row>
    <row r="881" spans="1:7" ht="14.25" customHeight="1">
      <c r="A881" s="79"/>
      <c r="B881" s="48"/>
      <c r="C881" s="49"/>
      <c r="D881" s="49"/>
      <c r="F881" s="17"/>
      <c r="G881" s="17"/>
    </row>
    <row r="882" spans="1:7" ht="14.25" customHeight="1">
      <c r="A882" s="79"/>
      <c r="B882" s="48"/>
      <c r="C882" s="49"/>
      <c r="D882" s="49"/>
      <c r="F882" s="17"/>
      <c r="G882" s="17"/>
    </row>
    <row r="883" spans="1:7" ht="14.25" customHeight="1">
      <c r="A883" s="79"/>
      <c r="B883" s="48"/>
      <c r="C883" s="49"/>
      <c r="D883" s="49"/>
      <c r="F883" s="17"/>
      <c r="G883" s="17"/>
    </row>
    <row r="884" spans="1:7" ht="14.25" customHeight="1">
      <c r="A884" s="79"/>
      <c r="B884" s="48"/>
      <c r="C884" s="49"/>
      <c r="D884" s="49"/>
      <c r="F884" s="17"/>
      <c r="G884" s="17"/>
    </row>
    <row r="885" spans="1:7" ht="14.25" customHeight="1">
      <c r="A885" s="79"/>
      <c r="B885" s="48"/>
      <c r="C885" s="49"/>
      <c r="D885" s="49"/>
      <c r="F885" s="17"/>
      <c r="G885" s="17"/>
    </row>
    <row r="886" spans="1:7" ht="14.25" customHeight="1">
      <c r="A886" s="79"/>
      <c r="B886" s="48"/>
      <c r="C886" s="49"/>
      <c r="D886" s="49"/>
      <c r="F886" s="17"/>
      <c r="G886" s="17"/>
    </row>
    <row r="887" spans="1:7" ht="14.25" customHeight="1">
      <c r="A887" s="79"/>
      <c r="B887" s="48"/>
      <c r="C887" s="49"/>
      <c r="D887" s="49"/>
      <c r="F887" s="17"/>
      <c r="G887" s="17"/>
    </row>
    <row r="888" spans="1:7" ht="14.25" customHeight="1">
      <c r="A888" s="79"/>
      <c r="B888" s="48"/>
      <c r="C888" s="49"/>
      <c r="D888" s="49"/>
      <c r="F888" s="17"/>
      <c r="G888" s="17"/>
    </row>
    <row r="889" spans="1:7" ht="14.25" customHeight="1">
      <c r="A889" s="79"/>
      <c r="B889" s="48"/>
      <c r="C889" s="49"/>
      <c r="D889" s="49"/>
      <c r="F889" s="17"/>
      <c r="G889" s="17"/>
    </row>
    <row r="890" spans="1:7" ht="14.25" customHeight="1">
      <c r="A890" s="79"/>
      <c r="B890" s="48"/>
      <c r="C890" s="49"/>
      <c r="D890" s="49"/>
      <c r="F890" s="17"/>
      <c r="G890" s="17"/>
    </row>
    <row r="891" spans="1:7" ht="14.25" customHeight="1">
      <c r="A891" s="79"/>
      <c r="B891" s="48"/>
      <c r="C891" s="49"/>
      <c r="D891" s="49"/>
      <c r="F891" s="17"/>
      <c r="G891" s="17"/>
    </row>
    <row r="892" spans="1:7" ht="14.25" customHeight="1">
      <c r="A892" s="79"/>
      <c r="B892" s="48"/>
      <c r="C892" s="49"/>
      <c r="D892" s="49"/>
      <c r="F892" s="17"/>
      <c r="G892" s="17"/>
    </row>
    <row r="893" spans="1:7" ht="14.25" customHeight="1">
      <c r="A893" s="79"/>
      <c r="B893" s="48"/>
      <c r="C893" s="49"/>
      <c r="D893" s="49"/>
      <c r="F893" s="17"/>
      <c r="G893" s="17"/>
    </row>
    <row r="894" spans="1:7" ht="14.25" customHeight="1">
      <c r="A894" s="79"/>
      <c r="B894" s="48"/>
      <c r="C894" s="49"/>
      <c r="D894" s="49"/>
      <c r="F894" s="17"/>
      <c r="G894" s="17"/>
    </row>
    <row r="895" spans="1:7" ht="14.25" customHeight="1">
      <c r="A895" s="79"/>
      <c r="B895" s="48"/>
      <c r="C895" s="49"/>
      <c r="D895" s="49"/>
      <c r="F895" s="17"/>
      <c r="G895" s="17"/>
    </row>
    <row r="896" spans="1:7" ht="14.25" customHeight="1">
      <c r="A896" s="79"/>
      <c r="B896" s="48"/>
      <c r="C896" s="49"/>
      <c r="D896" s="49"/>
      <c r="F896" s="17"/>
      <c r="G896" s="17"/>
    </row>
    <row r="897" spans="1:7" ht="14.25" customHeight="1">
      <c r="A897" s="79"/>
      <c r="B897" s="48"/>
      <c r="C897" s="49"/>
      <c r="D897" s="49"/>
      <c r="F897" s="17"/>
      <c r="G897" s="17"/>
    </row>
    <row r="898" spans="1:7" ht="14.25" customHeight="1">
      <c r="A898" s="79"/>
      <c r="B898" s="48"/>
      <c r="C898" s="49"/>
      <c r="D898" s="49"/>
      <c r="F898" s="17"/>
      <c r="G898" s="17"/>
    </row>
    <row r="899" spans="1:7" ht="14.25" customHeight="1">
      <c r="A899" s="79"/>
      <c r="B899" s="48"/>
      <c r="C899" s="49"/>
      <c r="D899" s="49"/>
      <c r="F899" s="17"/>
      <c r="G899" s="17"/>
    </row>
    <row r="900" spans="1:7" ht="14.25" customHeight="1">
      <c r="A900" s="79"/>
      <c r="B900" s="48"/>
      <c r="C900" s="49"/>
      <c r="D900" s="49"/>
      <c r="F900" s="17"/>
      <c r="G900" s="17"/>
    </row>
    <row r="901" spans="1:7" ht="14.25" customHeight="1">
      <c r="A901" s="79"/>
      <c r="B901" s="48"/>
      <c r="C901" s="49"/>
      <c r="D901" s="49"/>
      <c r="F901" s="17"/>
      <c r="G901" s="17"/>
    </row>
    <row r="902" spans="1:7" ht="14.25" customHeight="1">
      <c r="A902" s="79"/>
      <c r="B902" s="48"/>
      <c r="C902" s="49"/>
      <c r="D902" s="49"/>
      <c r="F902" s="17"/>
      <c r="G902" s="17"/>
    </row>
    <row r="903" spans="1:7" ht="14.25" customHeight="1">
      <c r="A903" s="79"/>
      <c r="B903" s="48"/>
      <c r="C903" s="49"/>
      <c r="D903" s="49"/>
      <c r="F903" s="17"/>
      <c r="G903" s="17"/>
    </row>
    <row r="904" spans="1:7" ht="14.25" customHeight="1">
      <c r="A904" s="79"/>
      <c r="B904" s="48"/>
      <c r="C904" s="49"/>
      <c r="D904" s="49"/>
      <c r="F904" s="17"/>
      <c r="G904" s="17"/>
    </row>
    <row r="905" spans="1:7" ht="14.25" customHeight="1">
      <c r="A905" s="79"/>
      <c r="B905" s="48"/>
      <c r="C905" s="49"/>
      <c r="D905" s="49"/>
      <c r="F905" s="17"/>
      <c r="G905" s="17"/>
    </row>
    <row r="906" spans="1:7" ht="14.25" customHeight="1">
      <c r="A906" s="79"/>
      <c r="B906" s="48"/>
      <c r="C906" s="49"/>
      <c r="D906" s="49"/>
      <c r="F906" s="17"/>
      <c r="G906" s="17"/>
    </row>
    <row r="907" spans="1:7" ht="14.25" customHeight="1">
      <c r="A907" s="79"/>
      <c r="B907" s="48"/>
      <c r="C907" s="49"/>
      <c r="D907" s="49"/>
      <c r="F907" s="17"/>
      <c r="G907" s="17"/>
    </row>
    <row r="908" spans="1:7" ht="14.25" customHeight="1">
      <c r="A908" s="79"/>
      <c r="B908" s="48"/>
      <c r="C908" s="49"/>
      <c r="D908" s="49"/>
      <c r="F908" s="17"/>
      <c r="G908" s="17"/>
    </row>
    <row r="909" spans="1:7" ht="14.25" customHeight="1">
      <c r="A909" s="79"/>
      <c r="B909" s="48"/>
      <c r="C909" s="49"/>
      <c r="D909" s="49"/>
      <c r="F909" s="17"/>
      <c r="G909" s="17"/>
    </row>
    <row r="910" spans="1:7" ht="14.25" customHeight="1">
      <c r="A910" s="79"/>
      <c r="B910" s="48"/>
      <c r="C910" s="49"/>
      <c r="D910" s="49"/>
      <c r="F910" s="17"/>
      <c r="G910" s="17"/>
    </row>
    <row r="911" spans="1:7" ht="14.25" customHeight="1">
      <c r="A911" s="79"/>
      <c r="B911" s="48"/>
      <c r="C911" s="49"/>
      <c r="D911" s="49"/>
      <c r="F911" s="17"/>
      <c r="G911" s="17"/>
    </row>
    <row r="912" spans="1:7" ht="14.25" customHeight="1">
      <c r="A912" s="79"/>
      <c r="B912" s="48"/>
      <c r="C912" s="49"/>
      <c r="D912" s="49"/>
      <c r="F912" s="17"/>
      <c r="G912" s="17"/>
    </row>
    <row r="913" spans="1:7" ht="14.25" customHeight="1">
      <c r="A913" s="79"/>
      <c r="B913" s="48"/>
      <c r="C913" s="49"/>
      <c r="D913" s="49"/>
      <c r="F913" s="17"/>
      <c r="G913" s="17"/>
    </row>
    <row r="914" spans="1:7" ht="14.25" customHeight="1">
      <c r="A914" s="79"/>
      <c r="B914" s="48"/>
      <c r="C914" s="49"/>
      <c r="D914" s="49"/>
      <c r="F914" s="17"/>
      <c r="G914" s="17"/>
    </row>
    <row r="915" spans="1:7" ht="14.25" customHeight="1">
      <c r="A915" s="79"/>
      <c r="B915" s="48"/>
      <c r="C915" s="49"/>
      <c r="D915" s="49"/>
      <c r="F915" s="17"/>
      <c r="G915" s="17"/>
    </row>
    <row r="916" spans="1:7" ht="14.25" customHeight="1">
      <c r="A916" s="79"/>
      <c r="B916" s="48"/>
      <c r="C916" s="49"/>
      <c r="D916" s="49"/>
      <c r="F916" s="17"/>
      <c r="G916" s="17"/>
    </row>
    <row r="917" spans="1:7" ht="14.25" customHeight="1">
      <c r="A917" s="79"/>
      <c r="B917" s="48"/>
      <c r="C917" s="49"/>
      <c r="D917" s="49"/>
      <c r="F917" s="17"/>
      <c r="G917" s="17"/>
    </row>
    <row r="918" spans="1:7" ht="14.25" customHeight="1">
      <c r="A918" s="79"/>
      <c r="B918" s="48"/>
      <c r="C918" s="49"/>
      <c r="D918" s="49"/>
      <c r="F918" s="17"/>
      <c r="G918" s="17"/>
    </row>
    <row r="919" spans="1:7" ht="14.25" customHeight="1">
      <c r="A919" s="79"/>
      <c r="B919" s="48"/>
      <c r="C919" s="49"/>
      <c r="D919" s="49"/>
      <c r="F919" s="17"/>
      <c r="G919" s="17"/>
    </row>
    <row r="920" spans="1:7" ht="14.25" customHeight="1">
      <c r="A920" s="79"/>
      <c r="B920" s="48"/>
      <c r="C920" s="49"/>
      <c r="D920" s="49"/>
      <c r="F920" s="17"/>
      <c r="G920" s="17"/>
    </row>
    <row r="921" spans="1:7" ht="14.25" customHeight="1">
      <c r="A921" s="79"/>
      <c r="B921" s="48"/>
      <c r="C921" s="49"/>
      <c r="D921" s="49"/>
      <c r="F921" s="17"/>
      <c r="G921" s="17"/>
    </row>
    <row r="922" spans="1:7" ht="14.25" customHeight="1">
      <c r="A922" s="79"/>
      <c r="B922" s="48"/>
      <c r="C922" s="49"/>
      <c r="D922" s="49"/>
      <c r="F922" s="17"/>
      <c r="G922" s="17"/>
    </row>
    <row r="923" spans="1:7" ht="14.25" customHeight="1">
      <c r="A923" s="79"/>
      <c r="B923" s="48"/>
      <c r="C923" s="49"/>
      <c r="D923" s="49"/>
      <c r="F923" s="17"/>
      <c r="G923" s="17"/>
    </row>
    <row r="924" spans="1:7" ht="14.25" customHeight="1">
      <c r="A924" s="79"/>
      <c r="B924" s="48"/>
      <c r="C924" s="49"/>
      <c r="D924" s="49"/>
      <c r="F924" s="17"/>
      <c r="G924" s="17"/>
    </row>
    <row r="925" spans="1:7" ht="14.25" customHeight="1">
      <c r="A925" s="79"/>
      <c r="B925" s="48"/>
      <c r="C925" s="49"/>
      <c r="D925" s="49"/>
      <c r="F925" s="17"/>
      <c r="G925" s="17"/>
    </row>
    <row r="926" spans="1:7" ht="14.25" customHeight="1">
      <c r="A926" s="79"/>
      <c r="B926" s="48"/>
      <c r="C926" s="49"/>
      <c r="D926" s="49"/>
      <c r="F926" s="17"/>
      <c r="G926" s="17"/>
    </row>
    <row r="927" spans="1:7" ht="14.25" customHeight="1">
      <c r="A927" s="79"/>
      <c r="B927" s="48"/>
      <c r="C927" s="49"/>
      <c r="D927" s="49"/>
      <c r="F927" s="17"/>
      <c r="G927" s="17"/>
    </row>
    <row r="928" spans="1:7" ht="14.25" customHeight="1">
      <c r="A928" s="79"/>
      <c r="B928" s="48"/>
      <c r="C928" s="49"/>
      <c r="D928" s="49"/>
      <c r="F928" s="17"/>
      <c r="G928" s="17"/>
    </row>
    <row r="929" spans="1:7" ht="14.25" customHeight="1">
      <c r="A929" s="79"/>
      <c r="B929" s="48"/>
      <c r="C929" s="49"/>
      <c r="D929" s="49"/>
      <c r="F929" s="17"/>
      <c r="G929" s="17"/>
    </row>
    <row r="930" spans="1:7" ht="14.25" customHeight="1">
      <c r="A930" s="79"/>
      <c r="B930" s="48"/>
      <c r="C930" s="49"/>
      <c r="D930" s="49"/>
      <c r="F930" s="17"/>
      <c r="G930" s="17"/>
    </row>
    <row r="931" spans="1:7" ht="14.25" customHeight="1">
      <c r="A931" s="79"/>
      <c r="B931" s="48"/>
      <c r="C931" s="49"/>
      <c r="D931" s="49"/>
      <c r="F931" s="17"/>
      <c r="G931" s="17"/>
    </row>
    <row r="932" spans="1:7" ht="14.25" customHeight="1">
      <c r="A932" s="79"/>
      <c r="B932" s="48"/>
      <c r="C932" s="49"/>
      <c r="D932" s="49"/>
      <c r="F932" s="17"/>
      <c r="G932" s="17"/>
    </row>
    <row r="933" spans="1:7" ht="14.25" customHeight="1">
      <c r="A933" s="79"/>
      <c r="B933" s="48"/>
      <c r="C933" s="49"/>
      <c r="D933" s="49"/>
      <c r="F933" s="17"/>
      <c r="G933" s="17"/>
    </row>
    <row r="934" spans="1:7" ht="14.25" customHeight="1">
      <c r="A934" s="79"/>
      <c r="B934" s="48"/>
      <c r="C934" s="49"/>
      <c r="D934" s="49"/>
      <c r="F934" s="17"/>
      <c r="G934" s="17"/>
    </row>
    <row r="935" spans="1:7" ht="14.25" customHeight="1">
      <c r="A935" s="79"/>
      <c r="B935" s="48"/>
      <c r="C935" s="49"/>
      <c r="D935" s="49"/>
      <c r="F935" s="17"/>
      <c r="G935" s="17"/>
    </row>
    <row r="936" spans="1:7" ht="14.25" customHeight="1">
      <c r="A936" s="79"/>
      <c r="B936" s="48"/>
      <c r="C936" s="49"/>
      <c r="D936" s="49"/>
      <c r="F936" s="17"/>
      <c r="G936" s="17"/>
    </row>
    <row r="937" spans="1:7" ht="14.25" customHeight="1">
      <c r="A937" s="79"/>
      <c r="B937" s="48"/>
      <c r="C937" s="49"/>
      <c r="D937" s="49"/>
      <c r="F937" s="17"/>
      <c r="G937" s="17"/>
    </row>
    <row r="938" spans="1:7" ht="14.25" customHeight="1">
      <c r="A938" s="79"/>
      <c r="B938" s="48"/>
      <c r="C938" s="49"/>
      <c r="D938" s="49"/>
      <c r="F938" s="17"/>
      <c r="G938" s="17"/>
    </row>
    <row r="939" spans="1:7" ht="14.25" customHeight="1">
      <c r="A939" s="79"/>
      <c r="B939" s="48"/>
      <c r="C939" s="49"/>
      <c r="D939" s="49"/>
      <c r="F939" s="17"/>
      <c r="G939" s="17"/>
    </row>
    <row r="940" spans="1:7" ht="14.25" customHeight="1">
      <c r="A940" s="79"/>
      <c r="B940" s="48"/>
      <c r="C940" s="49"/>
      <c r="D940" s="49"/>
      <c r="F940" s="17"/>
      <c r="G940" s="17"/>
    </row>
    <row r="941" spans="1:7" ht="14.25" customHeight="1">
      <c r="A941" s="79"/>
      <c r="B941" s="48"/>
      <c r="C941" s="49"/>
      <c r="D941" s="49"/>
      <c r="F941" s="17"/>
      <c r="G941" s="17"/>
    </row>
    <row r="942" spans="1:7" ht="14.25" customHeight="1">
      <c r="A942" s="79"/>
      <c r="B942" s="48"/>
      <c r="C942" s="49"/>
      <c r="D942" s="49"/>
      <c r="F942" s="17"/>
      <c r="G942" s="17"/>
    </row>
    <row r="943" spans="1:7" ht="14.25" customHeight="1">
      <c r="A943" s="79"/>
      <c r="B943" s="48"/>
      <c r="C943" s="49"/>
      <c r="D943" s="49"/>
      <c r="F943" s="17"/>
      <c r="G943" s="17"/>
    </row>
    <row r="944" spans="1:7" ht="14.25" customHeight="1">
      <c r="A944" s="79"/>
      <c r="B944" s="48"/>
      <c r="C944" s="49"/>
      <c r="D944" s="49"/>
      <c r="F944" s="17"/>
      <c r="G944" s="17"/>
    </row>
    <row r="945" spans="1:7" ht="14.25" customHeight="1">
      <c r="A945" s="79"/>
      <c r="B945" s="48"/>
      <c r="C945" s="49"/>
      <c r="D945" s="49"/>
      <c r="F945" s="17"/>
      <c r="G945" s="17"/>
    </row>
    <row r="946" spans="1:7" ht="14.25" customHeight="1">
      <c r="A946" s="79"/>
      <c r="B946" s="48"/>
      <c r="C946" s="49"/>
      <c r="D946" s="49"/>
      <c r="F946" s="17"/>
      <c r="G946" s="17"/>
    </row>
    <row r="947" spans="1:7" ht="14.25" customHeight="1">
      <c r="A947" s="79"/>
      <c r="B947" s="48"/>
      <c r="C947" s="49"/>
      <c r="D947" s="49"/>
      <c r="F947" s="17"/>
      <c r="G947" s="17"/>
    </row>
    <row r="948" spans="1:7" ht="14.25" customHeight="1">
      <c r="A948" s="79"/>
      <c r="B948" s="48"/>
      <c r="C948" s="49"/>
      <c r="D948" s="49"/>
      <c r="F948" s="17"/>
      <c r="G948" s="17"/>
    </row>
    <row r="949" spans="1:7" ht="14.25" customHeight="1">
      <c r="A949" s="79"/>
      <c r="B949" s="48"/>
      <c r="C949" s="49"/>
      <c r="D949" s="49"/>
      <c r="F949" s="17"/>
      <c r="G949" s="17"/>
    </row>
    <row r="950" spans="1:7" ht="14.25" customHeight="1">
      <c r="A950" s="79"/>
      <c r="B950" s="48"/>
      <c r="C950" s="49"/>
      <c r="D950" s="49"/>
      <c r="F950" s="17"/>
      <c r="G950" s="17"/>
    </row>
    <row r="951" spans="1:7" ht="14.25" customHeight="1">
      <c r="A951" s="79"/>
      <c r="B951" s="48"/>
      <c r="C951" s="49"/>
      <c r="D951" s="49"/>
      <c r="F951" s="17"/>
      <c r="G951" s="17"/>
    </row>
    <row r="952" spans="1:7" ht="14.25" customHeight="1">
      <c r="A952" s="79"/>
      <c r="B952" s="48"/>
      <c r="C952" s="49"/>
      <c r="D952" s="49"/>
      <c r="F952" s="17"/>
      <c r="G952" s="17"/>
    </row>
    <row r="953" spans="1:7" ht="14.25" customHeight="1">
      <c r="A953" s="79"/>
      <c r="B953" s="48"/>
      <c r="C953" s="49"/>
      <c r="D953" s="49"/>
      <c r="F953" s="17"/>
      <c r="G953" s="17"/>
    </row>
    <row r="954" spans="1:7" ht="14.25" customHeight="1">
      <c r="A954" s="79"/>
      <c r="B954" s="48"/>
      <c r="C954" s="49"/>
      <c r="D954" s="49"/>
      <c r="F954" s="17"/>
      <c r="G954" s="17"/>
    </row>
    <row r="955" spans="1:7" ht="14.25" customHeight="1">
      <c r="A955" s="79"/>
      <c r="B955" s="48"/>
      <c r="C955" s="49"/>
      <c r="D955" s="49"/>
      <c r="F955" s="17"/>
      <c r="G955" s="17"/>
    </row>
    <row r="956" spans="1:7" ht="14.25" customHeight="1">
      <c r="A956" s="79"/>
      <c r="B956" s="48"/>
      <c r="C956" s="49"/>
      <c r="D956" s="49"/>
      <c r="F956" s="17"/>
      <c r="G956" s="17"/>
    </row>
    <row r="957" spans="1:7" ht="14.25" customHeight="1">
      <c r="A957" s="79"/>
      <c r="B957" s="48"/>
      <c r="C957" s="49"/>
      <c r="D957" s="49"/>
      <c r="F957" s="17"/>
      <c r="G957" s="17"/>
    </row>
    <row r="958" spans="1:7" ht="14.25" customHeight="1">
      <c r="A958" s="79"/>
      <c r="B958" s="48"/>
      <c r="C958" s="49"/>
      <c r="D958" s="49"/>
      <c r="F958" s="17"/>
      <c r="G958" s="17"/>
    </row>
    <row r="959" spans="1:7" ht="14.25" customHeight="1">
      <c r="A959" s="79"/>
      <c r="B959" s="48"/>
      <c r="C959" s="49"/>
      <c r="D959" s="49"/>
      <c r="F959" s="17"/>
      <c r="G959" s="17"/>
    </row>
    <row r="960" spans="1:7" ht="14.25" customHeight="1">
      <c r="A960" s="79"/>
      <c r="B960" s="48"/>
      <c r="C960" s="49"/>
      <c r="D960" s="49"/>
      <c r="F960" s="17"/>
      <c r="G960" s="17"/>
    </row>
    <row r="961" spans="1:7" ht="14.25" customHeight="1">
      <c r="A961" s="79"/>
      <c r="B961" s="48"/>
      <c r="C961" s="49"/>
      <c r="D961" s="49"/>
      <c r="F961" s="17"/>
      <c r="G961" s="17"/>
    </row>
    <row r="962" spans="1:7" ht="14.25" customHeight="1">
      <c r="A962" s="79"/>
      <c r="B962" s="48"/>
      <c r="C962" s="49"/>
      <c r="D962" s="49"/>
      <c r="F962" s="17"/>
      <c r="G962" s="17"/>
    </row>
    <row r="963" spans="1:7" ht="14.25" customHeight="1">
      <c r="A963" s="79"/>
      <c r="B963" s="48"/>
      <c r="C963" s="49"/>
      <c r="D963" s="49"/>
      <c r="F963" s="17"/>
      <c r="G963" s="17"/>
    </row>
    <row r="964" spans="1:7" ht="14.25" customHeight="1">
      <c r="A964" s="79"/>
      <c r="B964" s="48"/>
      <c r="C964" s="49"/>
      <c r="D964" s="49"/>
      <c r="F964" s="17"/>
      <c r="G964" s="17"/>
    </row>
    <row r="965" spans="1:7" ht="14.25" customHeight="1">
      <c r="A965" s="79"/>
      <c r="B965" s="48"/>
      <c r="C965" s="49"/>
      <c r="D965" s="49"/>
      <c r="F965" s="17"/>
      <c r="G965" s="17"/>
    </row>
    <row r="966" spans="1:7" ht="14.25" customHeight="1">
      <c r="A966" s="79"/>
      <c r="B966" s="48"/>
      <c r="C966" s="49"/>
      <c r="D966" s="49"/>
      <c r="F966" s="17"/>
      <c r="G966" s="17"/>
    </row>
    <row r="967" spans="1:7" ht="14.25" customHeight="1">
      <c r="A967" s="79"/>
      <c r="B967" s="48"/>
      <c r="C967" s="49"/>
      <c r="D967" s="49"/>
      <c r="F967" s="17"/>
      <c r="G967" s="17"/>
    </row>
    <row r="968" spans="1:7" ht="14.25" customHeight="1">
      <c r="A968" s="79"/>
      <c r="B968" s="48"/>
      <c r="C968" s="49"/>
      <c r="D968" s="49"/>
      <c r="F968" s="17"/>
      <c r="G968" s="17"/>
    </row>
    <row r="969" spans="1:7" ht="14.25" customHeight="1">
      <c r="A969" s="79"/>
      <c r="B969" s="48"/>
      <c r="C969" s="49"/>
      <c r="D969" s="49"/>
      <c r="F969" s="17"/>
      <c r="G969" s="17"/>
    </row>
    <row r="970" spans="1:7" ht="14.25" customHeight="1">
      <c r="A970" s="79"/>
      <c r="B970" s="48"/>
      <c r="C970" s="49"/>
      <c r="D970" s="49"/>
      <c r="F970" s="17"/>
      <c r="G970" s="17"/>
    </row>
    <row r="971" spans="1:7" ht="14.25" customHeight="1">
      <c r="A971" s="79"/>
      <c r="B971" s="48"/>
      <c r="C971" s="49"/>
      <c r="D971" s="49"/>
      <c r="F971" s="17"/>
      <c r="G971" s="17"/>
    </row>
    <row r="972" spans="1:7" ht="14.25" customHeight="1">
      <c r="A972" s="79"/>
      <c r="B972" s="48"/>
      <c r="C972" s="49"/>
      <c r="D972" s="49"/>
      <c r="F972" s="17"/>
      <c r="G972" s="17"/>
    </row>
    <row r="973" spans="1:7" ht="14.25" customHeight="1">
      <c r="A973" s="79"/>
      <c r="B973" s="48"/>
      <c r="C973" s="49"/>
      <c r="D973" s="49"/>
      <c r="F973" s="17"/>
      <c r="G973" s="17"/>
    </row>
    <row r="974" spans="1:7" ht="14.25" customHeight="1">
      <c r="A974" s="79"/>
      <c r="B974" s="48"/>
      <c r="C974" s="49"/>
      <c r="D974" s="49"/>
      <c r="F974" s="17"/>
      <c r="G974" s="17"/>
    </row>
    <row r="975" spans="1:7" ht="14.25" customHeight="1">
      <c r="A975" s="79"/>
      <c r="B975" s="48"/>
      <c r="C975" s="49"/>
      <c r="D975" s="49"/>
      <c r="F975" s="17"/>
      <c r="G975" s="17"/>
    </row>
    <row r="976" spans="1:7" ht="14.25" customHeight="1">
      <c r="A976" s="79"/>
      <c r="B976" s="48"/>
      <c r="C976" s="49"/>
      <c r="D976" s="49"/>
      <c r="F976" s="17"/>
      <c r="G976" s="17"/>
    </row>
    <row r="977" spans="1:7" ht="14.25" customHeight="1">
      <c r="A977" s="79"/>
      <c r="B977" s="48"/>
      <c r="C977" s="49"/>
      <c r="D977" s="49"/>
      <c r="F977" s="17"/>
      <c r="G977" s="17"/>
    </row>
    <row r="978" spans="1:7" ht="14.25" customHeight="1">
      <c r="A978" s="79"/>
      <c r="B978" s="48"/>
      <c r="C978" s="49"/>
      <c r="D978" s="49"/>
      <c r="F978" s="17"/>
      <c r="G978" s="17"/>
    </row>
    <row r="979" spans="1:7" ht="14.25" customHeight="1">
      <c r="A979" s="79"/>
      <c r="B979" s="48"/>
      <c r="C979" s="49"/>
      <c r="D979" s="49"/>
      <c r="F979" s="17"/>
      <c r="G979" s="17"/>
    </row>
    <row r="980" spans="1:7" ht="14.25" customHeight="1">
      <c r="A980" s="79"/>
      <c r="B980" s="48"/>
      <c r="C980" s="49"/>
      <c r="D980" s="49"/>
      <c r="F980" s="17"/>
      <c r="G980" s="17"/>
    </row>
    <row r="981" spans="1:7" ht="14.25" customHeight="1">
      <c r="A981" s="79"/>
      <c r="B981" s="48"/>
      <c r="C981" s="49"/>
      <c r="D981" s="49"/>
      <c r="F981" s="17"/>
      <c r="G981" s="17"/>
    </row>
    <row r="982" spans="1:7" ht="14.25" customHeight="1">
      <c r="A982" s="79"/>
      <c r="B982" s="48"/>
      <c r="C982" s="49"/>
      <c r="D982" s="49"/>
      <c r="F982" s="17"/>
      <c r="G982" s="17"/>
    </row>
    <row r="983" spans="1:7" ht="14.25" customHeight="1">
      <c r="A983" s="79"/>
      <c r="B983" s="48"/>
      <c r="C983" s="49"/>
      <c r="D983" s="49"/>
      <c r="F983" s="17"/>
      <c r="G983" s="17"/>
    </row>
    <row r="984" spans="1:7" ht="14.25" customHeight="1">
      <c r="A984" s="79"/>
      <c r="B984" s="48"/>
      <c r="C984" s="49"/>
      <c r="D984" s="49"/>
      <c r="F984" s="17"/>
      <c r="G984" s="17"/>
    </row>
    <row r="985" spans="1:7" ht="14.25" customHeight="1">
      <c r="A985" s="79"/>
      <c r="B985" s="48"/>
      <c r="C985" s="49"/>
      <c r="D985" s="49"/>
      <c r="F985" s="17"/>
      <c r="G985" s="17"/>
    </row>
    <row r="986" spans="1:7" ht="14.25" customHeight="1">
      <c r="A986" s="79"/>
      <c r="B986" s="48"/>
      <c r="C986" s="49"/>
      <c r="D986" s="49"/>
      <c r="F986" s="17"/>
      <c r="G986" s="17"/>
    </row>
    <row r="987" spans="1:7" ht="14.25" customHeight="1">
      <c r="A987" s="79"/>
      <c r="B987" s="48"/>
      <c r="C987" s="49"/>
      <c r="D987" s="49"/>
      <c r="F987" s="17"/>
      <c r="G987" s="17"/>
    </row>
    <row r="988" spans="1:7" ht="14.25" customHeight="1">
      <c r="A988" s="79"/>
      <c r="B988" s="48"/>
      <c r="C988" s="49"/>
      <c r="D988" s="49"/>
      <c r="F988" s="17"/>
      <c r="G988" s="17"/>
    </row>
    <row r="989" spans="1:7" ht="14.25" customHeight="1">
      <c r="A989" s="79"/>
      <c r="B989" s="48"/>
      <c r="C989" s="49"/>
      <c r="D989" s="49"/>
      <c r="F989" s="17"/>
      <c r="G989" s="17"/>
    </row>
    <row r="990" spans="1:7" ht="14.25" customHeight="1">
      <c r="A990" s="79"/>
      <c r="B990" s="48"/>
      <c r="C990" s="49"/>
      <c r="D990" s="49"/>
      <c r="F990" s="17"/>
      <c r="G990" s="17"/>
    </row>
    <row r="991" spans="1:7" ht="14.25" customHeight="1">
      <c r="A991" s="79"/>
      <c r="B991" s="48"/>
      <c r="C991" s="49"/>
      <c r="D991" s="49"/>
      <c r="F991" s="17"/>
      <c r="G991" s="17"/>
    </row>
    <row r="992" spans="1:7" ht="14.25" customHeight="1">
      <c r="A992" s="79"/>
      <c r="B992" s="48"/>
      <c r="C992" s="49"/>
      <c r="D992" s="49"/>
      <c r="F992" s="17"/>
      <c r="G992" s="17"/>
    </row>
    <row r="993" spans="1:7" ht="14.25" customHeight="1">
      <c r="A993" s="79"/>
      <c r="B993" s="48"/>
      <c r="C993" s="49"/>
      <c r="D993" s="49"/>
      <c r="F993" s="17"/>
      <c r="G993" s="17"/>
    </row>
    <row r="994" spans="1:7" ht="14.25" customHeight="1">
      <c r="A994" s="79"/>
      <c r="B994" s="48"/>
      <c r="C994" s="49"/>
      <c r="D994" s="49"/>
      <c r="F994" s="17"/>
      <c r="G994" s="17"/>
    </row>
    <row r="995" spans="1:7" ht="14.25" customHeight="1">
      <c r="A995" s="79"/>
      <c r="B995" s="48"/>
      <c r="C995" s="49"/>
      <c r="D995" s="49"/>
      <c r="F995" s="17"/>
      <c r="G995" s="17"/>
    </row>
    <row r="996" spans="1:7" ht="14.25" customHeight="1">
      <c r="A996" s="79"/>
      <c r="B996" s="48"/>
      <c r="C996" s="49"/>
      <c r="D996" s="49"/>
      <c r="F996" s="17"/>
      <c r="G996" s="17"/>
    </row>
    <row r="997" spans="1:7" ht="14.25" customHeight="1">
      <c r="A997" s="79"/>
      <c r="B997" s="48"/>
      <c r="C997" s="49"/>
      <c r="D997" s="49"/>
      <c r="F997" s="17"/>
      <c r="G997" s="17"/>
    </row>
    <row r="998" spans="1:7" ht="14.25" customHeight="1">
      <c r="A998" s="79"/>
      <c r="B998" s="48"/>
      <c r="C998" s="49"/>
      <c r="D998" s="49"/>
      <c r="F998" s="17"/>
      <c r="G998" s="17"/>
    </row>
    <row r="999" spans="1:7" ht="14.25" customHeight="1">
      <c r="A999" s="79"/>
      <c r="B999" s="48"/>
      <c r="C999" s="49"/>
      <c r="D999" s="49"/>
      <c r="F999" s="17"/>
      <c r="G999" s="17"/>
    </row>
    <row r="1000" spans="1:7" ht="14.25" customHeight="1">
      <c r="A1000" s="79"/>
      <c r="B1000" s="48"/>
      <c r="C1000" s="49"/>
      <c r="D1000" s="49"/>
      <c r="F1000" s="17"/>
      <c r="G1000" s="17"/>
    </row>
    <row r="1001" spans="1:7" ht="14.25" customHeight="1">
      <c r="A1001" s="79"/>
      <c r="B1001" s="48"/>
      <c r="C1001" s="49"/>
      <c r="D1001" s="49"/>
      <c r="F1001" s="17"/>
      <c r="G1001" s="17"/>
    </row>
    <row r="1002" spans="1:7" ht="14.25" customHeight="1">
      <c r="A1002" s="79"/>
      <c r="B1002" s="48"/>
      <c r="C1002" s="49"/>
      <c r="D1002" s="49"/>
      <c r="F1002" s="17"/>
      <c r="G1002" s="17"/>
    </row>
    <row r="1003" spans="1:7" ht="14.25" customHeight="1">
      <c r="A1003" s="79"/>
      <c r="B1003" s="48"/>
      <c r="C1003" s="49"/>
      <c r="D1003" s="49"/>
      <c r="F1003" s="17"/>
      <c r="G1003" s="17"/>
    </row>
    <row r="1004" spans="1:7" ht="14.25" customHeight="1">
      <c r="A1004" s="79"/>
      <c r="B1004" s="48"/>
      <c r="C1004" s="49"/>
      <c r="D1004" s="49"/>
      <c r="F1004" s="17"/>
      <c r="G1004" s="17"/>
    </row>
    <row r="1005" spans="1:7" ht="14.25" customHeight="1">
      <c r="A1005" s="79"/>
      <c r="B1005" s="48"/>
      <c r="C1005" s="49"/>
      <c r="D1005" s="49"/>
      <c r="F1005" s="17"/>
      <c r="G1005" s="17"/>
    </row>
    <row r="1006" spans="1:7" ht="14.25" customHeight="1">
      <c r="A1006" s="79"/>
      <c r="B1006" s="48"/>
      <c r="C1006" s="49"/>
      <c r="D1006" s="49"/>
      <c r="F1006" s="17"/>
      <c r="G1006" s="17"/>
    </row>
    <row r="1007" spans="1:7" ht="14.25" customHeight="1">
      <c r="A1007" s="79"/>
      <c r="B1007" s="48"/>
      <c r="C1007" s="49"/>
      <c r="D1007" s="49"/>
      <c r="F1007" s="17"/>
      <c r="G1007" s="17"/>
    </row>
    <row r="1008" spans="1:7" ht="14.25" customHeight="1">
      <c r="A1008" s="79"/>
      <c r="B1008" s="48"/>
      <c r="C1008" s="49"/>
      <c r="D1008" s="49"/>
      <c r="F1008" s="17"/>
      <c r="G1008" s="17"/>
    </row>
    <row r="1009" spans="1:7" ht="14.25" customHeight="1">
      <c r="A1009" s="79"/>
      <c r="B1009" s="48"/>
      <c r="C1009" s="49"/>
      <c r="D1009" s="49"/>
      <c r="F1009" s="17"/>
      <c r="G1009" s="17"/>
    </row>
    <row r="1010" spans="1:7" ht="14.25" customHeight="1">
      <c r="A1010" s="79"/>
      <c r="B1010" s="48"/>
      <c r="C1010" s="49"/>
      <c r="D1010" s="49"/>
      <c r="F1010" s="17"/>
      <c r="G1010" s="17"/>
    </row>
    <row r="1011" spans="1:7" ht="14.25" customHeight="1">
      <c r="A1011" s="79"/>
      <c r="B1011" s="48"/>
      <c r="C1011" s="49"/>
      <c r="D1011" s="49"/>
      <c r="F1011" s="17"/>
      <c r="G1011" s="17"/>
    </row>
    <row r="1012" spans="1:7" ht="14.25" customHeight="1">
      <c r="A1012" s="79"/>
      <c r="B1012" s="48"/>
      <c r="C1012" s="49"/>
      <c r="D1012" s="49"/>
      <c r="F1012" s="17"/>
      <c r="G1012" s="17"/>
    </row>
    <row r="1013" spans="1:7" ht="14.25" customHeight="1">
      <c r="A1013" s="79"/>
      <c r="B1013" s="48"/>
      <c r="C1013" s="49"/>
      <c r="D1013" s="49"/>
      <c r="F1013" s="17"/>
      <c r="G1013" s="17"/>
    </row>
    <row r="1014" spans="1:7" ht="14.25" customHeight="1">
      <c r="A1014" s="79"/>
      <c r="B1014" s="48"/>
      <c r="C1014" s="49"/>
      <c r="D1014" s="49"/>
      <c r="F1014" s="17"/>
      <c r="G1014" s="17"/>
    </row>
    <row r="1015" spans="1:7" ht="14.25" customHeight="1">
      <c r="A1015" s="79"/>
      <c r="B1015" s="48"/>
      <c r="C1015" s="49"/>
      <c r="D1015" s="49"/>
      <c r="F1015" s="17"/>
      <c r="G1015" s="17"/>
    </row>
    <row r="1016" spans="1:7" ht="14.25" customHeight="1">
      <c r="A1016" s="79"/>
      <c r="B1016" s="48"/>
      <c r="C1016" s="49"/>
      <c r="D1016" s="49"/>
      <c r="F1016" s="17"/>
      <c r="G1016" s="17"/>
    </row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U1000"/>
  <sheetViews>
    <sheetView workbookViewId="0">
      <selection activeCell="E21" sqref="E21"/>
    </sheetView>
  </sheetViews>
  <sheetFormatPr baseColWidth="10" defaultColWidth="14.44140625" defaultRowHeight="15" customHeight="1"/>
  <cols>
    <col min="1" max="1" width="16.33203125" style="80" customWidth="1"/>
    <col min="2" max="2" width="15.109375" customWidth="1"/>
    <col min="3" max="3" width="24" customWidth="1"/>
    <col min="4" max="4" width="18.5546875" customWidth="1"/>
    <col min="5" max="21" width="8.88671875" customWidth="1"/>
  </cols>
  <sheetData>
    <row r="1" spans="1:21" ht="14.25" customHeight="1">
      <c r="A1" s="77" t="s">
        <v>8</v>
      </c>
      <c r="B1" s="71" t="s">
        <v>9</v>
      </c>
      <c r="C1" s="72" t="s">
        <v>371</v>
      </c>
      <c r="D1" s="72" t="s">
        <v>372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ht="14.25" customHeight="1">
      <c r="A2" s="78">
        <v>1</v>
      </c>
      <c r="B2" s="73" t="s">
        <v>12</v>
      </c>
      <c r="C2" s="74">
        <v>129490</v>
      </c>
      <c r="D2" s="75">
        <v>36823</v>
      </c>
    </row>
    <row r="3" spans="1:21" ht="14.25" customHeight="1">
      <c r="A3" s="78">
        <v>2</v>
      </c>
      <c r="B3" s="73" t="s">
        <v>14</v>
      </c>
      <c r="C3" s="74">
        <v>189758</v>
      </c>
      <c r="D3" s="75">
        <v>61333</v>
      </c>
    </row>
    <row r="4" spans="1:21" ht="14.25" customHeight="1">
      <c r="A4" s="78">
        <v>3</v>
      </c>
      <c r="B4" s="73" t="s">
        <v>16</v>
      </c>
      <c r="C4" s="74">
        <v>203130</v>
      </c>
      <c r="D4" s="75">
        <v>57387</v>
      </c>
    </row>
    <row r="5" spans="1:21" ht="14.25" customHeight="1">
      <c r="A5" s="78">
        <v>4</v>
      </c>
      <c r="B5" s="73" t="s">
        <v>18</v>
      </c>
      <c r="C5" s="74">
        <v>35684</v>
      </c>
      <c r="D5" s="75">
        <v>15231</v>
      </c>
    </row>
    <row r="6" spans="1:21" ht="14.25" customHeight="1">
      <c r="A6" s="78">
        <v>5</v>
      </c>
      <c r="B6" s="73" t="s">
        <v>20</v>
      </c>
      <c r="C6" s="74">
        <v>155200</v>
      </c>
      <c r="D6" s="75">
        <v>49742</v>
      </c>
    </row>
    <row r="7" spans="1:21" ht="14.25" customHeight="1">
      <c r="A7" s="78">
        <v>6</v>
      </c>
      <c r="B7" s="73" t="s">
        <v>22</v>
      </c>
      <c r="C7" s="74">
        <v>26314</v>
      </c>
      <c r="D7" s="75">
        <v>7091</v>
      </c>
    </row>
    <row r="8" spans="1:21" ht="14.25" customHeight="1">
      <c r="A8" s="78">
        <v>7</v>
      </c>
      <c r="B8" s="73" t="s">
        <v>24</v>
      </c>
      <c r="C8" s="74">
        <v>203500</v>
      </c>
      <c r="D8" s="75">
        <v>32366</v>
      </c>
    </row>
    <row r="9" spans="1:21" ht="14.25" customHeight="1">
      <c r="A9" s="78">
        <v>8</v>
      </c>
      <c r="B9" s="73" t="s">
        <v>26</v>
      </c>
      <c r="C9" s="74">
        <v>107806</v>
      </c>
      <c r="D9" s="75">
        <v>31076</v>
      </c>
    </row>
    <row r="10" spans="1:21" ht="14.25" customHeight="1">
      <c r="A10" s="78">
        <v>9</v>
      </c>
      <c r="B10" s="73" t="s">
        <v>28</v>
      </c>
      <c r="C10" s="74">
        <v>30834</v>
      </c>
      <c r="D10" s="75">
        <v>5117</v>
      </c>
    </row>
    <row r="11" spans="1:21" ht="14.25" customHeight="1">
      <c r="A11" s="78">
        <v>10</v>
      </c>
      <c r="B11" s="73" t="s">
        <v>30</v>
      </c>
      <c r="C11" s="76">
        <v>8490</v>
      </c>
      <c r="D11" s="76">
        <v>2223</v>
      </c>
    </row>
    <row r="12" spans="1:21" ht="14.25" customHeight="1">
      <c r="A12" s="78">
        <v>11</v>
      </c>
      <c r="B12" s="73" t="s">
        <v>32</v>
      </c>
      <c r="C12" s="75">
        <v>1081716</v>
      </c>
      <c r="D12" s="75">
        <v>296166</v>
      </c>
    </row>
    <row r="13" spans="1:21" ht="14.25" customHeight="1">
      <c r="A13" s="79"/>
      <c r="B13" s="48"/>
      <c r="C13" s="49"/>
      <c r="D13" s="49"/>
    </row>
    <row r="14" spans="1:21" ht="14.25" customHeight="1">
      <c r="A14" s="79"/>
      <c r="B14" s="48"/>
      <c r="C14" s="49"/>
      <c r="D14" s="49"/>
    </row>
    <row r="15" spans="1:21" ht="14.25" customHeight="1">
      <c r="A15" s="79"/>
      <c r="B15" s="48"/>
      <c r="C15" s="49"/>
      <c r="D15" s="49"/>
    </row>
    <row r="16" spans="1:21" ht="14.25" customHeight="1">
      <c r="A16" s="79"/>
      <c r="B16" s="48"/>
      <c r="C16" s="49"/>
      <c r="D16" s="49"/>
    </row>
    <row r="17" spans="1:4" ht="14.25" customHeight="1">
      <c r="A17" s="79"/>
      <c r="B17" s="48"/>
      <c r="C17" s="49"/>
      <c r="D17" s="49"/>
    </row>
    <row r="18" spans="1:4" ht="14.25" customHeight="1">
      <c r="A18" s="79"/>
      <c r="B18" s="48"/>
      <c r="C18" s="49"/>
      <c r="D18" s="49"/>
    </row>
    <row r="19" spans="1:4" ht="14.25" customHeight="1">
      <c r="A19" s="79"/>
      <c r="B19" s="48"/>
      <c r="C19" s="49"/>
      <c r="D19" s="49"/>
    </row>
    <row r="20" spans="1:4" ht="14.25" customHeight="1">
      <c r="A20" s="79"/>
      <c r="B20" s="48"/>
      <c r="C20" s="49"/>
      <c r="D20" s="49"/>
    </row>
    <row r="21" spans="1:4" ht="14.25" customHeight="1">
      <c r="A21" s="79"/>
      <c r="B21" s="48"/>
      <c r="C21" s="49"/>
      <c r="D21" s="49"/>
    </row>
    <row r="22" spans="1:4" ht="14.25" customHeight="1">
      <c r="A22" s="79"/>
      <c r="B22" s="48"/>
      <c r="C22" s="49"/>
      <c r="D22" s="49"/>
    </row>
    <row r="23" spans="1:4" ht="14.25" customHeight="1">
      <c r="A23" s="79"/>
      <c r="B23" s="48"/>
      <c r="C23" s="49"/>
      <c r="D23" s="49"/>
    </row>
    <row r="24" spans="1:4" ht="14.25" customHeight="1">
      <c r="A24" s="79"/>
      <c r="B24" s="48"/>
      <c r="C24" s="49"/>
      <c r="D24" s="49"/>
    </row>
    <row r="25" spans="1:4" ht="14.25" customHeight="1">
      <c r="A25" s="79"/>
      <c r="B25" s="48"/>
      <c r="C25" s="49"/>
      <c r="D25" s="49"/>
    </row>
    <row r="26" spans="1:4" ht="14.25" customHeight="1">
      <c r="A26" s="79"/>
      <c r="B26" s="48"/>
      <c r="C26" s="49"/>
      <c r="D26" s="49"/>
    </row>
    <row r="27" spans="1:4" ht="14.25" customHeight="1">
      <c r="A27" s="79"/>
      <c r="B27" s="48"/>
      <c r="C27" s="49"/>
      <c r="D27" s="49"/>
    </row>
    <row r="28" spans="1:4" ht="14.25" customHeight="1">
      <c r="A28" s="79"/>
      <c r="B28" s="48"/>
      <c r="C28" s="49"/>
      <c r="D28" s="49"/>
    </row>
    <row r="29" spans="1:4" ht="14.25" customHeight="1">
      <c r="A29" s="79"/>
      <c r="B29" s="48"/>
      <c r="C29" s="49"/>
      <c r="D29" s="49"/>
    </row>
    <row r="30" spans="1:4" ht="14.25" customHeight="1">
      <c r="A30" s="79"/>
      <c r="B30" s="48"/>
      <c r="C30" s="49"/>
      <c r="D30" s="49"/>
    </row>
    <row r="31" spans="1:4" ht="14.25" customHeight="1">
      <c r="A31" s="79"/>
      <c r="B31" s="48"/>
      <c r="C31" s="49"/>
      <c r="D31" s="49"/>
    </row>
    <row r="32" spans="1:4" ht="14.25" customHeight="1">
      <c r="A32" s="79"/>
      <c r="B32" s="48"/>
      <c r="C32" s="49"/>
      <c r="D32" s="49"/>
    </row>
    <row r="33" spans="1:4" ht="14.25" customHeight="1">
      <c r="A33" s="79"/>
      <c r="B33" s="48"/>
      <c r="C33" s="49"/>
      <c r="D33" s="49"/>
    </row>
    <row r="34" spans="1:4" ht="14.25" customHeight="1">
      <c r="A34" s="79"/>
      <c r="B34" s="48"/>
      <c r="C34" s="49"/>
      <c r="D34" s="49"/>
    </row>
    <row r="35" spans="1:4" ht="14.25" customHeight="1">
      <c r="A35" s="79"/>
      <c r="B35" s="48"/>
      <c r="C35" s="49"/>
      <c r="D35" s="49"/>
    </row>
    <row r="36" spans="1:4" ht="14.25" customHeight="1">
      <c r="A36" s="79"/>
      <c r="B36" s="48"/>
      <c r="C36" s="49"/>
      <c r="D36" s="49"/>
    </row>
    <row r="37" spans="1:4" ht="14.25" customHeight="1">
      <c r="A37" s="79"/>
      <c r="B37" s="48"/>
      <c r="C37" s="49"/>
      <c r="D37" s="49"/>
    </row>
    <row r="38" spans="1:4" ht="14.25" customHeight="1">
      <c r="A38" s="79"/>
      <c r="B38" s="48"/>
      <c r="C38" s="49"/>
      <c r="D38" s="49"/>
    </row>
    <row r="39" spans="1:4" ht="14.25" customHeight="1">
      <c r="A39" s="79"/>
      <c r="B39" s="48"/>
      <c r="C39" s="49"/>
      <c r="D39" s="49"/>
    </row>
    <row r="40" spans="1:4" ht="14.25" customHeight="1">
      <c r="A40" s="79"/>
      <c r="B40" s="48"/>
      <c r="C40" s="49"/>
      <c r="D40" s="49"/>
    </row>
    <row r="41" spans="1:4" ht="14.25" customHeight="1">
      <c r="A41" s="79"/>
      <c r="B41" s="48"/>
      <c r="C41" s="49"/>
      <c r="D41" s="49"/>
    </row>
    <row r="42" spans="1:4" ht="14.25" customHeight="1">
      <c r="A42" s="79"/>
      <c r="B42" s="48"/>
      <c r="C42" s="49"/>
      <c r="D42" s="49"/>
    </row>
    <row r="43" spans="1:4" ht="14.25" customHeight="1">
      <c r="A43" s="79"/>
      <c r="B43" s="48"/>
      <c r="C43" s="49"/>
      <c r="D43" s="49"/>
    </row>
    <row r="44" spans="1:4" ht="14.25" customHeight="1">
      <c r="A44" s="79"/>
      <c r="B44" s="48"/>
      <c r="C44" s="49"/>
      <c r="D44" s="49"/>
    </row>
    <row r="45" spans="1:4" ht="14.25" customHeight="1">
      <c r="A45" s="79"/>
      <c r="B45" s="48"/>
      <c r="C45" s="49"/>
      <c r="D45" s="49"/>
    </row>
    <row r="46" spans="1:4" ht="14.25" customHeight="1">
      <c r="A46" s="79"/>
      <c r="B46" s="48"/>
      <c r="C46" s="49"/>
      <c r="D46" s="49"/>
    </row>
    <row r="47" spans="1:4" ht="14.25" customHeight="1">
      <c r="A47" s="79"/>
      <c r="B47" s="48"/>
      <c r="C47" s="49"/>
      <c r="D47" s="49"/>
    </row>
    <row r="48" spans="1:4" ht="14.25" customHeight="1">
      <c r="A48" s="79"/>
      <c r="B48" s="48"/>
      <c r="C48" s="49"/>
      <c r="D48" s="49"/>
    </row>
    <row r="49" spans="1:4" ht="14.25" customHeight="1">
      <c r="A49" s="79"/>
      <c r="B49" s="48"/>
      <c r="C49" s="49"/>
      <c r="D49" s="49"/>
    </row>
    <row r="50" spans="1:4" ht="14.25" customHeight="1">
      <c r="A50" s="79"/>
      <c r="B50" s="48"/>
      <c r="C50" s="49"/>
      <c r="D50" s="49"/>
    </row>
    <row r="51" spans="1:4" ht="14.25" customHeight="1">
      <c r="A51" s="79"/>
      <c r="B51" s="48"/>
      <c r="C51" s="49"/>
      <c r="D51" s="49"/>
    </row>
    <row r="52" spans="1:4" ht="14.25" customHeight="1">
      <c r="A52" s="79"/>
      <c r="B52" s="48"/>
      <c r="C52" s="49"/>
      <c r="D52" s="49"/>
    </row>
    <row r="53" spans="1:4" ht="14.25" customHeight="1">
      <c r="A53" s="79"/>
      <c r="B53" s="48"/>
      <c r="C53" s="49"/>
      <c r="D53" s="49"/>
    </row>
    <row r="54" spans="1:4" ht="14.25" customHeight="1">
      <c r="A54" s="79"/>
      <c r="B54" s="48"/>
      <c r="C54" s="49"/>
      <c r="D54" s="49"/>
    </row>
    <row r="55" spans="1:4" ht="14.25" customHeight="1">
      <c r="A55" s="79"/>
      <c r="B55" s="48"/>
      <c r="C55" s="49"/>
      <c r="D55" s="49"/>
    </row>
    <row r="56" spans="1:4" ht="14.25" customHeight="1">
      <c r="A56" s="79"/>
      <c r="B56" s="48"/>
      <c r="C56" s="49"/>
      <c r="D56" s="49"/>
    </row>
    <row r="57" spans="1:4" ht="14.25" customHeight="1">
      <c r="A57" s="79"/>
      <c r="B57" s="48"/>
      <c r="C57" s="49"/>
      <c r="D57" s="49"/>
    </row>
    <row r="58" spans="1:4" ht="14.25" customHeight="1">
      <c r="A58" s="79"/>
      <c r="B58" s="48"/>
      <c r="C58" s="49"/>
      <c r="D58" s="49"/>
    </row>
    <row r="59" spans="1:4" ht="14.25" customHeight="1">
      <c r="A59" s="79"/>
      <c r="B59" s="48"/>
      <c r="C59" s="49"/>
      <c r="D59" s="49"/>
    </row>
    <row r="60" spans="1:4" ht="14.25" customHeight="1">
      <c r="A60" s="79"/>
      <c r="B60" s="48"/>
      <c r="C60" s="49"/>
      <c r="D60" s="49"/>
    </row>
    <row r="61" spans="1:4" ht="14.25" customHeight="1">
      <c r="A61" s="79"/>
      <c r="B61" s="48"/>
      <c r="C61" s="49"/>
      <c r="D61" s="49"/>
    </row>
    <row r="62" spans="1:4" ht="14.25" customHeight="1">
      <c r="A62" s="79"/>
      <c r="B62" s="48"/>
      <c r="C62" s="49"/>
      <c r="D62" s="49"/>
    </row>
    <row r="63" spans="1:4" ht="14.25" customHeight="1">
      <c r="A63" s="79"/>
      <c r="B63" s="48"/>
      <c r="C63" s="49"/>
      <c r="D63" s="49"/>
    </row>
    <row r="64" spans="1:4" ht="14.25" customHeight="1">
      <c r="A64" s="79"/>
      <c r="B64" s="48"/>
      <c r="C64" s="49"/>
      <c r="D64" s="49"/>
    </row>
    <row r="65" spans="1:4" ht="14.25" customHeight="1">
      <c r="A65" s="79"/>
      <c r="B65" s="48"/>
      <c r="C65" s="49"/>
      <c r="D65" s="49"/>
    </row>
    <row r="66" spans="1:4" ht="14.25" customHeight="1">
      <c r="A66" s="79"/>
      <c r="B66" s="48"/>
      <c r="C66" s="49"/>
      <c r="D66" s="49"/>
    </row>
    <row r="67" spans="1:4" ht="14.25" customHeight="1">
      <c r="A67" s="79"/>
      <c r="B67" s="48"/>
      <c r="C67" s="49"/>
      <c r="D67" s="49"/>
    </row>
    <row r="68" spans="1:4" ht="14.25" customHeight="1">
      <c r="A68" s="79"/>
      <c r="B68" s="48"/>
      <c r="C68" s="49"/>
      <c r="D68" s="49"/>
    </row>
    <row r="69" spans="1:4" ht="14.25" customHeight="1">
      <c r="A69" s="79"/>
      <c r="B69" s="48"/>
      <c r="C69" s="49"/>
      <c r="D69" s="49"/>
    </row>
    <row r="70" spans="1:4" ht="14.25" customHeight="1">
      <c r="A70" s="79"/>
      <c r="B70" s="48"/>
      <c r="C70" s="49"/>
      <c r="D70" s="49"/>
    </row>
    <row r="71" spans="1:4" ht="14.25" customHeight="1">
      <c r="A71" s="79"/>
      <c r="B71" s="48"/>
      <c r="C71" s="49"/>
      <c r="D71" s="49"/>
    </row>
    <row r="72" spans="1:4" ht="14.25" customHeight="1">
      <c r="A72" s="79"/>
      <c r="B72" s="48"/>
      <c r="C72" s="49"/>
      <c r="D72" s="49"/>
    </row>
    <row r="73" spans="1:4" ht="14.25" customHeight="1">
      <c r="A73" s="79"/>
      <c r="B73" s="48"/>
      <c r="C73" s="49"/>
      <c r="D73" s="49"/>
    </row>
    <row r="74" spans="1:4" ht="14.25" customHeight="1">
      <c r="A74" s="79"/>
      <c r="B74" s="48"/>
      <c r="C74" s="49"/>
      <c r="D74" s="49"/>
    </row>
    <row r="75" spans="1:4" ht="14.25" customHeight="1">
      <c r="A75" s="79"/>
      <c r="B75" s="48"/>
      <c r="C75" s="49"/>
      <c r="D75" s="49"/>
    </row>
    <row r="76" spans="1:4" ht="14.25" customHeight="1">
      <c r="A76" s="79"/>
      <c r="B76" s="48"/>
      <c r="C76" s="49"/>
      <c r="D76" s="49"/>
    </row>
    <row r="77" spans="1:4" ht="14.25" customHeight="1">
      <c r="A77" s="79"/>
      <c r="B77" s="48"/>
      <c r="C77" s="49"/>
      <c r="D77" s="49"/>
    </row>
    <row r="78" spans="1:4" ht="14.25" customHeight="1">
      <c r="A78" s="79"/>
      <c r="B78" s="48"/>
      <c r="C78" s="49"/>
      <c r="D78" s="49"/>
    </row>
    <row r="79" spans="1:4" ht="14.25" customHeight="1">
      <c r="A79" s="79"/>
      <c r="B79" s="48"/>
      <c r="C79" s="49"/>
      <c r="D79" s="49"/>
    </row>
    <row r="80" spans="1:4" ht="14.25" customHeight="1">
      <c r="A80" s="79"/>
      <c r="B80" s="48"/>
      <c r="C80" s="49"/>
      <c r="D80" s="49"/>
    </row>
    <row r="81" spans="1:4" ht="14.25" customHeight="1">
      <c r="A81" s="79"/>
      <c r="B81" s="48"/>
      <c r="C81" s="49"/>
      <c r="D81" s="49"/>
    </row>
    <row r="82" spans="1:4" ht="14.25" customHeight="1">
      <c r="A82" s="79"/>
      <c r="B82" s="48"/>
      <c r="C82" s="49"/>
      <c r="D82" s="49"/>
    </row>
    <row r="83" spans="1:4" ht="14.25" customHeight="1">
      <c r="A83" s="79"/>
      <c r="B83" s="48"/>
      <c r="C83" s="49"/>
      <c r="D83" s="49"/>
    </row>
    <row r="84" spans="1:4" ht="14.25" customHeight="1">
      <c r="A84" s="79"/>
      <c r="B84" s="48"/>
      <c r="C84" s="49"/>
      <c r="D84" s="49"/>
    </row>
    <row r="85" spans="1:4" ht="14.25" customHeight="1">
      <c r="A85" s="79"/>
      <c r="B85" s="48"/>
      <c r="C85" s="49"/>
      <c r="D85" s="49"/>
    </row>
    <row r="86" spans="1:4" ht="14.25" customHeight="1">
      <c r="A86" s="79"/>
      <c r="B86" s="48"/>
      <c r="C86" s="49"/>
      <c r="D86" s="49"/>
    </row>
    <row r="87" spans="1:4" ht="14.25" customHeight="1">
      <c r="A87" s="79"/>
      <c r="B87" s="48"/>
      <c r="C87" s="49"/>
      <c r="D87" s="49"/>
    </row>
    <row r="88" spans="1:4" ht="14.25" customHeight="1">
      <c r="A88" s="79"/>
      <c r="B88" s="48"/>
      <c r="C88" s="49"/>
      <c r="D88" s="49"/>
    </row>
    <row r="89" spans="1:4" ht="14.25" customHeight="1">
      <c r="A89" s="79"/>
      <c r="B89" s="48"/>
      <c r="C89" s="49"/>
      <c r="D89" s="49"/>
    </row>
    <row r="90" spans="1:4" ht="14.25" customHeight="1">
      <c r="A90" s="79"/>
      <c r="B90" s="48"/>
      <c r="C90" s="49"/>
      <c r="D90" s="49"/>
    </row>
    <row r="91" spans="1:4" ht="14.25" customHeight="1">
      <c r="A91" s="79"/>
      <c r="B91" s="48"/>
      <c r="C91" s="49"/>
      <c r="D91" s="49"/>
    </row>
    <row r="92" spans="1:4" ht="14.25" customHeight="1">
      <c r="A92" s="79"/>
      <c r="B92" s="48"/>
      <c r="C92" s="49"/>
      <c r="D92" s="49"/>
    </row>
    <row r="93" spans="1:4" ht="14.25" customHeight="1">
      <c r="A93" s="79"/>
      <c r="B93" s="48"/>
      <c r="C93" s="49"/>
      <c r="D93" s="49"/>
    </row>
    <row r="94" spans="1:4" ht="14.25" customHeight="1">
      <c r="A94" s="79"/>
      <c r="B94" s="48"/>
      <c r="C94" s="49"/>
      <c r="D94" s="49"/>
    </row>
    <row r="95" spans="1:4" ht="14.25" customHeight="1">
      <c r="A95" s="79"/>
      <c r="B95" s="48"/>
      <c r="C95" s="49"/>
      <c r="D95" s="49"/>
    </row>
    <row r="96" spans="1:4" ht="14.25" customHeight="1">
      <c r="A96" s="79"/>
      <c r="B96" s="48"/>
      <c r="C96" s="49"/>
      <c r="D96" s="49"/>
    </row>
    <row r="97" spans="1:4" ht="14.25" customHeight="1">
      <c r="A97" s="79"/>
      <c r="B97" s="48"/>
      <c r="C97" s="49"/>
      <c r="D97" s="49"/>
    </row>
    <row r="98" spans="1:4" ht="14.25" customHeight="1">
      <c r="A98" s="79"/>
      <c r="B98" s="48"/>
      <c r="C98" s="49"/>
      <c r="D98" s="49"/>
    </row>
    <row r="99" spans="1:4" ht="14.25" customHeight="1">
      <c r="A99" s="79"/>
      <c r="B99" s="48"/>
      <c r="C99" s="49"/>
      <c r="D99" s="49"/>
    </row>
    <row r="100" spans="1:4" ht="14.25" customHeight="1">
      <c r="A100" s="79"/>
      <c r="B100" s="48"/>
      <c r="C100" s="49"/>
      <c r="D100" s="49"/>
    </row>
    <row r="101" spans="1:4" ht="14.25" customHeight="1">
      <c r="A101" s="79"/>
      <c r="B101" s="48"/>
      <c r="C101" s="49"/>
      <c r="D101" s="49"/>
    </row>
    <row r="102" spans="1:4" ht="14.25" customHeight="1">
      <c r="A102" s="79"/>
      <c r="B102" s="48"/>
      <c r="C102" s="49"/>
      <c r="D102" s="49"/>
    </row>
    <row r="103" spans="1:4" ht="14.25" customHeight="1">
      <c r="A103" s="79"/>
      <c r="B103" s="48"/>
      <c r="C103" s="49"/>
      <c r="D103" s="49"/>
    </row>
    <row r="104" spans="1:4" ht="14.25" customHeight="1">
      <c r="A104" s="79"/>
      <c r="B104" s="48"/>
      <c r="C104" s="49"/>
      <c r="D104" s="49"/>
    </row>
    <row r="105" spans="1:4" ht="14.25" customHeight="1">
      <c r="A105" s="79"/>
      <c r="B105" s="48"/>
      <c r="C105" s="49"/>
      <c r="D105" s="49"/>
    </row>
    <row r="106" spans="1:4" ht="14.25" customHeight="1">
      <c r="A106" s="79"/>
      <c r="B106" s="48"/>
      <c r="C106" s="49"/>
      <c r="D106" s="49"/>
    </row>
    <row r="107" spans="1:4" ht="14.25" customHeight="1">
      <c r="A107" s="79"/>
      <c r="B107" s="48"/>
      <c r="C107" s="49"/>
      <c r="D107" s="49"/>
    </row>
    <row r="108" spans="1:4" ht="14.25" customHeight="1">
      <c r="A108" s="79"/>
      <c r="B108" s="48"/>
      <c r="C108" s="49"/>
      <c r="D108" s="49"/>
    </row>
    <row r="109" spans="1:4" ht="14.25" customHeight="1">
      <c r="A109" s="79"/>
      <c r="B109" s="48"/>
      <c r="C109" s="49"/>
      <c r="D109" s="49"/>
    </row>
    <row r="110" spans="1:4" ht="14.25" customHeight="1">
      <c r="A110" s="79"/>
      <c r="B110" s="48"/>
      <c r="C110" s="49"/>
      <c r="D110" s="49"/>
    </row>
    <row r="111" spans="1:4" ht="14.25" customHeight="1">
      <c r="A111" s="79"/>
      <c r="B111" s="48"/>
      <c r="C111" s="49"/>
      <c r="D111" s="49"/>
    </row>
    <row r="112" spans="1:4" ht="14.25" customHeight="1">
      <c r="A112" s="79"/>
      <c r="B112" s="48"/>
      <c r="C112" s="49"/>
      <c r="D112" s="49"/>
    </row>
    <row r="113" spans="1:4" ht="14.25" customHeight="1">
      <c r="A113" s="79"/>
      <c r="B113" s="48"/>
      <c r="C113" s="49"/>
      <c r="D113" s="49"/>
    </row>
    <row r="114" spans="1:4" ht="14.25" customHeight="1">
      <c r="A114" s="79"/>
      <c r="B114" s="48"/>
      <c r="C114" s="49"/>
      <c r="D114" s="49"/>
    </row>
    <row r="115" spans="1:4" ht="14.25" customHeight="1">
      <c r="A115" s="79"/>
      <c r="B115" s="48"/>
      <c r="C115" s="49"/>
      <c r="D115" s="49"/>
    </row>
    <row r="116" spans="1:4" ht="14.25" customHeight="1">
      <c r="A116" s="79"/>
      <c r="B116" s="48"/>
      <c r="C116" s="49"/>
      <c r="D116" s="49"/>
    </row>
    <row r="117" spans="1:4" ht="14.25" customHeight="1">
      <c r="A117" s="79"/>
      <c r="B117" s="48"/>
      <c r="C117" s="49"/>
      <c r="D117" s="49"/>
    </row>
    <row r="118" spans="1:4" ht="14.25" customHeight="1">
      <c r="A118" s="79"/>
      <c r="B118" s="48"/>
      <c r="C118" s="49"/>
      <c r="D118" s="49"/>
    </row>
    <row r="119" spans="1:4" ht="14.25" customHeight="1">
      <c r="A119" s="79"/>
      <c r="B119" s="48"/>
      <c r="C119" s="49"/>
      <c r="D119" s="49"/>
    </row>
    <row r="120" spans="1:4" ht="14.25" customHeight="1">
      <c r="A120" s="79"/>
      <c r="B120" s="48"/>
      <c r="C120" s="49"/>
      <c r="D120" s="49"/>
    </row>
    <row r="121" spans="1:4" ht="14.25" customHeight="1">
      <c r="A121" s="79"/>
      <c r="B121" s="48"/>
      <c r="C121" s="49"/>
      <c r="D121" s="49"/>
    </row>
    <row r="122" spans="1:4" ht="14.25" customHeight="1">
      <c r="A122" s="79"/>
      <c r="B122" s="48"/>
      <c r="C122" s="49"/>
      <c r="D122" s="49"/>
    </row>
    <row r="123" spans="1:4" ht="14.25" customHeight="1">
      <c r="A123" s="79"/>
      <c r="B123" s="48"/>
      <c r="C123" s="49"/>
      <c r="D123" s="49"/>
    </row>
    <row r="124" spans="1:4" ht="14.25" customHeight="1">
      <c r="A124" s="79"/>
      <c r="B124" s="48"/>
      <c r="C124" s="49"/>
      <c r="D124" s="49"/>
    </row>
    <row r="125" spans="1:4" ht="14.25" customHeight="1">
      <c r="A125" s="79"/>
      <c r="B125" s="48"/>
      <c r="C125" s="49"/>
      <c r="D125" s="49"/>
    </row>
    <row r="126" spans="1:4" ht="14.25" customHeight="1">
      <c r="A126" s="79"/>
      <c r="B126" s="48"/>
      <c r="C126" s="49"/>
      <c r="D126" s="49"/>
    </row>
    <row r="127" spans="1:4" ht="14.25" customHeight="1">
      <c r="A127" s="79"/>
      <c r="B127" s="48"/>
      <c r="C127" s="49"/>
      <c r="D127" s="49"/>
    </row>
    <row r="128" spans="1:4" ht="14.25" customHeight="1">
      <c r="A128" s="79"/>
      <c r="B128" s="48"/>
      <c r="C128" s="49"/>
      <c r="D128" s="49"/>
    </row>
    <row r="129" spans="1:4" ht="14.25" customHeight="1">
      <c r="A129" s="79"/>
      <c r="B129" s="48"/>
      <c r="C129" s="49"/>
      <c r="D129" s="49"/>
    </row>
    <row r="130" spans="1:4" ht="14.25" customHeight="1">
      <c r="A130" s="79"/>
      <c r="B130" s="48"/>
      <c r="C130" s="49"/>
      <c r="D130" s="49"/>
    </row>
    <row r="131" spans="1:4" ht="14.25" customHeight="1">
      <c r="A131" s="79"/>
      <c r="B131" s="48"/>
      <c r="C131" s="49"/>
      <c r="D131" s="49"/>
    </row>
    <row r="132" spans="1:4" ht="14.25" customHeight="1">
      <c r="A132" s="79"/>
      <c r="B132" s="48"/>
      <c r="C132" s="49"/>
      <c r="D132" s="49"/>
    </row>
    <row r="133" spans="1:4" ht="14.25" customHeight="1">
      <c r="A133" s="79"/>
      <c r="B133" s="48"/>
      <c r="C133" s="49"/>
      <c r="D133" s="49"/>
    </row>
    <row r="134" spans="1:4" ht="14.25" customHeight="1">
      <c r="A134" s="79"/>
      <c r="B134" s="48"/>
      <c r="C134" s="49"/>
      <c r="D134" s="49"/>
    </row>
    <row r="135" spans="1:4" ht="14.25" customHeight="1">
      <c r="A135" s="79"/>
      <c r="B135" s="48"/>
      <c r="C135" s="49"/>
      <c r="D135" s="49"/>
    </row>
    <row r="136" spans="1:4" ht="14.25" customHeight="1">
      <c r="A136" s="79"/>
      <c r="B136" s="48"/>
      <c r="C136" s="49"/>
      <c r="D136" s="49"/>
    </row>
    <row r="137" spans="1:4" ht="14.25" customHeight="1">
      <c r="A137" s="79"/>
      <c r="B137" s="48"/>
      <c r="C137" s="49"/>
      <c r="D137" s="49"/>
    </row>
    <row r="138" spans="1:4" ht="14.25" customHeight="1">
      <c r="A138" s="79"/>
      <c r="B138" s="48"/>
      <c r="C138" s="49"/>
      <c r="D138" s="49"/>
    </row>
    <row r="139" spans="1:4" ht="14.25" customHeight="1">
      <c r="A139" s="79"/>
      <c r="B139" s="48"/>
      <c r="C139" s="49"/>
      <c r="D139" s="49"/>
    </row>
    <row r="140" spans="1:4" ht="14.25" customHeight="1">
      <c r="A140" s="79"/>
      <c r="B140" s="48"/>
      <c r="C140" s="49"/>
      <c r="D140" s="49"/>
    </row>
    <row r="141" spans="1:4" ht="14.25" customHeight="1">
      <c r="A141" s="79"/>
      <c r="B141" s="48"/>
      <c r="C141" s="49"/>
      <c r="D141" s="49"/>
    </row>
    <row r="142" spans="1:4" ht="14.25" customHeight="1">
      <c r="A142" s="79"/>
      <c r="B142" s="48"/>
      <c r="C142" s="49"/>
      <c r="D142" s="49"/>
    </row>
    <row r="143" spans="1:4" ht="14.25" customHeight="1">
      <c r="A143" s="79"/>
      <c r="B143" s="48"/>
      <c r="C143" s="49"/>
      <c r="D143" s="49"/>
    </row>
    <row r="144" spans="1:4" ht="14.25" customHeight="1">
      <c r="A144" s="79"/>
      <c r="B144" s="48"/>
      <c r="C144" s="49"/>
      <c r="D144" s="49"/>
    </row>
    <row r="145" spans="1:4" ht="14.25" customHeight="1">
      <c r="A145" s="79"/>
      <c r="B145" s="48"/>
      <c r="C145" s="49"/>
      <c r="D145" s="49"/>
    </row>
    <row r="146" spans="1:4" ht="14.25" customHeight="1">
      <c r="A146" s="79"/>
      <c r="B146" s="48"/>
      <c r="C146" s="49"/>
      <c r="D146" s="49"/>
    </row>
    <row r="147" spans="1:4" ht="14.25" customHeight="1">
      <c r="A147" s="79"/>
      <c r="B147" s="48"/>
      <c r="C147" s="49"/>
      <c r="D147" s="49"/>
    </row>
    <row r="148" spans="1:4" ht="14.25" customHeight="1">
      <c r="A148" s="79"/>
      <c r="B148" s="48"/>
      <c r="C148" s="49"/>
      <c r="D148" s="49"/>
    </row>
    <row r="149" spans="1:4" ht="14.25" customHeight="1">
      <c r="A149" s="79"/>
      <c r="B149" s="48"/>
      <c r="C149" s="49"/>
      <c r="D149" s="49"/>
    </row>
    <row r="150" spans="1:4" ht="14.25" customHeight="1">
      <c r="A150" s="79"/>
      <c r="B150" s="48"/>
      <c r="C150" s="49"/>
      <c r="D150" s="49"/>
    </row>
    <row r="151" spans="1:4" ht="14.25" customHeight="1">
      <c r="A151" s="79"/>
      <c r="B151" s="48"/>
      <c r="C151" s="49"/>
      <c r="D151" s="49"/>
    </row>
    <row r="152" spans="1:4" ht="14.25" customHeight="1">
      <c r="A152" s="79"/>
      <c r="B152" s="48"/>
      <c r="C152" s="49"/>
      <c r="D152" s="49"/>
    </row>
    <row r="153" spans="1:4" ht="14.25" customHeight="1">
      <c r="A153" s="79"/>
      <c r="B153" s="48"/>
      <c r="C153" s="49"/>
      <c r="D153" s="49"/>
    </row>
    <row r="154" spans="1:4" ht="14.25" customHeight="1">
      <c r="A154" s="79"/>
      <c r="B154" s="48"/>
      <c r="C154" s="49"/>
      <c r="D154" s="49"/>
    </row>
    <row r="155" spans="1:4" ht="14.25" customHeight="1">
      <c r="A155" s="79"/>
      <c r="B155" s="48"/>
      <c r="C155" s="49"/>
      <c r="D155" s="49"/>
    </row>
    <row r="156" spans="1:4" ht="14.25" customHeight="1">
      <c r="A156" s="79"/>
      <c r="B156" s="48"/>
      <c r="C156" s="49"/>
      <c r="D156" s="49"/>
    </row>
    <row r="157" spans="1:4" ht="14.25" customHeight="1">
      <c r="A157" s="79"/>
      <c r="B157" s="48"/>
      <c r="C157" s="49"/>
      <c r="D157" s="49"/>
    </row>
    <row r="158" spans="1:4" ht="14.25" customHeight="1">
      <c r="A158" s="79"/>
      <c r="B158" s="48"/>
      <c r="C158" s="49"/>
      <c r="D158" s="49"/>
    </row>
    <row r="159" spans="1:4" ht="14.25" customHeight="1">
      <c r="A159" s="79"/>
      <c r="B159" s="48"/>
      <c r="C159" s="49"/>
      <c r="D159" s="49"/>
    </row>
    <row r="160" spans="1:4" ht="14.25" customHeight="1">
      <c r="A160" s="79"/>
      <c r="B160" s="48"/>
      <c r="C160" s="49"/>
      <c r="D160" s="49"/>
    </row>
    <row r="161" spans="1:4" ht="14.25" customHeight="1">
      <c r="A161" s="79"/>
      <c r="B161" s="48"/>
      <c r="C161" s="49"/>
      <c r="D161" s="49"/>
    </row>
    <row r="162" spans="1:4" ht="14.25" customHeight="1">
      <c r="A162" s="79"/>
      <c r="B162" s="48"/>
      <c r="C162" s="49"/>
      <c r="D162" s="49"/>
    </row>
    <row r="163" spans="1:4" ht="14.25" customHeight="1">
      <c r="A163" s="79"/>
      <c r="B163" s="48"/>
      <c r="C163" s="49"/>
      <c r="D163" s="49"/>
    </row>
    <row r="164" spans="1:4" ht="14.25" customHeight="1">
      <c r="A164" s="79"/>
      <c r="B164" s="48"/>
      <c r="C164" s="49"/>
      <c r="D164" s="49"/>
    </row>
    <row r="165" spans="1:4" ht="14.25" customHeight="1">
      <c r="A165" s="79"/>
      <c r="B165" s="48"/>
      <c r="C165" s="49"/>
      <c r="D165" s="49"/>
    </row>
    <row r="166" spans="1:4" ht="14.25" customHeight="1">
      <c r="A166" s="79"/>
      <c r="B166" s="48"/>
      <c r="C166" s="49"/>
      <c r="D166" s="49"/>
    </row>
    <row r="167" spans="1:4" ht="14.25" customHeight="1">
      <c r="A167" s="79"/>
      <c r="B167" s="48"/>
      <c r="C167" s="49"/>
      <c r="D167" s="49"/>
    </row>
    <row r="168" spans="1:4" ht="14.25" customHeight="1">
      <c r="A168" s="79"/>
      <c r="B168" s="48"/>
      <c r="C168" s="49"/>
      <c r="D168" s="49"/>
    </row>
    <row r="169" spans="1:4" ht="14.25" customHeight="1">
      <c r="A169" s="79"/>
      <c r="B169" s="48"/>
      <c r="C169" s="49"/>
      <c r="D169" s="49"/>
    </row>
    <row r="170" spans="1:4" ht="14.25" customHeight="1">
      <c r="A170" s="79"/>
      <c r="B170" s="48"/>
      <c r="C170" s="49"/>
      <c r="D170" s="49"/>
    </row>
    <row r="171" spans="1:4" ht="14.25" customHeight="1">
      <c r="A171" s="79"/>
      <c r="B171" s="48"/>
      <c r="C171" s="49"/>
      <c r="D171" s="49"/>
    </row>
    <row r="172" spans="1:4" ht="14.25" customHeight="1">
      <c r="A172" s="79"/>
      <c r="B172" s="48"/>
      <c r="C172" s="49"/>
      <c r="D172" s="49"/>
    </row>
    <row r="173" spans="1:4" ht="14.25" customHeight="1">
      <c r="A173" s="79"/>
      <c r="B173" s="48"/>
      <c r="C173" s="49"/>
      <c r="D173" s="49"/>
    </row>
    <row r="174" spans="1:4" ht="14.25" customHeight="1">
      <c r="A174" s="79"/>
      <c r="B174" s="48"/>
      <c r="C174" s="49"/>
      <c r="D174" s="49"/>
    </row>
    <row r="175" spans="1:4" ht="14.25" customHeight="1">
      <c r="A175" s="79"/>
      <c r="B175" s="48"/>
      <c r="C175" s="49"/>
      <c r="D175" s="49"/>
    </row>
    <row r="176" spans="1:4" ht="14.25" customHeight="1">
      <c r="A176" s="79"/>
      <c r="B176" s="48"/>
      <c r="C176" s="49"/>
      <c r="D176" s="49"/>
    </row>
    <row r="177" spans="1:4" ht="14.25" customHeight="1">
      <c r="A177" s="79"/>
      <c r="B177" s="48"/>
      <c r="C177" s="49"/>
      <c r="D177" s="49"/>
    </row>
    <row r="178" spans="1:4" ht="14.25" customHeight="1">
      <c r="A178" s="79"/>
      <c r="B178" s="48"/>
      <c r="C178" s="49"/>
      <c r="D178" s="49"/>
    </row>
    <row r="179" spans="1:4" ht="14.25" customHeight="1">
      <c r="A179" s="79"/>
      <c r="B179" s="48"/>
      <c r="C179" s="49"/>
      <c r="D179" s="49"/>
    </row>
    <row r="180" spans="1:4" ht="14.25" customHeight="1">
      <c r="A180" s="79"/>
      <c r="B180" s="48"/>
      <c r="C180" s="49"/>
      <c r="D180" s="49"/>
    </row>
    <row r="181" spans="1:4" ht="14.25" customHeight="1">
      <c r="A181" s="79"/>
      <c r="B181" s="48"/>
      <c r="C181" s="49"/>
      <c r="D181" s="49"/>
    </row>
    <row r="182" spans="1:4" ht="14.25" customHeight="1">
      <c r="A182" s="79"/>
      <c r="B182" s="48"/>
      <c r="C182" s="49"/>
      <c r="D182" s="49"/>
    </row>
    <row r="183" spans="1:4" ht="14.25" customHeight="1">
      <c r="A183" s="79"/>
      <c r="B183" s="48"/>
      <c r="C183" s="49"/>
      <c r="D183" s="49"/>
    </row>
    <row r="184" spans="1:4" ht="14.25" customHeight="1">
      <c r="A184" s="79"/>
      <c r="B184" s="48"/>
      <c r="C184" s="49"/>
      <c r="D184" s="49"/>
    </row>
    <row r="185" spans="1:4" ht="14.25" customHeight="1">
      <c r="A185" s="79"/>
      <c r="B185" s="48"/>
      <c r="C185" s="49"/>
      <c r="D185" s="49"/>
    </row>
    <row r="186" spans="1:4" ht="14.25" customHeight="1">
      <c r="A186" s="79"/>
      <c r="B186" s="48"/>
      <c r="C186" s="49"/>
      <c r="D186" s="49"/>
    </row>
    <row r="187" spans="1:4" ht="14.25" customHeight="1">
      <c r="A187" s="79"/>
      <c r="B187" s="48"/>
      <c r="C187" s="49"/>
      <c r="D187" s="49"/>
    </row>
    <row r="188" spans="1:4" ht="14.25" customHeight="1">
      <c r="A188" s="79"/>
      <c r="B188" s="48"/>
      <c r="C188" s="49"/>
      <c r="D188" s="49"/>
    </row>
    <row r="189" spans="1:4" ht="14.25" customHeight="1">
      <c r="A189" s="79"/>
      <c r="B189" s="48"/>
      <c r="C189" s="49"/>
      <c r="D189" s="49"/>
    </row>
    <row r="190" spans="1:4" ht="14.25" customHeight="1">
      <c r="A190" s="79"/>
      <c r="B190" s="48"/>
      <c r="C190" s="49"/>
      <c r="D190" s="49"/>
    </row>
    <row r="191" spans="1:4" ht="14.25" customHeight="1">
      <c r="A191" s="79"/>
      <c r="B191" s="48"/>
      <c r="C191" s="49"/>
      <c r="D191" s="49"/>
    </row>
    <row r="192" spans="1:4" ht="14.25" customHeight="1">
      <c r="A192" s="79"/>
      <c r="B192" s="48"/>
      <c r="C192" s="49"/>
      <c r="D192" s="49"/>
    </row>
    <row r="193" spans="1:4" ht="14.25" customHeight="1">
      <c r="A193" s="79"/>
      <c r="B193" s="48"/>
      <c r="C193" s="49"/>
      <c r="D193" s="49"/>
    </row>
    <row r="194" spans="1:4" ht="14.25" customHeight="1">
      <c r="A194" s="79"/>
      <c r="B194" s="48"/>
      <c r="C194" s="49"/>
      <c r="D194" s="49"/>
    </row>
    <row r="195" spans="1:4" ht="14.25" customHeight="1">
      <c r="A195" s="79"/>
      <c r="B195" s="48"/>
      <c r="C195" s="49"/>
      <c r="D195" s="49"/>
    </row>
    <row r="196" spans="1:4" ht="14.25" customHeight="1">
      <c r="A196" s="79"/>
      <c r="B196" s="48"/>
      <c r="C196" s="49"/>
      <c r="D196" s="49"/>
    </row>
    <row r="197" spans="1:4" ht="14.25" customHeight="1">
      <c r="A197" s="79"/>
      <c r="B197" s="48"/>
      <c r="C197" s="49"/>
      <c r="D197" s="49"/>
    </row>
    <row r="198" spans="1:4" ht="14.25" customHeight="1">
      <c r="A198" s="79"/>
      <c r="B198" s="48"/>
      <c r="C198" s="49"/>
      <c r="D198" s="49"/>
    </row>
    <row r="199" spans="1:4" ht="14.25" customHeight="1">
      <c r="A199" s="79"/>
      <c r="B199" s="48"/>
      <c r="C199" s="49"/>
      <c r="D199" s="49"/>
    </row>
    <row r="200" spans="1:4" ht="14.25" customHeight="1">
      <c r="A200" s="79"/>
      <c r="B200" s="48"/>
      <c r="C200" s="49"/>
      <c r="D200" s="49"/>
    </row>
    <row r="201" spans="1:4" ht="14.25" customHeight="1">
      <c r="A201" s="79"/>
      <c r="B201" s="48"/>
      <c r="C201" s="49"/>
      <c r="D201" s="49"/>
    </row>
    <row r="202" spans="1:4" ht="14.25" customHeight="1">
      <c r="A202" s="79"/>
      <c r="B202" s="48"/>
      <c r="C202" s="49"/>
      <c r="D202" s="49"/>
    </row>
    <row r="203" spans="1:4" ht="14.25" customHeight="1">
      <c r="A203" s="79"/>
      <c r="B203" s="48"/>
      <c r="C203" s="49"/>
      <c r="D203" s="49"/>
    </row>
    <row r="204" spans="1:4" ht="14.25" customHeight="1">
      <c r="A204" s="79"/>
      <c r="B204" s="48"/>
      <c r="C204" s="49"/>
      <c r="D204" s="49"/>
    </row>
    <row r="205" spans="1:4" ht="14.25" customHeight="1">
      <c r="A205" s="79"/>
      <c r="B205" s="48"/>
      <c r="C205" s="49"/>
      <c r="D205" s="49"/>
    </row>
    <row r="206" spans="1:4" ht="14.25" customHeight="1">
      <c r="A206" s="79"/>
      <c r="B206" s="48"/>
      <c r="C206" s="49"/>
      <c r="D206" s="49"/>
    </row>
    <row r="207" spans="1:4" ht="14.25" customHeight="1">
      <c r="A207" s="79"/>
      <c r="B207" s="48"/>
      <c r="C207" s="49"/>
      <c r="D207" s="49"/>
    </row>
    <row r="208" spans="1:4" ht="14.25" customHeight="1">
      <c r="A208" s="79"/>
      <c r="B208" s="48"/>
      <c r="C208" s="49"/>
      <c r="D208" s="49"/>
    </row>
    <row r="209" spans="1:4" ht="14.25" customHeight="1">
      <c r="A209" s="79"/>
      <c r="B209" s="48"/>
      <c r="C209" s="49"/>
      <c r="D209" s="49"/>
    </row>
    <row r="210" spans="1:4" ht="14.25" customHeight="1">
      <c r="A210" s="79"/>
      <c r="B210" s="48"/>
      <c r="C210" s="49"/>
      <c r="D210" s="49"/>
    </row>
    <row r="211" spans="1:4" ht="14.25" customHeight="1">
      <c r="A211" s="79"/>
      <c r="B211" s="48"/>
      <c r="C211" s="49"/>
      <c r="D211" s="49"/>
    </row>
    <row r="212" spans="1:4" ht="14.25" customHeight="1">
      <c r="A212" s="79"/>
      <c r="B212" s="48"/>
      <c r="C212" s="49"/>
      <c r="D212" s="49"/>
    </row>
    <row r="213" spans="1:4" ht="14.25" customHeight="1">
      <c r="A213" s="79"/>
      <c r="B213" s="48"/>
      <c r="C213" s="49"/>
      <c r="D213" s="49"/>
    </row>
    <row r="214" spans="1:4" ht="14.25" customHeight="1">
      <c r="A214" s="79"/>
      <c r="B214" s="48"/>
      <c r="C214" s="49"/>
      <c r="D214" s="49"/>
    </row>
    <row r="215" spans="1:4" ht="14.25" customHeight="1">
      <c r="A215" s="79"/>
      <c r="B215" s="48"/>
      <c r="C215" s="49"/>
      <c r="D215" s="49"/>
    </row>
    <row r="216" spans="1:4" ht="14.25" customHeight="1">
      <c r="A216" s="79"/>
      <c r="B216" s="48"/>
      <c r="C216" s="49"/>
      <c r="D216" s="49"/>
    </row>
    <row r="217" spans="1:4" ht="14.25" customHeight="1">
      <c r="A217" s="79"/>
      <c r="B217" s="48"/>
      <c r="C217" s="49"/>
      <c r="D217" s="49"/>
    </row>
    <row r="218" spans="1:4" ht="14.25" customHeight="1">
      <c r="A218" s="79"/>
      <c r="B218" s="48"/>
      <c r="C218" s="49"/>
      <c r="D218" s="49"/>
    </row>
    <row r="219" spans="1:4" ht="14.25" customHeight="1">
      <c r="A219" s="79"/>
      <c r="B219" s="48"/>
      <c r="C219" s="49"/>
      <c r="D219" s="49"/>
    </row>
    <row r="220" spans="1:4" ht="14.25" customHeight="1">
      <c r="A220" s="79"/>
      <c r="B220" s="48"/>
      <c r="C220" s="49"/>
      <c r="D220" s="49"/>
    </row>
    <row r="221" spans="1:4" ht="14.25" customHeight="1">
      <c r="A221" s="79"/>
      <c r="B221" s="48"/>
      <c r="C221" s="49"/>
      <c r="D221" s="49"/>
    </row>
    <row r="222" spans="1:4" ht="14.25" customHeight="1">
      <c r="A222" s="79"/>
      <c r="B222" s="48"/>
      <c r="C222" s="49"/>
      <c r="D222" s="49"/>
    </row>
    <row r="223" spans="1:4" ht="14.25" customHeight="1">
      <c r="A223" s="79"/>
      <c r="B223" s="48"/>
      <c r="C223" s="49"/>
      <c r="D223" s="49"/>
    </row>
    <row r="224" spans="1:4" ht="14.25" customHeight="1">
      <c r="A224" s="79"/>
      <c r="B224" s="48"/>
      <c r="C224" s="49"/>
      <c r="D224" s="49"/>
    </row>
    <row r="225" spans="1:4" ht="14.25" customHeight="1">
      <c r="A225" s="79"/>
      <c r="B225" s="48"/>
      <c r="C225" s="49"/>
      <c r="D225" s="49"/>
    </row>
    <row r="226" spans="1:4" ht="14.25" customHeight="1">
      <c r="A226" s="79"/>
      <c r="B226" s="48"/>
      <c r="C226" s="49"/>
      <c r="D226" s="49"/>
    </row>
    <row r="227" spans="1:4" ht="14.25" customHeight="1">
      <c r="A227" s="79"/>
      <c r="B227" s="48"/>
      <c r="C227" s="49"/>
      <c r="D227" s="49"/>
    </row>
    <row r="228" spans="1:4" ht="14.25" customHeight="1">
      <c r="A228" s="79"/>
      <c r="B228" s="48"/>
      <c r="C228" s="49"/>
      <c r="D228" s="49"/>
    </row>
    <row r="229" spans="1:4" ht="14.25" customHeight="1">
      <c r="A229" s="79"/>
      <c r="B229" s="48"/>
      <c r="C229" s="49"/>
      <c r="D229" s="49"/>
    </row>
    <row r="230" spans="1:4" ht="14.25" customHeight="1">
      <c r="A230" s="79"/>
      <c r="B230" s="48"/>
      <c r="C230" s="49"/>
      <c r="D230" s="49"/>
    </row>
    <row r="231" spans="1:4" ht="14.25" customHeight="1">
      <c r="A231" s="79"/>
      <c r="B231" s="48"/>
      <c r="C231" s="49"/>
      <c r="D231" s="49"/>
    </row>
    <row r="232" spans="1:4" ht="14.25" customHeight="1">
      <c r="A232" s="79"/>
      <c r="B232" s="48"/>
      <c r="C232" s="49"/>
      <c r="D232" s="49"/>
    </row>
    <row r="233" spans="1:4" ht="14.25" customHeight="1">
      <c r="A233" s="79"/>
      <c r="B233" s="48"/>
      <c r="C233" s="49"/>
      <c r="D233" s="49"/>
    </row>
    <row r="234" spans="1:4" ht="14.25" customHeight="1">
      <c r="A234" s="79"/>
      <c r="B234" s="48"/>
      <c r="C234" s="49"/>
      <c r="D234" s="49"/>
    </row>
    <row r="235" spans="1:4" ht="14.25" customHeight="1">
      <c r="A235" s="79"/>
      <c r="B235" s="48"/>
      <c r="C235" s="49"/>
      <c r="D235" s="49"/>
    </row>
    <row r="236" spans="1:4" ht="14.25" customHeight="1">
      <c r="A236" s="79"/>
      <c r="B236" s="48"/>
      <c r="C236" s="49"/>
      <c r="D236" s="49"/>
    </row>
    <row r="237" spans="1:4" ht="14.25" customHeight="1">
      <c r="A237" s="79"/>
      <c r="B237" s="48"/>
      <c r="C237" s="49"/>
      <c r="D237" s="49"/>
    </row>
    <row r="238" spans="1:4" ht="14.25" customHeight="1">
      <c r="A238" s="79"/>
      <c r="B238" s="48"/>
      <c r="C238" s="49"/>
      <c r="D238" s="49"/>
    </row>
    <row r="239" spans="1:4" ht="14.25" customHeight="1">
      <c r="A239" s="79"/>
      <c r="B239" s="48"/>
      <c r="C239" s="49"/>
      <c r="D239" s="49"/>
    </row>
    <row r="240" spans="1:4" ht="14.25" customHeight="1">
      <c r="A240" s="79"/>
      <c r="B240" s="48"/>
      <c r="C240" s="49"/>
      <c r="D240" s="49"/>
    </row>
    <row r="241" spans="1:4" ht="14.25" customHeight="1">
      <c r="A241" s="79"/>
      <c r="B241" s="48"/>
      <c r="C241" s="49"/>
      <c r="D241" s="49"/>
    </row>
    <row r="242" spans="1:4" ht="14.25" customHeight="1">
      <c r="A242" s="79"/>
      <c r="B242" s="48"/>
      <c r="C242" s="49"/>
      <c r="D242" s="49"/>
    </row>
    <row r="243" spans="1:4" ht="14.25" customHeight="1">
      <c r="A243" s="79"/>
      <c r="B243" s="48"/>
      <c r="C243" s="49"/>
      <c r="D243" s="49"/>
    </row>
    <row r="244" spans="1:4" ht="14.25" customHeight="1">
      <c r="A244" s="79"/>
      <c r="B244" s="48"/>
      <c r="C244" s="49"/>
      <c r="D244" s="49"/>
    </row>
    <row r="245" spans="1:4" ht="14.25" customHeight="1">
      <c r="A245" s="79"/>
      <c r="B245" s="48"/>
      <c r="C245" s="49"/>
      <c r="D245" s="49"/>
    </row>
    <row r="246" spans="1:4" ht="14.25" customHeight="1">
      <c r="A246" s="79"/>
      <c r="B246" s="48"/>
      <c r="C246" s="49"/>
      <c r="D246" s="49"/>
    </row>
    <row r="247" spans="1:4" ht="14.25" customHeight="1">
      <c r="A247" s="79"/>
      <c r="B247" s="48"/>
      <c r="C247" s="49"/>
      <c r="D247" s="49"/>
    </row>
    <row r="248" spans="1:4" ht="14.25" customHeight="1">
      <c r="A248" s="79"/>
      <c r="B248" s="48"/>
      <c r="C248" s="49"/>
      <c r="D248" s="49"/>
    </row>
    <row r="249" spans="1:4" ht="14.25" customHeight="1">
      <c r="A249" s="79"/>
      <c r="B249" s="48"/>
      <c r="C249" s="49"/>
      <c r="D249" s="49"/>
    </row>
    <row r="250" spans="1:4" ht="14.25" customHeight="1">
      <c r="A250" s="79"/>
      <c r="B250" s="48"/>
      <c r="C250" s="49"/>
      <c r="D250" s="49"/>
    </row>
    <row r="251" spans="1:4" ht="14.25" customHeight="1">
      <c r="A251" s="79"/>
      <c r="B251" s="48"/>
      <c r="C251" s="49"/>
      <c r="D251" s="49"/>
    </row>
    <row r="252" spans="1:4" ht="14.25" customHeight="1">
      <c r="A252" s="79"/>
      <c r="B252" s="48"/>
      <c r="C252" s="49"/>
      <c r="D252" s="49"/>
    </row>
    <row r="253" spans="1:4" ht="14.25" customHeight="1">
      <c r="A253" s="79"/>
      <c r="B253" s="48"/>
      <c r="C253" s="49"/>
      <c r="D253" s="49"/>
    </row>
    <row r="254" spans="1:4" ht="14.25" customHeight="1">
      <c r="A254" s="79"/>
      <c r="B254" s="48"/>
      <c r="C254" s="49"/>
      <c r="D254" s="49"/>
    </row>
    <row r="255" spans="1:4" ht="14.25" customHeight="1">
      <c r="A255" s="79"/>
      <c r="B255" s="48"/>
      <c r="C255" s="49"/>
      <c r="D255" s="49"/>
    </row>
    <row r="256" spans="1:4" ht="14.25" customHeight="1">
      <c r="A256" s="79"/>
      <c r="B256" s="48"/>
      <c r="C256" s="49"/>
      <c r="D256" s="49"/>
    </row>
    <row r="257" spans="1:4" ht="14.25" customHeight="1">
      <c r="A257" s="79"/>
      <c r="B257" s="48"/>
      <c r="C257" s="49"/>
      <c r="D257" s="49"/>
    </row>
    <row r="258" spans="1:4" ht="14.25" customHeight="1">
      <c r="A258" s="79"/>
      <c r="B258" s="48"/>
      <c r="C258" s="49"/>
      <c r="D258" s="49"/>
    </row>
    <row r="259" spans="1:4" ht="14.25" customHeight="1">
      <c r="A259" s="79"/>
      <c r="B259" s="48"/>
      <c r="C259" s="49"/>
      <c r="D259" s="49"/>
    </row>
    <row r="260" spans="1:4" ht="14.25" customHeight="1">
      <c r="A260" s="79"/>
      <c r="B260" s="48"/>
      <c r="C260" s="49"/>
      <c r="D260" s="49"/>
    </row>
    <row r="261" spans="1:4" ht="14.25" customHeight="1">
      <c r="A261" s="79"/>
      <c r="B261" s="48"/>
      <c r="C261" s="49"/>
      <c r="D261" s="49"/>
    </row>
    <row r="262" spans="1:4" ht="14.25" customHeight="1">
      <c r="A262" s="79"/>
      <c r="B262" s="48"/>
      <c r="C262" s="49"/>
      <c r="D262" s="49"/>
    </row>
    <row r="263" spans="1:4" ht="14.25" customHeight="1">
      <c r="A263" s="79"/>
      <c r="B263" s="48"/>
      <c r="C263" s="49"/>
      <c r="D263" s="49"/>
    </row>
    <row r="264" spans="1:4" ht="14.25" customHeight="1">
      <c r="A264" s="79"/>
      <c r="B264" s="48"/>
      <c r="C264" s="49"/>
      <c r="D264" s="49"/>
    </row>
    <row r="265" spans="1:4" ht="14.25" customHeight="1">
      <c r="A265" s="79"/>
      <c r="B265" s="48"/>
      <c r="C265" s="49"/>
      <c r="D265" s="49"/>
    </row>
    <row r="266" spans="1:4" ht="14.25" customHeight="1">
      <c r="A266" s="79"/>
      <c r="B266" s="48"/>
      <c r="C266" s="49"/>
      <c r="D266" s="49"/>
    </row>
    <row r="267" spans="1:4" ht="14.25" customHeight="1">
      <c r="A267" s="79"/>
      <c r="B267" s="48"/>
      <c r="C267" s="49"/>
      <c r="D267" s="49"/>
    </row>
    <row r="268" spans="1:4" ht="14.25" customHeight="1">
      <c r="A268" s="79"/>
      <c r="B268" s="48"/>
      <c r="C268" s="49"/>
      <c r="D268" s="49"/>
    </row>
    <row r="269" spans="1:4" ht="14.25" customHeight="1">
      <c r="A269" s="79"/>
      <c r="B269" s="48"/>
      <c r="C269" s="49"/>
      <c r="D269" s="49"/>
    </row>
    <row r="270" spans="1:4" ht="14.25" customHeight="1">
      <c r="A270" s="79"/>
      <c r="B270" s="48"/>
      <c r="C270" s="49"/>
      <c r="D270" s="49"/>
    </row>
    <row r="271" spans="1:4" ht="14.25" customHeight="1">
      <c r="A271" s="79"/>
      <c r="B271" s="48"/>
      <c r="C271" s="49"/>
      <c r="D271" s="49"/>
    </row>
    <row r="272" spans="1:4" ht="14.25" customHeight="1">
      <c r="A272" s="79"/>
      <c r="B272" s="48"/>
      <c r="C272" s="49"/>
      <c r="D272" s="49"/>
    </row>
    <row r="273" spans="1:4" ht="14.25" customHeight="1">
      <c r="A273" s="79"/>
      <c r="B273" s="48"/>
      <c r="C273" s="49"/>
      <c r="D273" s="49"/>
    </row>
    <row r="274" spans="1:4" ht="14.25" customHeight="1">
      <c r="A274" s="79"/>
      <c r="B274" s="48"/>
      <c r="C274" s="49"/>
      <c r="D274" s="49"/>
    </row>
    <row r="275" spans="1:4" ht="14.25" customHeight="1">
      <c r="A275" s="79"/>
      <c r="B275" s="48"/>
      <c r="C275" s="49"/>
      <c r="D275" s="49"/>
    </row>
    <row r="276" spans="1:4" ht="14.25" customHeight="1">
      <c r="A276" s="79"/>
      <c r="B276" s="48"/>
      <c r="C276" s="49"/>
      <c r="D276" s="49"/>
    </row>
    <row r="277" spans="1:4" ht="14.25" customHeight="1">
      <c r="A277" s="79"/>
      <c r="B277" s="48"/>
      <c r="C277" s="49"/>
      <c r="D277" s="49"/>
    </row>
    <row r="278" spans="1:4" ht="14.25" customHeight="1">
      <c r="A278" s="79"/>
      <c r="B278" s="48"/>
      <c r="C278" s="49"/>
      <c r="D278" s="49"/>
    </row>
    <row r="279" spans="1:4" ht="14.25" customHeight="1">
      <c r="A279" s="79"/>
      <c r="B279" s="48"/>
      <c r="C279" s="49"/>
      <c r="D279" s="49"/>
    </row>
    <row r="280" spans="1:4" ht="14.25" customHeight="1">
      <c r="A280" s="79"/>
      <c r="B280" s="48"/>
      <c r="C280" s="49"/>
      <c r="D280" s="49"/>
    </row>
    <row r="281" spans="1:4" ht="14.25" customHeight="1">
      <c r="A281" s="79"/>
      <c r="B281" s="48"/>
      <c r="C281" s="49"/>
      <c r="D281" s="49"/>
    </row>
    <row r="282" spans="1:4" ht="14.25" customHeight="1">
      <c r="A282" s="79"/>
      <c r="B282" s="48"/>
      <c r="C282" s="49"/>
      <c r="D282" s="49"/>
    </row>
    <row r="283" spans="1:4" ht="14.25" customHeight="1">
      <c r="A283" s="79"/>
      <c r="B283" s="48"/>
      <c r="C283" s="49"/>
      <c r="D283" s="49"/>
    </row>
    <row r="284" spans="1:4" ht="14.25" customHeight="1">
      <c r="A284" s="79"/>
      <c r="B284" s="48"/>
      <c r="C284" s="49"/>
      <c r="D284" s="49"/>
    </row>
    <row r="285" spans="1:4" ht="14.25" customHeight="1">
      <c r="A285" s="79"/>
      <c r="B285" s="48"/>
      <c r="C285" s="49"/>
      <c r="D285" s="49"/>
    </row>
    <row r="286" spans="1:4" ht="14.25" customHeight="1">
      <c r="A286" s="79"/>
      <c r="B286" s="48"/>
      <c r="C286" s="49"/>
      <c r="D286" s="49"/>
    </row>
    <row r="287" spans="1:4" ht="14.25" customHeight="1">
      <c r="A287" s="79"/>
      <c r="B287" s="48"/>
      <c r="C287" s="49"/>
      <c r="D287" s="49"/>
    </row>
    <row r="288" spans="1:4" ht="14.25" customHeight="1">
      <c r="A288" s="79"/>
      <c r="B288" s="48"/>
      <c r="C288" s="49"/>
      <c r="D288" s="49"/>
    </row>
    <row r="289" spans="1:4" ht="14.25" customHeight="1">
      <c r="A289" s="79"/>
      <c r="B289" s="48"/>
      <c r="C289" s="49"/>
      <c r="D289" s="49"/>
    </row>
    <row r="290" spans="1:4" ht="14.25" customHeight="1">
      <c r="A290" s="79"/>
      <c r="B290" s="48"/>
      <c r="C290" s="49"/>
      <c r="D290" s="49"/>
    </row>
    <row r="291" spans="1:4" ht="14.25" customHeight="1">
      <c r="A291" s="79"/>
      <c r="B291" s="48"/>
      <c r="C291" s="49"/>
      <c r="D291" s="49"/>
    </row>
    <row r="292" spans="1:4" ht="14.25" customHeight="1">
      <c r="A292" s="79"/>
      <c r="B292" s="48"/>
      <c r="C292" s="49"/>
      <c r="D292" s="49"/>
    </row>
    <row r="293" spans="1:4" ht="14.25" customHeight="1">
      <c r="A293" s="79"/>
      <c r="B293" s="48"/>
      <c r="C293" s="49"/>
      <c r="D293" s="49"/>
    </row>
    <row r="294" spans="1:4" ht="14.25" customHeight="1">
      <c r="A294" s="79"/>
      <c r="B294" s="48"/>
      <c r="C294" s="49"/>
      <c r="D294" s="49"/>
    </row>
    <row r="295" spans="1:4" ht="14.25" customHeight="1">
      <c r="A295" s="79"/>
      <c r="B295" s="48"/>
      <c r="C295" s="49"/>
      <c r="D295" s="49"/>
    </row>
    <row r="296" spans="1:4" ht="14.25" customHeight="1">
      <c r="A296" s="79"/>
      <c r="B296" s="48"/>
      <c r="C296" s="49"/>
      <c r="D296" s="49"/>
    </row>
    <row r="297" spans="1:4" ht="14.25" customHeight="1">
      <c r="A297" s="79"/>
      <c r="B297" s="48"/>
      <c r="C297" s="49"/>
      <c r="D297" s="49"/>
    </row>
    <row r="298" spans="1:4" ht="14.25" customHeight="1">
      <c r="A298" s="79"/>
      <c r="B298" s="48"/>
      <c r="C298" s="49"/>
      <c r="D298" s="49"/>
    </row>
    <row r="299" spans="1:4" ht="14.25" customHeight="1">
      <c r="A299" s="79"/>
      <c r="B299" s="48"/>
      <c r="C299" s="49"/>
      <c r="D299" s="49"/>
    </row>
    <row r="300" spans="1:4" ht="14.25" customHeight="1">
      <c r="A300" s="79"/>
      <c r="B300" s="48"/>
      <c r="C300" s="49"/>
      <c r="D300" s="49"/>
    </row>
    <row r="301" spans="1:4" ht="14.25" customHeight="1">
      <c r="A301" s="79"/>
      <c r="B301" s="48"/>
      <c r="C301" s="49"/>
      <c r="D301" s="49"/>
    </row>
    <row r="302" spans="1:4" ht="14.25" customHeight="1">
      <c r="A302" s="79"/>
      <c r="B302" s="48"/>
      <c r="C302" s="49"/>
      <c r="D302" s="49"/>
    </row>
    <row r="303" spans="1:4" ht="14.25" customHeight="1">
      <c r="A303" s="79"/>
      <c r="B303" s="48"/>
      <c r="C303" s="49"/>
      <c r="D303" s="49"/>
    </row>
    <row r="304" spans="1:4" ht="14.25" customHeight="1">
      <c r="A304" s="79"/>
      <c r="B304" s="48"/>
      <c r="C304" s="49"/>
      <c r="D304" s="49"/>
    </row>
    <row r="305" spans="1:4" ht="14.25" customHeight="1">
      <c r="A305" s="79"/>
      <c r="B305" s="48"/>
      <c r="C305" s="49"/>
      <c r="D305" s="49"/>
    </row>
    <row r="306" spans="1:4" ht="14.25" customHeight="1">
      <c r="A306" s="79"/>
      <c r="B306" s="48"/>
      <c r="C306" s="49"/>
      <c r="D306" s="49"/>
    </row>
    <row r="307" spans="1:4" ht="14.25" customHeight="1">
      <c r="A307" s="79"/>
      <c r="B307" s="48"/>
      <c r="C307" s="49"/>
      <c r="D307" s="49"/>
    </row>
    <row r="308" spans="1:4" ht="14.25" customHeight="1">
      <c r="A308" s="79"/>
      <c r="B308" s="48"/>
      <c r="C308" s="49"/>
      <c r="D308" s="49"/>
    </row>
    <row r="309" spans="1:4" ht="14.25" customHeight="1">
      <c r="A309" s="79"/>
      <c r="B309" s="48"/>
      <c r="C309" s="49"/>
      <c r="D309" s="49"/>
    </row>
    <row r="310" spans="1:4" ht="14.25" customHeight="1">
      <c r="A310" s="79"/>
      <c r="B310" s="48"/>
      <c r="C310" s="49"/>
      <c r="D310" s="49"/>
    </row>
    <row r="311" spans="1:4" ht="14.25" customHeight="1">
      <c r="A311" s="79"/>
      <c r="B311" s="48"/>
      <c r="C311" s="49"/>
      <c r="D311" s="49"/>
    </row>
    <row r="312" spans="1:4" ht="14.25" customHeight="1">
      <c r="A312" s="79"/>
      <c r="B312" s="48"/>
      <c r="C312" s="49"/>
      <c r="D312" s="49"/>
    </row>
    <row r="313" spans="1:4" ht="14.25" customHeight="1">
      <c r="A313" s="79"/>
      <c r="B313" s="48"/>
      <c r="C313" s="49"/>
      <c r="D313" s="49"/>
    </row>
    <row r="314" spans="1:4" ht="14.25" customHeight="1">
      <c r="A314" s="79"/>
      <c r="B314" s="48"/>
      <c r="C314" s="49"/>
      <c r="D314" s="49"/>
    </row>
    <row r="315" spans="1:4" ht="14.25" customHeight="1">
      <c r="A315" s="79"/>
      <c r="B315" s="48"/>
      <c r="C315" s="49"/>
      <c r="D315" s="49"/>
    </row>
    <row r="316" spans="1:4" ht="14.25" customHeight="1">
      <c r="A316" s="79"/>
      <c r="B316" s="48"/>
      <c r="C316" s="49"/>
      <c r="D316" s="49"/>
    </row>
    <row r="317" spans="1:4" ht="14.25" customHeight="1">
      <c r="A317" s="79"/>
      <c r="B317" s="48"/>
      <c r="C317" s="49"/>
      <c r="D317" s="49"/>
    </row>
    <row r="318" spans="1:4" ht="14.25" customHeight="1">
      <c r="A318" s="79"/>
      <c r="B318" s="48"/>
      <c r="C318" s="49"/>
      <c r="D318" s="49"/>
    </row>
    <row r="319" spans="1:4" ht="14.25" customHeight="1">
      <c r="A319" s="79"/>
      <c r="B319" s="48"/>
      <c r="C319" s="49"/>
      <c r="D319" s="49"/>
    </row>
    <row r="320" spans="1:4" ht="14.25" customHeight="1">
      <c r="A320" s="79"/>
      <c r="B320" s="48"/>
      <c r="C320" s="49"/>
      <c r="D320" s="49"/>
    </row>
    <row r="321" spans="1:4" ht="14.25" customHeight="1">
      <c r="A321" s="79"/>
      <c r="B321" s="48"/>
      <c r="C321" s="49"/>
      <c r="D321" s="49"/>
    </row>
    <row r="322" spans="1:4" ht="14.25" customHeight="1">
      <c r="A322" s="79"/>
      <c r="B322" s="48"/>
      <c r="C322" s="49"/>
      <c r="D322" s="49"/>
    </row>
    <row r="323" spans="1:4" ht="14.25" customHeight="1">
      <c r="A323" s="79"/>
      <c r="B323" s="48"/>
      <c r="C323" s="49"/>
      <c r="D323" s="49"/>
    </row>
    <row r="324" spans="1:4" ht="14.25" customHeight="1">
      <c r="A324" s="79"/>
      <c r="B324" s="48"/>
      <c r="C324" s="49"/>
      <c r="D324" s="49"/>
    </row>
    <row r="325" spans="1:4" ht="14.25" customHeight="1">
      <c r="A325" s="79"/>
      <c r="B325" s="48"/>
      <c r="C325" s="49"/>
      <c r="D325" s="49"/>
    </row>
    <row r="326" spans="1:4" ht="14.25" customHeight="1">
      <c r="A326" s="79"/>
      <c r="B326" s="48"/>
      <c r="C326" s="49"/>
      <c r="D326" s="49"/>
    </row>
    <row r="327" spans="1:4" ht="14.25" customHeight="1">
      <c r="A327" s="79"/>
      <c r="B327" s="48"/>
      <c r="C327" s="49"/>
      <c r="D327" s="49"/>
    </row>
    <row r="328" spans="1:4" ht="14.25" customHeight="1">
      <c r="A328" s="79"/>
      <c r="B328" s="48"/>
      <c r="C328" s="49"/>
      <c r="D328" s="49"/>
    </row>
    <row r="329" spans="1:4" ht="14.25" customHeight="1">
      <c r="A329" s="79"/>
      <c r="B329" s="48"/>
      <c r="C329" s="49"/>
      <c r="D329" s="49"/>
    </row>
    <row r="330" spans="1:4" ht="14.25" customHeight="1">
      <c r="A330" s="79"/>
      <c r="B330" s="48"/>
      <c r="C330" s="49"/>
      <c r="D330" s="49"/>
    </row>
    <row r="331" spans="1:4" ht="14.25" customHeight="1">
      <c r="A331" s="79"/>
      <c r="B331" s="48"/>
      <c r="C331" s="49"/>
      <c r="D331" s="49"/>
    </row>
    <row r="332" spans="1:4" ht="14.25" customHeight="1">
      <c r="A332" s="79"/>
      <c r="B332" s="48"/>
      <c r="C332" s="49"/>
      <c r="D332" s="49"/>
    </row>
    <row r="333" spans="1:4" ht="14.25" customHeight="1">
      <c r="A333" s="79"/>
      <c r="B333" s="48"/>
      <c r="C333" s="49"/>
      <c r="D333" s="49"/>
    </row>
    <row r="334" spans="1:4" ht="14.25" customHeight="1">
      <c r="A334" s="79"/>
      <c r="B334" s="48"/>
      <c r="C334" s="49"/>
      <c r="D334" s="49"/>
    </row>
    <row r="335" spans="1:4" ht="14.25" customHeight="1">
      <c r="A335" s="79"/>
      <c r="B335" s="48"/>
      <c r="C335" s="49"/>
      <c r="D335" s="49"/>
    </row>
    <row r="336" spans="1:4" ht="14.25" customHeight="1">
      <c r="A336" s="79"/>
      <c r="B336" s="48"/>
      <c r="C336" s="49"/>
      <c r="D336" s="49"/>
    </row>
    <row r="337" spans="1:4" ht="14.25" customHeight="1">
      <c r="A337" s="79"/>
      <c r="B337" s="48"/>
      <c r="C337" s="49"/>
      <c r="D337" s="49"/>
    </row>
    <row r="338" spans="1:4" ht="14.25" customHeight="1">
      <c r="A338" s="79"/>
      <c r="B338" s="48"/>
      <c r="C338" s="49"/>
      <c r="D338" s="49"/>
    </row>
    <row r="339" spans="1:4" ht="14.25" customHeight="1">
      <c r="A339" s="79"/>
      <c r="B339" s="48"/>
      <c r="C339" s="49"/>
      <c r="D339" s="49"/>
    </row>
    <row r="340" spans="1:4" ht="14.25" customHeight="1">
      <c r="A340" s="79"/>
      <c r="B340" s="48"/>
      <c r="C340" s="49"/>
      <c r="D340" s="49"/>
    </row>
    <row r="341" spans="1:4" ht="14.25" customHeight="1">
      <c r="A341" s="79"/>
      <c r="B341" s="48"/>
      <c r="C341" s="49"/>
      <c r="D341" s="49"/>
    </row>
    <row r="342" spans="1:4" ht="14.25" customHeight="1">
      <c r="A342" s="79"/>
      <c r="B342" s="48"/>
      <c r="C342" s="49"/>
      <c r="D342" s="49"/>
    </row>
    <row r="343" spans="1:4" ht="14.25" customHeight="1">
      <c r="A343" s="79"/>
      <c r="B343" s="48"/>
      <c r="C343" s="49"/>
      <c r="D343" s="49"/>
    </row>
    <row r="344" spans="1:4" ht="14.25" customHeight="1">
      <c r="A344" s="79"/>
      <c r="B344" s="48"/>
      <c r="C344" s="49"/>
      <c r="D344" s="49"/>
    </row>
    <row r="345" spans="1:4" ht="14.25" customHeight="1">
      <c r="A345" s="79"/>
      <c r="B345" s="48"/>
      <c r="C345" s="49"/>
      <c r="D345" s="49"/>
    </row>
    <row r="346" spans="1:4" ht="14.25" customHeight="1">
      <c r="A346" s="79"/>
      <c r="B346" s="48"/>
      <c r="C346" s="49"/>
      <c r="D346" s="49"/>
    </row>
    <row r="347" spans="1:4" ht="14.25" customHeight="1">
      <c r="A347" s="79"/>
      <c r="B347" s="48"/>
      <c r="C347" s="49"/>
      <c r="D347" s="49"/>
    </row>
    <row r="348" spans="1:4" ht="14.25" customHeight="1">
      <c r="A348" s="79"/>
      <c r="B348" s="48"/>
      <c r="C348" s="49"/>
      <c r="D348" s="49"/>
    </row>
    <row r="349" spans="1:4" ht="14.25" customHeight="1">
      <c r="A349" s="79"/>
      <c r="B349" s="48"/>
      <c r="C349" s="49"/>
      <c r="D349" s="49"/>
    </row>
    <row r="350" spans="1:4" ht="14.25" customHeight="1">
      <c r="A350" s="79"/>
      <c r="B350" s="48"/>
      <c r="C350" s="49"/>
      <c r="D350" s="49"/>
    </row>
    <row r="351" spans="1:4" ht="14.25" customHeight="1">
      <c r="A351" s="79"/>
      <c r="B351" s="48"/>
      <c r="C351" s="49"/>
      <c r="D351" s="49"/>
    </row>
    <row r="352" spans="1:4" ht="14.25" customHeight="1">
      <c r="A352" s="79"/>
      <c r="B352" s="48"/>
      <c r="C352" s="49"/>
      <c r="D352" s="49"/>
    </row>
    <row r="353" spans="1:4" ht="14.25" customHeight="1">
      <c r="A353" s="79"/>
      <c r="B353" s="48"/>
      <c r="C353" s="49"/>
      <c r="D353" s="49"/>
    </row>
    <row r="354" spans="1:4" ht="14.25" customHeight="1">
      <c r="A354" s="79"/>
      <c r="B354" s="48"/>
      <c r="C354" s="49"/>
      <c r="D354" s="49"/>
    </row>
    <row r="355" spans="1:4" ht="14.25" customHeight="1">
      <c r="A355" s="79"/>
      <c r="B355" s="48"/>
      <c r="C355" s="49"/>
      <c r="D355" s="49"/>
    </row>
    <row r="356" spans="1:4" ht="14.25" customHeight="1">
      <c r="A356" s="79"/>
      <c r="B356" s="48"/>
      <c r="C356" s="49"/>
      <c r="D356" s="49"/>
    </row>
    <row r="357" spans="1:4" ht="14.25" customHeight="1">
      <c r="A357" s="79"/>
      <c r="B357" s="48"/>
      <c r="C357" s="49"/>
      <c r="D357" s="49"/>
    </row>
    <row r="358" spans="1:4" ht="14.25" customHeight="1">
      <c r="A358" s="79"/>
      <c r="B358" s="48"/>
      <c r="C358" s="49"/>
      <c r="D358" s="49"/>
    </row>
    <row r="359" spans="1:4" ht="14.25" customHeight="1">
      <c r="A359" s="79"/>
      <c r="B359" s="48"/>
      <c r="C359" s="49"/>
      <c r="D359" s="49"/>
    </row>
    <row r="360" spans="1:4" ht="14.25" customHeight="1">
      <c r="A360" s="79"/>
      <c r="B360" s="48"/>
      <c r="C360" s="49"/>
      <c r="D360" s="49"/>
    </row>
    <row r="361" spans="1:4" ht="14.25" customHeight="1">
      <c r="A361" s="79"/>
      <c r="B361" s="48"/>
      <c r="C361" s="49"/>
      <c r="D361" s="49"/>
    </row>
    <row r="362" spans="1:4" ht="14.25" customHeight="1">
      <c r="A362" s="79"/>
      <c r="B362" s="48"/>
      <c r="C362" s="49"/>
      <c r="D362" s="49"/>
    </row>
    <row r="363" spans="1:4" ht="14.25" customHeight="1">
      <c r="A363" s="79"/>
      <c r="B363" s="48"/>
      <c r="C363" s="49"/>
      <c r="D363" s="49"/>
    </row>
    <row r="364" spans="1:4" ht="14.25" customHeight="1">
      <c r="A364" s="79"/>
      <c r="B364" s="48"/>
      <c r="C364" s="49"/>
      <c r="D364" s="49"/>
    </row>
    <row r="365" spans="1:4" ht="14.25" customHeight="1">
      <c r="A365" s="79"/>
      <c r="B365" s="48"/>
      <c r="C365" s="49"/>
      <c r="D365" s="49"/>
    </row>
    <row r="366" spans="1:4" ht="14.25" customHeight="1">
      <c r="A366" s="79"/>
      <c r="B366" s="48"/>
      <c r="C366" s="49"/>
      <c r="D366" s="49"/>
    </row>
    <row r="367" spans="1:4" ht="14.25" customHeight="1">
      <c r="A367" s="79"/>
      <c r="B367" s="48"/>
      <c r="C367" s="49"/>
      <c r="D367" s="49"/>
    </row>
    <row r="368" spans="1:4" ht="14.25" customHeight="1">
      <c r="A368" s="79"/>
      <c r="B368" s="48"/>
      <c r="C368" s="49"/>
      <c r="D368" s="49"/>
    </row>
    <row r="369" spans="1:4" ht="14.25" customHeight="1">
      <c r="A369" s="79"/>
      <c r="B369" s="48"/>
      <c r="C369" s="49"/>
      <c r="D369" s="49"/>
    </row>
    <row r="370" spans="1:4" ht="14.25" customHeight="1">
      <c r="A370" s="79"/>
      <c r="B370" s="48"/>
      <c r="C370" s="49"/>
      <c r="D370" s="49"/>
    </row>
    <row r="371" spans="1:4" ht="14.25" customHeight="1">
      <c r="A371" s="79"/>
      <c r="B371" s="48"/>
      <c r="C371" s="49"/>
      <c r="D371" s="49"/>
    </row>
    <row r="372" spans="1:4" ht="14.25" customHeight="1">
      <c r="A372" s="79"/>
      <c r="B372" s="48"/>
      <c r="C372" s="49"/>
      <c r="D372" s="49"/>
    </row>
    <row r="373" spans="1:4" ht="14.25" customHeight="1">
      <c r="A373" s="79"/>
      <c r="B373" s="48"/>
      <c r="C373" s="49"/>
      <c r="D373" s="49"/>
    </row>
    <row r="374" spans="1:4" ht="14.25" customHeight="1">
      <c r="A374" s="79"/>
      <c r="B374" s="48"/>
      <c r="C374" s="49"/>
      <c r="D374" s="49"/>
    </row>
    <row r="375" spans="1:4" ht="14.25" customHeight="1">
      <c r="A375" s="79"/>
      <c r="B375" s="48"/>
      <c r="C375" s="49"/>
      <c r="D375" s="49"/>
    </row>
    <row r="376" spans="1:4" ht="14.25" customHeight="1">
      <c r="A376" s="79"/>
      <c r="B376" s="48"/>
      <c r="C376" s="49"/>
      <c r="D376" s="49"/>
    </row>
    <row r="377" spans="1:4" ht="14.25" customHeight="1">
      <c r="A377" s="79"/>
      <c r="B377" s="48"/>
      <c r="C377" s="49"/>
      <c r="D377" s="49"/>
    </row>
    <row r="378" spans="1:4" ht="14.25" customHeight="1">
      <c r="A378" s="79"/>
      <c r="B378" s="48"/>
      <c r="C378" s="49"/>
      <c r="D378" s="49"/>
    </row>
    <row r="379" spans="1:4" ht="14.25" customHeight="1">
      <c r="A379" s="79"/>
      <c r="B379" s="48"/>
      <c r="C379" s="49"/>
      <c r="D379" s="49"/>
    </row>
    <row r="380" spans="1:4" ht="14.25" customHeight="1">
      <c r="A380" s="79"/>
      <c r="B380" s="48"/>
      <c r="C380" s="49"/>
      <c r="D380" s="49"/>
    </row>
    <row r="381" spans="1:4" ht="14.25" customHeight="1">
      <c r="A381" s="79"/>
      <c r="B381" s="48"/>
      <c r="C381" s="49"/>
      <c r="D381" s="49"/>
    </row>
    <row r="382" spans="1:4" ht="14.25" customHeight="1">
      <c r="A382" s="79"/>
      <c r="B382" s="48"/>
      <c r="C382" s="49"/>
      <c r="D382" s="49"/>
    </row>
    <row r="383" spans="1:4" ht="14.25" customHeight="1">
      <c r="A383" s="79"/>
      <c r="B383" s="48"/>
      <c r="C383" s="49"/>
      <c r="D383" s="49"/>
    </row>
    <row r="384" spans="1:4" ht="14.25" customHeight="1">
      <c r="A384" s="79"/>
      <c r="B384" s="48"/>
      <c r="C384" s="49"/>
      <c r="D384" s="49"/>
    </row>
    <row r="385" spans="1:4" ht="14.25" customHeight="1">
      <c r="A385" s="79"/>
      <c r="B385" s="48"/>
      <c r="C385" s="49"/>
      <c r="D385" s="49"/>
    </row>
    <row r="386" spans="1:4" ht="14.25" customHeight="1">
      <c r="A386" s="79"/>
      <c r="B386" s="48"/>
      <c r="C386" s="49"/>
      <c r="D386" s="49"/>
    </row>
    <row r="387" spans="1:4" ht="14.25" customHeight="1">
      <c r="A387" s="79"/>
      <c r="B387" s="48"/>
      <c r="C387" s="49"/>
      <c r="D387" s="49"/>
    </row>
    <row r="388" spans="1:4" ht="14.25" customHeight="1">
      <c r="A388" s="79"/>
      <c r="B388" s="48"/>
      <c r="C388" s="49"/>
      <c r="D388" s="49"/>
    </row>
    <row r="389" spans="1:4" ht="14.25" customHeight="1">
      <c r="A389" s="79"/>
      <c r="B389" s="48"/>
      <c r="C389" s="49"/>
      <c r="D389" s="49"/>
    </row>
    <row r="390" spans="1:4" ht="14.25" customHeight="1">
      <c r="A390" s="79"/>
      <c r="B390" s="48"/>
      <c r="C390" s="49"/>
      <c r="D390" s="49"/>
    </row>
    <row r="391" spans="1:4" ht="14.25" customHeight="1">
      <c r="A391" s="79"/>
      <c r="B391" s="48"/>
      <c r="C391" s="49"/>
      <c r="D391" s="49"/>
    </row>
    <row r="392" spans="1:4" ht="14.25" customHeight="1">
      <c r="A392" s="79"/>
      <c r="B392" s="48"/>
      <c r="C392" s="49"/>
      <c r="D392" s="49"/>
    </row>
    <row r="393" spans="1:4" ht="14.25" customHeight="1">
      <c r="A393" s="79"/>
      <c r="B393" s="48"/>
      <c r="C393" s="49"/>
      <c r="D393" s="49"/>
    </row>
    <row r="394" spans="1:4" ht="14.25" customHeight="1">
      <c r="A394" s="79"/>
      <c r="B394" s="48"/>
      <c r="C394" s="49"/>
      <c r="D394" s="49"/>
    </row>
    <row r="395" spans="1:4" ht="14.25" customHeight="1">
      <c r="A395" s="79"/>
      <c r="B395" s="48"/>
      <c r="C395" s="49"/>
      <c r="D395" s="49"/>
    </row>
    <row r="396" spans="1:4" ht="14.25" customHeight="1">
      <c r="A396" s="79"/>
      <c r="B396" s="48"/>
      <c r="C396" s="49"/>
      <c r="D396" s="49"/>
    </row>
    <row r="397" spans="1:4" ht="14.25" customHeight="1">
      <c r="A397" s="79"/>
      <c r="B397" s="48"/>
      <c r="C397" s="49"/>
      <c r="D397" s="49"/>
    </row>
    <row r="398" spans="1:4" ht="14.25" customHeight="1">
      <c r="A398" s="79"/>
      <c r="B398" s="48"/>
      <c r="C398" s="49"/>
      <c r="D398" s="49"/>
    </row>
    <row r="399" spans="1:4" ht="14.25" customHeight="1">
      <c r="A399" s="79"/>
      <c r="B399" s="48"/>
      <c r="C399" s="49"/>
      <c r="D399" s="49"/>
    </row>
    <row r="400" spans="1:4" ht="14.25" customHeight="1">
      <c r="A400" s="79"/>
      <c r="B400" s="48"/>
      <c r="C400" s="49"/>
      <c r="D400" s="49"/>
    </row>
    <row r="401" spans="1:4" ht="14.25" customHeight="1">
      <c r="A401" s="79"/>
      <c r="B401" s="48"/>
      <c r="C401" s="49"/>
      <c r="D401" s="49"/>
    </row>
    <row r="402" spans="1:4" ht="14.25" customHeight="1">
      <c r="A402" s="79"/>
      <c r="B402" s="48"/>
      <c r="C402" s="49"/>
      <c r="D402" s="49"/>
    </row>
    <row r="403" spans="1:4" ht="14.25" customHeight="1">
      <c r="A403" s="79"/>
      <c r="B403" s="48"/>
      <c r="C403" s="49"/>
      <c r="D403" s="49"/>
    </row>
    <row r="404" spans="1:4" ht="14.25" customHeight="1">
      <c r="A404" s="79"/>
      <c r="B404" s="48"/>
      <c r="C404" s="49"/>
      <c r="D404" s="49"/>
    </row>
    <row r="405" spans="1:4" ht="14.25" customHeight="1">
      <c r="A405" s="79"/>
      <c r="B405" s="48"/>
      <c r="C405" s="49"/>
      <c r="D405" s="49"/>
    </row>
    <row r="406" spans="1:4" ht="14.25" customHeight="1">
      <c r="A406" s="79"/>
      <c r="B406" s="48"/>
      <c r="C406" s="49"/>
      <c r="D406" s="49"/>
    </row>
    <row r="407" spans="1:4" ht="14.25" customHeight="1">
      <c r="A407" s="79"/>
      <c r="B407" s="48"/>
      <c r="C407" s="49"/>
      <c r="D407" s="49"/>
    </row>
    <row r="408" spans="1:4" ht="14.25" customHeight="1">
      <c r="A408" s="79"/>
      <c r="B408" s="48"/>
      <c r="C408" s="49"/>
      <c r="D408" s="49"/>
    </row>
    <row r="409" spans="1:4" ht="14.25" customHeight="1">
      <c r="A409" s="79"/>
      <c r="B409" s="48"/>
      <c r="C409" s="49"/>
      <c r="D409" s="49"/>
    </row>
    <row r="410" spans="1:4" ht="14.25" customHeight="1">
      <c r="A410" s="79"/>
      <c r="B410" s="48"/>
      <c r="C410" s="49"/>
      <c r="D410" s="49"/>
    </row>
    <row r="411" spans="1:4" ht="14.25" customHeight="1">
      <c r="A411" s="79"/>
      <c r="B411" s="48"/>
      <c r="C411" s="49"/>
      <c r="D411" s="49"/>
    </row>
    <row r="412" spans="1:4" ht="14.25" customHeight="1">
      <c r="A412" s="79"/>
      <c r="B412" s="48"/>
      <c r="C412" s="49"/>
      <c r="D412" s="49"/>
    </row>
    <row r="413" spans="1:4" ht="14.25" customHeight="1">
      <c r="A413" s="79"/>
      <c r="B413" s="48"/>
      <c r="C413" s="49"/>
      <c r="D413" s="49"/>
    </row>
    <row r="414" spans="1:4" ht="14.25" customHeight="1">
      <c r="A414" s="79"/>
      <c r="B414" s="48"/>
      <c r="C414" s="49"/>
      <c r="D414" s="49"/>
    </row>
    <row r="415" spans="1:4" ht="14.25" customHeight="1">
      <c r="A415" s="79"/>
      <c r="B415" s="48"/>
      <c r="C415" s="49"/>
      <c r="D415" s="49"/>
    </row>
    <row r="416" spans="1:4" ht="14.25" customHeight="1">
      <c r="A416" s="79"/>
      <c r="B416" s="48"/>
      <c r="C416" s="49"/>
      <c r="D416" s="49"/>
    </row>
    <row r="417" spans="1:4" ht="14.25" customHeight="1">
      <c r="A417" s="79"/>
      <c r="B417" s="48"/>
      <c r="C417" s="49"/>
      <c r="D417" s="49"/>
    </row>
    <row r="418" spans="1:4" ht="14.25" customHeight="1">
      <c r="A418" s="79"/>
      <c r="B418" s="48"/>
      <c r="C418" s="49"/>
      <c r="D418" s="49"/>
    </row>
    <row r="419" spans="1:4" ht="14.25" customHeight="1">
      <c r="A419" s="79"/>
      <c r="B419" s="48"/>
      <c r="C419" s="49"/>
      <c r="D419" s="49"/>
    </row>
    <row r="420" spans="1:4" ht="14.25" customHeight="1">
      <c r="A420" s="79"/>
      <c r="B420" s="48"/>
      <c r="C420" s="49"/>
      <c r="D420" s="49"/>
    </row>
    <row r="421" spans="1:4" ht="14.25" customHeight="1">
      <c r="A421" s="79"/>
      <c r="B421" s="48"/>
      <c r="C421" s="49"/>
      <c r="D421" s="49"/>
    </row>
    <row r="422" spans="1:4" ht="14.25" customHeight="1">
      <c r="A422" s="79"/>
      <c r="B422" s="48"/>
      <c r="C422" s="49"/>
      <c r="D422" s="49"/>
    </row>
    <row r="423" spans="1:4" ht="14.25" customHeight="1">
      <c r="A423" s="79"/>
      <c r="B423" s="48"/>
      <c r="C423" s="49"/>
      <c r="D423" s="49"/>
    </row>
    <row r="424" spans="1:4" ht="14.25" customHeight="1">
      <c r="A424" s="79"/>
      <c r="B424" s="48"/>
      <c r="C424" s="49"/>
      <c r="D424" s="49"/>
    </row>
    <row r="425" spans="1:4" ht="14.25" customHeight="1">
      <c r="A425" s="79"/>
      <c r="B425" s="48"/>
      <c r="C425" s="49"/>
      <c r="D425" s="49"/>
    </row>
    <row r="426" spans="1:4" ht="14.25" customHeight="1">
      <c r="A426" s="79"/>
      <c r="B426" s="48"/>
      <c r="C426" s="49"/>
      <c r="D426" s="49"/>
    </row>
    <row r="427" spans="1:4" ht="14.25" customHeight="1">
      <c r="A427" s="79"/>
      <c r="B427" s="48"/>
      <c r="C427" s="49"/>
      <c r="D427" s="49"/>
    </row>
    <row r="428" spans="1:4" ht="14.25" customHeight="1">
      <c r="A428" s="79"/>
      <c r="B428" s="48"/>
      <c r="C428" s="49"/>
      <c r="D428" s="49"/>
    </row>
    <row r="429" spans="1:4" ht="14.25" customHeight="1">
      <c r="A429" s="79"/>
      <c r="B429" s="48"/>
      <c r="C429" s="49"/>
      <c r="D429" s="49"/>
    </row>
    <row r="430" spans="1:4" ht="14.25" customHeight="1">
      <c r="A430" s="79"/>
      <c r="B430" s="48"/>
      <c r="C430" s="49"/>
      <c r="D430" s="49"/>
    </row>
    <row r="431" spans="1:4" ht="14.25" customHeight="1">
      <c r="A431" s="79"/>
      <c r="B431" s="48"/>
      <c r="C431" s="49"/>
      <c r="D431" s="49"/>
    </row>
    <row r="432" spans="1:4" ht="14.25" customHeight="1">
      <c r="A432" s="79"/>
      <c r="B432" s="48"/>
      <c r="C432" s="49"/>
      <c r="D432" s="49"/>
    </row>
    <row r="433" spans="1:4" ht="14.25" customHeight="1">
      <c r="A433" s="79"/>
      <c r="B433" s="48"/>
      <c r="C433" s="49"/>
      <c r="D433" s="49"/>
    </row>
    <row r="434" spans="1:4" ht="14.25" customHeight="1">
      <c r="A434" s="79"/>
      <c r="B434" s="48"/>
      <c r="C434" s="49"/>
      <c r="D434" s="49"/>
    </row>
    <row r="435" spans="1:4" ht="14.25" customHeight="1">
      <c r="A435" s="79"/>
      <c r="B435" s="48"/>
      <c r="C435" s="49"/>
      <c r="D435" s="49"/>
    </row>
    <row r="436" spans="1:4" ht="14.25" customHeight="1">
      <c r="A436" s="79"/>
      <c r="B436" s="48"/>
      <c r="C436" s="49"/>
      <c r="D436" s="49"/>
    </row>
    <row r="437" spans="1:4" ht="14.25" customHeight="1">
      <c r="A437" s="79"/>
      <c r="B437" s="48"/>
      <c r="C437" s="49"/>
      <c r="D437" s="49"/>
    </row>
    <row r="438" spans="1:4" ht="14.25" customHeight="1">
      <c r="A438" s="79"/>
      <c r="B438" s="48"/>
      <c r="C438" s="49"/>
      <c r="D438" s="49"/>
    </row>
    <row r="439" spans="1:4" ht="14.25" customHeight="1">
      <c r="A439" s="79"/>
      <c r="B439" s="48"/>
      <c r="C439" s="49"/>
      <c r="D439" s="49"/>
    </row>
    <row r="440" spans="1:4" ht="14.25" customHeight="1">
      <c r="A440" s="79"/>
      <c r="B440" s="48"/>
      <c r="C440" s="49"/>
      <c r="D440" s="49"/>
    </row>
    <row r="441" spans="1:4" ht="14.25" customHeight="1">
      <c r="A441" s="79"/>
      <c r="B441" s="48"/>
      <c r="C441" s="49"/>
      <c r="D441" s="49"/>
    </row>
    <row r="442" spans="1:4" ht="14.25" customHeight="1">
      <c r="A442" s="79"/>
      <c r="B442" s="48"/>
      <c r="C442" s="49"/>
      <c r="D442" s="49"/>
    </row>
    <row r="443" spans="1:4" ht="14.25" customHeight="1">
      <c r="A443" s="79"/>
      <c r="B443" s="48"/>
      <c r="C443" s="49"/>
      <c r="D443" s="49"/>
    </row>
    <row r="444" spans="1:4" ht="14.25" customHeight="1">
      <c r="A444" s="79"/>
      <c r="B444" s="48"/>
      <c r="C444" s="49"/>
      <c r="D444" s="49"/>
    </row>
    <row r="445" spans="1:4" ht="14.25" customHeight="1">
      <c r="A445" s="79"/>
      <c r="B445" s="48"/>
      <c r="C445" s="49"/>
      <c r="D445" s="49"/>
    </row>
    <row r="446" spans="1:4" ht="14.25" customHeight="1">
      <c r="A446" s="79"/>
      <c r="B446" s="48"/>
      <c r="C446" s="49"/>
      <c r="D446" s="49"/>
    </row>
    <row r="447" spans="1:4" ht="14.25" customHeight="1">
      <c r="A447" s="79"/>
      <c r="B447" s="48"/>
      <c r="C447" s="49"/>
      <c r="D447" s="49"/>
    </row>
    <row r="448" spans="1:4" ht="14.25" customHeight="1">
      <c r="A448" s="79"/>
      <c r="B448" s="48"/>
      <c r="C448" s="49"/>
      <c r="D448" s="49"/>
    </row>
    <row r="449" spans="1:4" ht="14.25" customHeight="1">
      <c r="A449" s="79"/>
      <c r="B449" s="48"/>
      <c r="C449" s="49"/>
      <c r="D449" s="49"/>
    </row>
    <row r="450" spans="1:4" ht="14.25" customHeight="1">
      <c r="A450" s="79"/>
      <c r="B450" s="48"/>
      <c r="C450" s="49"/>
      <c r="D450" s="49"/>
    </row>
    <row r="451" spans="1:4" ht="14.25" customHeight="1">
      <c r="A451" s="79"/>
      <c r="B451" s="48"/>
      <c r="C451" s="49"/>
      <c r="D451" s="49"/>
    </row>
    <row r="452" spans="1:4" ht="14.25" customHeight="1">
      <c r="A452" s="79"/>
      <c r="B452" s="48"/>
      <c r="C452" s="49"/>
      <c r="D452" s="49"/>
    </row>
    <row r="453" spans="1:4" ht="14.25" customHeight="1">
      <c r="A453" s="79"/>
      <c r="B453" s="48"/>
      <c r="C453" s="49"/>
      <c r="D453" s="49"/>
    </row>
    <row r="454" spans="1:4" ht="14.25" customHeight="1">
      <c r="A454" s="79"/>
      <c r="B454" s="48"/>
      <c r="C454" s="49"/>
      <c r="D454" s="49"/>
    </row>
    <row r="455" spans="1:4" ht="14.25" customHeight="1">
      <c r="A455" s="79"/>
      <c r="B455" s="48"/>
      <c r="C455" s="49"/>
      <c r="D455" s="49"/>
    </row>
    <row r="456" spans="1:4" ht="14.25" customHeight="1">
      <c r="A456" s="79"/>
      <c r="B456" s="48"/>
      <c r="C456" s="49"/>
      <c r="D456" s="49"/>
    </row>
    <row r="457" spans="1:4" ht="14.25" customHeight="1">
      <c r="A457" s="79"/>
      <c r="B457" s="48"/>
      <c r="C457" s="49"/>
      <c r="D457" s="49"/>
    </row>
    <row r="458" spans="1:4" ht="14.25" customHeight="1">
      <c r="A458" s="79"/>
      <c r="B458" s="48"/>
      <c r="C458" s="49"/>
      <c r="D458" s="49"/>
    </row>
    <row r="459" spans="1:4" ht="14.25" customHeight="1">
      <c r="A459" s="79"/>
      <c r="B459" s="48"/>
      <c r="C459" s="49"/>
      <c r="D459" s="49"/>
    </row>
    <row r="460" spans="1:4" ht="14.25" customHeight="1">
      <c r="A460" s="79"/>
      <c r="B460" s="48"/>
      <c r="C460" s="49"/>
      <c r="D460" s="49"/>
    </row>
    <row r="461" spans="1:4" ht="14.25" customHeight="1">
      <c r="A461" s="79"/>
      <c r="B461" s="48"/>
      <c r="C461" s="49"/>
      <c r="D461" s="49"/>
    </row>
    <row r="462" spans="1:4" ht="14.25" customHeight="1">
      <c r="A462" s="79"/>
      <c r="B462" s="48"/>
      <c r="C462" s="49"/>
      <c r="D462" s="49"/>
    </row>
    <row r="463" spans="1:4" ht="14.25" customHeight="1">
      <c r="A463" s="79"/>
      <c r="B463" s="48"/>
      <c r="C463" s="49"/>
      <c r="D463" s="49"/>
    </row>
    <row r="464" spans="1:4" ht="14.25" customHeight="1">
      <c r="A464" s="79"/>
      <c r="B464" s="48"/>
      <c r="C464" s="49"/>
      <c r="D464" s="49"/>
    </row>
    <row r="465" spans="1:4" ht="14.25" customHeight="1">
      <c r="A465" s="79"/>
      <c r="B465" s="48"/>
      <c r="C465" s="49"/>
      <c r="D465" s="49"/>
    </row>
    <row r="466" spans="1:4" ht="14.25" customHeight="1">
      <c r="A466" s="79"/>
      <c r="B466" s="48"/>
      <c r="C466" s="49"/>
      <c r="D466" s="49"/>
    </row>
    <row r="467" spans="1:4" ht="14.25" customHeight="1">
      <c r="A467" s="79"/>
      <c r="B467" s="48"/>
      <c r="C467" s="49"/>
      <c r="D467" s="49"/>
    </row>
    <row r="468" spans="1:4" ht="14.25" customHeight="1">
      <c r="A468" s="79"/>
      <c r="B468" s="48"/>
      <c r="C468" s="49"/>
      <c r="D468" s="49"/>
    </row>
    <row r="469" spans="1:4" ht="14.25" customHeight="1">
      <c r="A469" s="79"/>
      <c r="B469" s="48"/>
      <c r="C469" s="49"/>
      <c r="D469" s="49"/>
    </row>
    <row r="470" spans="1:4" ht="14.25" customHeight="1">
      <c r="A470" s="79"/>
      <c r="B470" s="48"/>
      <c r="C470" s="49"/>
      <c r="D470" s="49"/>
    </row>
    <row r="471" spans="1:4" ht="14.25" customHeight="1">
      <c r="A471" s="79"/>
      <c r="B471" s="48"/>
      <c r="C471" s="49"/>
      <c r="D471" s="49"/>
    </row>
    <row r="472" spans="1:4" ht="14.25" customHeight="1">
      <c r="A472" s="79"/>
      <c r="B472" s="48"/>
      <c r="C472" s="49"/>
      <c r="D472" s="49"/>
    </row>
    <row r="473" spans="1:4" ht="14.25" customHeight="1">
      <c r="A473" s="79"/>
      <c r="B473" s="48"/>
      <c r="C473" s="49"/>
      <c r="D473" s="49"/>
    </row>
    <row r="474" spans="1:4" ht="14.25" customHeight="1">
      <c r="A474" s="79"/>
      <c r="B474" s="48"/>
      <c r="C474" s="49"/>
      <c r="D474" s="49"/>
    </row>
    <row r="475" spans="1:4" ht="14.25" customHeight="1">
      <c r="A475" s="79"/>
      <c r="B475" s="48"/>
      <c r="C475" s="49"/>
      <c r="D475" s="49"/>
    </row>
    <row r="476" spans="1:4" ht="14.25" customHeight="1">
      <c r="A476" s="79"/>
      <c r="B476" s="48"/>
      <c r="C476" s="49"/>
      <c r="D476" s="49"/>
    </row>
    <row r="477" spans="1:4" ht="14.25" customHeight="1">
      <c r="A477" s="79"/>
      <c r="B477" s="48"/>
      <c r="C477" s="49"/>
      <c r="D477" s="49"/>
    </row>
    <row r="478" spans="1:4" ht="14.25" customHeight="1">
      <c r="A478" s="79"/>
      <c r="B478" s="48"/>
      <c r="C478" s="49"/>
      <c r="D478" s="49"/>
    </row>
    <row r="479" spans="1:4" ht="14.25" customHeight="1">
      <c r="A479" s="79"/>
      <c r="B479" s="48"/>
      <c r="C479" s="49"/>
      <c r="D479" s="49"/>
    </row>
    <row r="480" spans="1:4" ht="14.25" customHeight="1">
      <c r="A480" s="79"/>
      <c r="B480" s="48"/>
      <c r="C480" s="49"/>
      <c r="D480" s="49"/>
    </row>
    <row r="481" spans="1:4" ht="14.25" customHeight="1">
      <c r="A481" s="79"/>
      <c r="B481" s="48"/>
      <c r="C481" s="49"/>
      <c r="D481" s="49"/>
    </row>
    <row r="482" spans="1:4" ht="14.25" customHeight="1">
      <c r="A482" s="79"/>
      <c r="B482" s="48"/>
      <c r="C482" s="49"/>
      <c r="D482" s="49"/>
    </row>
    <row r="483" spans="1:4" ht="14.25" customHeight="1">
      <c r="A483" s="79"/>
      <c r="B483" s="48"/>
      <c r="C483" s="49"/>
      <c r="D483" s="49"/>
    </row>
    <row r="484" spans="1:4" ht="14.25" customHeight="1">
      <c r="A484" s="79"/>
      <c r="B484" s="48"/>
      <c r="C484" s="49"/>
      <c r="D484" s="49"/>
    </row>
    <row r="485" spans="1:4" ht="14.25" customHeight="1">
      <c r="A485" s="79"/>
      <c r="B485" s="48"/>
      <c r="C485" s="49"/>
      <c r="D485" s="49"/>
    </row>
    <row r="486" spans="1:4" ht="14.25" customHeight="1">
      <c r="A486" s="79"/>
      <c r="B486" s="48"/>
      <c r="C486" s="49"/>
      <c r="D486" s="49"/>
    </row>
    <row r="487" spans="1:4" ht="14.25" customHeight="1">
      <c r="A487" s="79"/>
      <c r="B487" s="48"/>
      <c r="C487" s="49"/>
      <c r="D487" s="49"/>
    </row>
    <row r="488" spans="1:4" ht="14.25" customHeight="1">
      <c r="A488" s="79"/>
      <c r="B488" s="48"/>
      <c r="C488" s="49"/>
      <c r="D488" s="49"/>
    </row>
    <row r="489" spans="1:4" ht="14.25" customHeight="1">
      <c r="A489" s="79"/>
      <c r="B489" s="48"/>
      <c r="C489" s="49"/>
      <c r="D489" s="49"/>
    </row>
    <row r="490" spans="1:4" ht="14.25" customHeight="1">
      <c r="A490" s="79"/>
      <c r="B490" s="48"/>
      <c r="C490" s="49"/>
      <c r="D490" s="49"/>
    </row>
    <row r="491" spans="1:4" ht="14.25" customHeight="1">
      <c r="A491" s="79"/>
      <c r="B491" s="48"/>
      <c r="C491" s="49"/>
      <c r="D491" s="49"/>
    </row>
    <row r="492" spans="1:4" ht="14.25" customHeight="1">
      <c r="A492" s="79"/>
      <c r="B492" s="48"/>
      <c r="C492" s="49"/>
      <c r="D492" s="49"/>
    </row>
    <row r="493" spans="1:4" ht="14.25" customHeight="1">
      <c r="A493" s="79"/>
      <c r="B493" s="48"/>
      <c r="C493" s="49"/>
      <c r="D493" s="49"/>
    </row>
    <row r="494" spans="1:4" ht="14.25" customHeight="1">
      <c r="A494" s="79"/>
      <c r="B494" s="48"/>
      <c r="C494" s="49"/>
      <c r="D494" s="49"/>
    </row>
    <row r="495" spans="1:4" ht="14.25" customHeight="1">
      <c r="A495" s="79"/>
      <c r="B495" s="48"/>
      <c r="C495" s="49"/>
      <c r="D495" s="49"/>
    </row>
    <row r="496" spans="1:4" ht="14.25" customHeight="1">
      <c r="A496" s="79"/>
      <c r="B496" s="48"/>
      <c r="C496" s="49"/>
      <c r="D496" s="49"/>
    </row>
    <row r="497" spans="1:4" ht="14.25" customHeight="1">
      <c r="A497" s="79"/>
      <c r="B497" s="48"/>
      <c r="C497" s="49"/>
      <c r="D497" s="49"/>
    </row>
    <row r="498" spans="1:4" ht="14.25" customHeight="1">
      <c r="A498" s="79"/>
      <c r="B498" s="48"/>
      <c r="C498" s="49"/>
      <c r="D498" s="49"/>
    </row>
    <row r="499" spans="1:4" ht="14.25" customHeight="1">
      <c r="A499" s="79"/>
      <c r="B499" s="48"/>
      <c r="C499" s="49"/>
      <c r="D499" s="49"/>
    </row>
    <row r="500" spans="1:4" ht="14.25" customHeight="1">
      <c r="A500" s="79"/>
      <c r="B500" s="48"/>
      <c r="C500" s="49"/>
      <c r="D500" s="49"/>
    </row>
    <row r="501" spans="1:4" ht="14.25" customHeight="1">
      <c r="A501" s="79"/>
      <c r="B501" s="48"/>
      <c r="C501" s="49"/>
      <c r="D501" s="49"/>
    </row>
    <row r="502" spans="1:4" ht="14.25" customHeight="1">
      <c r="A502" s="79"/>
      <c r="B502" s="48"/>
      <c r="C502" s="49"/>
      <c r="D502" s="49"/>
    </row>
    <row r="503" spans="1:4" ht="14.25" customHeight="1">
      <c r="A503" s="79"/>
      <c r="B503" s="48"/>
      <c r="C503" s="49"/>
      <c r="D503" s="49"/>
    </row>
    <row r="504" spans="1:4" ht="14.25" customHeight="1">
      <c r="A504" s="79"/>
      <c r="B504" s="48"/>
      <c r="C504" s="49"/>
      <c r="D504" s="49"/>
    </row>
    <row r="505" spans="1:4" ht="14.25" customHeight="1">
      <c r="A505" s="79"/>
      <c r="B505" s="48"/>
      <c r="C505" s="49"/>
      <c r="D505" s="49"/>
    </row>
    <row r="506" spans="1:4" ht="14.25" customHeight="1">
      <c r="A506" s="79"/>
      <c r="B506" s="48"/>
      <c r="C506" s="49"/>
      <c r="D506" s="49"/>
    </row>
    <row r="507" spans="1:4" ht="14.25" customHeight="1">
      <c r="A507" s="79"/>
      <c r="B507" s="48"/>
      <c r="C507" s="49"/>
      <c r="D507" s="49"/>
    </row>
    <row r="508" spans="1:4" ht="14.25" customHeight="1">
      <c r="A508" s="79"/>
      <c r="B508" s="48"/>
      <c r="C508" s="49"/>
      <c r="D508" s="49"/>
    </row>
    <row r="509" spans="1:4" ht="14.25" customHeight="1">
      <c r="A509" s="79"/>
      <c r="B509" s="48"/>
      <c r="C509" s="49"/>
      <c r="D509" s="49"/>
    </row>
    <row r="510" spans="1:4" ht="14.25" customHeight="1">
      <c r="A510" s="79"/>
      <c r="B510" s="48"/>
      <c r="C510" s="49"/>
      <c r="D510" s="49"/>
    </row>
    <row r="511" spans="1:4" ht="14.25" customHeight="1">
      <c r="A511" s="79"/>
      <c r="B511" s="48"/>
      <c r="C511" s="49"/>
      <c r="D511" s="49"/>
    </row>
    <row r="512" spans="1:4" ht="14.25" customHeight="1">
      <c r="A512" s="79"/>
      <c r="B512" s="48"/>
      <c r="C512" s="49"/>
      <c r="D512" s="49"/>
    </row>
    <row r="513" spans="1:4" ht="14.25" customHeight="1">
      <c r="A513" s="79"/>
      <c r="B513" s="48"/>
      <c r="C513" s="49"/>
      <c r="D513" s="49"/>
    </row>
    <row r="514" spans="1:4" ht="14.25" customHeight="1">
      <c r="A514" s="79"/>
      <c r="B514" s="48"/>
      <c r="C514" s="49"/>
      <c r="D514" s="49"/>
    </row>
    <row r="515" spans="1:4" ht="14.25" customHeight="1">
      <c r="A515" s="79"/>
      <c r="B515" s="48"/>
      <c r="C515" s="49"/>
      <c r="D515" s="49"/>
    </row>
    <row r="516" spans="1:4" ht="14.25" customHeight="1">
      <c r="A516" s="79"/>
      <c r="B516" s="48"/>
      <c r="C516" s="49"/>
      <c r="D516" s="49"/>
    </row>
    <row r="517" spans="1:4" ht="14.25" customHeight="1">
      <c r="A517" s="79"/>
      <c r="B517" s="48"/>
      <c r="C517" s="49"/>
      <c r="D517" s="49"/>
    </row>
    <row r="518" spans="1:4" ht="14.25" customHeight="1">
      <c r="A518" s="79"/>
      <c r="B518" s="48"/>
      <c r="C518" s="49"/>
      <c r="D518" s="49"/>
    </row>
    <row r="519" spans="1:4" ht="14.25" customHeight="1">
      <c r="A519" s="79"/>
      <c r="B519" s="48"/>
      <c r="C519" s="49"/>
      <c r="D519" s="49"/>
    </row>
    <row r="520" spans="1:4" ht="14.25" customHeight="1">
      <c r="A520" s="79"/>
      <c r="B520" s="48"/>
      <c r="C520" s="49"/>
      <c r="D520" s="49"/>
    </row>
    <row r="521" spans="1:4" ht="14.25" customHeight="1">
      <c r="A521" s="79"/>
      <c r="B521" s="48"/>
      <c r="C521" s="49"/>
      <c r="D521" s="49"/>
    </row>
    <row r="522" spans="1:4" ht="14.25" customHeight="1">
      <c r="A522" s="79"/>
      <c r="B522" s="48"/>
      <c r="C522" s="49"/>
      <c r="D522" s="49"/>
    </row>
    <row r="523" spans="1:4" ht="14.25" customHeight="1">
      <c r="A523" s="79"/>
      <c r="B523" s="48"/>
      <c r="C523" s="49"/>
      <c r="D523" s="49"/>
    </row>
    <row r="524" spans="1:4" ht="14.25" customHeight="1">
      <c r="A524" s="79"/>
      <c r="B524" s="48"/>
      <c r="C524" s="49"/>
      <c r="D524" s="49"/>
    </row>
    <row r="525" spans="1:4" ht="14.25" customHeight="1">
      <c r="A525" s="79"/>
      <c r="B525" s="48"/>
      <c r="C525" s="49"/>
      <c r="D525" s="49"/>
    </row>
    <row r="526" spans="1:4" ht="14.25" customHeight="1">
      <c r="A526" s="79"/>
      <c r="B526" s="48"/>
      <c r="C526" s="49"/>
      <c r="D526" s="49"/>
    </row>
    <row r="527" spans="1:4" ht="14.25" customHeight="1">
      <c r="A527" s="79"/>
      <c r="B527" s="48"/>
      <c r="C527" s="49"/>
      <c r="D527" s="49"/>
    </row>
    <row r="528" spans="1:4" ht="14.25" customHeight="1">
      <c r="A528" s="79"/>
      <c r="B528" s="48"/>
      <c r="C528" s="49"/>
      <c r="D528" s="49"/>
    </row>
    <row r="529" spans="1:4" ht="14.25" customHeight="1">
      <c r="A529" s="79"/>
      <c r="B529" s="48"/>
      <c r="C529" s="49"/>
      <c r="D529" s="49"/>
    </row>
    <row r="530" spans="1:4" ht="14.25" customHeight="1">
      <c r="A530" s="79"/>
      <c r="B530" s="48"/>
      <c r="C530" s="49"/>
      <c r="D530" s="49"/>
    </row>
    <row r="531" spans="1:4" ht="14.25" customHeight="1">
      <c r="A531" s="79"/>
      <c r="B531" s="48"/>
      <c r="C531" s="49"/>
      <c r="D531" s="49"/>
    </row>
    <row r="532" spans="1:4" ht="14.25" customHeight="1">
      <c r="A532" s="79"/>
      <c r="B532" s="48"/>
      <c r="C532" s="49"/>
      <c r="D532" s="49"/>
    </row>
    <row r="533" spans="1:4" ht="14.25" customHeight="1">
      <c r="A533" s="79"/>
      <c r="B533" s="48"/>
      <c r="C533" s="49"/>
      <c r="D533" s="49"/>
    </row>
    <row r="534" spans="1:4" ht="14.25" customHeight="1">
      <c r="A534" s="79"/>
      <c r="B534" s="48"/>
      <c r="C534" s="49"/>
      <c r="D534" s="49"/>
    </row>
    <row r="535" spans="1:4" ht="14.25" customHeight="1">
      <c r="A535" s="79"/>
      <c r="B535" s="48"/>
      <c r="C535" s="49"/>
      <c r="D535" s="49"/>
    </row>
    <row r="536" spans="1:4" ht="14.25" customHeight="1">
      <c r="A536" s="79"/>
      <c r="B536" s="48"/>
      <c r="C536" s="49"/>
      <c r="D536" s="49"/>
    </row>
    <row r="537" spans="1:4" ht="14.25" customHeight="1">
      <c r="A537" s="79"/>
      <c r="B537" s="48"/>
      <c r="C537" s="49"/>
      <c r="D537" s="49"/>
    </row>
    <row r="538" spans="1:4" ht="14.25" customHeight="1">
      <c r="A538" s="79"/>
      <c r="B538" s="48"/>
      <c r="C538" s="49"/>
      <c r="D538" s="49"/>
    </row>
    <row r="539" spans="1:4" ht="14.25" customHeight="1">
      <c r="A539" s="79"/>
      <c r="B539" s="48"/>
      <c r="C539" s="49"/>
      <c r="D539" s="49"/>
    </row>
    <row r="540" spans="1:4" ht="14.25" customHeight="1">
      <c r="A540" s="79"/>
      <c r="B540" s="48"/>
      <c r="C540" s="49"/>
      <c r="D540" s="49"/>
    </row>
    <row r="541" spans="1:4" ht="14.25" customHeight="1">
      <c r="A541" s="79"/>
      <c r="B541" s="48"/>
      <c r="C541" s="49"/>
      <c r="D541" s="49"/>
    </row>
    <row r="542" spans="1:4" ht="14.25" customHeight="1">
      <c r="A542" s="79"/>
      <c r="B542" s="48"/>
      <c r="C542" s="49"/>
      <c r="D542" s="49"/>
    </row>
    <row r="543" spans="1:4" ht="14.25" customHeight="1">
      <c r="A543" s="79"/>
      <c r="B543" s="48"/>
      <c r="C543" s="49"/>
      <c r="D543" s="49"/>
    </row>
    <row r="544" spans="1:4" ht="14.25" customHeight="1">
      <c r="A544" s="79"/>
      <c r="B544" s="48"/>
      <c r="C544" s="49"/>
      <c r="D544" s="49"/>
    </row>
    <row r="545" spans="1:4" ht="14.25" customHeight="1">
      <c r="A545" s="79"/>
      <c r="B545" s="48"/>
      <c r="C545" s="49"/>
      <c r="D545" s="49"/>
    </row>
    <row r="546" spans="1:4" ht="14.25" customHeight="1">
      <c r="A546" s="79"/>
      <c r="B546" s="48"/>
      <c r="C546" s="49"/>
      <c r="D546" s="49"/>
    </row>
    <row r="547" spans="1:4" ht="14.25" customHeight="1">
      <c r="A547" s="79"/>
      <c r="B547" s="48"/>
      <c r="C547" s="49"/>
      <c r="D547" s="49"/>
    </row>
    <row r="548" spans="1:4" ht="14.25" customHeight="1">
      <c r="A548" s="79"/>
      <c r="B548" s="48"/>
      <c r="C548" s="49"/>
      <c r="D548" s="49"/>
    </row>
    <row r="549" spans="1:4" ht="14.25" customHeight="1">
      <c r="A549" s="79"/>
      <c r="B549" s="48"/>
      <c r="C549" s="49"/>
      <c r="D549" s="49"/>
    </row>
    <row r="550" spans="1:4" ht="14.25" customHeight="1">
      <c r="A550" s="79"/>
      <c r="B550" s="48"/>
      <c r="C550" s="49"/>
      <c r="D550" s="49"/>
    </row>
    <row r="551" spans="1:4" ht="14.25" customHeight="1">
      <c r="A551" s="79"/>
      <c r="B551" s="48"/>
      <c r="C551" s="49"/>
      <c r="D551" s="49"/>
    </row>
    <row r="552" spans="1:4" ht="14.25" customHeight="1">
      <c r="A552" s="79"/>
      <c r="B552" s="48"/>
      <c r="C552" s="49"/>
      <c r="D552" s="49"/>
    </row>
    <row r="553" spans="1:4" ht="14.25" customHeight="1">
      <c r="A553" s="79"/>
      <c r="B553" s="48"/>
      <c r="C553" s="49"/>
      <c r="D553" s="49"/>
    </row>
    <row r="554" spans="1:4" ht="14.25" customHeight="1">
      <c r="A554" s="79"/>
      <c r="B554" s="48"/>
      <c r="C554" s="49"/>
      <c r="D554" s="49"/>
    </row>
    <row r="555" spans="1:4" ht="14.25" customHeight="1">
      <c r="A555" s="79"/>
      <c r="B555" s="48"/>
      <c r="C555" s="49"/>
      <c r="D555" s="49"/>
    </row>
    <row r="556" spans="1:4" ht="14.25" customHeight="1">
      <c r="A556" s="79"/>
      <c r="B556" s="48"/>
      <c r="C556" s="49"/>
      <c r="D556" s="49"/>
    </row>
    <row r="557" spans="1:4" ht="14.25" customHeight="1">
      <c r="A557" s="79"/>
      <c r="B557" s="48"/>
      <c r="C557" s="49"/>
      <c r="D557" s="49"/>
    </row>
    <row r="558" spans="1:4" ht="14.25" customHeight="1">
      <c r="A558" s="79"/>
      <c r="B558" s="48"/>
      <c r="C558" s="49"/>
      <c r="D558" s="49"/>
    </row>
    <row r="559" spans="1:4" ht="14.25" customHeight="1">
      <c r="A559" s="79"/>
      <c r="B559" s="48"/>
      <c r="C559" s="49"/>
      <c r="D559" s="49"/>
    </row>
    <row r="560" spans="1:4" ht="14.25" customHeight="1">
      <c r="A560" s="79"/>
      <c r="B560" s="48"/>
      <c r="C560" s="49"/>
      <c r="D560" s="49"/>
    </row>
    <row r="561" spans="1:4" ht="14.25" customHeight="1">
      <c r="A561" s="79"/>
      <c r="B561" s="48"/>
      <c r="C561" s="49"/>
      <c r="D561" s="49"/>
    </row>
    <row r="562" spans="1:4" ht="14.25" customHeight="1">
      <c r="A562" s="79"/>
      <c r="B562" s="48"/>
      <c r="C562" s="49"/>
      <c r="D562" s="49"/>
    </row>
    <row r="563" spans="1:4" ht="14.25" customHeight="1">
      <c r="A563" s="79"/>
      <c r="B563" s="48"/>
      <c r="C563" s="49"/>
      <c r="D563" s="49"/>
    </row>
    <row r="564" spans="1:4" ht="14.25" customHeight="1">
      <c r="A564" s="79"/>
      <c r="B564" s="48"/>
      <c r="C564" s="49"/>
      <c r="D564" s="49"/>
    </row>
    <row r="565" spans="1:4" ht="14.25" customHeight="1">
      <c r="A565" s="79"/>
      <c r="B565" s="48"/>
      <c r="C565" s="49"/>
      <c r="D565" s="49"/>
    </row>
    <row r="566" spans="1:4" ht="14.25" customHeight="1">
      <c r="A566" s="79"/>
      <c r="B566" s="48"/>
      <c r="C566" s="49"/>
      <c r="D566" s="49"/>
    </row>
    <row r="567" spans="1:4" ht="14.25" customHeight="1">
      <c r="A567" s="79"/>
      <c r="B567" s="48"/>
      <c r="C567" s="49"/>
      <c r="D567" s="49"/>
    </row>
    <row r="568" spans="1:4" ht="14.25" customHeight="1">
      <c r="A568" s="79"/>
      <c r="B568" s="48"/>
      <c r="C568" s="49"/>
      <c r="D568" s="49"/>
    </row>
    <row r="569" spans="1:4" ht="14.25" customHeight="1">
      <c r="A569" s="79"/>
      <c r="B569" s="48"/>
      <c r="C569" s="49"/>
      <c r="D569" s="49"/>
    </row>
    <row r="570" spans="1:4" ht="14.25" customHeight="1">
      <c r="A570" s="79"/>
      <c r="B570" s="48"/>
      <c r="C570" s="49"/>
      <c r="D570" s="49"/>
    </row>
    <row r="571" spans="1:4" ht="14.25" customHeight="1">
      <c r="A571" s="79"/>
      <c r="B571" s="48"/>
      <c r="C571" s="49"/>
      <c r="D571" s="49"/>
    </row>
    <row r="572" spans="1:4" ht="14.25" customHeight="1">
      <c r="A572" s="79"/>
      <c r="B572" s="48"/>
      <c r="C572" s="49"/>
      <c r="D572" s="49"/>
    </row>
    <row r="573" spans="1:4" ht="14.25" customHeight="1">
      <c r="A573" s="79"/>
      <c r="B573" s="48"/>
      <c r="C573" s="49"/>
      <c r="D573" s="49"/>
    </row>
    <row r="574" spans="1:4" ht="14.25" customHeight="1">
      <c r="A574" s="79"/>
      <c r="B574" s="48"/>
      <c r="C574" s="49"/>
      <c r="D574" s="49"/>
    </row>
    <row r="575" spans="1:4" ht="14.25" customHeight="1">
      <c r="A575" s="79"/>
      <c r="B575" s="48"/>
      <c r="C575" s="49"/>
      <c r="D575" s="49"/>
    </row>
    <row r="576" spans="1:4" ht="14.25" customHeight="1">
      <c r="A576" s="79"/>
      <c r="B576" s="48"/>
      <c r="C576" s="49"/>
      <c r="D576" s="49"/>
    </row>
    <row r="577" spans="1:4" ht="14.25" customHeight="1">
      <c r="A577" s="79"/>
      <c r="B577" s="48"/>
      <c r="C577" s="49"/>
      <c r="D577" s="49"/>
    </row>
    <row r="578" spans="1:4" ht="14.25" customHeight="1">
      <c r="A578" s="79"/>
      <c r="B578" s="48"/>
      <c r="C578" s="49"/>
      <c r="D578" s="49"/>
    </row>
    <row r="579" spans="1:4" ht="14.25" customHeight="1">
      <c r="A579" s="79"/>
      <c r="B579" s="48"/>
      <c r="C579" s="49"/>
      <c r="D579" s="49"/>
    </row>
    <row r="580" spans="1:4" ht="14.25" customHeight="1">
      <c r="A580" s="79"/>
      <c r="B580" s="48"/>
      <c r="C580" s="49"/>
      <c r="D580" s="49"/>
    </row>
    <row r="581" spans="1:4" ht="14.25" customHeight="1">
      <c r="A581" s="79"/>
      <c r="B581" s="48"/>
      <c r="C581" s="49"/>
      <c r="D581" s="49"/>
    </row>
    <row r="582" spans="1:4" ht="14.25" customHeight="1">
      <c r="A582" s="79"/>
      <c r="B582" s="48"/>
      <c r="C582" s="49"/>
      <c r="D582" s="49"/>
    </row>
    <row r="583" spans="1:4" ht="14.25" customHeight="1">
      <c r="A583" s="79"/>
      <c r="B583" s="48"/>
      <c r="C583" s="49"/>
      <c r="D583" s="49"/>
    </row>
    <row r="584" spans="1:4" ht="14.25" customHeight="1">
      <c r="A584" s="79"/>
      <c r="B584" s="48"/>
      <c r="C584" s="49"/>
      <c r="D584" s="49"/>
    </row>
    <row r="585" spans="1:4" ht="14.25" customHeight="1">
      <c r="A585" s="79"/>
      <c r="B585" s="48"/>
      <c r="C585" s="49"/>
      <c r="D585" s="49"/>
    </row>
    <row r="586" spans="1:4" ht="14.25" customHeight="1">
      <c r="A586" s="79"/>
      <c r="B586" s="48"/>
      <c r="C586" s="49"/>
      <c r="D586" s="49"/>
    </row>
    <row r="587" spans="1:4" ht="14.25" customHeight="1">
      <c r="A587" s="79"/>
      <c r="B587" s="48"/>
      <c r="C587" s="49"/>
      <c r="D587" s="49"/>
    </row>
    <row r="588" spans="1:4" ht="14.25" customHeight="1">
      <c r="A588" s="79"/>
      <c r="B588" s="48"/>
      <c r="C588" s="49"/>
      <c r="D588" s="49"/>
    </row>
    <row r="589" spans="1:4" ht="14.25" customHeight="1">
      <c r="A589" s="79"/>
      <c r="B589" s="48"/>
      <c r="C589" s="49"/>
      <c r="D589" s="49"/>
    </row>
    <row r="590" spans="1:4" ht="14.25" customHeight="1">
      <c r="A590" s="79"/>
      <c r="B590" s="48"/>
      <c r="C590" s="49"/>
      <c r="D590" s="49"/>
    </row>
    <row r="591" spans="1:4" ht="14.25" customHeight="1">
      <c r="A591" s="79"/>
      <c r="B591" s="48"/>
      <c r="C591" s="49"/>
      <c r="D591" s="49"/>
    </row>
    <row r="592" spans="1:4" ht="14.25" customHeight="1">
      <c r="A592" s="79"/>
      <c r="B592" s="48"/>
      <c r="C592" s="49"/>
      <c r="D592" s="49"/>
    </row>
    <row r="593" spans="1:4" ht="14.25" customHeight="1">
      <c r="A593" s="79"/>
      <c r="B593" s="48"/>
      <c r="C593" s="49"/>
      <c r="D593" s="49"/>
    </row>
    <row r="594" spans="1:4" ht="14.25" customHeight="1">
      <c r="A594" s="79"/>
      <c r="B594" s="48"/>
      <c r="C594" s="49"/>
      <c r="D594" s="49"/>
    </row>
    <row r="595" spans="1:4" ht="14.25" customHeight="1">
      <c r="A595" s="79"/>
      <c r="B595" s="48"/>
      <c r="C595" s="49"/>
      <c r="D595" s="49"/>
    </row>
    <row r="596" spans="1:4" ht="14.25" customHeight="1">
      <c r="A596" s="79"/>
      <c r="B596" s="48"/>
      <c r="C596" s="49"/>
      <c r="D596" s="49"/>
    </row>
    <row r="597" spans="1:4" ht="14.25" customHeight="1">
      <c r="A597" s="79"/>
      <c r="B597" s="48"/>
      <c r="C597" s="49"/>
      <c r="D597" s="49"/>
    </row>
    <row r="598" spans="1:4" ht="14.25" customHeight="1">
      <c r="A598" s="79"/>
      <c r="B598" s="48"/>
      <c r="C598" s="49"/>
      <c r="D598" s="49"/>
    </row>
    <row r="599" spans="1:4" ht="14.25" customHeight="1">
      <c r="A599" s="79"/>
      <c r="B599" s="48"/>
      <c r="C599" s="49"/>
      <c r="D599" s="49"/>
    </row>
    <row r="600" spans="1:4" ht="14.25" customHeight="1">
      <c r="A600" s="79"/>
      <c r="B600" s="48"/>
      <c r="C600" s="49"/>
      <c r="D600" s="49"/>
    </row>
    <row r="601" spans="1:4" ht="14.25" customHeight="1">
      <c r="A601" s="79"/>
      <c r="B601" s="48"/>
      <c r="C601" s="49"/>
      <c r="D601" s="49"/>
    </row>
    <row r="602" spans="1:4" ht="14.25" customHeight="1">
      <c r="A602" s="79"/>
      <c r="B602" s="48"/>
      <c r="C602" s="49"/>
      <c r="D602" s="49"/>
    </row>
    <row r="603" spans="1:4" ht="14.25" customHeight="1">
      <c r="A603" s="79"/>
      <c r="B603" s="48"/>
      <c r="C603" s="49"/>
      <c r="D603" s="49"/>
    </row>
    <row r="604" spans="1:4" ht="14.25" customHeight="1">
      <c r="A604" s="79"/>
      <c r="B604" s="48"/>
      <c r="C604" s="49"/>
      <c r="D604" s="49"/>
    </row>
    <row r="605" spans="1:4" ht="14.25" customHeight="1">
      <c r="A605" s="79"/>
      <c r="B605" s="48"/>
      <c r="C605" s="49"/>
      <c r="D605" s="49"/>
    </row>
    <row r="606" spans="1:4" ht="14.25" customHeight="1">
      <c r="A606" s="79"/>
      <c r="B606" s="48"/>
      <c r="C606" s="49"/>
      <c r="D606" s="49"/>
    </row>
    <row r="607" spans="1:4" ht="14.25" customHeight="1">
      <c r="A607" s="79"/>
      <c r="B607" s="48"/>
      <c r="C607" s="49"/>
      <c r="D607" s="49"/>
    </row>
    <row r="608" spans="1:4" ht="14.25" customHeight="1">
      <c r="A608" s="79"/>
      <c r="B608" s="48"/>
      <c r="C608" s="49"/>
      <c r="D608" s="49"/>
    </row>
    <row r="609" spans="1:4" ht="14.25" customHeight="1">
      <c r="A609" s="79"/>
      <c r="B609" s="48"/>
      <c r="C609" s="49"/>
      <c r="D609" s="49"/>
    </row>
    <row r="610" spans="1:4" ht="14.25" customHeight="1">
      <c r="A610" s="79"/>
      <c r="B610" s="48"/>
      <c r="C610" s="49"/>
      <c r="D610" s="49"/>
    </row>
    <row r="611" spans="1:4" ht="14.25" customHeight="1">
      <c r="A611" s="79"/>
      <c r="B611" s="48"/>
      <c r="C611" s="49"/>
      <c r="D611" s="49"/>
    </row>
    <row r="612" spans="1:4" ht="14.25" customHeight="1">
      <c r="A612" s="79"/>
      <c r="B612" s="48"/>
      <c r="C612" s="49"/>
      <c r="D612" s="49"/>
    </row>
    <row r="613" spans="1:4" ht="14.25" customHeight="1">
      <c r="A613" s="79"/>
      <c r="B613" s="48"/>
      <c r="C613" s="49"/>
      <c r="D613" s="49"/>
    </row>
    <row r="614" spans="1:4" ht="14.25" customHeight="1">
      <c r="A614" s="79"/>
      <c r="B614" s="48"/>
      <c r="C614" s="49"/>
      <c r="D614" s="49"/>
    </row>
    <row r="615" spans="1:4" ht="14.25" customHeight="1">
      <c r="A615" s="79"/>
      <c r="B615" s="48"/>
      <c r="C615" s="49"/>
      <c r="D615" s="49"/>
    </row>
    <row r="616" spans="1:4" ht="14.25" customHeight="1">
      <c r="A616" s="79"/>
      <c r="B616" s="48"/>
      <c r="C616" s="49"/>
      <c r="D616" s="49"/>
    </row>
    <row r="617" spans="1:4" ht="14.25" customHeight="1">
      <c r="A617" s="79"/>
      <c r="B617" s="48"/>
      <c r="C617" s="49"/>
      <c r="D617" s="49"/>
    </row>
    <row r="618" spans="1:4" ht="14.25" customHeight="1">
      <c r="A618" s="79"/>
      <c r="B618" s="48"/>
      <c r="C618" s="49"/>
      <c r="D618" s="49"/>
    </row>
    <row r="619" spans="1:4" ht="14.25" customHeight="1">
      <c r="A619" s="79"/>
      <c r="B619" s="48"/>
      <c r="C619" s="49"/>
      <c r="D619" s="49"/>
    </row>
    <row r="620" spans="1:4" ht="14.25" customHeight="1">
      <c r="A620" s="79"/>
      <c r="B620" s="48"/>
      <c r="C620" s="49"/>
      <c r="D620" s="49"/>
    </row>
    <row r="621" spans="1:4" ht="14.25" customHeight="1">
      <c r="A621" s="79"/>
      <c r="B621" s="48"/>
      <c r="C621" s="49"/>
      <c r="D621" s="49"/>
    </row>
    <row r="622" spans="1:4" ht="14.25" customHeight="1">
      <c r="A622" s="79"/>
      <c r="B622" s="48"/>
      <c r="C622" s="49"/>
      <c r="D622" s="49"/>
    </row>
    <row r="623" spans="1:4" ht="14.25" customHeight="1">
      <c r="A623" s="79"/>
      <c r="B623" s="48"/>
      <c r="C623" s="49"/>
      <c r="D623" s="49"/>
    </row>
    <row r="624" spans="1:4" ht="14.25" customHeight="1">
      <c r="A624" s="79"/>
      <c r="B624" s="48"/>
      <c r="C624" s="49"/>
      <c r="D624" s="49"/>
    </row>
    <row r="625" spans="1:4" ht="14.25" customHeight="1">
      <c r="A625" s="79"/>
      <c r="B625" s="48"/>
      <c r="C625" s="49"/>
      <c r="D625" s="49"/>
    </row>
    <row r="626" spans="1:4" ht="14.25" customHeight="1">
      <c r="A626" s="79"/>
      <c r="B626" s="48"/>
      <c r="C626" s="49"/>
      <c r="D626" s="49"/>
    </row>
    <row r="627" spans="1:4" ht="14.25" customHeight="1">
      <c r="A627" s="79"/>
      <c r="B627" s="48"/>
      <c r="C627" s="49"/>
      <c r="D627" s="49"/>
    </row>
    <row r="628" spans="1:4" ht="14.25" customHeight="1">
      <c r="A628" s="79"/>
      <c r="B628" s="48"/>
      <c r="C628" s="49"/>
      <c r="D628" s="49"/>
    </row>
    <row r="629" spans="1:4" ht="14.25" customHeight="1">
      <c r="A629" s="79"/>
      <c r="B629" s="48"/>
      <c r="C629" s="49"/>
      <c r="D629" s="49"/>
    </row>
    <row r="630" spans="1:4" ht="14.25" customHeight="1">
      <c r="A630" s="79"/>
      <c r="B630" s="48"/>
      <c r="C630" s="49"/>
      <c r="D630" s="49"/>
    </row>
    <row r="631" spans="1:4" ht="14.25" customHeight="1">
      <c r="A631" s="79"/>
      <c r="B631" s="48"/>
      <c r="C631" s="49"/>
      <c r="D631" s="49"/>
    </row>
    <row r="632" spans="1:4" ht="14.25" customHeight="1">
      <c r="A632" s="79"/>
      <c r="B632" s="48"/>
      <c r="C632" s="49"/>
      <c r="D632" s="49"/>
    </row>
    <row r="633" spans="1:4" ht="14.25" customHeight="1">
      <c r="A633" s="79"/>
      <c r="B633" s="48"/>
      <c r="C633" s="49"/>
      <c r="D633" s="49"/>
    </row>
    <row r="634" spans="1:4" ht="14.25" customHeight="1">
      <c r="A634" s="79"/>
      <c r="B634" s="48"/>
      <c r="C634" s="49"/>
      <c r="D634" s="49"/>
    </row>
    <row r="635" spans="1:4" ht="14.25" customHeight="1">
      <c r="A635" s="79"/>
      <c r="B635" s="48"/>
      <c r="C635" s="49"/>
      <c r="D635" s="49"/>
    </row>
    <row r="636" spans="1:4" ht="14.25" customHeight="1">
      <c r="A636" s="79"/>
      <c r="B636" s="48"/>
      <c r="C636" s="49"/>
      <c r="D636" s="49"/>
    </row>
    <row r="637" spans="1:4" ht="14.25" customHeight="1">
      <c r="A637" s="79"/>
      <c r="B637" s="48"/>
      <c r="C637" s="49"/>
      <c r="D637" s="49"/>
    </row>
    <row r="638" spans="1:4" ht="14.25" customHeight="1">
      <c r="A638" s="79"/>
      <c r="B638" s="48"/>
      <c r="C638" s="49"/>
      <c r="D638" s="49"/>
    </row>
    <row r="639" spans="1:4" ht="14.25" customHeight="1">
      <c r="A639" s="79"/>
      <c r="B639" s="48"/>
      <c r="C639" s="49"/>
      <c r="D639" s="49"/>
    </row>
    <row r="640" spans="1:4" ht="14.25" customHeight="1">
      <c r="A640" s="79"/>
      <c r="B640" s="48"/>
      <c r="C640" s="49"/>
      <c r="D640" s="49"/>
    </row>
    <row r="641" spans="1:4" ht="14.25" customHeight="1">
      <c r="A641" s="79"/>
      <c r="B641" s="48"/>
      <c r="C641" s="49"/>
      <c r="D641" s="49"/>
    </row>
    <row r="642" spans="1:4" ht="14.25" customHeight="1">
      <c r="A642" s="79"/>
      <c r="B642" s="48"/>
      <c r="C642" s="49"/>
      <c r="D642" s="49"/>
    </row>
    <row r="643" spans="1:4" ht="14.25" customHeight="1">
      <c r="A643" s="79"/>
      <c r="B643" s="48"/>
      <c r="C643" s="49"/>
      <c r="D643" s="49"/>
    </row>
    <row r="644" spans="1:4" ht="14.25" customHeight="1">
      <c r="A644" s="79"/>
      <c r="B644" s="48"/>
      <c r="C644" s="49"/>
      <c r="D644" s="49"/>
    </row>
    <row r="645" spans="1:4" ht="14.25" customHeight="1">
      <c r="A645" s="79"/>
      <c r="B645" s="48"/>
      <c r="C645" s="49"/>
      <c r="D645" s="49"/>
    </row>
    <row r="646" spans="1:4" ht="14.25" customHeight="1">
      <c r="A646" s="79"/>
      <c r="B646" s="48"/>
      <c r="C646" s="49"/>
      <c r="D646" s="49"/>
    </row>
    <row r="647" spans="1:4" ht="14.25" customHeight="1">
      <c r="A647" s="79"/>
      <c r="B647" s="48"/>
      <c r="C647" s="49"/>
      <c r="D647" s="49"/>
    </row>
    <row r="648" spans="1:4" ht="14.25" customHeight="1">
      <c r="A648" s="79"/>
      <c r="B648" s="48"/>
      <c r="C648" s="49"/>
      <c r="D648" s="49"/>
    </row>
    <row r="649" spans="1:4" ht="14.25" customHeight="1">
      <c r="A649" s="79"/>
      <c r="B649" s="48"/>
      <c r="C649" s="49"/>
      <c r="D649" s="49"/>
    </row>
    <row r="650" spans="1:4" ht="14.25" customHeight="1">
      <c r="A650" s="79"/>
      <c r="B650" s="48"/>
      <c r="C650" s="49"/>
      <c r="D650" s="49"/>
    </row>
    <row r="651" spans="1:4" ht="14.25" customHeight="1">
      <c r="A651" s="79"/>
      <c r="B651" s="48"/>
      <c r="C651" s="49"/>
      <c r="D651" s="49"/>
    </row>
    <row r="652" spans="1:4" ht="14.25" customHeight="1">
      <c r="A652" s="79"/>
      <c r="B652" s="48"/>
      <c r="C652" s="49"/>
      <c r="D652" s="49"/>
    </row>
    <row r="653" spans="1:4" ht="14.25" customHeight="1">
      <c r="A653" s="79"/>
      <c r="B653" s="48"/>
      <c r="C653" s="49"/>
      <c r="D653" s="49"/>
    </row>
    <row r="654" spans="1:4" ht="14.25" customHeight="1">
      <c r="A654" s="79"/>
      <c r="B654" s="48"/>
      <c r="C654" s="49"/>
      <c r="D654" s="49"/>
    </row>
    <row r="655" spans="1:4" ht="14.25" customHeight="1">
      <c r="A655" s="79"/>
      <c r="B655" s="48"/>
      <c r="C655" s="49"/>
      <c r="D655" s="49"/>
    </row>
    <row r="656" spans="1:4" ht="14.25" customHeight="1">
      <c r="A656" s="79"/>
      <c r="B656" s="48"/>
      <c r="C656" s="49"/>
      <c r="D656" s="49"/>
    </row>
    <row r="657" spans="1:4" ht="14.25" customHeight="1">
      <c r="A657" s="79"/>
      <c r="B657" s="48"/>
      <c r="C657" s="49"/>
      <c r="D657" s="49"/>
    </row>
    <row r="658" spans="1:4" ht="14.25" customHeight="1">
      <c r="A658" s="79"/>
      <c r="B658" s="48"/>
      <c r="C658" s="49"/>
      <c r="D658" s="49"/>
    </row>
    <row r="659" spans="1:4" ht="14.25" customHeight="1">
      <c r="A659" s="79"/>
      <c r="B659" s="48"/>
      <c r="C659" s="49"/>
      <c r="D659" s="49"/>
    </row>
    <row r="660" spans="1:4" ht="14.25" customHeight="1">
      <c r="A660" s="79"/>
      <c r="B660" s="48"/>
      <c r="C660" s="49"/>
      <c r="D660" s="49"/>
    </row>
    <row r="661" spans="1:4" ht="14.25" customHeight="1">
      <c r="A661" s="79"/>
      <c r="B661" s="48"/>
      <c r="C661" s="49"/>
      <c r="D661" s="49"/>
    </row>
    <row r="662" spans="1:4" ht="14.25" customHeight="1">
      <c r="A662" s="79"/>
      <c r="B662" s="48"/>
      <c r="C662" s="49"/>
      <c r="D662" s="49"/>
    </row>
    <row r="663" spans="1:4" ht="14.25" customHeight="1">
      <c r="A663" s="79"/>
      <c r="B663" s="48"/>
      <c r="C663" s="49"/>
      <c r="D663" s="49"/>
    </row>
    <row r="664" spans="1:4" ht="14.25" customHeight="1">
      <c r="A664" s="79"/>
      <c r="B664" s="48"/>
      <c r="C664" s="49"/>
      <c r="D664" s="49"/>
    </row>
    <row r="665" spans="1:4" ht="14.25" customHeight="1">
      <c r="A665" s="79"/>
      <c r="B665" s="48"/>
      <c r="C665" s="49"/>
      <c r="D665" s="49"/>
    </row>
    <row r="666" spans="1:4" ht="14.25" customHeight="1">
      <c r="A666" s="79"/>
      <c r="B666" s="48"/>
      <c r="C666" s="49"/>
      <c r="D666" s="49"/>
    </row>
    <row r="667" spans="1:4" ht="14.25" customHeight="1">
      <c r="A667" s="79"/>
      <c r="B667" s="48"/>
      <c r="C667" s="49"/>
      <c r="D667" s="49"/>
    </row>
    <row r="668" spans="1:4" ht="14.25" customHeight="1">
      <c r="A668" s="79"/>
      <c r="B668" s="48"/>
      <c r="C668" s="49"/>
      <c r="D668" s="49"/>
    </row>
    <row r="669" spans="1:4" ht="14.25" customHeight="1">
      <c r="A669" s="79"/>
      <c r="B669" s="48"/>
      <c r="C669" s="49"/>
      <c r="D669" s="49"/>
    </row>
    <row r="670" spans="1:4" ht="14.25" customHeight="1">
      <c r="A670" s="79"/>
      <c r="B670" s="48"/>
      <c r="C670" s="49"/>
      <c r="D670" s="49"/>
    </row>
    <row r="671" spans="1:4" ht="14.25" customHeight="1">
      <c r="A671" s="79"/>
      <c r="B671" s="48"/>
      <c r="C671" s="49"/>
      <c r="D671" s="49"/>
    </row>
    <row r="672" spans="1:4" ht="14.25" customHeight="1">
      <c r="A672" s="79"/>
      <c r="B672" s="48"/>
      <c r="C672" s="49"/>
      <c r="D672" s="49"/>
    </row>
    <row r="673" spans="1:4" ht="14.25" customHeight="1">
      <c r="A673" s="79"/>
      <c r="B673" s="48"/>
      <c r="C673" s="49"/>
      <c r="D673" s="49"/>
    </row>
    <row r="674" spans="1:4" ht="14.25" customHeight="1">
      <c r="A674" s="79"/>
      <c r="B674" s="48"/>
      <c r="C674" s="49"/>
      <c r="D674" s="49"/>
    </row>
    <row r="675" spans="1:4" ht="14.25" customHeight="1">
      <c r="A675" s="79"/>
      <c r="B675" s="48"/>
      <c r="C675" s="49"/>
      <c r="D675" s="49"/>
    </row>
    <row r="676" spans="1:4" ht="14.25" customHeight="1">
      <c r="A676" s="79"/>
      <c r="B676" s="48"/>
      <c r="C676" s="49"/>
      <c r="D676" s="49"/>
    </row>
    <row r="677" spans="1:4" ht="14.25" customHeight="1">
      <c r="A677" s="79"/>
      <c r="B677" s="48"/>
      <c r="C677" s="49"/>
      <c r="D677" s="49"/>
    </row>
    <row r="678" spans="1:4" ht="14.25" customHeight="1">
      <c r="A678" s="79"/>
      <c r="B678" s="48"/>
      <c r="C678" s="49"/>
      <c r="D678" s="49"/>
    </row>
    <row r="679" spans="1:4" ht="14.25" customHeight="1">
      <c r="A679" s="79"/>
      <c r="B679" s="48"/>
      <c r="C679" s="49"/>
      <c r="D679" s="49"/>
    </row>
    <row r="680" spans="1:4" ht="14.25" customHeight="1">
      <c r="A680" s="79"/>
      <c r="B680" s="48"/>
      <c r="C680" s="49"/>
      <c r="D680" s="49"/>
    </row>
    <row r="681" spans="1:4" ht="14.25" customHeight="1">
      <c r="A681" s="79"/>
      <c r="B681" s="48"/>
      <c r="C681" s="49"/>
      <c r="D681" s="49"/>
    </row>
    <row r="682" spans="1:4" ht="14.25" customHeight="1">
      <c r="A682" s="79"/>
      <c r="B682" s="48"/>
      <c r="C682" s="49"/>
      <c r="D682" s="49"/>
    </row>
    <row r="683" spans="1:4" ht="14.25" customHeight="1">
      <c r="A683" s="79"/>
      <c r="B683" s="48"/>
      <c r="C683" s="49"/>
      <c r="D683" s="49"/>
    </row>
    <row r="684" spans="1:4" ht="14.25" customHeight="1">
      <c r="A684" s="79"/>
      <c r="B684" s="48"/>
      <c r="C684" s="49"/>
      <c r="D684" s="49"/>
    </row>
    <row r="685" spans="1:4" ht="14.25" customHeight="1">
      <c r="A685" s="79"/>
      <c r="B685" s="48"/>
      <c r="C685" s="49"/>
      <c r="D685" s="49"/>
    </row>
    <row r="686" spans="1:4" ht="14.25" customHeight="1">
      <c r="A686" s="79"/>
      <c r="B686" s="48"/>
      <c r="C686" s="49"/>
      <c r="D686" s="49"/>
    </row>
    <row r="687" spans="1:4" ht="14.25" customHeight="1">
      <c r="A687" s="79"/>
      <c r="B687" s="48"/>
      <c r="C687" s="49"/>
      <c r="D687" s="49"/>
    </row>
    <row r="688" spans="1:4" ht="14.25" customHeight="1">
      <c r="A688" s="79"/>
      <c r="B688" s="48"/>
      <c r="C688" s="49"/>
      <c r="D688" s="49"/>
    </row>
    <row r="689" spans="1:4" ht="14.25" customHeight="1">
      <c r="A689" s="79"/>
      <c r="B689" s="48"/>
      <c r="C689" s="49"/>
      <c r="D689" s="49"/>
    </row>
    <row r="690" spans="1:4" ht="14.25" customHeight="1">
      <c r="A690" s="79"/>
      <c r="B690" s="48"/>
      <c r="C690" s="49"/>
      <c r="D690" s="49"/>
    </row>
    <row r="691" spans="1:4" ht="14.25" customHeight="1">
      <c r="A691" s="79"/>
      <c r="B691" s="48"/>
      <c r="C691" s="49"/>
      <c r="D691" s="49"/>
    </row>
    <row r="692" spans="1:4" ht="14.25" customHeight="1">
      <c r="A692" s="79"/>
      <c r="B692" s="48"/>
      <c r="C692" s="49"/>
      <c r="D692" s="49"/>
    </row>
    <row r="693" spans="1:4" ht="14.25" customHeight="1">
      <c r="A693" s="79"/>
      <c r="B693" s="48"/>
      <c r="C693" s="49"/>
      <c r="D693" s="49"/>
    </row>
    <row r="694" spans="1:4" ht="14.25" customHeight="1">
      <c r="A694" s="79"/>
      <c r="B694" s="48"/>
      <c r="C694" s="49"/>
      <c r="D694" s="49"/>
    </row>
    <row r="695" spans="1:4" ht="14.25" customHeight="1">
      <c r="A695" s="79"/>
      <c r="B695" s="48"/>
      <c r="C695" s="49"/>
      <c r="D695" s="49"/>
    </row>
    <row r="696" spans="1:4" ht="14.25" customHeight="1">
      <c r="A696" s="79"/>
      <c r="B696" s="48"/>
      <c r="C696" s="49"/>
      <c r="D696" s="49"/>
    </row>
    <row r="697" spans="1:4" ht="14.25" customHeight="1">
      <c r="A697" s="79"/>
      <c r="B697" s="48"/>
      <c r="C697" s="49"/>
      <c r="D697" s="49"/>
    </row>
    <row r="698" spans="1:4" ht="14.25" customHeight="1">
      <c r="A698" s="79"/>
      <c r="B698" s="48"/>
      <c r="C698" s="49"/>
      <c r="D698" s="49"/>
    </row>
    <row r="699" spans="1:4" ht="14.25" customHeight="1">
      <c r="A699" s="79"/>
      <c r="B699" s="48"/>
      <c r="C699" s="49"/>
      <c r="D699" s="49"/>
    </row>
    <row r="700" spans="1:4" ht="14.25" customHeight="1">
      <c r="A700" s="79"/>
      <c r="B700" s="48"/>
      <c r="C700" s="49"/>
      <c r="D700" s="49"/>
    </row>
    <row r="701" spans="1:4" ht="14.25" customHeight="1">
      <c r="A701" s="79"/>
      <c r="B701" s="48"/>
      <c r="C701" s="49"/>
      <c r="D701" s="49"/>
    </row>
    <row r="702" spans="1:4" ht="14.25" customHeight="1">
      <c r="A702" s="79"/>
      <c r="B702" s="48"/>
      <c r="C702" s="49"/>
      <c r="D702" s="49"/>
    </row>
    <row r="703" spans="1:4" ht="14.25" customHeight="1">
      <c r="A703" s="79"/>
      <c r="B703" s="48"/>
      <c r="C703" s="49"/>
      <c r="D703" s="49"/>
    </row>
    <row r="704" spans="1:4" ht="14.25" customHeight="1">
      <c r="A704" s="79"/>
      <c r="B704" s="48"/>
      <c r="C704" s="49"/>
      <c r="D704" s="49"/>
    </row>
    <row r="705" spans="1:4" ht="14.25" customHeight="1">
      <c r="A705" s="79"/>
      <c r="B705" s="48"/>
      <c r="C705" s="49"/>
      <c r="D705" s="49"/>
    </row>
    <row r="706" spans="1:4" ht="14.25" customHeight="1">
      <c r="A706" s="79"/>
      <c r="B706" s="48"/>
      <c r="C706" s="49"/>
      <c r="D706" s="49"/>
    </row>
    <row r="707" spans="1:4" ht="14.25" customHeight="1">
      <c r="A707" s="79"/>
      <c r="B707" s="48"/>
      <c r="C707" s="49"/>
      <c r="D707" s="49"/>
    </row>
    <row r="708" spans="1:4" ht="14.25" customHeight="1">
      <c r="A708" s="79"/>
      <c r="B708" s="48"/>
      <c r="C708" s="49"/>
      <c r="D708" s="49"/>
    </row>
    <row r="709" spans="1:4" ht="14.25" customHeight="1">
      <c r="A709" s="79"/>
      <c r="B709" s="48"/>
      <c r="C709" s="49"/>
      <c r="D709" s="49"/>
    </row>
    <row r="710" spans="1:4" ht="14.25" customHeight="1">
      <c r="A710" s="79"/>
      <c r="B710" s="48"/>
      <c r="C710" s="49"/>
      <c r="D710" s="49"/>
    </row>
    <row r="711" spans="1:4" ht="14.25" customHeight="1">
      <c r="A711" s="79"/>
      <c r="B711" s="48"/>
      <c r="C711" s="49"/>
      <c r="D711" s="49"/>
    </row>
    <row r="712" spans="1:4" ht="14.25" customHeight="1">
      <c r="A712" s="79"/>
      <c r="B712" s="48"/>
      <c r="C712" s="49"/>
      <c r="D712" s="49"/>
    </row>
    <row r="713" spans="1:4" ht="14.25" customHeight="1">
      <c r="A713" s="79"/>
      <c r="B713" s="48"/>
      <c r="C713" s="49"/>
      <c r="D713" s="49"/>
    </row>
    <row r="714" spans="1:4" ht="14.25" customHeight="1">
      <c r="A714" s="79"/>
      <c r="B714" s="48"/>
      <c r="C714" s="49"/>
      <c r="D714" s="49"/>
    </row>
    <row r="715" spans="1:4" ht="14.25" customHeight="1">
      <c r="A715" s="79"/>
      <c r="B715" s="48"/>
      <c r="C715" s="49"/>
      <c r="D715" s="49"/>
    </row>
    <row r="716" spans="1:4" ht="14.25" customHeight="1">
      <c r="A716" s="79"/>
      <c r="B716" s="48"/>
      <c r="C716" s="49"/>
      <c r="D716" s="49"/>
    </row>
    <row r="717" spans="1:4" ht="14.25" customHeight="1">
      <c r="A717" s="79"/>
      <c r="B717" s="48"/>
      <c r="C717" s="49"/>
      <c r="D717" s="49"/>
    </row>
    <row r="718" spans="1:4" ht="14.25" customHeight="1">
      <c r="A718" s="79"/>
      <c r="B718" s="48"/>
      <c r="C718" s="49"/>
      <c r="D718" s="49"/>
    </row>
    <row r="719" spans="1:4" ht="14.25" customHeight="1">
      <c r="A719" s="79"/>
      <c r="B719" s="48"/>
      <c r="C719" s="49"/>
      <c r="D719" s="49"/>
    </row>
    <row r="720" spans="1:4" ht="14.25" customHeight="1">
      <c r="A720" s="79"/>
      <c r="B720" s="48"/>
      <c r="C720" s="49"/>
      <c r="D720" s="49"/>
    </row>
    <row r="721" spans="1:4" ht="14.25" customHeight="1">
      <c r="A721" s="79"/>
      <c r="B721" s="48"/>
      <c r="C721" s="49"/>
      <c r="D721" s="49"/>
    </row>
    <row r="722" spans="1:4" ht="14.25" customHeight="1">
      <c r="A722" s="79"/>
      <c r="B722" s="48"/>
      <c r="C722" s="49"/>
      <c r="D722" s="49"/>
    </row>
    <row r="723" spans="1:4" ht="14.25" customHeight="1">
      <c r="A723" s="79"/>
      <c r="B723" s="48"/>
      <c r="C723" s="49"/>
      <c r="D723" s="49"/>
    </row>
    <row r="724" spans="1:4" ht="14.25" customHeight="1">
      <c r="A724" s="79"/>
      <c r="B724" s="48"/>
      <c r="C724" s="49"/>
      <c r="D724" s="49"/>
    </row>
    <row r="725" spans="1:4" ht="14.25" customHeight="1">
      <c r="A725" s="79"/>
      <c r="B725" s="48"/>
      <c r="C725" s="49"/>
      <c r="D725" s="49"/>
    </row>
    <row r="726" spans="1:4" ht="14.25" customHeight="1">
      <c r="A726" s="79"/>
      <c r="B726" s="48"/>
      <c r="C726" s="49"/>
      <c r="D726" s="49"/>
    </row>
    <row r="727" spans="1:4" ht="14.25" customHeight="1">
      <c r="A727" s="79"/>
      <c r="B727" s="48"/>
      <c r="C727" s="49"/>
      <c r="D727" s="49"/>
    </row>
    <row r="728" spans="1:4" ht="14.25" customHeight="1">
      <c r="A728" s="79"/>
      <c r="B728" s="48"/>
      <c r="C728" s="49"/>
      <c r="D728" s="49"/>
    </row>
    <row r="729" spans="1:4" ht="14.25" customHeight="1">
      <c r="A729" s="79"/>
      <c r="B729" s="48"/>
      <c r="C729" s="49"/>
      <c r="D729" s="49"/>
    </row>
    <row r="730" spans="1:4" ht="14.25" customHeight="1">
      <c r="A730" s="79"/>
      <c r="B730" s="48"/>
      <c r="C730" s="49"/>
      <c r="D730" s="49"/>
    </row>
    <row r="731" spans="1:4" ht="14.25" customHeight="1">
      <c r="A731" s="79"/>
      <c r="B731" s="48"/>
      <c r="C731" s="49"/>
      <c r="D731" s="49"/>
    </row>
    <row r="732" spans="1:4" ht="14.25" customHeight="1">
      <c r="A732" s="79"/>
      <c r="B732" s="48"/>
      <c r="C732" s="49"/>
      <c r="D732" s="49"/>
    </row>
    <row r="733" spans="1:4" ht="14.25" customHeight="1">
      <c r="A733" s="79"/>
      <c r="B733" s="48"/>
      <c r="C733" s="49"/>
      <c r="D733" s="49"/>
    </row>
    <row r="734" spans="1:4" ht="14.25" customHeight="1">
      <c r="A734" s="79"/>
      <c r="B734" s="48"/>
      <c r="C734" s="49"/>
      <c r="D734" s="49"/>
    </row>
    <row r="735" spans="1:4" ht="14.25" customHeight="1">
      <c r="A735" s="79"/>
      <c r="B735" s="48"/>
      <c r="C735" s="49"/>
      <c r="D735" s="49"/>
    </row>
    <row r="736" spans="1:4" ht="14.25" customHeight="1">
      <c r="A736" s="79"/>
      <c r="B736" s="48"/>
      <c r="C736" s="49"/>
      <c r="D736" s="49"/>
    </row>
    <row r="737" spans="1:4" ht="14.25" customHeight="1">
      <c r="A737" s="79"/>
      <c r="B737" s="48"/>
      <c r="C737" s="49"/>
      <c r="D737" s="49"/>
    </row>
    <row r="738" spans="1:4" ht="14.25" customHeight="1">
      <c r="A738" s="79"/>
      <c r="B738" s="48"/>
      <c r="C738" s="49"/>
      <c r="D738" s="49"/>
    </row>
    <row r="739" spans="1:4" ht="14.25" customHeight="1">
      <c r="A739" s="79"/>
      <c r="B739" s="48"/>
      <c r="C739" s="49"/>
      <c r="D739" s="49"/>
    </row>
    <row r="740" spans="1:4" ht="14.25" customHeight="1">
      <c r="A740" s="79"/>
      <c r="B740" s="48"/>
      <c r="C740" s="49"/>
      <c r="D740" s="49"/>
    </row>
    <row r="741" spans="1:4" ht="14.25" customHeight="1">
      <c r="A741" s="79"/>
      <c r="B741" s="48"/>
      <c r="C741" s="49"/>
      <c r="D741" s="49"/>
    </row>
    <row r="742" spans="1:4" ht="14.25" customHeight="1">
      <c r="A742" s="79"/>
      <c r="B742" s="48"/>
      <c r="C742" s="49"/>
      <c r="D742" s="49"/>
    </row>
    <row r="743" spans="1:4" ht="14.25" customHeight="1">
      <c r="A743" s="79"/>
      <c r="B743" s="48"/>
      <c r="C743" s="49"/>
      <c r="D743" s="49"/>
    </row>
    <row r="744" spans="1:4" ht="14.25" customHeight="1">
      <c r="A744" s="79"/>
      <c r="B744" s="48"/>
      <c r="C744" s="49"/>
      <c r="D744" s="49"/>
    </row>
    <row r="745" spans="1:4" ht="14.25" customHeight="1">
      <c r="A745" s="79"/>
      <c r="B745" s="48"/>
      <c r="C745" s="49"/>
      <c r="D745" s="49"/>
    </row>
    <row r="746" spans="1:4" ht="14.25" customHeight="1">
      <c r="A746" s="79"/>
      <c r="B746" s="48"/>
      <c r="C746" s="49"/>
      <c r="D746" s="49"/>
    </row>
    <row r="747" spans="1:4" ht="14.25" customHeight="1">
      <c r="A747" s="79"/>
      <c r="B747" s="48"/>
      <c r="C747" s="49"/>
      <c r="D747" s="49"/>
    </row>
    <row r="748" spans="1:4" ht="14.25" customHeight="1">
      <c r="A748" s="79"/>
      <c r="B748" s="48"/>
      <c r="C748" s="49"/>
      <c r="D748" s="49"/>
    </row>
    <row r="749" spans="1:4" ht="14.25" customHeight="1">
      <c r="A749" s="79"/>
      <c r="B749" s="48"/>
      <c r="C749" s="49"/>
      <c r="D749" s="49"/>
    </row>
    <row r="750" spans="1:4" ht="14.25" customHeight="1">
      <c r="A750" s="79"/>
      <c r="B750" s="48"/>
      <c r="C750" s="49"/>
      <c r="D750" s="49"/>
    </row>
    <row r="751" spans="1:4" ht="14.25" customHeight="1">
      <c r="A751" s="79"/>
      <c r="B751" s="48"/>
      <c r="C751" s="49"/>
      <c r="D751" s="49"/>
    </row>
    <row r="752" spans="1:4" ht="14.25" customHeight="1">
      <c r="A752" s="79"/>
      <c r="B752" s="48"/>
      <c r="C752" s="49"/>
      <c r="D752" s="49"/>
    </row>
    <row r="753" spans="1:4" ht="14.25" customHeight="1">
      <c r="A753" s="79"/>
      <c r="B753" s="48"/>
      <c r="C753" s="49"/>
      <c r="D753" s="49"/>
    </row>
    <row r="754" spans="1:4" ht="14.25" customHeight="1">
      <c r="A754" s="79"/>
      <c r="B754" s="48"/>
      <c r="C754" s="49"/>
      <c r="D754" s="49"/>
    </row>
    <row r="755" spans="1:4" ht="14.25" customHeight="1">
      <c r="A755" s="79"/>
      <c r="B755" s="48"/>
      <c r="C755" s="49"/>
      <c r="D755" s="49"/>
    </row>
    <row r="756" spans="1:4" ht="14.25" customHeight="1">
      <c r="A756" s="79"/>
      <c r="B756" s="48"/>
      <c r="C756" s="49"/>
      <c r="D756" s="49"/>
    </row>
    <row r="757" spans="1:4" ht="14.25" customHeight="1">
      <c r="A757" s="79"/>
      <c r="B757" s="48"/>
      <c r="C757" s="49"/>
      <c r="D757" s="49"/>
    </row>
    <row r="758" spans="1:4" ht="14.25" customHeight="1">
      <c r="A758" s="79"/>
      <c r="B758" s="48"/>
      <c r="C758" s="49"/>
      <c r="D758" s="49"/>
    </row>
    <row r="759" spans="1:4" ht="14.25" customHeight="1">
      <c r="A759" s="79"/>
      <c r="B759" s="48"/>
      <c r="C759" s="49"/>
      <c r="D759" s="49"/>
    </row>
    <row r="760" spans="1:4" ht="14.25" customHeight="1">
      <c r="A760" s="79"/>
      <c r="B760" s="48"/>
      <c r="C760" s="49"/>
      <c r="D760" s="49"/>
    </row>
    <row r="761" spans="1:4" ht="14.25" customHeight="1">
      <c r="A761" s="79"/>
      <c r="B761" s="48"/>
      <c r="C761" s="49"/>
      <c r="D761" s="49"/>
    </row>
    <row r="762" spans="1:4" ht="14.25" customHeight="1">
      <c r="A762" s="79"/>
      <c r="B762" s="48"/>
      <c r="C762" s="49"/>
      <c r="D762" s="49"/>
    </row>
    <row r="763" spans="1:4" ht="14.25" customHeight="1">
      <c r="A763" s="79"/>
      <c r="B763" s="48"/>
      <c r="C763" s="49"/>
      <c r="D763" s="49"/>
    </row>
    <row r="764" spans="1:4" ht="14.25" customHeight="1">
      <c r="A764" s="79"/>
      <c r="B764" s="48"/>
      <c r="C764" s="49"/>
      <c r="D764" s="49"/>
    </row>
    <row r="765" spans="1:4" ht="14.25" customHeight="1">
      <c r="A765" s="79"/>
      <c r="B765" s="48"/>
      <c r="C765" s="49"/>
      <c r="D765" s="49"/>
    </row>
    <row r="766" spans="1:4" ht="14.25" customHeight="1">
      <c r="A766" s="79"/>
      <c r="B766" s="48"/>
      <c r="C766" s="49"/>
      <c r="D766" s="49"/>
    </row>
    <row r="767" spans="1:4" ht="14.25" customHeight="1">
      <c r="A767" s="79"/>
      <c r="B767" s="48"/>
      <c r="C767" s="49"/>
      <c r="D767" s="49"/>
    </row>
    <row r="768" spans="1:4" ht="14.25" customHeight="1">
      <c r="A768" s="79"/>
      <c r="B768" s="48"/>
      <c r="C768" s="49"/>
      <c r="D768" s="49"/>
    </row>
    <row r="769" spans="1:4" ht="14.25" customHeight="1">
      <c r="A769" s="79"/>
      <c r="B769" s="48"/>
      <c r="C769" s="49"/>
      <c r="D769" s="49"/>
    </row>
    <row r="770" spans="1:4" ht="14.25" customHeight="1">
      <c r="A770" s="79"/>
      <c r="B770" s="48"/>
      <c r="C770" s="49"/>
      <c r="D770" s="49"/>
    </row>
    <row r="771" spans="1:4" ht="14.25" customHeight="1">
      <c r="A771" s="79"/>
      <c r="B771" s="48"/>
      <c r="C771" s="49"/>
      <c r="D771" s="49"/>
    </row>
    <row r="772" spans="1:4" ht="14.25" customHeight="1">
      <c r="A772" s="79"/>
      <c r="B772" s="48"/>
      <c r="C772" s="49"/>
      <c r="D772" s="49"/>
    </row>
    <row r="773" spans="1:4" ht="14.25" customHeight="1">
      <c r="A773" s="79"/>
      <c r="B773" s="48"/>
      <c r="C773" s="49"/>
      <c r="D773" s="49"/>
    </row>
    <row r="774" spans="1:4" ht="14.25" customHeight="1">
      <c r="A774" s="79"/>
      <c r="B774" s="48"/>
      <c r="C774" s="49"/>
      <c r="D774" s="49"/>
    </row>
    <row r="775" spans="1:4" ht="14.25" customHeight="1">
      <c r="A775" s="79"/>
      <c r="B775" s="48"/>
      <c r="C775" s="49"/>
      <c r="D775" s="49"/>
    </row>
    <row r="776" spans="1:4" ht="14.25" customHeight="1">
      <c r="A776" s="79"/>
      <c r="B776" s="48"/>
      <c r="C776" s="49"/>
      <c r="D776" s="49"/>
    </row>
    <row r="777" spans="1:4" ht="14.25" customHeight="1">
      <c r="A777" s="79"/>
      <c r="B777" s="48"/>
      <c r="C777" s="49"/>
      <c r="D777" s="49"/>
    </row>
    <row r="778" spans="1:4" ht="14.25" customHeight="1">
      <c r="A778" s="79"/>
      <c r="B778" s="48"/>
      <c r="C778" s="49"/>
      <c r="D778" s="49"/>
    </row>
    <row r="779" spans="1:4" ht="14.25" customHeight="1">
      <c r="A779" s="79"/>
      <c r="B779" s="48"/>
      <c r="C779" s="49"/>
      <c r="D779" s="49"/>
    </row>
    <row r="780" spans="1:4" ht="14.25" customHeight="1">
      <c r="A780" s="79"/>
      <c r="B780" s="48"/>
      <c r="C780" s="49"/>
      <c r="D780" s="49"/>
    </row>
    <row r="781" spans="1:4" ht="14.25" customHeight="1">
      <c r="A781" s="79"/>
      <c r="B781" s="48"/>
      <c r="C781" s="49"/>
      <c r="D781" s="49"/>
    </row>
    <row r="782" spans="1:4" ht="14.25" customHeight="1">
      <c r="A782" s="79"/>
      <c r="B782" s="48"/>
      <c r="C782" s="49"/>
      <c r="D782" s="49"/>
    </row>
    <row r="783" spans="1:4" ht="14.25" customHeight="1">
      <c r="A783" s="79"/>
      <c r="B783" s="48"/>
      <c r="C783" s="49"/>
      <c r="D783" s="49"/>
    </row>
    <row r="784" spans="1:4" ht="14.25" customHeight="1">
      <c r="A784" s="79"/>
      <c r="B784" s="48"/>
      <c r="C784" s="49"/>
      <c r="D784" s="49"/>
    </row>
    <row r="785" spans="1:4" ht="14.25" customHeight="1">
      <c r="A785" s="79"/>
      <c r="B785" s="48"/>
      <c r="C785" s="49"/>
      <c r="D785" s="49"/>
    </row>
    <row r="786" spans="1:4" ht="14.25" customHeight="1">
      <c r="A786" s="79"/>
      <c r="B786" s="48"/>
      <c r="C786" s="49"/>
      <c r="D786" s="49"/>
    </row>
    <row r="787" spans="1:4" ht="14.25" customHeight="1">
      <c r="A787" s="79"/>
      <c r="B787" s="48"/>
      <c r="C787" s="49"/>
      <c r="D787" s="49"/>
    </row>
    <row r="788" spans="1:4" ht="14.25" customHeight="1">
      <c r="A788" s="79"/>
      <c r="B788" s="48"/>
      <c r="C788" s="49"/>
      <c r="D788" s="49"/>
    </row>
    <row r="789" spans="1:4" ht="14.25" customHeight="1">
      <c r="A789" s="79"/>
      <c r="B789" s="48"/>
      <c r="C789" s="49"/>
      <c r="D789" s="49"/>
    </row>
    <row r="790" spans="1:4" ht="14.25" customHeight="1">
      <c r="A790" s="79"/>
      <c r="B790" s="48"/>
      <c r="C790" s="49"/>
      <c r="D790" s="49"/>
    </row>
    <row r="791" spans="1:4" ht="14.25" customHeight="1">
      <c r="A791" s="79"/>
      <c r="B791" s="48"/>
      <c r="C791" s="49"/>
      <c r="D791" s="49"/>
    </row>
    <row r="792" spans="1:4" ht="14.25" customHeight="1">
      <c r="A792" s="79"/>
      <c r="B792" s="48"/>
      <c r="C792" s="49"/>
      <c r="D792" s="49"/>
    </row>
    <row r="793" spans="1:4" ht="14.25" customHeight="1">
      <c r="A793" s="79"/>
      <c r="B793" s="48"/>
      <c r="C793" s="49"/>
      <c r="D793" s="49"/>
    </row>
    <row r="794" spans="1:4" ht="14.25" customHeight="1">
      <c r="A794" s="79"/>
      <c r="B794" s="48"/>
      <c r="C794" s="49"/>
      <c r="D794" s="49"/>
    </row>
    <row r="795" spans="1:4" ht="14.25" customHeight="1">
      <c r="A795" s="79"/>
      <c r="B795" s="48"/>
      <c r="C795" s="49"/>
      <c r="D795" s="49"/>
    </row>
    <row r="796" spans="1:4" ht="14.25" customHeight="1">
      <c r="A796" s="79"/>
      <c r="B796" s="48"/>
      <c r="C796" s="49"/>
      <c r="D796" s="49"/>
    </row>
    <row r="797" spans="1:4" ht="14.25" customHeight="1">
      <c r="A797" s="79"/>
      <c r="B797" s="48"/>
      <c r="C797" s="49"/>
      <c r="D797" s="49"/>
    </row>
    <row r="798" spans="1:4" ht="14.25" customHeight="1">
      <c r="A798" s="79"/>
      <c r="B798" s="48"/>
      <c r="C798" s="49"/>
      <c r="D798" s="49"/>
    </row>
    <row r="799" spans="1:4" ht="14.25" customHeight="1">
      <c r="A799" s="79"/>
      <c r="B799" s="48"/>
      <c r="C799" s="49"/>
      <c r="D799" s="49"/>
    </row>
    <row r="800" spans="1:4" ht="14.25" customHeight="1">
      <c r="A800" s="79"/>
      <c r="B800" s="48"/>
      <c r="C800" s="49"/>
      <c r="D800" s="49"/>
    </row>
    <row r="801" spans="1:4" ht="14.25" customHeight="1">
      <c r="A801" s="79"/>
      <c r="B801" s="48"/>
      <c r="C801" s="49"/>
      <c r="D801" s="49"/>
    </row>
    <row r="802" spans="1:4" ht="14.25" customHeight="1">
      <c r="A802" s="79"/>
      <c r="B802" s="48"/>
      <c r="C802" s="49"/>
      <c r="D802" s="49"/>
    </row>
    <row r="803" spans="1:4" ht="14.25" customHeight="1">
      <c r="A803" s="79"/>
      <c r="B803" s="48"/>
      <c r="C803" s="49"/>
      <c r="D803" s="49"/>
    </row>
    <row r="804" spans="1:4" ht="14.25" customHeight="1">
      <c r="A804" s="79"/>
      <c r="B804" s="48"/>
      <c r="C804" s="49"/>
      <c r="D804" s="49"/>
    </row>
    <row r="805" spans="1:4" ht="14.25" customHeight="1">
      <c r="A805" s="79"/>
      <c r="B805" s="48"/>
      <c r="C805" s="49"/>
      <c r="D805" s="49"/>
    </row>
    <row r="806" spans="1:4" ht="14.25" customHeight="1">
      <c r="A806" s="79"/>
      <c r="B806" s="48"/>
      <c r="C806" s="49"/>
      <c r="D806" s="49"/>
    </row>
    <row r="807" spans="1:4" ht="14.25" customHeight="1">
      <c r="A807" s="79"/>
      <c r="B807" s="48"/>
      <c r="C807" s="49"/>
      <c r="D807" s="49"/>
    </row>
    <row r="808" spans="1:4" ht="14.25" customHeight="1">
      <c r="A808" s="79"/>
      <c r="B808" s="48"/>
      <c r="C808" s="49"/>
      <c r="D808" s="49"/>
    </row>
    <row r="809" spans="1:4" ht="14.25" customHeight="1">
      <c r="A809" s="79"/>
      <c r="B809" s="48"/>
      <c r="C809" s="49"/>
      <c r="D809" s="49"/>
    </row>
    <row r="810" spans="1:4" ht="14.25" customHeight="1">
      <c r="A810" s="79"/>
      <c r="B810" s="48"/>
      <c r="C810" s="49"/>
      <c r="D810" s="49"/>
    </row>
    <row r="811" spans="1:4" ht="14.25" customHeight="1">
      <c r="A811" s="79"/>
      <c r="B811" s="48"/>
      <c r="C811" s="49"/>
      <c r="D811" s="49"/>
    </row>
    <row r="812" spans="1:4" ht="14.25" customHeight="1">
      <c r="A812" s="79"/>
      <c r="B812" s="48"/>
      <c r="C812" s="49"/>
      <c r="D812" s="49"/>
    </row>
    <row r="813" spans="1:4" ht="14.25" customHeight="1">
      <c r="A813" s="79"/>
      <c r="B813" s="48"/>
      <c r="C813" s="49"/>
      <c r="D813" s="49"/>
    </row>
    <row r="814" spans="1:4" ht="14.25" customHeight="1">
      <c r="A814" s="79"/>
      <c r="B814" s="48"/>
      <c r="C814" s="49"/>
      <c r="D814" s="49"/>
    </row>
    <row r="815" spans="1:4" ht="14.25" customHeight="1">
      <c r="A815" s="79"/>
      <c r="B815" s="48"/>
      <c r="C815" s="49"/>
      <c r="D815" s="49"/>
    </row>
    <row r="816" spans="1:4" ht="14.25" customHeight="1">
      <c r="A816" s="79"/>
      <c r="B816" s="48"/>
      <c r="C816" s="49"/>
      <c r="D816" s="49"/>
    </row>
    <row r="817" spans="1:4" ht="14.25" customHeight="1">
      <c r="A817" s="79"/>
      <c r="B817" s="48"/>
      <c r="C817" s="49"/>
      <c r="D817" s="49"/>
    </row>
    <row r="818" spans="1:4" ht="14.25" customHeight="1">
      <c r="A818" s="79"/>
      <c r="B818" s="48"/>
      <c r="C818" s="49"/>
      <c r="D818" s="49"/>
    </row>
    <row r="819" spans="1:4" ht="14.25" customHeight="1">
      <c r="A819" s="79"/>
      <c r="B819" s="48"/>
      <c r="C819" s="49"/>
      <c r="D819" s="49"/>
    </row>
    <row r="820" spans="1:4" ht="14.25" customHeight="1">
      <c r="A820" s="79"/>
      <c r="B820" s="48"/>
      <c r="C820" s="49"/>
      <c r="D820" s="49"/>
    </row>
    <row r="821" spans="1:4" ht="14.25" customHeight="1">
      <c r="A821" s="79"/>
      <c r="B821" s="48"/>
      <c r="C821" s="49"/>
      <c r="D821" s="49"/>
    </row>
    <row r="822" spans="1:4" ht="14.25" customHeight="1">
      <c r="A822" s="79"/>
      <c r="B822" s="48"/>
      <c r="C822" s="49"/>
      <c r="D822" s="49"/>
    </row>
    <row r="823" spans="1:4" ht="14.25" customHeight="1">
      <c r="A823" s="79"/>
      <c r="B823" s="48"/>
      <c r="C823" s="49"/>
      <c r="D823" s="49"/>
    </row>
    <row r="824" spans="1:4" ht="14.25" customHeight="1">
      <c r="A824" s="79"/>
      <c r="B824" s="48"/>
      <c r="C824" s="49"/>
      <c r="D824" s="49"/>
    </row>
    <row r="825" spans="1:4" ht="14.25" customHeight="1">
      <c r="A825" s="79"/>
      <c r="B825" s="48"/>
      <c r="C825" s="49"/>
      <c r="D825" s="49"/>
    </row>
    <row r="826" spans="1:4" ht="14.25" customHeight="1">
      <c r="A826" s="79"/>
      <c r="B826" s="48"/>
      <c r="C826" s="49"/>
      <c r="D826" s="49"/>
    </row>
    <row r="827" spans="1:4" ht="14.25" customHeight="1">
      <c r="A827" s="79"/>
      <c r="B827" s="48"/>
      <c r="C827" s="49"/>
      <c r="D827" s="49"/>
    </row>
    <row r="828" spans="1:4" ht="14.25" customHeight="1">
      <c r="A828" s="79"/>
      <c r="B828" s="48"/>
      <c r="C828" s="49"/>
      <c r="D828" s="49"/>
    </row>
    <row r="829" spans="1:4" ht="14.25" customHeight="1">
      <c r="A829" s="79"/>
      <c r="B829" s="48"/>
      <c r="C829" s="49"/>
      <c r="D829" s="49"/>
    </row>
    <row r="830" spans="1:4" ht="14.25" customHeight="1">
      <c r="A830" s="79"/>
      <c r="B830" s="48"/>
      <c r="C830" s="49"/>
      <c r="D830" s="49"/>
    </row>
    <row r="831" spans="1:4" ht="14.25" customHeight="1">
      <c r="A831" s="79"/>
      <c r="B831" s="48"/>
      <c r="C831" s="49"/>
      <c r="D831" s="49"/>
    </row>
    <row r="832" spans="1:4" ht="14.25" customHeight="1">
      <c r="A832" s="79"/>
      <c r="B832" s="48"/>
      <c r="C832" s="49"/>
      <c r="D832" s="49"/>
    </row>
    <row r="833" spans="1:4" ht="14.25" customHeight="1">
      <c r="A833" s="79"/>
      <c r="B833" s="48"/>
      <c r="C833" s="49"/>
      <c r="D833" s="49"/>
    </row>
    <row r="834" spans="1:4" ht="14.25" customHeight="1">
      <c r="A834" s="79"/>
      <c r="B834" s="48"/>
      <c r="C834" s="49"/>
      <c r="D834" s="49"/>
    </row>
    <row r="835" spans="1:4" ht="14.25" customHeight="1">
      <c r="A835" s="79"/>
      <c r="B835" s="48"/>
      <c r="C835" s="49"/>
      <c r="D835" s="49"/>
    </row>
    <row r="836" spans="1:4" ht="14.25" customHeight="1">
      <c r="A836" s="79"/>
      <c r="B836" s="48"/>
      <c r="C836" s="49"/>
      <c r="D836" s="49"/>
    </row>
    <row r="837" spans="1:4" ht="14.25" customHeight="1">
      <c r="A837" s="79"/>
      <c r="B837" s="48"/>
      <c r="C837" s="49"/>
      <c r="D837" s="49"/>
    </row>
    <row r="838" spans="1:4" ht="14.25" customHeight="1">
      <c r="A838" s="79"/>
      <c r="B838" s="48"/>
      <c r="C838" s="49"/>
      <c r="D838" s="49"/>
    </row>
    <row r="839" spans="1:4" ht="14.25" customHeight="1">
      <c r="A839" s="79"/>
      <c r="B839" s="48"/>
      <c r="C839" s="49"/>
      <c r="D839" s="49"/>
    </row>
    <row r="840" spans="1:4" ht="14.25" customHeight="1">
      <c r="A840" s="79"/>
      <c r="B840" s="48"/>
      <c r="C840" s="49"/>
      <c r="D840" s="49"/>
    </row>
    <row r="841" spans="1:4" ht="14.25" customHeight="1">
      <c r="A841" s="79"/>
      <c r="B841" s="48"/>
      <c r="C841" s="49"/>
      <c r="D841" s="49"/>
    </row>
    <row r="842" spans="1:4" ht="14.25" customHeight="1">
      <c r="A842" s="79"/>
      <c r="B842" s="48"/>
      <c r="C842" s="49"/>
      <c r="D842" s="49"/>
    </row>
    <row r="843" spans="1:4" ht="14.25" customHeight="1">
      <c r="A843" s="79"/>
      <c r="B843" s="48"/>
      <c r="C843" s="49"/>
      <c r="D843" s="49"/>
    </row>
    <row r="844" spans="1:4" ht="14.25" customHeight="1">
      <c r="A844" s="79"/>
      <c r="B844" s="48"/>
      <c r="C844" s="49"/>
      <c r="D844" s="49"/>
    </row>
    <row r="845" spans="1:4" ht="14.25" customHeight="1">
      <c r="A845" s="79"/>
      <c r="B845" s="48"/>
      <c r="C845" s="49"/>
      <c r="D845" s="49"/>
    </row>
    <row r="846" spans="1:4" ht="14.25" customHeight="1">
      <c r="A846" s="79"/>
      <c r="B846" s="48"/>
      <c r="C846" s="49"/>
      <c r="D846" s="49"/>
    </row>
    <row r="847" spans="1:4" ht="14.25" customHeight="1">
      <c r="A847" s="79"/>
      <c r="B847" s="48"/>
      <c r="C847" s="49"/>
      <c r="D847" s="49"/>
    </row>
    <row r="848" spans="1:4" ht="14.25" customHeight="1">
      <c r="A848" s="79"/>
      <c r="B848" s="48"/>
      <c r="C848" s="49"/>
      <c r="D848" s="49"/>
    </row>
    <row r="849" spans="1:4" ht="14.25" customHeight="1">
      <c r="A849" s="79"/>
      <c r="B849" s="48"/>
      <c r="C849" s="49"/>
      <c r="D849" s="49"/>
    </row>
    <row r="850" spans="1:4" ht="14.25" customHeight="1">
      <c r="A850" s="79"/>
      <c r="B850" s="48"/>
      <c r="C850" s="49"/>
      <c r="D850" s="49"/>
    </row>
    <row r="851" spans="1:4" ht="14.25" customHeight="1">
      <c r="A851" s="79"/>
      <c r="B851" s="48"/>
      <c r="C851" s="49"/>
      <c r="D851" s="49"/>
    </row>
    <row r="852" spans="1:4" ht="14.25" customHeight="1">
      <c r="A852" s="79"/>
      <c r="B852" s="48"/>
      <c r="C852" s="49"/>
      <c r="D852" s="49"/>
    </row>
    <row r="853" spans="1:4" ht="14.25" customHeight="1">
      <c r="A853" s="79"/>
      <c r="B853" s="48"/>
      <c r="C853" s="49"/>
      <c r="D853" s="49"/>
    </row>
    <row r="854" spans="1:4" ht="14.25" customHeight="1">
      <c r="A854" s="79"/>
      <c r="B854" s="48"/>
      <c r="C854" s="49"/>
      <c r="D854" s="49"/>
    </row>
    <row r="855" spans="1:4" ht="14.25" customHeight="1">
      <c r="A855" s="79"/>
      <c r="B855" s="48"/>
      <c r="C855" s="49"/>
      <c r="D855" s="49"/>
    </row>
    <row r="856" spans="1:4" ht="14.25" customHeight="1">
      <c r="A856" s="79"/>
      <c r="B856" s="48"/>
      <c r="C856" s="49"/>
      <c r="D856" s="49"/>
    </row>
    <row r="857" spans="1:4" ht="14.25" customHeight="1">
      <c r="A857" s="79"/>
      <c r="B857" s="48"/>
      <c r="C857" s="49"/>
      <c r="D857" s="49"/>
    </row>
    <row r="858" spans="1:4" ht="14.25" customHeight="1">
      <c r="A858" s="79"/>
      <c r="B858" s="48"/>
      <c r="C858" s="49"/>
      <c r="D858" s="49"/>
    </row>
    <row r="859" spans="1:4" ht="14.25" customHeight="1">
      <c r="A859" s="79"/>
      <c r="B859" s="48"/>
      <c r="C859" s="49"/>
      <c r="D859" s="49"/>
    </row>
    <row r="860" spans="1:4" ht="14.25" customHeight="1">
      <c r="A860" s="79"/>
      <c r="B860" s="48"/>
      <c r="C860" s="49"/>
      <c r="D860" s="49"/>
    </row>
    <row r="861" spans="1:4" ht="14.25" customHeight="1">
      <c r="A861" s="79"/>
      <c r="B861" s="48"/>
      <c r="C861" s="49"/>
      <c r="D861" s="49"/>
    </row>
    <row r="862" spans="1:4" ht="14.25" customHeight="1">
      <c r="A862" s="79"/>
      <c r="B862" s="48"/>
      <c r="C862" s="49"/>
      <c r="D862" s="49"/>
    </row>
    <row r="863" spans="1:4" ht="14.25" customHeight="1">
      <c r="A863" s="79"/>
      <c r="B863" s="48"/>
      <c r="C863" s="49"/>
      <c r="D863" s="49"/>
    </row>
    <row r="864" spans="1:4" ht="14.25" customHeight="1">
      <c r="A864" s="79"/>
      <c r="B864" s="48"/>
      <c r="C864" s="49"/>
      <c r="D864" s="49"/>
    </row>
    <row r="865" spans="1:4" ht="14.25" customHeight="1">
      <c r="A865" s="79"/>
      <c r="B865" s="48"/>
      <c r="C865" s="49"/>
      <c r="D865" s="49"/>
    </row>
    <row r="866" spans="1:4" ht="14.25" customHeight="1">
      <c r="A866" s="79"/>
      <c r="B866" s="48"/>
      <c r="C866" s="49"/>
      <c r="D866" s="49"/>
    </row>
    <row r="867" spans="1:4" ht="14.25" customHeight="1">
      <c r="A867" s="79"/>
      <c r="B867" s="48"/>
      <c r="C867" s="49"/>
      <c r="D867" s="49"/>
    </row>
    <row r="868" spans="1:4" ht="14.25" customHeight="1">
      <c r="A868" s="79"/>
      <c r="B868" s="48"/>
      <c r="C868" s="49"/>
      <c r="D868" s="49"/>
    </row>
    <row r="869" spans="1:4" ht="14.25" customHeight="1">
      <c r="A869" s="79"/>
      <c r="B869" s="48"/>
      <c r="C869" s="49"/>
      <c r="D869" s="49"/>
    </row>
    <row r="870" spans="1:4" ht="14.25" customHeight="1">
      <c r="A870" s="79"/>
      <c r="B870" s="48"/>
      <c r="C870" s="49"/>
      <c r="D870" s="49"/>
    </row>
    <row r="871" spans="1:4" ht="14.25" customHeight="1">
      <c r="A871" s="79"/>
      <c r="B871" s="48"/>
      <c r="C871" s="49"/>
      <c r="D871" s="49"/>
    </row>
    <row r="872" spans="1:4" ht="14.25" customHeight="1">
      <c r="A872" s="79"/>
      <c r="B872" s="48"/>
      <c r="C872" s="49"/>
      <c r="D872" s="49"/>
    </row>
    <row r="873" spans="1:4" ht="14.25" customHeight="1">
      <c r="A873" s="79"/>
      <c r="B873" s="48"/>
      <c r="C873" s="49"/>
      <c r="D873" s="49"/>
    </row>
    <row r="874" spans="1:4" ht="14.25" customHeight="1">
      <c r="A874" s="79"/>
      <c r="B874" s="48"/>
      <c r="C874" s="49"/>
      <c r="D874" s="49"/>
    </row>
    <row r="875" spans="1:4" ht="14.25" customHeight="1">
      <c r="A875" s="79"/>
      <c r="B875" s="48"/>
      <c r="C875" s="49"/>
      <c r="D875" s="49"/>
    </row>
    <row r="876" spans="1:4" ht="14.25" customHeight="1">
      <c r="A876" s="79"/>
      <c r="B876" s="48"/>
      <c r="C876" s="49"/>
      <c r="D876" s="49"/>
    </row>
    <row r="877" spans="1:4" ht="14.25" customHeight="1">
      <c r="A877" s="79"/>
      <c r="B877" s="48"/>
      <c r="C877" s="49"/>
      <c r="D877" s="49"/>
    </row>
    <row r="878" spans="1:4" ht="14.25" customHeight="1">
      <c r="A878" s="79"/>
      <c r="B878" s="48"/>
      <c r="C878" s="49"/>
      <c r="D878" s="49"/>
    </row>
    <row r="879" spans="1:4" ht="14.25" customHeight="1">
      <c r="A879" s="79"/>
      <c r="B879" s="48"/>
      <c r="C879" s="49"/>
      <c r="D879" s="49"/>
    </row>
    <row r="880" spans="1:4" ht="14.25" customHeight="1">
      <c r="A880" s="79"/>
      <c r="B880" s="48"/>
      <c r="C880" s="49"/>
      <c r="D880" s="49"/>
    </row>
    <row r="881" spans="1:4" ht="14.25" customHeight="1">
      <c r="A881" s="79"/>
      <c r="B881" s="48"/>
      <c r="C881" s="49"/>
      <c r="D881" s="49"/>
    </row>
    <row r="882" spans="1:4" ht="14.25" customHeight="1">
      <c r="A882" s="79"/>
      <c r="B882" s="48"/>
      <c r="C882" s="49"/>
      <c r="D882" s="49"/>
    </row>
    <row r="883" spans="1:4" ht="14.25" customHeight="1">
      <c r="A883" s="79"/>
      <c r="B883" s="48"/>
      <c r="C883" s="49"/>
      <c r="D883" s="49"/>
    </row>
    <row r="884" spans="1:4" ht="14.25" customHeight="1">
      <c r="A884" s="79"/>
      <c r="B884" s="48"/>
      <c r="C884" s="49"/>
      <c r="D884" s="49"/>
    </row>
    <row r="885" spans="1:4" ht="14.25" customHeight="1">
      <c r="A885" s="79"/>
      <c r="B885" s="48"/>
      <c r="C885" s="49"/>
      <c r="D885" s="49"/>
    </row>
    <row r="886" spans="1:4" ht="14.25" customHeight="1">
      <c r="A886" s="79"/>
      <c r="B886" s="48"/>
      <c r="C886" s="49"/>
      <c r="D886" s="49"/>
    </row>
    <row r="887" spans="1:4" ht="14.25" customHeight="1">
      <c r="A887" s="79"/>
      <c r="B887" s="48"/>
      <c r="C887" s="49"/>
      <c r="D887" s="49"/>
    </row>
    <row r="888" spans="1:4" ht="14.25" customHeight="1">
      <c r="A888" s="79"/>
      <c r="B888" s="48"/>
      <c r="C888" s="49"/>
      <c r="D888" s="49"/>
    </row>
    <row r="889" spans="1:4" ht="14.25" customHeight="1">
      <c r="A889" s="79"/>
      <c r="B889" s="48"/>
      <c r="C889" s="49"/>
      <c r="D889" s="49"/>
    </row>
    <row r="890" spans="1:4" ht="14.25" customHeight="1">
      <c r="A890" s="79"/>
      <c r="B890" s="48"/>
      <c r="C890" s="49"/>
      <c r="D890" s="49"/>
    </row>
    <row r="891" spans="1:4" ht="14.25" customHeight="1">
      <c r="A891" s="79"/>
      <c r="B891" s="48"/>
      <c r="C891" s="49"/>
      <c r="D891" s="49"/>
    </row>
    <row r="892" spans="1:4" ht="14.25" customHeight="1">
      <c r="A892" s="79"/>
      <c r="B892" s="48"/>
      <c r="C892" s="49"/>
      <c r="D892" s="49"/>
    </row>
    <row r="893" spans="1:4" ht="14.25" customHeight="1">
      <c r="A893" s="79"/>
      <c r="B893" s="48"/>
      <c r="C893" s="49"/>
      <c r="D893" s="49"/>
    </row>
    <row r="894" spans="1:4" ht="14.25" customHeight="1">
      <c r="A894" s="79"/>
      <c r="B894" s="48"/>
      <c r="C894" s="49"/>
      <c r="D894" s="49"/>
    </row>
    <row r="895" spans="1:4" ht="14.25" customHeight="1">
      <c r="A895" s="79"/>
      <c r="B895" s="48"/>
      <c r="C895" s="49"/>
      <c r="D895" s="49"/>
    </row>
    <row r="896" spans="1:4" ht="14.25" customHeight="1">
      <c r="A896" s="79"/>
      <c r="B896" s="48"/>
      <c r="C896" s="49"/>
      <c r="D896" s="49"/>
    </row>
    <row r="897" spans="1:4" ht="14.25" customHeight="1">
      <c r="A897" s="79"/>
      <c r="B897" s="48"/>
      <c r="C897" s="49"/>
      <c r="D897" s="49"/>
    </row>
    <row r="898" spans="1:4" ht="14.25" customHeight="1">
      <c r="A898" s="79"/>
      <c r="B898" s="48"/>
      <c r="C898" s="49"/>
      <c r="D898" s="49"/>
    </row>
    <row r="899" spans="1:4" ht="14.25" customHeight="1">
      <c r="A899" s="79"/>
      <c r="B899" s="48"/>
      <c r="C899" s="49"/>
      <c r="D899" s="49"/>
    </row>
    <row r="900" spans="1:4" ht="14.25" customHeight="1">
      <c r="A900" s="79"/>
      <c r="B900" s="48"/>
      <c r="C900" s="49"/>
      <c r="D900" s="49"/>
    </row>
    <row r="901" spans="1:4" ht="14.25" customHeight="1">
      <c r="A901" s="79"/>
      <c r="B901" s="48"/>
      <c r="C901" s="49"/>
      <c r="D901" s="49"/>
    </row>
    <row r="902" spans="1:4" ht="14.25" customHeight="1">
      <c r="A902" s="79"/>
      <c r="B902" s="48"/>
      <c r="C902" s="49"/>
      <c r="D902" s="49"/>
    </row>
    <row r="903" spans="1:4" ht="14.25" customHeight="1">
      <c r="A903" s="79"/>
      <c r="B903" s="48"/>
      <c r="C903" s="49"/>
      <c r="D903" s="49"/>
    </row>
    <row r="904" spans="1:4" ht="14.25" customHeight="1">
      <c r="A904" s="79"/>
      <c r="B904" s="48"/>
      <c r="C904" s="49"/>
      <c r="D904" s="49"/>
    </row>
    <row r="905" spans="1:4" ht="14.25" customHeight="1">
      <c r="A905" s="79"/>
      <c r="B905" s="48"/>
      <c r="C905" s="49"/>
      <c r="D905" s="49"/>
    </row>
    <row r="906" spans="1:4" ht="14.25" customHeight="1">
      <c r="A906" s="79"/>
      <c r="B906" s="48"/>
      <c r="C906" s="49"/>
      <c r="D906" s="49"/>
    </row>
    <row r="907" spans="1:4" ht="14.25" customHeight="1">
      <c r="A907" s="79"/>
      <c r="B907" s="48"/>
      <c r="C907" s="49"/>
      <c r="D907" s="49"/>
    </row>
    <row r="908" spans="1:4" ht="14.25" customHeight="1">
      <c r="A908" s="79"/>
      <c r="B908" s="48"/>
      <c r="C908" s="49"/>
      <c r="D908" s="49"/>
    </row>
    <row r="909" spans="1:4" ht="14.25" customHeight="1">
      <c r="A909" s="79"/>
      <c r="B909" s="48"/>
      <c r="C909" s="49"/>
      <c r="D909" s="49"/>
    </row>
    <row r="910" spans="1:4" ht="14.25" customHeight="1">
      <c r="A910" s="79"/>
      <c r="B910" s="48"/>
      <c r="C910" s="49"/>
      <c r="D910" s="49"/>
    </row>
    <row r="911" spans="1:4" ht="14.25" customHeight="1">
      <c r="A911" s="79"/>
      <c r="B911" s="48"/>
      <c r="C911" s="49"/>
      <c r="D911" s="49"/>
    </row>
    <row r="912" spans="1:4" ht="14.25" customHeight="1">
      <c r="A912" s="79"/>
      <c r="B912" s="48"/>
      <c r="C912" s="49"/>
      <c r="D912" s="49"/>
    </row>
    <row r="913" spans="1:4" ht="14.25" customHeight="1">
      <c r="A913" s="79"/>
      <c r="B913" s="48"/>
      <c r="C913" s="49"/>
      <c r="D913" s="49"/>
    </row>
    <row r="914" spans="1:4" ht="14.25" customHeight="1">
      <c r="A914" s="79"/>
      <c r="B914" s="48"/>
      <c r="C914" s="49"/>
      <c r="D914" s="49"/>
    </row>
    <row r="915" spans="1:4" ht="14.25" customHeight="1">
      <c r="A915" s="79"/>
      <c r="B915" s="48"/>
      <c r="C915" s="49"/>
      <c r="D915" s="49"/>
    </row>
    <row r="916" spans="1:4" ht="14.25" customHeight="1">
      <c r="A916" s="79"/>
      <c r="B916" s="48"/>
      <c r="C916" s="49"/>
      <c r="D916" s="49"/>
    </row>
    <row r="917" spans="1:4" ht="14.25" customHeight="1">
      <c r="A917" s="79"/>
      <c r="B917" s="48"/>
      <c r="C917" s="49"/>
      <c r="D917" s="49"/>
    </row>
    <row r="918" spans="1:4" ht="14.25" customHeight="1">
      <c r="A918" s="79"/>
      <c r="B918" s="48"/>
      <c r="C918" s="49"/>
      <c r="D918" s="49"/>
    </row>
    <row r="919" spans="1:4" ht="14.25" customHeight="1">
      <c r="A919" s="79"/>
      <c r="B919" s="48"/>
      <c r="C919" s="49"/>
      <c r="D919" s="49"/>
    </row>
    <row r="920" spans="1:4" ht="14.25" customHeight="1">
      <c r="A920" s="79"/>
      <c r="B920" s="48"/>
      <c r="C920" s="49"/>
      <c r="D920" s="49"/>
    </row>
    <row r="921" spans="1:4" ht="14.25" customHeight="1">
      <c r="A921" s="79"/>
      <c r="B921" s="48"/>
      <c r="C921" s="49"/>
      <c r="D921" s="49"/>
    </row>
    <row r="922" spans="1:4" ht="14.25" customHeight="1">
      <c r="A922" s="79"/>
      <c r="B922" s="48"/>
      <c r="C922" s="49"/>
      <c r="D922" s="49"/>
    </row>
    <row r="923" spans="1:4" ht="14.25" customHeight="1">
      <c r="A923" s="79"/>
      <c r="B923" s="48"/>
      <c r="C923" s="49"/>
      <c r="D923" s="49"/>
    </row>
    <row r="924" spans="1:4" ht="14.25" customHeight="1">
      <c r="A924" s="79"/>
      <c r="B924" s="48"/>
      <c r="C924" s="49"/>
      <c r="D924" s="49"/>
    </row>
    <row r="925" spans="1:4" ht="14.25" customHeight="1">
      <c r="A925" s="79"/>
      <c r="B925" s="48"/>
      <c r="C925" s="49"/>
      <c r="D925" s="49"/>
    </row>
    <row r="926" spans="1:4" ht="14.25" customHeight="1">
      <c r="A926" s="79"/>
      <c r="B926" s="48"/>
      <c r="C926" s="49"/>
      <c r="D926" s="49"/>
    </row>
    <row r="927" spans="1:4" ht="14.25" customHeight="1">
      <c r="A927" s="79"/>
      <c r="B927" s="48"/>
      <c r="C927" s="49"/>
      <c r="D927" s="49"/>
    </row>
    <row r="928" spans="1:4" ht="14.25" customHeight="1">
      <c r="A928" s="79"/>
      <c r="B928" s="48"/>
      <c r="C928" s="49"/>
      <c r="D928" s="49"/>
    </row>
    <row r="929" spans="1:4" ht="14.25" customHeight="1">
      <c r="A929" s="79"/>
      <c r="B929" s="48"/>
      <c r="C929" s="49"/>
      <c r="D929" s="49"/>
    </row>
    <row r="930" spans="1:4" ht="14.25" customHeight="1">
      <c r="A930" s="79"/>
      <c r="B930" s="48"/>
      <c r="C930" s="49"/>
      <c r="D930" s="49"/>
    </row>
    <row r="931" spans="1:4" ht="14.25" customHeight="1">
      <c r="A931" s="79"/>
      <c r="B931" s="48"/>
      <c r="C931" s="49"/>
      <c r="D931" s="49"/>
    </row>
    <row r="932" spans="1:4" ht="14.25" customHeight="1">
      <c r="A932" s="79"/>
      <c r="B932" s="48"/>
      <c r="C932" s="49"/>
      <c r="D932" s="49"/>
    </row>
    <row r="933" spans="1:4" ht="14.25" customHeight="1">
      <c r="A933" s="79"/>
      <c r="B933" s="48"/>
      <c r="C933" s="49"/>
      <c r="D933" s="49"/>
    </row>
    <row r="934" spans="1:4" ht="14.25" customHeight="1">
      <c r="A934" s="79"/>
      <c r="B934" s="48"/>
      <c r="C934" s="49"/>
      <c r="D934" s="49"/>
    </row>
    <row r="935" spans="1:4" ht="14.25" customHeight="1">
      <c r="A935" s="79"/>
      <c r="B935" s="48"/>
      <c r="C935" s="49"/>
      <c r="D935" s="49"/>
    </row>
    <row r="936" spans="1:4" ht="14.25" customHeight="1">
      <c r="A936" s="79"/>
      <c r="B936" s="48"/>
      <c r="C936" s="49"/>
      <c r="D936" s="49"/>
    </row>
    <row r="937" spans="1:4" ht="14.25" customHeight="1">
      <c r="A937" s="79"/>
      <c r="B937" s="48"/>
      <c r="C937" s="49"/>
      <c r="D937" s="49"/>
    </row>
    <row r="938" spans="1:4" ht="14.25" customHeight="1">
      <c r="A938" s="79"/>
      <c r="B938" s="48"/>
      <c r="C938" s="49"/>
      <c r="D938" s="49"/>
    </row>
    <row r="939" spans="1:4" ht="14.25" customHeight="1">
      <c r="A939" s="79"/>
      <c r="B939" s="48"/>
      <c r="C939" s="49"/>
      <c r="D939" s="49"/>
    </row>
    <row r="940" spans="1:4" ht="14.25" customHeight="1">
      <c r="A940" s="79"/>
      <c r="B940" s="48"/>
      <c r="C940" s="49"/>
      <c r="D940" s="49"/>
    </row>
    <row r="941" spans="1:4" ht="14.25" customHeight="1">
      <c r="A941" s="79"/>
      <c r="B941" s="48"/>
      <c r="C941" s="49"/>
      <c r="D941" s="49"/>
    </row>
    <row r="942" spans="1:4" ht="14.25" customHeight="1">
      <c r="A942" s="79"/>
      <c r="B942" s="48"/>
      <c r="C942" s="49"/>
      <c r="D942" s="49"/>
    </row>
    <row r="943" spans="1:4" ht="14.25" customHeight="1">
      <c r="A943" s="79"/>
      <c r="B943" s="48"/>
      <c r="C943" s="49"/>
      <c r="D943" s="49"/>
    </row>
    <row r="944" spans="1:4" ht="14.25" customHeight="1">
      <c r="A944" s="79"/>
      <c r="B944" s="48"/>
      <c r="C944" s="49"/>
      <c r="D944" s="49"/>
    </row>
    <row r="945" spans="1:4" ht="14.25" customHeight="1">
      <c r="A945" s="79"/>
      <c r="B945" s="48"/>
      <c r="C945" s="49"/>
      <c r="D945" s="49"/>
    </row>
    <row r="946" spans="1:4" ht="14.25" customHeight="1">
      <c r="A946" s="79"/>
      <c r="B946" s="48"/>
      <c r="C946" s="49"/>
      <c r="D946" s="49"/>
    </row>
    <row r="947" spans="1:4" ht="14.25" customHeight="1">
      <c r="A947" s="79"/>
      <c r="B947" s="48"/>
      <c r="C947" s="49"/>
      <c r="D947" s="49"/>
    </row>
    <row r="948" spans="1:4" ht="14.25" customHeight="1">
      <c r="A948" s="79"/>
      <c r="B948" s="48"/>
      <c r="C948" s="49"/>
      <c r="D948" s="49"/>
    </row>
    <row r="949" spans="1:4" ht="14.25" customHeight="1">
      <c r="A949" s="79"/>
      <c r="B949" s="48"/>
      <c r="C949" s="49"/>
      <c r="D949" s="49"/>
    </row>
    <row r="950" spans="1:4" ht="14.25" customHeight="1">
      <c r="A950" s="79"/>
      <c r="B950" s="48"/>
      <c r="C950" s="49"/>
      <c r="D950" s="49"/>
    </row>
    <row r="951" spans="1:4" ht="14.25" customHeight="1">
      <c r="A951" s="79"/>
      <c r="B951" s="48"/>
      <c r="C951" s="49"/>
      <c r="D951" s="49"/>
    </row>
    <row r="952" spans="1:4" ht="14.25" customHeight="1">
      <c r="A952" s="79"/>
      <c r="B952" s="48"/>
      <c r="C952" s="49"/>
      <c r="D952" s="49"/>
    </row>
    <row r="953" spans="1:4" ht="14.25" customHeight="1">
      <c r="A953" s="79"/>
      <c r="B953" s="48"/>
      <c r="C953" s="49"/>
      <c r="D953" s="49"/>
    </row>
    <row r="954" spans="1:4" ht="14.25" customHeight="1">
      <c r="A954" s="79"/>
      <c r="B954" s="48"/>
      <c r="C954" s="49"/>
      <c r="D954" s="49"/>
    </row>
    <row r="955" spans="1:4" ht="14.25" customHeight="1">
      <c r="A955" s="79"/>
      <c r="B955" s="48"/>
      <c r="C955" s="49"/>
      <c r="D955" s="49"/>
    </row>
    <row r="956" spans="1:4" ht="14.25" customHeight="1">
      <c r="A956" s="79"/>
      <c r="B956" s="48"/>
      <c r="C956" s="49"/>
      <c r="D956" s="49"/>
    </row>
    <row r="957" spans="1:4" ht="14.25" customHeight="1">
      <c r="A957" s="79"/>
      <c r="B957" s="48"/>
      <c r="C957" s="49"/>
      <c r="D957" s="49"/>
    </row>
    <row r="958" spans="1:4" ht="14.25" customHeight="1">
      <c r="A958" s="79"/>
      <c r="B958" s="48"/>
      <c r="C958" s="49"/>
      <c r="D958" s="49"/>
    </row>
    <row r="959" spans="1:4" ht="14.25" customHeight="1">
      <c r="A959" s="79"/>
      <c r="B959" s="48"/>
      <c r="C959" s="49"/>
      <c r="D959" s="49"/>
    </row>
    <row r="960" spans="1:4" ht="14.25" customHeight="1">
      <c r="A960" s="79"/>
      <c r="B960" s="48"/>
      <c r="C960" s="49"/>
      <c r="D960" s="49"/>
    </row>
    <row r="961" spans="1:4" ht="14.25" customHeight="1">
      <c r="A961" s="79"/>
      <c r="B961" s="48"/>
      <c r="C961" s="49"/>
      <c r="D961" s="49"/>
    </row>
    <row r="962" spans="1:4" ht="14.25" customHeight="1">
      <c r="A962" s="79"/>
      <c r="B962" s="48"/>
      <c r="C962" s="49"/>
      <c r="D962" s="49"/>
    </row>
    <row r="963" spans="1:4" ht="14.25" customHeight="1">
      <c r="A963" s="79"/>
      <c r="B963" s="48"/>
      <c r="C963" s="49"/>
      <c r="D963" s="49"/>
    </row>
    <row r="964" spans="1:4" ht="14.25" customHeight="1">
      <c r="A964" s="79"/>
      <c r="B964" s="48"/>
      <c r="C964" s="49"/>
      <c r="D964" s="49"/>
    </row>
    <row r="965" spans="1:4" ht="14.25" customHeight="1">
      <c r="A965" s="79"/>
      <c r="B965" s="48"/>
      <c r="C965" s="49"/>
      <c r="D965" s="49"/>
    </row>
    <row r="966" spans="1:4" ht="14.25" customHeight="1">
      <c r="A966" s="79"/>
      <c r="B966" s="48"/>
      <c r="C966" s="49"/>
      <c r="D966" s="49"/>
    </row>
    <row r="967" spans="1:4" ht="14.25" customHeight="1">
      <c r="A967" s="79"/>
      <c r="B967" s="48"/>
      <c r="C967" s="49"/>
      <c r="D967" s="49"/>
    </row>
    <row r="968" spans="1:4" ht="14.25" customHeight="1">
      <c r="A968" s="79"/>
      <c r="B968" s="48"/>
      <c r="C968" s="49"/>
      <c r="D968" s="49"/>
    </row>
    <row r="969" spans="1:4" ht="14.25" customHeight="1">
      <c r="A969" s="79"/>
      <c r="B969" s="48"/>
      <c r="C969" s="49"/>
      <c r="D969" s="49"/>
    </row>
    <row r="970" spans="1:4" ht="14.25" customHeight="1">
      <c r="A970" s="79"/>
      <c r="B970" s="48"/>
      <c r="C970" s="49"/>
      <c r="D970" s="49"/>
    </row>
    <row r="971" spans="1:4" ht="14.25" customHeight="1">
      <c r="A971" s="79"/>
      <c r="B971" s="48"/>
      <c r="C971" s="49"/>
      <c r="D971" s="49"/>
    </row>
    <row r="972" spans="1:4" ht="14.25" customHeight="1">
      <c r="A972" s="79"/>
      <c r="B972" s="48"/>
      <c r="C972" s="49"/>
      <c r="D972" s="49"/>
    </row>
    <row r="973" spans="1:4" ht="14.25" customHeight="1">
      <c r="A973" s="79"/>
      <c r="B973" s="48"/>
      <c r="C973" s="49"/>
      <c r="D973" s="49"/>
    </row>
    <row r="974" spans="1:4" ht="14.25" customHeight="1">
      <c r="A974" s="79"/>
      <c r="B974" s="48"/>
      <c r="C974" s="49"/>
      <c r="D974" s="49"/>
    </row>
    <row r="975" spans="1:4" ht="14.25" customHeight="1">
      <c r="A975" s="79"/>
      <c r="B975" s="48"/>
      <c r="C975" s="49"/>
      <c r="D975" s="49"/>
    </row>
    <row r="976" spans="1:4" ht="14.25" customHeight="1">
      <c r="A976" s="79"/>
      <c r="B976" s="48"/>
      <c r="C976" s="49"/>
      <c r="D976" s="49"/>
    </row>
    <row r="977" spans="1:4" ht="14.25" customHeight="1">
      <c r="A977" s="79"/>
      <c r="B977" s="48"/>
      <c r="C977" s="49"/>
      <c r="D977" s="49"/>
    </row>
    <row r="978" spans="1:4" ht="14.25" customHeight="1">
      <c r="A978" s="79"/>
      <c r="B978" s="48"/>
      <c r="C978" s="49"/>
      <c r="D978" s="49"/>
    </row>
    <row r="979" spans="1:4" ht="14.25" customHeight="1">
      <c r="A979" s="79"/>
      <c r="B979" s="48"/>
      <c r="C979" s="49"/>
      <c r="D979" s="49"/>
    </row>
    <row r="980" spans="1:4" ht="14.25" customHeight="1">
      <c r="A980" s="79"/>
      <c r="B980" s="48"/>
      <c r="C980" s="49"/>
      <c r="D980" s="49"/>
    </row>
    <row r="981" spans="1:4" ht="14.25" customHeight="1">
      <c r="A981" s="79"/>
      <c r="B981" s="48"/>
      <c r="C981" s="49"/>
      <c r="D981" s="49"/>
    </row>
    <row r="982" spans="1:4" ht="14.25" customHeight="1">
      <c r="A982" s="79"/>
      <c r="B982" s="48"/>
      <c r="C982" s="49"/>
      <c r="D982" s="49"/>
    </row>
    <row r="983" spans="1:4" ht="14.25" customHeight="1">
      <c r="A983" s="79"/>
      <c r="B983" s="48"/>
      <c r="C983" s="49"/>
      <c r="D983" s="49"/>
    </row>
    <row r="984" spans="1:4" ht="14.25" customHeight="1">
      <c r="A984" s="79"/>
      <c r="B984" s="48"/>
      <c r="C984" s="49"/>
      <c r="D984" s="49"/>
    </row>
    <row r="985" spans="1:4" ht="14.25" customHeight="1">
      <c r="A985" s="79"/>
      <c r="B985" s="48"/>
      <c r="C985" s="49"/>
      <c r="D985" s="49"/>
    </row>
    <row r="986" spans="1:4" ht="14.25" customHeight="1">
      <c r="A986" s="79"/>
      <c r="B986" s="48"/>
      <c r="C986" s="49"/>
      <c r="D986" s="49"/>
    </row>
    <row r="987" spans="1:4" ht="14.25" customHeight="1">
      <c r="A987" s="79"/>
      <c r="B987" s="48"/>
      <c r="C987" s="49"/>
      <c r="D987" s="49"/>
    </row>
    <row r="988" spans="1:4" ht="14.25" customHeight="1">
      <c r="A988" s="79"/>
      <c r="B988" s="48"/>
      <c r="C988" s="49"/>
      <c r="D988" s="49"/>
    </row>
    <row r="989" spans="1:4" ht="14.25" customHeight="1">
      <c r="A989" s="79"/>
      <c r="B989" s="48"/>
      <c r="C989" s="49"/>
      <c r="D989" s="49"/>
    </row>
    <row r="990" spans="1:4" ht="14.25" customHeight="1">
      <c r="A990" s="79"/>
      <c r="B990" s="48"/>
      <c r="C990" s="49"/>
      <c r="D990" s="49"/>
    </row>
    <row r="991" spans="1:4" ht="14.25" customHeight="1">
      <c r="A991" s="79"/>
      <c r="B991" s="48"/>
      <c r="C991" s="49"/>
      <c r="D991" s="49"/>
    </row>
    <row r="992" spans="1:4" ht="14.25" customHeight="1">
      <c r="A992" s="79"/>
      <c r="B992" s="48"/>
      <c r="C992" s="49"/>
      <c r="D992" s="49"/>
    </row>
    <row r="993" spans="1:4" ht="14.25" customHeight="1">
      <c r="A993" s="79"/>
      <c r="B993" s="48"/>
      <c r="C993" s="49"/>
      <c r="D993" s="49"/>
    </row>
    <row r="994" spans="1:4" ht="14.25" customHeight="1">
      <c r="A994" s="79"/>
      <c r="B994" s="48"/>
      <c r="C994" s="49"/>
      <c r="D994" s="49"/>
    </row>
    <row r="995" spans="1:4" ht="14.25" customHeight="1">
      <c r="A995" s="79"/>
      <c r="B995" s="48"/>
      <c r="C995" s="49"/>
      <c r="D995" s="49"/>
    </row>
    <row r="996" spans="1:4" ht="14.25" customHeight="1">
      <c r="A996" s="79"/>
      <c r="B996" s="48"/>
      <c r="C996" s="49"/>
      <c r="D996" s="49"/>
    </row>
    <row r="997" spans="1:4" ht="14.25" customHeight="1">
      <c r="A997" s="79"/>
      <c r="B997" s="48"/>
      <c r="C997" s="49"/>
      <c r="D997" s="49"/>
    </row>
    <row r="998" spans="1:4" ht="14.25" customHeight="1">
      <c r="A998" s="79"/>
      <c r="B998" s="48"/>
      <c r="C998" s="49"/>
      <c r="D998" s="49"/>
    </row>
    <row r="999" spans="1:4" ht="14.25" customHeight="1">
      <c r="A999" s="79"/>
      <c r="B999" s="48"/>
      <c r="C999" s="49"/>
      <c r="D999" s="49"/>
    </row>
    <row r="1000" spans="1:4" ht="14.25" customHeight="1">
      <c r="A1000" s="79"/>
      <c r="B1000" s="48"/>
      <c r="C1000" s="49"/>
      <c r="D1000" s="49"/>
    </row>
  </sheetData>
  <pageMargins left="0.7" right="0.7" top="0.75" bottom="0.75" header="0" footer="0"/>
  <pageSetup orientation="landscape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AA12"/>
  <sheetViews>
    <sheetView workbookViewId="0"/>
  </sheetViews>
  <sheetFormatPr baseColWidth="10" defaultColWidth="14.44140625" defaultRowHeight="15" customHeight="1"/>
  <sheetData>
    <row r="1" spans="1:27">
      <c r="A1" s="62" t="s">
        <v>373</v>
      </c>
      <c r="B1" s="62" t="s">
        <v>374</v>
      </c>
      <c r="C1" s="63" t="s">
        <v>375</v>
      </c>
      <c r="D1" s="63" t="s">
        <v>376</v>
      </c>
      <c r="E1" s="64" t="s">
        <v>377</v>
      </c>
      <c r="F1" s="64" t="s">
        <v>378</v>
      </c>
      <c r="G1" s="65" t="s">
        <v>379</v>
      </c>
      <c r="H1" s="65" t="s">
        <v>380</v>
      </c>
      <c r="I1" s="66" t="s">
        <v>381</v>
      </c>
      <c r="J1" s="66" t="s">
        <v>382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>
      <c r="A2" s="67">
        <v>1</v>
      </c>
      <c r="B2" s="9" t="s">
        <v>383</v>
      </c>
      <c r="C2" s="68">
        <v>0.39100000000000001</v>
      </c>
      <c r="D2" s="26">
        <v>1.4999999999999999E-2</v>
      </c>
      <c r="E2" s="26">
        <v>1.4999999999999999E-2</v>
      </c>
      <c r="F2" s="69">
        <v>0.13</v>
      </c>
      <c r="G2" s="69">
        <v>0.13</v>
      </c>
      <c r="H2" s="69">
        <v>0.23</v>
      </c>
      <c r="I2" s="69">
        <v>0.23</v>
      </c>
      <c r="J2" s="67">
        <v>1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5" spans="1:27">
      <c r="D5" s="3"/>
    </row>
    <row r="6" spans="1:27">
      <c r="D6" s="3"/>
    </row>
    <row r="7" spans="1:27">
      <c r="D7" s="3"/>
    </row>
    <row r="11" spans="1:27">
      <c r="C11" s="23"/>
    </row>
    <row r="12" spans="1:27">
      <c r="C12" s="23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1:AA1030"/>
  <sheetViews>
    <sheetView workbookViewId="0"/>
  </sheetViews>
  <sheetFormatPr baseColWidth="10" defaultColWidth="14.44140625" defaultRowHeight="15" customHeight="1"/>
  <sheetData>
    <row r="1" spans="3:15">
      <c r="N1" s="17"/>
      <c r="O1" s="17"/>
    </row>
    <row r="2" spans="3:15">
      <c r="D2" s="41"/>
      <c r="E2" s="3"/>
      <c r="N2" s="17"/>
      <c r="O2" s="17"/>
    </row>
    <row r="3" spans="3:15">
      <c r="D3" s="41"/>
      <c r="E3" s="3"/>
      <c r="N3" s="17"/>
      <c r="O3" s="17"/>
    </row>
    <row r="4" spans="3:15">
      <c r="D4" s="3"/>
      <c r="E4" s="3"/>
      <c r="N4" s="17"/>
      <c r="O4" s="17"/>
    </row>
    <row r="5" spans="3:15">
      <c r="N5" s="17"/>
      <c r="O5" s="17"/>
    </row>
    <row r="6" spans="3:15">
      <c r="N6" s="17"/>
      <c r="O6" s="17"/>
    </row>
    <row r="7" spans="3:15">
      <c r="N7" s="17"/>
      <c r="O7" s="17"/>
    </row>
    <row r="8" spans="3:15">
      <c r="C8" s="23"/>
      <c r="N8" s="17"/>
      <c r="O8" s="17"/>
    </row>
    <row r="9" spans="3:15">
      <c r="C9" s="23"/>
      <c r="N9" s="17"/>
      <c r="O9" s="17"/>
    </row>
    <row r="10" spans="3:15">
      <c r="N10" s="17"/>
      <c r="O10" s="17"/>
    </row>
    <row r="11" spans="3:15">
      <c r="N11" s="17"/>
      <c r="O11" s="17"/>
    </row>
    <row r="30" spans="2:27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2:27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2:27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2:27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2:27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2:27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2:27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2:27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2:27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2:27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2:27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2:27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2:27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2:27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2:27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2:27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2:27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2:27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2:27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2:27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2:27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2:27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2:27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2:27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2:27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2:27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2:27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2:27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2:27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2:27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2:27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2:27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2:27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2:27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2:27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2:27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2:27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2:27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2:27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2:27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2:27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2:27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2:27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2:27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2:27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2:27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2:27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2:27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2:27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2:27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2:27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2:27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2:27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2:27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2:27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2:27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2:27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2:27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2:27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2:27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2:27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2:27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2:27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2:27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2:27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2:27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2:27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2:27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2:27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2:27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2:27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2:27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2:27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2:27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2:27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2:27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2:27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2:27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2:27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2:27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2:27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2:27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2:27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2:27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2:27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2:27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2:27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2:27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2:27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2:27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2:27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2:27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2:27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2:27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2:27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2:27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2:27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2:27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2:27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2:27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2:27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2:27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2:27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2:27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2:27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2:27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2:27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2:27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2:27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2:27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2:27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2:27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spans="2:27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2:27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2:27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2:27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2:27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2:27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2:27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2:27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2:27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2:27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2:27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2:27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2:27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2:27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2:27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2:27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2:27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2:27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2:27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2:27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2:27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2:27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2:27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2:27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2:27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2:27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2:27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2:27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2:27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2:27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2:27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2:27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2:27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2:27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2:27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2:27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2:27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2:27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2:27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2:27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spans="2:27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spans="2:27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spans="2:27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spans="2:27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spans="2:27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spans="2:27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spans="2:27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spans="2:27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spans="2:27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spans="2:27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spans="2:27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spans="2:27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spans="2:27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spans="2:27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spans="2:27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spans="2:27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spans="2:27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spans="2:27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spans="2:27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2:27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2:27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2:27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2:27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2:27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2:27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2:27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2:27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2:27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2:27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2:27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2:27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2:27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2:27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2:27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2:27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2:27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2:27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2:27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2:27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2:27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2:27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2:27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2:27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2:27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spans="2:27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spans="2:27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spans="2:27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spans="2:27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spans="2:27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spans="2:27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spans="2:27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spans="2:27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spans="2:27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spans="2:27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spans="2:27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spans="2:27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spans="2:27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spans="2:27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spans="2:27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spans="2:27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spans="2:27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spans="2:27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spans="2:27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spans="2:27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spans="2:27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spans="2:27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spans="2:27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spans="2:27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spans="2:27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spans="2:27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spans="2:27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spans="2:27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spans="2:27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spans="2:27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spans="2:27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spans="2:27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spans="2:27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spans="2:27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spans="2:27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spans="2:27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spans="2:27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spans="2:27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spans="2:27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spans="2:27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spans="2:27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spans="2:27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spans="2:27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spans="2:27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spans="2:27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spans="2:27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spans="2:27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spans="2:27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spans="2:27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spans="2:27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spans="2:27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spans="2:27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spans="2:27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spans="2:27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spans="2:27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spans="2:27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spans="2:27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spans="2:27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spans="2:27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spans="2:27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spans="2:27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spans="2:27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spans="2:27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spans="2:27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spans="2:27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spans="2:27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spans="2:27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spans="2:27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spans="2:27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spans="2:27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spans="2:27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spans="2:27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spans="2:27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spans="2:27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spans="2:27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spans="2:27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spans="2:27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spans="2:27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spans="2:27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spans="2:27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spans="2:27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spans="2:27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spans="2:27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spans="2:27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spans="2:27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spans="2:27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spans="2:27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spans="2:27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spans="2:27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spans="2:27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spans="2:27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spans="2:27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spans="2:27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spans="2:27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spans="2:27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spans="2:27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spans="2:27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spans="2:27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spans="2:27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spans="2:27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spans="2:27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spans="2:27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spans="2:27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spans="2:27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spans="2:27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spans="2:27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spans="2:27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spans="2:27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spans="2:27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spans="2:27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spans="2:27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spans="2:27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spans="2:27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spans="2:27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spans="2:27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spans="2:27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spans="2:27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spans="2:27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spans="2:27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spans="2:27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spans="2:27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spans="2:27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spans="2:27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spans="2:27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spans="2:27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spans="2:27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spans="2:27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spans="2:27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spans="2:27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spans="2:27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spans="2:27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spans="2:27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spans="2:27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spans="2:27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spans="2:27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spans="2:27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spans="2:27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spans="2:27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spans="2:27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spans="2:27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spans="2:27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spans="2:27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spans="2:27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spans="2:27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spans="2:27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spans="2:27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spans="2:27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spans="2:27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spans="2:27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spans="2:27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spans="2:27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spans="2:27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spans="2:27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spans="2:27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spans="2:27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spans="2:27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spans="2:27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spans="2:27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spans="2:27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spans="2:27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spans="2:27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spans="2:27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spans="2:27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spans="2:27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spans="2:27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spans="2:27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spans="2:27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spans="2:27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spans="2:27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spans="2:27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spans="2:27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spans="2:27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spans="2:27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spans="2:27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spans="2:27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spans="2:27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spans="2:27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spans="2:27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spans="2:27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spans="2:27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spans="2:27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spans="2:27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spans="2:27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spans="2:27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spans="2:27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spans="2:27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spans="2:27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spans="2:27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spans="2:27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spans="2:27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spans="2:27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spans="2:27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spans="2:27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spans="2:27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spans="2:27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spans="2:27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spans="2:27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spans="2:27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spans="2:27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spans="2:27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spans="2:27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spans="2:27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spans="2:27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spans="2:27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spans="2:27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spans="2:27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spans="2:27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spans="2:27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spans="2:27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spans="2:27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spans="2:27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spans="2:27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spans="2:27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spans="2:27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spans="2:27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spans="2:27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spans="2:27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spans="2:27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spans="2:27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spans="2:27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spans="2:27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spans="2:27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spans="2:27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spans="2:27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spans="2:27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spans="2:27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spans="2:27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spans="2:27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spans="2:27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spans="2:27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spans="2:27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spans="2:27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spans="2:27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spans="2:27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spans="2:27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spans="2:27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spans="2:27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spans="2:27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spans="2:27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spans="2:27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spans="2:27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spans="2:27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spans="2:27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spans="2:27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spans="2:27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spans="2:27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spans="2:27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spans="2:27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spans="2:27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spans="2:27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spans="2:27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spans="2:27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spans="2:27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spans="2:27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spans="2:27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spans="2:27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spans="2:27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spans="2:27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spans="2:27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spans="2:27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spans="2:27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spans="2:27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spans="2:27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spans="2:27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spans="2:27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spans="2:27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spans="2:27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spans="2:27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spans="2:27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spans="2:27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spans="2:27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spans="2:27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spans="2:27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spans="2:27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spans="2:27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spans="2:27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spans="2:27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spans="2:27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spans="2:27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spans="2:27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spans="2:27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spans="2:27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spans="2:27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spans="2:27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spans="2:27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spans="2:27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spans="2:27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spans="2:27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spans="2:27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spans="2:27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spans="2:27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spans="2:27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spans="2:27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spans="2:27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spans="2:27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spans="2:27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spans="2:27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spans="2:27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spans="2:27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spans="2:27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spans="2:27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spans="2:27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spans="2:27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spans="2:27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spans="2:27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spans="2:27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spans="2:27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spans="2:27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spans="2:27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spans="2:27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spans="2:27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spans="2:27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spans="2:27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spans="2:27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spans="2:27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spans="2:27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spans="2:27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spans="2:27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spans="2:27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spans="2:27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spans="2:27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spans="2:27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spans="2:27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spans="2:27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spans="2:27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spans="2:27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spans="2:27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spans="2:27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spans="2:27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spans="2:27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spans="2:27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spans="2:27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spans="2:27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spans="2:27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spans="2:27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spans="2:27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spans="2:27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spans="2:27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spans="2:27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spans="2:27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spans="2:27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spans="2:27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spans="2:27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spans="2:27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spans="2:27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spans="2:27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spans="2:27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spans="2:27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spans="2:27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spans="2:27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spans="2:27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spans="2:27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spans="2:27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spans="2:27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spans="2:27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spans="2:27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spans="2:27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spans="2:27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spans="2:27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spans="2:27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spans="2:27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spans="2:27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spans="2:27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spans="2:27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spans="2:27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spans="2:27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spans="2:27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spans="2:27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spans="2:27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spans="2:27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spans="2:27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spans="2:27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spans="2:27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spans="2:27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spans="2:27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spans="2:27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spans="2:27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spans="2:27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spans="2:27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spans="2:27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spans="2:27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spans="2:27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spans="2:27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spans="2:27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spans="2:27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spans="2:27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spans="2:27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spans="2:27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spans="2:27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spans="2:27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spans="2:27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spans="2:27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spans="2:27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spans="2:27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spans="2:27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spans="2:27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spans="2:27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spans="2:27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spans="2:27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spans="2:27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spans="2:27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spans="2:27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spans="2:27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spans="2:27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spans="2:27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spans="2:27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spans="2:27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spans="2:27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spans="2:27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spans="2:27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spans="2:27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spans="2:27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spans="2:27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spans="2:27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spans="2:27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spans="2:27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spans="2:27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spans="2:27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spans="2:27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spans="2:27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spans="2:27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spans="2:27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spans="2:27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spans="2:27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spans="2:27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spans="2:27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spans="2:27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spans="2:27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spans="2:27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spans="2:27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spans="2:27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spans="2:27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spans="2:27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spans="2:27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spans="2:27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spans="2:27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spans="2:27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spans="2:27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spans="2:27"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spans="2:27"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spans="2:27"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spans="2:27"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spans="2:27"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spans="2:27"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spans="2:27"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spans="2:27"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spans="2:27"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spans="2:27"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spans="2:27"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spans="2:27"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spans="2:27"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spans="2:27"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spans="2:27"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spans="2:27"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spans="2:27"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spans="2:27"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spans="2:27"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spans="2:27"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spans="2:27"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spans="2:27"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spans="2:27"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spans="2:27"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spans="2:27"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spans="2:27"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spans="2:27"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spans="2:27"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spans="2:27"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spans="2:27"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spans="2:27"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spans="2:27"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spans="2:27"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spans="2:27"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spans="2:27"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spans="2:27"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spans="2:27"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spans="2:27"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spans="2:27"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spans="2:27"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spans="2:27"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spans="2:27"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spans="2:27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spans="2:27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spans="2:27"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spans="2:27"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spans="2:27"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spans="2:27"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spans="2:27"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spans="2:27"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spans="2:27"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spans="2:27"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spans="2:27"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spans="2:27"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spans="2:27"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spans="2:27"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spans="2:27"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spans="2:27"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spans="2:27"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spans="2:27"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spans="2:27"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spans="2:27"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spans="2:27"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spans="2:27"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spans="2:27"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spans="2:27"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spans="2:27"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spans="2:27"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spans="2:27"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spans="2:27"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spans="2:27"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spans="2:27"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spans="2:27"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spans="2:27"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spans="2:27"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spans="2:27"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spans="2:27"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spans="2:27"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spans="2:27"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spans="2:27"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spans="2:27"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spans="2:27"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spans="2:27"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spans="2:27"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spans="2:27"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spans="2:27"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spans="2:27"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spans="2:27"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spans="2:27"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spans="2:27"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spans="2:27"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spans="2:27"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spans="2:27"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spans="2:27"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spans="2:27"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spans="2:27"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spans="2:27"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spans="2:27"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spans="2:27"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spans="2:27"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spans="2:27"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spans="2:27"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spans="2:27"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spans="2:27"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spans="2:27"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spans="2:27"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spans="2:27"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spans="2:27"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spans="2:27"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spans="2:27"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spans="2:27"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spans="2:27"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spans="2:27"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spans="2:27"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spans="2:27"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spans="2:27"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spans="2:27"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spans="2:27"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spans="2:27"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spans="2:27"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spans="2:27"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spans="2:27"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spans="2:27"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spans="2:27"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spans="2:27"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spans="2:27"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spans="2:27"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spans="2:27"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spans="2:27"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spans="2:27"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spans="2:27"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spans="2:27"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spans="2:27"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spans="2:27"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spans="2:27"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spans="2:27"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spans="2:27"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spans="2:27"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spans="2:27"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spans="2:27"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spans="2:27"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spans="2:27"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spans="2:27"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spans="2:27"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spans="2:27"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spans="2:27"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spans="2:27"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spans="2:27"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spans="2:27"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spans="2:27"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spans="2:27"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spans="2:27"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spans="2:27"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spans="2:27"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spans="2:27"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spans="2:27"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spans="2:27"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spans="2:27"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spans="2:27"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spans="2:27"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spans="2:27"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spans="2:27"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spans="2:27"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spans="2:27"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spans="2:27"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spans="2:27"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spans="2:27"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spans="2:27"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spans="2:27"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spans="2:27"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spans="2:27"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spans="2:27"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spans="2:27"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spans="2:27"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spans="2:27"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spans="2:27"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spans="2:27"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spans="2:27"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spans="2:27"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spans="2:27"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spans="2:27"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spans="2:27"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spans="2:27"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spans="2:27"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spans="2:27"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spans="2:27"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spans="2:27"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spans="2:27"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spans="2:27"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spans="2:27"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spans="2:27"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spans="2:27"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spans="2:27"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spans="2:27"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spans="2:27"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spans="2:27"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spans="2:27"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spans="2:27"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spans="2:27"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spans="2:27"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spans="2:27"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spans="2:27"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spans="2:27"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spans="2:27"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spans="2:27"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spans="2:27"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spans="2:27"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spans="2:27"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spans="2:27"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spans="2:27"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spans="2:27"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spans="2:27"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spans="2:27"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spans="2:27"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spans="2:27"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spans="2:27"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spans="2:27"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spans="2:27"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spans="2:27"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spans="2:27"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spans="2:27"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spans="2:27"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spans="2:27"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spans="2:27"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spans="2:27"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spans="2:27"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spans="2:27"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spans="2:27"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spans="2:27"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spans="2:27"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spans="2:27"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spans="2:27"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spans="2:27"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spans="2:27"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spans="2:27"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spans="2:27"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spans="2:27"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spans="2:27"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spans="2:27"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spans="2:27"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spans="2:27"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spans="2:27"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spans="2:27"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spans="2:27"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spans="2:27"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spans="2:27"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spans="2:27"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spans="2:27"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spans="2:27"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spans="2:27"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spans="2:27"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spans="2:27"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spans="2:27"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spans="2:27"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spans="2:27"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spans="2:27"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spans="2:27"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spans="2:27"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spans="2:27"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spans="2:27"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spans="2:27"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spans="2:27"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spans="2:27"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spans="2:27"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spans="2:27"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spans="2:27"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spans="2:27"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spans="2:27"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spans="2:27"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spans="2:27"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spans="2:27"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spans="2:27"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spans="2:27"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spans="2:27"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spans="2:27"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spans="2:27"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spans="2:27"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spans="2:27"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spans="2:27"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spans="2:27"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spans="2:27"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spans="2:27"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spans="2:27"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spans="2:27"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spans="2:27"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spans="2:27"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spans="2:27"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spans="2:27"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spans="2:27"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spans="2:27"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spans="2:27"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spans="2:27"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spans="2:27"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spans="2:27"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spans="2:27"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spans="2:27"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spans="2:27"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spans="2:27"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spans="2:27"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spans="2:27"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spans="2:27"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spans="2:27"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spans="2:27"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spans="2:27"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spans="2:27"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spans="2:27"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spans="2:27"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spans="2:27"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spans="2:27"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spans="2:27"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spans="2:27"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spans="2:27"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spans="2:27"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spans="2:27"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spans="2:27"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spans="2:27"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spans="2:27"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spans="2:27"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spans="2:27"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spans="2:27"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spans="2:27"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spans="2:27"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spans="2:27"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spans="2:27"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spans="2:27"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spans="2:27"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spans="2:27"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spans="2:27"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spans="2:27"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spans="2:27"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 spans="2:27"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 spans="2:27"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 spans="2:27"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  <row r="1001" spans="2:27"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</row>
    <row r="1002" spans="2:27"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</row>
    <row r="1003" spans="2:27"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</row>
    <row r="1004" spans="2:27"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</row>
    <row r="1005" spans="2:27"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</row>
    <row r="1006" spans="2:27"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</row>
    <row r="1007" spans="2:27"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</row>
    <row r="1008" spans="2:27"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</row>
    <row r="1009" spans="2:27"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</row>
    <row r="1010" spans="2:27"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</row>
    <row r="1011" spans="2:27"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</row>
    <row r="1012" spans="2:27"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</row>
    <row r="1013" spans="2:27"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</row>
    <row r="1014" spans="2:27"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</row>
    <row r="1015" spans="2:27"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</row>
    <row r="1016" spans="2:27"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</row>
    <row r="1017" spans="2:27"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</row>
    <row r="1018" spans="2:27"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</row>
    <row r="1019" spans="2:27"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</row>
    <row r="1020" spans="2:27"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</row>
    <row r="1021" spans="2:27"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</row>
    <row r="1022" spans="2:27"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</row>
    <row r="1023" spans="2:27"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</row>
    <row r="1024" spans="2:27"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</row>
    <row r="1025" spans="2:27"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</row>
    <row r="1026" spans="2:27"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</row>
    <row r="1027" spans="2:27"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</row>
    <row r="1028" spans="2:27"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</row>
    <row r="1029" spans="2:27"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</row>
    <row r="1030" spans="2:27"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Calculo_IPM_2012</vt:lpstr>
      <vt:lpstr>Calculo_IPM_2024</vt:lpstr>
      <vt:lpstr>Privaciones_2012</vt:lpstr>
      <vt:lpstr>Privaciones_2024</vt:lpstr>
      <vt:lpstr>Indicador_MUN</vt:lpstr>
      <vt:lpstr>Indicador_DEP</vt:lpstr>
      <vt:lpstr>Absoluto_MUN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Karina</cp:lastModifiedBy>
  <dcterms:created xsi:type="dcterms:W3CDTF">2026-03-26T14:50:27Z</dcterms:created>
  <dcterms:modified xsi:type="dcterms:W3CDTF">2026-06-05T06:21:26Z</dcterms:modified>
</cp:coreProperties>
</file>